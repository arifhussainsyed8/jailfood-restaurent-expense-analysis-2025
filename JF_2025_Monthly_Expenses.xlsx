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hidePivotFieldList="1" defaultThemeVersion="166925"/>
  <mc:AlternateContent xmlns:mc="http://schemas.openxmlformats.org/markup-compatibility/2006">
    <mc:Choice Requires="x15">
      <x15ac:absPath xmlns:x15ac="http://schemas.microsoft.com/office/spreadsheetml/2010/11/ac" url="/Users/arif/Downloads/"/>
    </mc:Choice>
  </mc:AlternateContent>
  <xr:revisionPtr revIDLastSave="0" documentId="13_ncr:1_{60080E12-50CC-CA40-84DD-AFDBD81EBDF0}" xr6:coauthVersionLast="47" xr6:coauthVersionMax="47" xr10:uidLastSave="{00000000-0000-0000-0000-000000000000}"/>
  <bookViews>
    <workbookView xWindow="0" yWindow="620" windowWidth="38400" windowHeight="20980" xr2:uid="{00000000-000D-0000-FFFF-FFFF00000000}"/>
  </bookViews>
  <sheets>
    <sheet name="Total Sales IN&amp;OUT" sheetId="20" r:id="rId1"/>
    <sheet name="Summary" sheetId="1" r:id="rId2"/>
    <sheet name="Expenses" sheetId="2" r:id="rId3"/>
    <sheet name="Stock" sheetId="3" r:id="rId4"/>
    <sheet name="Clean_Data" sheetId="31" r:id="rId5"/>
    <sheet name="Stock Analysis" sheetId="25" r:id="rId6"/>
    <sheet name="Inventory" sheetId="4" r:id="rId7"/>
    <sheet name="Analytics" sheetId="5" r:id="rId8"/>
    <sheet name="January" sheetId="6" r:id="rId9"/>
    <sheet name="Febraury" sheetId="7" r:id="rId10"/>
    <sheet name="March" sheetId="8" r:id="rId11"/>
    <sheet name="April" sheetId="9" r:id="rId12"/>
    <sheet name="May" sheetId="10" r:id="rId13"/>
    <sheet name="June" sheetId="11" r:id="rId14"/>
    <sheet name="July" sheetId="12" r:id="rId15"/>
    <sheet name="August" sheetId="13" r:id="rId16"/>
    <sheet name="September" sheetId="14" r:id="rId17"/>
    <sheet name="October" sheetId="15" r:id="rId18"/>
    <sheet name="November" sheetId="16" r:id="rId19"/>
    <sheet name="December" sheetId="17" r:id="rId20"/>
    <sheet name="Water bottles and Soft Drinks " sheetId="18" r:id="rId21"/>
  </sheets>
  <definedNames>
    <definedName name="ExternalData_1" localSheetId="4" hidden="1">Clean_Data!$A$1:$C$3025</definedName>
    <definedName name="Slicer_Month">#N/A</definedName>
  </definedNames>
  <calcPr calcId="191029"/>
  <pivotCaches>
    <pivotCache cacheId="0" r:id="rId22"/>
  </pivotCaches>
  <extLs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3" i="1" l="1"/>
  <c r="AH29" i="14"/>
  <c r="H232" i="18"/>
  <c r="G232" i="18"/>
  <c r="G231" i="18"/>
  <c r="H231" i="18" s="1"/>
  <c r="F231" i="18"/>
  <c r="C231" i="18"/>
  <c r="H230" i="18"/>
  <c r="G230" i="18"/>
  <c r="F230" i="18"/>
  <c r="C230" i="18"/>
  <c r="G229" i="18"/>
  <c r="H229" i="18" s="1"/>
  <c r="F229" i="18"/>
  <c r="C229" i="18"/>
  <c r="H228" i="18"/>
  <c r="G228" i="18"/>
  <c r="F228" i="18"/>
  <c r="C228" i="18"/>
  <c r="J227" i="18"/>
  <c r="F227" i="18"/>
  <c r="C227" i="18"/>
  <c r="G227" i="18" s="1"/>
  <c r="H227" i="18" s="1"/>
  <c r="F226" i="18"/>
  <c r="G226" i="18" s="1"/>
  <c r="C226" i="18"/>
  <c r="G225" i="18"/>
  <c r="J225" i="18" s="1"/>
  <c r="F225" i="18"/>
  <c r="C225" i="18"/>
  <c r="H218" i="18"/>
  <c r="G218" i="18"/>
  <c r="F217" i="18"/>
  <c r="G217" i="18" s="1"/>
  <c r="H217" i="18" s="1"/>
  <c r="C217" i="18"/>
  <c r="F216" i="18"/>
  <c r="G216" i="18" s="1"/>
  <c r="H216" i="18" s="1"/>
  <c r="C216" i="18"/>
  <c r="F215" i="18"/>
  <c r="G215" i="18" s="1"/>
  <c r="C215" i="18"/>
  <c r="F214" i="18"/>
  <c r="G214" i="18" s="1"/>
  <c r="H214" i="18" s="1"/>
  <c r="C214" i="18"/>
  <c r="G213" i="18"/>
  <c r="H213" i="18" s="1"/>
  <c r="F213" i="18"/>
  <c r="C213" i="18"/>
  <c r="F212" i="18"/>
  <c r="G212" i="18" s="1"/>
  <c r="C212" i="18"/>
  <c r="F211" i="18"/>
  <c r="D211" i="18"/>
  <c r="G211" i="18" s="1"/>
  <c r="C211" i="18"/>
  <c r="G205" i="18"/>
  <c r="H205" i="18" s="1"/>
  <c r="F204" i="18"/>
  <c r="D204" i="18"/>
  <c r="G204" i="18" s="1"/>
  <c r="H204" i="18" s="1"/>
  <c r="C204" i="18"/>
  <c r="F203" i="18"/>
  <c r="D203" i="18"/>
  <c r="G203" i="18" s="1"/>
  <c r="H203" i="18" s="1"/>
  <c r="C203" i="18"/>
  <c r="F202" i="18"/>
  <c r="D202" i="18"/>
  <c r="G202" i="18" s="1"/>
  <c r="C202" i="18"/>
  <c r="F201" i="18"/>
  <c r="D201" i="18"/>
  <c r="G201" i="18" s="1"/>
  <c r="H201" i="18" s="1"/>
  <c r="C201" i="18"/>
  <c r="F200" i="18"/>
  <c r="D200" i="18"/>
  <c r="G200" i="18" s="1"/>
  <c r="H200" i="18" s="1"/>
  <c r="C200" i="18"/>
  <c r="F199" i="18"/>
  <c r="G199" i="18" s="1"/>
  <c r="D199" i="18"/>
  <c r="C199" i="18"/>
  <c r="F198" i="18"/>
  <c r="G198" i="18" s="1"/>
  <c r="D198" i="18"/>
  <c r="C198" i="18"/>
  <c r="H192" i="18"/>
  <c r="G192" i="18"/>
  <c r="G191" i="18"/>
  <c r="H191" i="18" s="1"/>
  <c r="F191" i="18"/>
  <c r="D191" i="18"/>
  <c r="F190" i="18"/>
  <c r="D190" i="18"/>
  <c r="G190" i="18" s="1"/>
  <c r="G189" i="18"/>
  <c r="H189" i="18" s="1"/>
  <c r="F189" i="18"/>
  <c r="D189" i="18"/>
  <c r="F188" i="18"/>
  <c r="D188" i="18"/>
  <c r="G188" i="18" s="1"/>
  <c r="H188" i="18" s="1"/>
  <c r="C188" i="18"/>
  <c r="F187" i="18"/>
  <c r="G187" i="18" s="1"/>
  <c r="H187" i="18" s="1"/>
  <c r="D187" i="18"/>
  <c r="C187" i="18"/>
  <c r="G186" i="18"/>
  <c r="F186" i="18"/>
  <c r="D186" i="18"/>
  <c r="F185" i="18"/>
  <c r="D185" i="18"/>
  <c r="C185" i="18"/>
  <c r="G185" i="18" s="1"/>
  <c r="G177" i="18"/>
  <c r="H177" i="18" s="1"/>
  <c r="C177" i="18"/>
  <c r="H176" i="18"/>
  <c r="G176" i="18"/>
  <c r="C176" i="18"/>
  <c r="H175" i="18"/>
  <c r="G175" i="18"/>
  <c r="C175" i="18"/>
  <c r="C174" i="18"/>
  <c r="G174" i="18" s="1"/>
  <c r="F173" i="18"/>
  <c r="G173" i="18" s="1"/>
  <c r="H173" i="18" s="1"/>
  <c r="C173" i="18"/>
  <c r="F172" i="18"/>
  <c r="G172" i="18" s="1"/>
  <c r="H172" i="18" s="1"/>
  <c r="C172" i="18"/>
  <c r="G171" i="18"/>
  <c r="J171" i="18" s="1"/>
  <c r="C171" i="18"/>
  <c r="F170" i="18"/>
  <c r="D170" i="18"/>
  <c r="C170" i="18"/>
  <c r="G170" i="18" s="1"/>
  <c r="G162" i="18"/>
  <c r="H162" i="18" s="1"/>
  <c r="F162" i="18"/>
  <c r="D162" i="18"/>
  <c r="F161" i="18"/>
  <c r="D161" i="18"/>
  <c r="G161" i="18" s="1"/>
  <c r="H161" i="18" s="1"/>
  <c r="C161" i="18"/>
  <c r="F160" i="18"/>
  <c r="D160" i="18"/>
  <c r="G160" i="18" s="1"/>
  <c r="H160" i="18" s="1"/>
  <c r="C160" i="18"/>
  <c r="F159" i="18"/>
  <c r="D159" i="18"/>
  <c r="G159" i="18" s="1"/>
  <c r="F158" i="18"/>
  <c r="D158" i="18"/>
  <c r="C158" i="18"/>
  <c r="G158" i="18" s="1"/>
  <c r="H158" i="18" s="1"/>
  <c r="G157" i="18"/>
  <c r="H157" i="18" s="1"/>
  <c r="F157" i="18"/>
  <c r="D157" i="18"/>
  <c r="C157" i="18"/>
  <c r="F156" i="18"/>
  <c r="D156" i="18"/>
  <c r="G156" i="18" s="1"/>
  <c r="F155" i="18"/>
  <c r="D155" i="18"/>
  <c r="G155" i="18" s="1"/>
  <c r="C155" i="18"/>
  <c r="C149" i="18"/>
  <c r="G149" i="18" s="1"/>
  <c r="H149" i="18" s="1"/>
  <c r="F148" i="18"/>
  <c r="G148" i="18" s="1"/>
  <c r="H148" i="18" s="1"/>
  <c r="C148" i="18"/>
  <c r="G147" i="18"/>
  <c r="H147" i="18" s="1"/>
  <c r="F147" i="18"/>
  <c r="C147" i="18"/>
  <c r="C146" i="18"/>
  <c r="G146" i="18" s="1"/>
  <c r="F145" i="18"/>
  <c r="G145" i="18" s="1"/>
  <c r="H145" i="18" s="1"/>
  <c r="C145" i="18"/>
  <c r="F144" i="18"/>
  <c r="G144" i="18" s="1"/>
  <c r="H144" i="18" s="1"/>
  <c r="C144" i="18"/>
  <c r="C143" i="18"/>
  <c r="G143" i="18" s="1"/>
  <c r="F142" i="18"/>
  <c r="D142" i="18"/>
  <c r="C142" i="18"/>
  <c r="G142" i="18" s="1"/>
  <c r="H136" i="18"/>
  <c r="G136" i="18"/>
  <c r="G135" i="18"/>
  <c r="H135" i="18" s="1"/>
  <c r="H134" i="18"/>
  <c r="G134" i="18"/>
  <c r="J129" i="18" s="1"/>
  <c r="F133" i="18"/>
  <c r="D133" i="18"/>
  <c r="G133" i="18" s="1"/>
  <c r="H133" i="18" s="1"/>
  <c r="C133" i="18"/>
  <c r="F132" i="18"/>
  <c r="D132" i="18"/>
  <c r="G132" i="18" s="1"/>
  <c r="H132" i="18" s="1"/>
  <c r="C132" i="18"/>
  <c r="F131" i="18"/>
  <c r="D131" i="18"/>
  <c r="G131" i="18" s="1"/>
  <c r="H131" i="18" s="1"/>
  <c r="C131" i="18"/>
  <c r="G130" i="18"/>
  <c r="J128" i="18" s="1"/>
  <c r="F130" i="18"/>
  <c r="D130" i="18"/>
  <c r="C130" i="18"/>
  <c r="F129" i="18"/>
  <c r="D129" i="18"/>
  <c r="G129" i="18" s="1"/>
  <c r="H129" i="18" s="1"/>
  <c r="C129" i="18"/>
  <c r="F128" i="18"/>
  <c r="D128" i="18"/>
  <c r="G128" i="18" s="1"/>
  <c r="H128" i="18" s="1"/>
  <c r="C128" i="18"/>
  <c r="F127" i="18"/>
  <c r="D127" i="18"/>
  <c r="C127" i="18"/>
  <c r="G127" i="18" s="1"/>
  <c r="G126" i="18"/>
  <c r="J126" i="18" s="1"/>
  <c r="F126" i="18"/>
  <c r="D126" i="18"/>
  <c r="C126" i="18"/>
  <c r="H120" i="18"/>
  <c r="G120" i="18"/>
  <c r="G119" i="18"/>
  <c r="H119" i="18" s="1"/>
  <c r="G118" i="18"/>
  <c r="H118" i="18" s="1"/>
  <c r="F117" i="18"/>
  <c r="G117" i="18" s="1"/>
  <c r="H117" i="18" s="1"/>
  <c r="F116" i="18"/>
  <c r="G116" i="18" s="1"/>
  <c r="H116" i="18" s="1"/>
  <c r="G115" i="18"/>
  <c r="H115" i="18" s="1"/>
  <c r="F115" i="18"/>
  <c r="G114" i="18"/>
  <c r="H114" i="18" s="1"/>
  <c r="F114" i="18"/>
  <c r="F113" i="18"/>
  <c r="D113" i="18"/>
  <c r="G113" i="18" s="1"/>
  <c r="H113" i="18" s="1"/>
  <c r="F112" i="18"/>
  <c r="D112" i="18"/>
  <c r="G112" i="18" s="1"/>
  <c r="H112" i="18" s="1"/>
  <c r="F111" i="18"/>
  <c r="D111" i="18"/>
  <c r="G111" i="18" s="1"/>
  <c r="G110" i="18"/>
  <c r="J110" i="18" s="1"/>
  <c r="F110" i="18"/>
  <c r="D110" i="18"/>
  <c r="G104" i="18"/>
  <c r="H104" i="18" s="1"/>
  <c r="H103" i="18"/>
  <c r="G103" i="18"/>
  <c r="H102" i="18"/>
  <c r="G102" i="18"/>
  <c r="H101" i="18"/>
  <c r="G101" i="18"/>
  <c r="G100" i="18"/>
  <c r="H100" i="18" s="1"/>
  <c r="D100" i="18"/>
  <c r="G99" i="18"/>
  <c r="H99" i="18" s="1"/>
  <c r="D99" i="18"/>
  <c r="C99" i="18"/>
  <c r="D98" i="18"/>
  <c r="G98" i="18" s="1"/>
  <c r="G97" i="18"/>
  <c r="H97" i="18" s="1"/>
  <c r="D97" i="18"/>
  <c r="C97" i="18"/>
  <c r="G96" i="18"/>
  <c r="H96" i="18" s="1"/>
  <c r="D96" i="18"/>
  <c r="C96" i="18"/>
  <c r="J95" i="18"/>
  <c r="G95" i="18"/>
  <c r="H95" i="18" s="1"/>
  <c r="D95" i="18"/>
  <c r="C95" i="18"/>
  <c r="D94" i="18"/>
  <c r="G94" i="18" s="1"/>
  <c r="H88" i="18"/>
  <c r="G88" i="18"/>
  <c r="G87" i="18"/>
  <c r="H87" i="18" s="1"/>
  <c r="H86" i="18"/>
  <c r="G86" i="18"/>
  <c r="C85" i="18"/>
  <c r="G85" i="18" s="1"/>
  <c r="H85" i="18" s="1"/>
  <c r="D84" i="18"/>
  <c r="G84" i="18" s="1"/>
  <c r="H84" i="18" s="1"/>
  <c r="C84" i="18"/>
  <c r="G83" i="18"/>
  <c r="H83" i="18" s="1"/>
  <c r="F83" i="18"/>
  <c r="D83" i="18"/>
  <c r="D82" i="18"/>
  <c r="G82" i="18" s="1"/>
  <c r="G81" i="18"/>
  <c r="H81" i="18" s="1"/>
  <c r="F81" i="18"/>
  <c r="D81" i="18"/>
  <c r="C81" i="18"/>
  <c r="F80" i="18"/>
  <c r="D80" i="18"/>
  <c r="G80" i="18" s="1"/>
  <c r="H80" i="18" s="1"/>
  <c r="C80" i="18"/>
  <c r="F79" i="18"/>
  <c r="D79" i="18"/>
  <c r="G79" i="18" s="1"/>
  <c r="C79" i="18"/>
  <c r="J78" i="18"/>
  <c r="H78" i="18"/>
  <c r="G78" i="18"/>
  <c r="G73" i="18"/>
  <c r="H73" i="18" s="1"/>
  <c r="H72" i="18"/>
  <c r="G72" i="18"/>
  <c r="J66" i="18" s="1"/>
  <c r="H71" i="18"/>
  <c r="G71" i="18"/>
  <c r="F70" i="18"/>
  <c r="D70" i="18"/>
  <c r="G70" i="18" s="1"/>
  <c r="H70" i="18" s="1"/>
  <c r="F69" i="18"/>
  <c r="G69" i="18" s="1"/>
  <c r="H69" i="18" s="1"/>
  <c r="D69" i="18"/>
  <c r="C69" i="18"/>
  <c r="C68" i="18"/>
  <c r="G68" i="18" s="1"/>
  <c r="H68" i="18" s="1"/>
  <c r="C67" i="18"/>
  <c r="G67" i="18" s="1"/>
  <c r="F66" i="18"/>
  <c r="D66" i="18"/>
  <c r="G66" i="18" s="1"/>
  <c r="H66" i="18" s="1"/>
  <c r="C66" i="18"/>
  <c r="H65" i="18"/>
  <c r="G65" i="18"/>
  <c r="F65" i="18"/>
  <c r="D65" i="18"/>
  <c r="C65" i="18"/>
  <c r="F64" i="18"/>
  <c r="G64" i="18" s="1"/>
  <c r="D64" i="18"/>
  <c r="C64" i="18"/>
  <c r="G63" i="18"/>
  <c r="J63" i="18" s="1"/>
  <c r="D63" i="18"/>
  <c r="C63" i="18"/>
  <c r="C58" i="18"/>
  <c r="G58" i="18" s="1"/>
  <c r="H58" i="18" s="1"/>
  <c r="G57" i="18"/>
  <c r="H57" i="18" s="1"/>
  <c r="C57" i="18"/>
  <c r="G56" i="18"/>
  <c r="H56" i="18" s="1"/>
  <c r="C56" i="18"/>
  <c r="G55" i="18"/>
  <c r="H55" i="18" s="1"/>
  <c r="C55" i="18"/>
  <c r="F54" i="18"/>
  <c r="C54" i="18"/>
  <c r="G54" i="18" s="1"/>
  <c r="H54" i="18" s="1"/>
  <c r="F53" i="18"/>
  <c r="G53" i="18" s="1"/>
  <c r="H53" i="18" s="1"/>
  <c r="F52" i="18"/>
  <c r="C52" i="18"/>
  <c r="G52" i="18" s="1"/>
  <c r="F51" i="18"/>
  <c r="C51" i="18"/>
  <c r="G51" i="18" s="1"/>
  <c r="H51" i="18" s="1"/>
  <c r="F50" i="18"/>
  <c r="F49" i="18"/>
  <c r="F48" i="18"/>
  <c r="G48" i="18" s="1"/>
  <c r="D48" i="18"/>
  <c r="C48" i="18"/>
  <c r="G43" i="18"/>
  <c r="H43" i="18" s="1"/>
  <c r="C43" i="18"/>
  <c r="G42" i="18"/>
  <c r="H42" i="18" s="1"/>
  <c r="G41" i="18"/>
  <c r="H41" i="18" s="1"/>
  <c r="H40" i="18"/>
  <c r="G40" i="18"/>
  <c r="F39" i="18"/>
  <c r="E39" i="18"/>
  <c r="D39" i="18"/>
  <c r="C39" i="18"/>
  <c r="G39" i="18" s="1"/>
  <c r="H39" i="18" s="1"/>
  <c r="F38" i="18"/>
  <c r="C53" i="18" s="1"/>
  <c r="E38" i="18"/>
  <c r="D38" i="18"/>
  <c r="F37" i="18"/>
  <c r="E37" i="18"/>
  <c r="D37" i="18"/>
  <c r="G37" i="18" s="1"/>
  <c r="C37" i="18"/>
  <c r="F36" i="18"/>
  <c r="D36" i="18"/>
  <c r="G36" i="18" s="1"/>
  <c r="H36" i="18" s="1"/>
  <c r="C36" i="18"/>
  <c r="H35" i="18"/>
  <c r="G35" i="18"/>
  <c r="F35" i="18"/>
  <c r="C50" i="18" s="1"/>
  <c r="G50" i="18" s="1"/>
  <c r="H50" i="18" s="1"/>
  <c r="D35" i="18"/>
  <c r="C35" i="18"/>
  <c r="F34" i="18"/>
  <c r="C49" i="18" s="1"/>
  <c r="G49" i="18" s="1"/>
  <c r="D34" i="18"/>
  <c r="C34" i="18"/>
  <c r="G33" i="18"/>
  <c r="J33" i="18" s="1"/>
  <c r="F33" i="18"/>
  <c r="C33" i="18"/>
  <c r="F28" i="18"/>
  <c r="G28" i="18" s="1"/>
  <c r="H28" i="18" s="1"/>
  <c r="C28" i="18"/>
  <c r="H27" i="18"/>
  <c r="G27" i="18"/>
  <c r="C27" i="18"/>
  <c r="H26" i="18"/>
  <c r="G26" i="18"/>
  <c r="C26" i="18"/>
  <c r="H25" i="18"/>
  <c r="G25" i="18"/>
  <c r="F24" i="18"/>
  <c r="D24" i="18"/>
  <c r="G24" i="18" s="1"/>
  <c r="H24" i="18" s="1"/>
  <c r="D23" i="18"/>
  <c r="G23" i="18" s="1"/>
  <c r="H23" i="18" s="1"/>
  <c r="F22" i="18"/>
  <c r="D22" i="18"/>
  <c r="C22" i="18"/>
  <c r="G22" i="18" s="1"/>
  <c r="F21" i="18"/>
  <c r="D21" i="18"/>
  <c r="G21" i="18" s="1"/>
  <c r="H21" i="18" s="1"/>
  <c r="C21" i="18"/>
  <c r="F20" i="18"/>
  <c r="D20" i="18"/>
  <c r="G20" i="18" s="1"/>
  <c r="H20" i="18" s="1"/>
  <c r="C20" i="18"/>
  <c r="F19" i="18"/>
  <c r="G19" i="18" s="1"/>
  <c r="D19" i="18"/>
  <c r="F18" i="18"/>
  <c r="D18" i="18"/>
  <c r="G18" i="18" s="1"/>
  <c r="C18" i="18"/>
  <c r="F13" i="18"/>
  <c r="G13" i="18" s="1"/>
  <c r="H13" i="18" s="1"/>
  <c r="D13" i="18"/>
  <c r="F12" i="18"/>
  <c r="D12" i="18"/>
  <c r="G12" i="18" s="1"/>
  <c r="G11" i="18"/>
  <c r="H11" i="18" s="1"/>
  <c r="F11" i="18"/>
  <c r="D11" i="18"/>
  <c r="H10" i="18"/>
  <c r="G10" i="18"/>
  <c r="D10" i="18"/>
  <c r="D9" i="18"/>
  <c r="G9" i="18" s="1"/>
  <c r="H9" i="18" s="1"/>
  <c r="D8" i="18"/>
  <c r="G8" i="18" s="1"/>
  <c r="H8" i="18" s="1"/>
  <c r="F7" i="18"/>
  <c r="G7" i="18" s="1"/>
  <c r="D7" i="18"/>
  <c r="F6" i="18"/>
  <c r="D6" i="18"/>
  <c r="G6" i="18" s="1"/>
  <c r="H6" i="18" s="1"/>
  <c r="F5" i="18"/>
  <c r="D5" i="18"/>
  <c r="G5" i="18" s="1"/>
  <c r="H5" i="18" s="1"/>
  <c r="H4" i="18"/>
  <c r="G4" i="18"/>
  <c r="J4" i="18" s="1"/>
  <c r="D4" i="18"/>
  <c r="J3" i="18"/>
  <c r="G3" i="18"/>
  <c r="H3" i="18" s="1"/>
  <c r="F3" i="18"/>
  <c r="D3" i="18"/>
  <c r="P62" i="17"/>
  <c r="N62" i="17"/>
  <c r="M62" i="17"/>
  <c r="L62" i="17"/>
  <c r="K62" i="17"/>
  <c r="N61" i="17"/>
  <c r="M61" i="17"/>
  <c r="L61" i="17"/>
  <c r="P61" i="17" s="1"/>
  <c r="K61" i="17"/>
  <c r="P60" i="17"/>
  <c r="N60" i="17"/>
  <c r="M60" i="17"/>
  <c r="L60" i="17"/>
  <c r="K60" i="17"/>
  <c r="P59" i="17"/>
  <c r="N59" i="17"/>
  <c r="M59" i="17"/>
  <c r="L59" i="17"/>
  <c r="K59" i="17"/>
  <c r="O58" i="17"/>
  <c r="N58" i="17"/>
  <c r="M58" i="17"/>
  <c r="P58" i="17" s="1"/>
  <c r="L58" i="17"/>
  <c r="K58" i="17"/>
  <c r="O57" i="17"/>
  <c r="N57" i="17"/>
  <c r="M57" i="17"/>
  <c r="L57" i="17"/>
  <c r="K57" i="17"/>
  <c r="P57" i="17" s="1"/>
  <c r="O56" i="17"/>
  <c r="N56" i="17"/>
  <c r="M56" i="17"/>
  <c r="L56" i="17"/>
  <c r="P56" i="17" s="1"/>
  <c r="K56" i="17"/>
  <c r="B56" i="17"/>
  <c r="P47" i="17"/>
  <c r="I47" i="17"/>
  <c r="AG46" i="17"/>
  <c r="AG45" i="17"/>
  <c r="B41" i="17"/>
  <c r="B40" i="17"/>
  <c r="B38" i="17"/>
  <c r="B36" i="17"/>
  <c r="AI32" i="17"/>
  <c r="AH32" i="17"/>
  <c r="AG32" i="17"/>
  <c r="AF31" i="17"/>
  <c r="AE31" i="17"/>
  <c r="AD31" i="17"/>
  <c r="AC31" i="17"/>
  <c r="AB31" i="17"/>
  <c r="AA31" i="17"/>
  <c r="Z31" i="17"/>
  <c r="Y31" i="17"/>
  <c r="X31" i="17"/>
  <c r="W31" i="17"/>
  <c r="V31" i="17"/>
  <c r="U31" i="17"/>
  <c r="T31" i="17"/>
  <c r="S31" i="17"/>
  <c r="R31" i="17"/>
  <c r="Q31" i="17"/>
  <c r="P31" i="17"/>
  <c r="O31" i="17"/>
  <c r="N31" i="17"/>
  <c r="M31" i="17"/>
  <c r="L31" i="17"/>
  <c r="K31" i="17"/>
  <c r="J31" i="17"/>
  <c r="I31" i="17"/>
  <c r="AG31" i="17" s="1"/>
  <c r="H31" i="17"/>
  <c r="G31" i="17"/>
  <c r="F31" i="17"/>
  <c r="E31" i="17"/>
  <c r="D31" i="17"/>
  <c r="C31" i="17"/>
  <c r="B31" i="17"/>
  <c r="B37" i="17" s="1"/>
  <c r="AI30" i="17"/>
  <c r="AH30" i="17"/>
  <c r="AG30" i="17"/>
  <c r="P29" i="17"/>
  <c r="P33" i="17" s="1"/>
  <c r="I29" i="17"/>
  <c r="I33" i="17" s="1"/>
  <c r="AH28" i="17"/>
  <c r="AG28" i="17"/>
  <c r="AH27" i="17"/>
  <c r="AG27" i="17"/>
  <c r="AH26" i="17"/>
  <c r="AG26" i="17"/>
  <c r="AH25" i="17"/>
  <c r="AG25" i="17"/>
  <c r="AH24" i="17"/>
  <c r="AG24" i="17"/>
  <c r="AH22" i="17"/>
  <c r="AF22" i="17"/>
  <c r="AE22" i="17"/>
  <c r="AD22" i="17"/>
  <c r="AC22" i="17"/>
  <c r="AB22" i="17"/>
  <c r="AA22" i="17"/>
  <c r="Z22" i="17"/>
  <c r="Y22" i="17"/>
  <c r="X22" i="17"/>
  <c r="W22" i="17"/>
  <c r="V22" i="17"/>
  <c r="U22" i="17"/>
  <c r="T22" i="17"/>
  <c r="S22" i="17"/>
  <c r="R22" i="17"/>
  <c r="Q22" i="17"/>
  <c r="O22" i="17"/>
  <c r="N22" i="17"/>
  <c r="M22" i="17"/>
  <c r="L22" i="17"/>
  <c r="K22" i="17"/>
  <c r="J22" i="17"/>
  <c r="H22" i="17"/>
  <c r="G22" i="17"/>
  <c r="F22" i="17"/>
  <c r="E22" i="17"/>
  <c r="D22" i="17"/>
  <c r="C22" i="17"/>
  <c r="B22" i="17"/>
  <c r="AG22" i="17" s="1"/>
  <c r="AF21" i="17"/>
  <c r="AE21" i="17"/>
  <c r="AD21" i="17"/>
  <c r="AC21" i="17"/>
  <c r="AB21" i="17"/>
  <c r="AA21" i="17"/>
  <c r="Z21" i="17"/>
  <c r="Y21" i="17"/>
  <c r="X21" i="17"/>
  <c r="W21" i="17"/>
  <c r="V21" i="17"/>
  <c r="U21" i="17"/>
  <c r="T21" i="17"/>
  <c r="S21" i="17"/>
  <c r="R21" i="17"/>
  <c r="Q21" i="17"/>
  <c r="O21" i="17"/>
  <c r="N21" i="17"/>
  <c r="M21" i="17"/>
  <c r="L21" i="17"/>
  <c r="K21" i="17"/>
  <c r="J21" i="17"/>
  <c r="H21" i="17"/>
  <c r="G21" i="17"/>
  <c r="F21" i="17"/>
  <c r="E21" i="17"/>
  <c r="AH21" i="17" s="1"/>
  <c r="D21" i="17"/>
  <c r="C21" i="17"/>
  <c r="B21" i="17"/>
  <c r="AF20" i="17"/>
  <c r="AE20" i="17"/>
  <c r="AD20" i="17"/>
  <c r="AC20" i="17"/>
  <c r="AB20" i="17"/>
  <c r="AA20" i="17"/>
  <c r="Z20" i="17"/>
  <c r="Y20" i="17"/>
  <c r="X20" i="17"/>
  <c r="W20" i="17"/>
  <c r="V20" i="17"/>
  <c r="U20" i="17"/>
  <c r="T20" i="17"/>
  <c r="S20" i="17"/>
  <c r="R20" i="17"/>
  <c r="Q20" i="17"/>
  <c r="O20" i="17"/>
  <c r="N20" i="17"/>
  <c r="M20" i="17"/>
  <c r="L20" i="17"/>
  <c r="K20" i="17"/>
  <c r="J20" i="17"/>
  <c r="H20" i="17"/>
  <c r="G20" i="17"/>
  <c r="F20" i="17"/>
  <c r="E20" i="17"/>
  <c r="D20" i="17"/>
  <c r="C20" i="17"/>
  <c r="B20" i="17"/>
  <c r="AH18" i="17"/>
  <c r="AG18" i="17"/>
  <c r="AH17" i="17"/>
  <c r="AG17" i="17"/>
  <c r="AB17" i="17"/>
  <c r="AH16" i="17"/>
  <c r="AG16" i="17"/>
  <c r="AH15" i="17"/>
  <c r="AG15" i="17"/>
  <c r="AH14" i="17"/>
  <c r="AG14" i="17"/>
  <c r="AH13" i="17"/>
  <c r="AG13" i="17"/>
  <c r="O13" i="17"/>
  <c r="AH12" i="17"/>
  <c r="AG12" i="17"/>
  <c r="AH11" i="17"/>
  <c r="AG11" i="17"/>
  <c r="AF10" i="17"/>
  <c r="AE10" i="17"/>
  <c r="AD10" i="17"/>
  <c r="AC10" i="17"/>
  <c r="AB10" i="17"/>
  <c r="AA10" i="17"/>
  <c r="Z10" i="17"/>
  <c r="Y10" i="17"/>
  <c r="X10" i="17"/>
  <c r="W10" i="17"/>
  <c r="V10" i="17"/>
  <c r="U10" i="17"/>
  <c r="T10" i="17"/>
  <c r="S10" i="17"/>
  <c r="R10" i="17"/>
  <c r="Q10" i="17"/>
  <c r="O10" i="17"/>
  <c r="N10" i="17"/>
  <c r="M10" i="17"/>
  <c r="L10" i="17"/>
  <c r="K10" i="17"/>
  <c r="J10" i="17"/>
  <c r="H10" i="17"/>
  <c r="G10" i="17"/>
  <c r="F10" i="17"/>
  <c r="AG10" i="17" s="1"/>
  <c r="E10" i="17"/>
  <c r="D10" i="17"/>
  <c r="C10" i="17"/>
  <c r="B10" i="17"/>
  <c r="AF8" i="17"/>
  <c r="AE8" i="17"/>
  <c r="AD8" i="17"/>
  <c r="AC8" i="17"/>
  <c r="AB8" i="17"/>
  <c r="AA8" i="17"/>
  <c r="Z8" i="17"/>
  <c r="Y8" i="17"/>
  <c r="X8" i="17"/>
  <c r="W8" i="17"/>
  <c r="V8" i="17"/>
  <c r="U8" i="17"/>
  <c r="T8" i="17"/>
  <c r="S8" i="17"/>
  <c r="R8" i="17"/>
  <c r="Q8" i="17"/>
  <c r="O8" i="17"/>
  <c r="N8" i="17"/>
  <c r="M8" i="17"/>
  <c r="L8" i="17"/>
  <c r="K8" i="17"/>
  <c r="J8" i="17"/>
  <c r="H8" i="17"/>
  <c r="G8" i="17"/>
  <c r="F8" i="17"/>
  <c r="E8" i="17"/>
  <c r="D8" i="17"/>
  <c r="C8" i="17"/>
  <c r="B8" i="17"/>
  <c r="AF7" i="17"/>
  <c r="AE7" i="17"/>
  <c r="AD7" i="17"/>
  <c r="AC7" i="17"/>
  <c r="AB7" i="17"/>
  <c r="AA7" i="17"/>
  <c r="Z7" i="17"/>
  <c r="Y7" i="17"/>
  <c r="X7" i="17"/>
  <c r="W7" i="17"/>
  <c r="V7" i="17"/>
  <c r="U7" i="17"/>
  <c r="T7" i="17"/>
  <c r="S7" i="17"/>
  <c r="R7" i="17"/>
  <c r="Q7" i="17"/>
  <c r="O7" i="17"/>
  <c r="N7" i="17"/>
  <c r="M7" i="17"/>
  <c r="L7" i="17"/>
  <c r="K7" i="17"/>
  <c r="J7" i="17"/>
  <c r="H7" i="17"/>
  <c r="G7" i="17"/>
  <c r="F7" i="17"/>
  <c r="E7" i="17"/>
  <c r="D7" i="17"/>
  <c r="C7" i="17"/>
  <c r="B7" i="17"/>
  <c r="AH6" i="17"/>
  <c r="AG6" i="17"/>
  <c r="AH2" i="17"/>
  <c r="AG2" i="17"/>
  <c r="O62" i="16"/>
  <c r="N62" i="16"/>
  <c r="M62" i="16"/>
  <c r="L62" i="16"/>
  <c r="K62" i="16"/>
  <c r="O61" i="16"/>
  <c r="N61" i="16"/>
  <c r="M61" i="16"/>
  <c r="L61" i="16"/>
  <c r="P61" i="16" s="1"/>
  <c r="K61" i="16"/>
  <c r="P60" i="16"/>
  <c r="O60" i="16"/>
  <c r="N60" i="16"/>
  <c r="M60" i="16"/>
  <c r="L60" i="16"/>
  <c r="O59" i="16"/>
  <c r="N59" i="16"/>
  <c r="M59" i="16"/>
  <c r="L59" i="16"/>
  <c r="O58" i="16"/>
  <c r="N58" i="16"/>
  <c r="M58" i="16"/>
  <c r="P58" i="16" s="1"/>
  <c r="L58" i="16"/>
  <c r="O57" i="16"/>
  <c r="N57" i="16"/>
  <c r="M57" i="16"/>
  <c r="L57" i="16"/>
  <c r="O56" i="16"/>
  <c r="N56" i="16"/>
  <c r="M56" i="16"/>
  <c r="L56" i="16"/>
  <c r="B56" i="16"/>
  <c r="P47" i="16"/>
  <c r="F47" i="16"/>
  <c r="AF46" i="16"/>
  <c r="AF45" i="16"/>
  <c r="B41" i="16"/>
  <c r="B40" i="16"/>
  <c r="B38" i="16"/>
  <c r="B36" i="16"/>
  <c r="AH32" i="16"/>
  <c r="AG32" i="16"/>
  <c r="AF32"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F31" i="16"/>
  <c r="E31" i="16"/>
  <c r="D31" i="16"/>
  <c r="AG31" i="16" s="1"/>
  <c r="AH31" i="16" s="1"/>
  <c r="C31" i="16"/>
  <c r="B31" i="16"/>
  <c r="AG30" i="16"/>
  <c r="AH30" i="16" s="1"/>
  <c r="AF30" i="16"/>
  <c r="P29" i="16"/>
  <c r="P33" i="16" s="1"/>
  <c r="F29" i="16"/>
  <c r="F33" i="16" s="1"/>
  <c r="AG28" i="16"/>
  <c r="AF28" i="16"/>
  <c r="AG27" i="16"/>
  <c r="AF27" i="16"/>
  <c r="AG26" i="16"/>
  <c r="AF26" i="16"/>
  <c r="AG25" i="16"/>
  <c r="AF25" i="16"/>
  <c r="AG24" i="16"/>
  <c r="AF24" i="16"/>
  <c r="AE22" i="16"/>
  <c r="AD22" i="16"/>
  <c r="AC22" i="16"/>
  <c r="AB22" i="16"/>
  <c r="AA22" i="16"/>
  <c r="Z22" i="16"/>
  <c r="Y22" i="16"/>
  <c r="X22" i="16"/>
  <c r="W22" i="16"/>
  <c r="V22" i="16"/>
  <c r="U22" i="16"/>
  <c r="T22" i="16"/>
  <c r="S22" i="16"/>
  <c r="R22" i="16"/>
  <c r="Q22" i="16"/>
  <c r="O22" i="16"/>
  <c r="N22" i="16"/>
  <c r="M22" i="16"/>
  <c r="L22" i="16"/>
  <c r="K22" i="16"/>
  <c r="J22" i="16"/>
  <c r="I22" i="16"/>
  <c r="H22" i="16"/>
  <c r="AG22" i="16" s="1"/>
  <c r="G22" i="16"/>
  <c r="AF22" i="16" s="1"/>
  <c r="E22" i="16"/>
  <c r="D22" i="16"/>
  <c r="C22" i="16"/>
  <c r="B22" i="16"/>
  <c r="AE21" i="16"/>
  <c r="AD21" i="16"/>
  <c r="AC21" i="16"/>
  <c r="AB21" i="16"/>
  <c r="AA21" i="16"/>
  <c r="Z21" i="16"/>
  <c r="Y21" i="16"/>
  <c r="X21" i="16"/>
  <c r="W21" i="16"/>
  <c r="V21" i="16"/>
  <c r="U21" i="16"/>
  <c r="T21" i="16"/>
  <c r="S21" i="16"/>
  <c r="R21" i="16"/>
  <c r="Q21" i="16"/>
  <c r="O21" i="16"/>
  <c r="N21" i="16"/>
  <c r="M21" i="16"/>
  <c r="L21" i="16"/>
  <c r="K21" i="16"/>
  <c r="J21" i="16"/>
  <c r="I21" i="16"/>
  <c r="H21" i="16"/>
  <c r="G21" i="16"/>
  <c r="AF21" i="16" s="1"/>
  <c r="E21" i="16"/>
  <c r="D21" i="16"/>
  <c r="C21" i="16"/>
  <c r="B21" i="16"/>
  <c r="AE20" i="16"/>
  <c r="AD20" i="16"/>
  <c r="AC20" i="16"/>
  <c r="AB20" i="16"/>
  <c r="AA20" i="16"/>
  <c r="Z20" i="16"/>
  <c r="Y20" i="16"/>
  <c r="X20" i="16"/>
  <c r="W20" i="16"/>
  <c r="V20" i="16"/>
  <c r="U20" i="16"/>
  <c r="T20" i="16"/>
  <c r="S20" i="16"/>
  <c r="R20" i="16"/>
  <c r="Q20" i="16"/>
  <c r="O20" i="16"/>
  <c r="N20" i="16"/>
  <c r="M20" i="16"/>
  <c r="L20" i="16"/>
  <c r="K20" i="16"/>
  <c r="J20" i="16"/>
  <c r="I20" i="16"/>
  <c r="H20" i="16"/>
  <c r="G20" i="16"/>
  <c r="E20" i="16"/>
  <c r="D20" i="16"/>
  <c r="C20" i="16"/>
  <c r="B20" i="16"/>
  <c r="AG18" i="16"/>
  <c r="AF18" i="16"/>
  <c r="AB17" i="16"/>
  <c r="S17" i="16"/>
  <c r="K17" i="16"/>
  <c r="B17" i="16"/>
  <c r="AG16" i="16"/>
  <c r="AF16" i="16"/>
  <c r="AG15" i="16"/>
  <c r="AF15" i="16"/>
  <c r="AG14" i="16"/>
  <c r="AF14" i="16"/>
  <c r="AG13" i="16"/>
  <c r="AF13" i="16"/>
  <c r="AG12" i="16"/>
  <c r="AF12" i="16"/>
  <c r="AG11" i="16"/>
  <c r="AF11" i="16"/>
  <c r="AE10" i="16"/>
  <c r="AD10" i="16"/>
  <c r="AC10" i="16"/>
  <c r="AB10" i="16"/>
  <c r="AA10" i="16"/>
  <c r="Z10" i="16"/>
  <c r="Y10" i="16"/>
  <c r="X10" i="16"/>
  <c r="W10" i="16"/>
  <c r="V10" i="16"/>
  <c r="U10" i="16"/>
  <c r="T10" i="16"/>
  <c r="S10" i="16"/>
  <c r="R10" i="16"/>
  <c r="Q10" i="16"/>
  <c r="O10" i="16"/>
  <c r="N10" i="16"/>
  <c r="M10" i="16"/>
  <c r="L10" i="16"/>
  <c r="K10" i="16"/>
  <c r="J10" i="16"/>
  <c r="I10" i="16"/>
  <c r="H10" i="16"/>
  <c r="AG10" i="16" s="1"/>
  <c r="G10" i="16"/>
  <c r="E10" i="16"/>
  <c r="D10" i="16"/>
  <c r="C10" i="16"/>
  <c r="B10" i="16"/>
  <c r="AG8" i="16"/>
  <c r="AE8" i="16"/>
  <c r="AD8" i="16"/>
  <c r="AC8" i="16"/>
  <c r="AB8" i="16"/>
  <c r="AA8" i="16"/>
  <c r="Z8" i="16"/>
  <c r="Y8" i="16"/>
  <c r="X8" i="16"/>
  <c r="W8" i="16"/>
  <c r="V8" i="16"/>
  <c r="U8" i="16"/>
  <c r="T8" i="16"/>
  <c r="S8" i="16"/>
  <c r="R8" i="16"/>
  <c r="Q8" i="16"/>
  <c r="O8" i="16"/>
  <c r="N8" i="16"/>
  <c r="M8" i="16"/>
  <c r="L8" i="16"/>
  <c r="K8" i="16"/>
  <c r="J8" i="16"/>
  <c r="I8" i="16"/>
  <c r="H8" i="16"/>
  <c r="G8" i="16"/>
  <c r="E8" i="16"/>
  <c r="D8" i="16"/>
  <c r="C8" i="16"/>
  <c r="B8" i="16"/>
  <c r="AE7" i="16"/>
  <c r="AD7" i="16"/>
  <c r="AC7" i="16"/>
  <c r="AB7" i="16"/>
  <c r="AA7" i="16"/>
  <c r="Z7" i="16"/>
  <c r="Y7" i="16"/>
  <c r="X7" i="16"/>
  <c r="W7" i="16"/>
  <c r="V7" i="16"/>
  <c r="U7" i="16"/>
  <c r="T7" i="16"/>
  <c r="S7" i="16"/>
  <c r="R7" i="16"/>
  <c r="Q7" i="16"/>
  <c r="O7" i="16"/>
  <c r="N7" i="16"/>
  <c r="M7" i="16"/>
  <c r="L7" i="16"/>
  <c r="K7" i="16"/>
  <c r="J7" i="16"/>
  <c r="I7" i="16"/>
  <c r="H7" i="16"/>
  <c r="G7" i="16"/>
  <c r="E7" i="16"/>
  <c r="D7" i="16"/>
  <c r="C7" i="16"/>
  <c r="AF7" i="16" s="1"/>
  <c r="B7" i="16"/>
  <c r="AG7" i="16" s="1"/>
  <c r="AG6" i="16"/>
  <c r="AF6" i="16"/>
  <c r="AG2" i="16"/>
  <c r="AF2" i="16"/>
  <c r="N62" i="15"/>
  <c r="P62" i="15" s="1"/>
  <c r="M62" i="15"/>
  <c r="L62" i="15"/>
  <c r="K62" i="15"/>
  <c r="N61" i="15"/>
  <c r="M61" i="15"/>
  <c r="L61" i="15"/>
  <c r="K61" i="15"/>
  <c r="P61" i="15" s="1"/>
  <c r="P60" i="15"/>
  <c r="O60" i="15"/>
  <c r="N60" i="15"/>
  <c r="M60" i="15"/>
  <c r="L60" i="15"/>
  <c r="K60" i="15"/>
  <c r="O59" i="15"/>
  <c r="N59" i="15"/>
  <c r="M59" i="15"/>
  <c r="L59" i="15"/>
  <c r="K59" i="15"/>
  <c r="O58" i="15"/>
  <c r="N58" i="15"/>
  <c r="M58" i="15"/>
  <c r="L58" i="15"/>
  <c r="K58" i="15"/>
  <c r="O57" i="15"/>
  <c r="N57" i="15"/>
  <c r="M57" i="15"/>
  <c r="L57" i="15"/>
  <c r="O56" i="15"/>
  <c r="P56" i="15" s="1"/>
  <c r="N56" i="15"/>
  <c r="M56" i="15"/>
  <c r="L56" i="15"/>
  <c r="B53" i="15"/>
  <c r="B52" i="15"/>
  <c r="B51" i="15"/>
  <c r="AF47" i="15"/>
  <c r="G47" i="15"/>
  <c r="J46" i="15"/>
  <c r="AG46" i="15" s="1"/>
  <c r="I46" i="15"/>
  <c r="H46" i="15"/>
  <c r="AG45" i="15"/>
  <c r="B41" i="15"/>
  <c r="B40" i="15"/>
  <c r="B38" i="15"/>
  <c r="B36" i="15"/>
  <c r="AF33" i="15"/>
  <c r="G33" i="15"/>
  <c r="AI32" i="15"/>
  <c r="AH32" i="15"/>
  <c r="AG32" i="15"/>
  <c r="AF31" i="15"/>
  <c r="AE31" i="15"/>
  <c r="AD31" i="15"/>
  <c r="AC31" i="15"/>
  <c r="AB31" i="15"/>
  <c r="AA31" i="15"/>
  <c r="Z31" i="15"/>
  <c r="Y31" i="15"/>
  <c r="X31" i="15"/>
  <c r="W31" i="15"/>
  <c r="V31" i="15"/>
  <c r="U31" i="15"/>
  <c r="T31" i="15"/>
  <c r="S31" i="15"/>
  <c r="R31" i="15"/>
  <c r="Q31" i="15"/>
  <c r="P31" i="15"/>
  <c r="O31" i="15"/>
  <c r="N31" i="15"/>
  <c r="M31" i="15"/>
  <c r="L31" i="15"/>
  <c r="K31" i="15"/>
  <c r="J31" i="15"/>
  <c r="I31" i="15"/>
  <c r="H31" i="15"/>
  <c r="G31" i="15"/>
  <c r="F31" i="15"/>
  <c r="E31" i="15"/>
  <c r="D31" i="15"/>
  <c r="C31" i="15"/>
  <c r="B31" i="15"/>
  <c r="AH30" i="15"/>
  <c r="AG30" i="15"/>
  <c r="AF29" i="15"/>
  <c r="G29" i="15"/>
  <c r="AH28" i="15"/>
  <c r="AG28" i="15"/>
  <c r="AE27" i="15"/>
  <c r="AH27" i="15" s="1"/>
  <c r="AH26" i="15"/>
  <c r="AG26" i="15"/>
  <c r="AH25" i="15"/>
  <c r="AG25" i="15"/>
  <c r="AH24" i="15"/>
  <c r="AG24" i="15"/>
  <c r="AE22" i="15"/>
  <c r="AD22" i="15"/>
  <c r="AC22" i="15"/>
  <c r="AB22" i="15"/>
  <c r="AA22" i="15"/>
  <c r="Z22" i="15"/>
  <c r="Y22" i="15"/>
  <c r="X22" i="15"/>
  <c r="W22" i="15"/>
  <c r="V22" i="15"/>
  <c r="U22" i="15"/>
  <c r="T22" i="15"/>
  <c r="S22" i="15"/>
  <c r="R22" i="15"/>
  <c r="Q22" i="15"/>
  <c r="P22" i="15"/>
  <c r="O22" i="15"/>
  <c r="N22" i="15"/>
  <c r="M22" i="15"/>
  <c r="L22" i="15"/>
  <c r="K22" i="15"/>
  <c r="J22" i="15"/>
  <c r="I22" i="15"/>
  <c r="H22" i="15"/>
  <c r="F22" i="15"/>
  <c r="E22" i="15"/>
  <c r="D22" i="15"/>
  <c r="C22" i="15"/>
  <c r="B22" i="15"/>
  <c r="AE21" i="15"/>
  <c r="AD21" i="15"/>
  <c r="AC21" i="15"/>
  <c r="AB21" i="15"/>
  <c r="AA21" i="15"/>
  <c r="Z21" i="15"/>
  <c r="Y21" i="15"/>
  <c r="X21" i="15"/>
  <c r="W21" i="15"/>
  <c r="V21" i="15"/>
  <c r="U21" i="15"/>
  <c r="T21" i="15"/>
  <c r="S21" i="15"/>
  <c r="R21" i="15"/>
  <c r="Q21" i="15"/>
  <c r="P21" i="15"/>
  <c r="O21" i="15"/>
  <c r="N21" i="15"/>
  <c r="M21" i="15"/>
  <c r="L21" i="15"/>
  <c r="K21" i="15"/>
  <c r="J21" i="15"/>
  <c r="I21" i="15"/>
  <c r="H21" i="15"/>
  <c r="F21" i="15"/>
  <c r="E21" i="15"/>
  <c r="D21" i="15"/>
  <c r="C21" i="15"/>
  <c r="B21" i="15"/>
  <c r="S20" i="15"/>
  <c r="R20" i="15"/>
  <c r="D20" i="15"/>
  <c r="B20" i="15"/>
  <c r="AH18" i="15"/>
  <c r="AG18" i="15"/>
  <c r="P17" i="15"/>
  <c r="AH17" i="15" s="1"/>
  <c r="AH16" i="15"/>
  <c r="AG16" i="15"/>
  <c r="AH15" i="15"/>
  <c r="AG15" i="15"/>
  <c r="AH14" i="15"/>
  <c r="AG14" i="15"/>
  <c r="AH13" i="15"/>
  <c r="AG13" i="15"/>
  <c r="AH12" i="15"/>
  <c r="AG12" i="15"/>
  <c r="AH11" i="15"/>
  <c r="AG11" i="15"/>
  <c r="E11" i="15"/>
  <c r="AE10" i="15"/>
  <c r="AD10" i="15"/>
  <c r="AC10" i="15"/>
  <c r="AB10" i="15"/>
  <c r="AA10" i="15"/>
  <c r="Z10" i="15"/>
  <c r="Y10" i="15"/>
  <c r="X10" i="15"/>
  <c r="W10" i="15"/>
  <c r="V10" i="15"/>
  <c r="U10" i="15"/>
  <c r="T10" i="15"/>
  <c r="S10" i="15"/>
  <c r="R10" i="15"/>
  <c r="Q10" i="15"/>
  <c r="P10" i="15"/>
  <c r="O10" i="15"/>
  <c r="N10" i="15"/>
  <c r="M10" i="15"/>
  <c r="L10" i="15"/>
  <c r="K10" i="15"/>
  <c r="J10" i="15"/>
  <c r="I10" i="15"/>
  <c r="H10" i="15"/>
  <c r="F10" i="15"/>
  <c r="D10" i="15"/>
  <c r="C10" i="15"/>
  <c r="B10" i="15"/>
  <c r="AA8" i="15"/>
  <c r="V8" i="15"/>
  <c r="U8" i="15"/>
  <c r="T8" i="15"/>
  <c r="S8" i="15"/>
  <c r="K8" i="15"/>
  <c r="E8" i="15"/>
  <c r="D8" i="15"/>
  <c r="C8" i="15"/>
  <c r="B8" i="15"/>
  <c r="AD7" i="15"/>
  <c r="AC7" i="15"/>
  <c r="AB7" i="15"/>
  <c r="AA7" i="15"/>
  <c r="V7" i="15"/>
  <c r="U7" i="15"/>
  <c r="T7" i="15"/>
  <c r="S7" i="15"/>
  <c r="N7" i="15"/>
  <c r="M7" i="15"/>
  <c r="L7" i="15"/>
  <c r="K7" i="15"/>
  <c r="E7" i="15"/>
  <c r="D7" i="15"/>
  <c r="C7" i="15"/>
  <c r="B7" i="15"/>
  <c r="AH6" i="15"/>
  <c r="AG6" i="15"/>
  <c r="AH2" i="15"/>
  <c r="AG2" i="15"/>
  <c r="P62" i="14"/>
  <c r="N62" i="14"/>
  <c r="M62" i="14"/>
  <c r="L62" i="14"/>
  <c r="K62" i="14"/>
  <c r="N61" i="14"/>
  <c r="M61" i="14"/>
  <c r="L61" i="14"/>
  <c r="K61" i="14"/>
  <c r="N60" i="14"/>
  <c r="M60" i="14"/>
  <c r="L60" i="14"/>
  <c r="K60" i="14"/>
  <c r="P60" i="14" s="1"/>
  <c r="N59" i="14"/>
  <c r="M59" i="14"/>
  <c r="P59" i="14" s="1"/>
  <c r="L59" i="14"/>
  <c r="K59" i="14"/>
  <c r="N58" i="14"/>
  <c r="M58" i="14"/>
  <c r="L58" i="14"/>
  <c r="K58" i="14"/>
  <c r="O57" i="14"/>
  <c r="N57" i="14"/>
  <c r="M57" i="14"/>
  <c r="L57" i="14"/>
  <c r="K57" i="14"/>
  <c r="P57" i="14" s="1"/>
  <c r="P56" i="14"/>
  <c r="O56" i="14"/>
  <c r="N56" i="14"/>
  <c r="M56" i="14"/>
  <c r="L56" i="14"/>
  <c r="K56" i="14"/>
  <c r="B56" i="14"/>
  <c r="W47" i="14"/>
  <c r="AF46" i="14"/>
  <c r="AF45" i="14"/>
  <c r="B41" i="14"/>
  <c r="B40" i="14"/>
  <c r="B38" i="14"/>
  <c r="B36" i="14"/>
  <c r="W33" i="14"/>
  <c r="AG32" i="14"/>
  <c r="AH32" i="14" s="1"/>
  <c r="AF32" i="14"/>
  <c r="AE31" i="14"/>
  <c r="AD31" i="14"/>
  <c r="AC31" i="14"/>
  <c r="AB31" i="14"/>
  <c r="AA31"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G30" i="14"/>
  <c r="AH30" i="14" s="1"/>
  <c r="AF30" i="14"/>
  <c r="AG28" i="14"/>
  <c r="AF28" i="14"/>
  <c r="AG27" i="14"/>
  <c r="AF27" i="14"/>
  <c r="AG26" i="14"/>
  <c r="AF26" i="14"/>
  <c r="AG25" i="14"/>
  <c r="AF25" i="14"/>
  <c r="AG24" i="14"/>
  <c r="AF24" i="14"/>
  <c r="AE22" i="14"/>
  <c r="AD22" i="14"/>
  <c r="AC22" i="14"/>
  <c r="AB22" i="14"/>
  <c r="AA22" i="14"/>
  <c r="Z22" i="14"/>
  <c r="Y22" i="14"/>
  <c r="X22" i="14"/>
  <c r="V22" i="14"/>
  <c r="U22" i="14"/>
  <c r="T22" i="14"/>
  <c r="S22" i="14"/>
  <c r="R22" i="14"/>
  <c r="Q22" i="14"/>
  <c r="P22" i="14"/>
  <c r="O22" i="14"/>
  <c r="N22" i="14"/>
  <c r="M22" i="14"/>
  <c r="L22" i="14"/>
  <c r="K22" i="14"/>
  <c r="J22" i="14"/>
  <c r="I22" i="14"/>
  <c r="H22" i="14"/>
  <c r="G22" i="14"/>
  <c r="F22" i="14"/>
  <c r="E22" i="14"/>
  <c r="D22" i="14"/>
  <c r="C22" i="14"/>
  <c r="B22" i="14"/>
  <c r="AE21" i="14"/>
  <c r="AD21" i="14"/>
  <c r="AC21" i="14"/>
  <c r="AB21" i="14"/>
  <c r="AA21" i="14"/>
  <c r="Z21" i="14"/>
  <c r="Y21" i="14"/>
  <c r="X21" i="14"/>
  <c r="V21" i="14"/>
  <c r="U21" i="14"/>
  <c r="T21" i="14"/>
  <c r="S21" i="14"/>
  <c r="R21" i="14"/>
  <c r="Q21" i="14"/>
  <c r="P21" i="14"/>
  <c r="O21" i="14"/>
  <c r="N21" i="14"/>
  <c r="M21" i="14"/>
  <c r="L21" i="14"/>
  <c r="K21" i="14"/>
  <c r="J21" i="14"/>
  <c r="I21" i="14"/>
  <c r="H21" i="14"/>
  <c r="AG21" i="14" s="1"/>
  <c r="G21" i="14"/>
  <c r="F21" i="14"/>
  <c r="E21" i="14"/>
  <c r="D21" i="14"/>
  <c r="C21" i="14"/>
  <c r="B21" i="14"/>
  <c r="AG20" i="14"/>
  <c r="AE20" i="14"/>
  <c r="AD20" i="14"/>
  <c r="AC20" i="14"/>
  <c r="AB20" i="14"/>
  <c r="AA20" i="14"/>
  <c r="Z20" i="14"/>
  <c r="Y20" i="14"/>
  <c r="X20" i="14"/>
  <c r="V20" i="14"/>
  <c r="U20" i="14"/>
  <c r="T20" i="14"/>
  <c r="S20" i="14"/>
  <c r="R20" i="14"/>
  <c r="Q20" i="14"/>
  <c r="P20" i="14"/>
  <c r="O20" i="14"/>
  <c r="N20" i="14"/>
  <c r="M20" i="14"/>
  <c r="L20" i="14"/>
  <c r="K20" i="14"/>
  <c r="J20" i="14"/>
  <c r="I20" i="14"/>
  <c r="H20" i="14"/>
  <c r="G20" i="14"/>
  <c r="F20" i="14"/>
  <c r="E20" i="14"/>
  <c r="D20" i="14"/>
  <c r="C20" i="14"/>
  <c r="B20" i="14"/>
  <c r="AG18" i="14"/>
  <c r="AF18" i="14"/>
  <c r="P17" i="14"/>
  <c r="G17" i="14"/>
  <c r="AG16" i="14"/>
  <c r="AF16" i="14"/>
  <c r="AG15" i="14"/>
  <c r="AF15" i="14"/>
  <c r="AG14" i="14"/>
  <c r="AF14" i="14"/>
  <c r="AG13" i="14"/>
  <c r="AF13" i="14"/>
  <c r="AG12" i="14"/>
  <c r="AF12" i="14"/>
  <c r="AG11" i="14"/>
  <c r="AF11" i="14"/>
  <c r="AE10" i="14"/>
  <c r="AD10" i="14"/>
  <c r="AC10" i="14"/>
  <c r="AB10" i="14"/>
  <c r="AA10" i="14"/>
  <c r="Z10" i="14"/>
  <c r="Y10" i="14"/>
  <c r="X10" i="14"/>
  <c r="V10" i="14"/>
  <c r="U10" i="14"/>
  <c r="T10" i="14"/>
  <c r="S10" i="14"/>
  <c r="R10" i="14"/>
  <c r="Q10" i="14"/>
  <c r="P10" i="14"/>
  <c r="O10" i="14"/>
  <c r="N10" i="14"/>
  <c r="M10" i="14"/>
  <c r="L10" i="14"/>
  <c r="K10" i="14"/>
  <c r="J10" i="14"/>
  <c r="I10" i="14"/>
  <c r="H10" i="14"/>
  <c r="AG10" i="14" s="1"/>
  <c r="G10" i="14"/>
  <c r="F10" i="14"/>
  <c r="E10" i="14"/>
  <c r="D10" i="14"/>
  <c r="C10" i="14"/>
  <c r="B10" i="14"/>
  <c r="AG8" i="14"/>
  <c r="AE8" i="14"/>
  <c r="AD8" i="14"/>
  <c r="AC8" i="14"/>
  <c r="AB8" i="14"/>
  <c r="AA8" i="14"/>
  <c r="Z8" i="14"/>
  <c r="Y8" i="14"/>
  <c r="X8" i="14"/>
  <c r="V8" i="14"/>
  <c r="U8" i="14"/>
  <c r="T8" i="14"/>
  <c r="S8" i="14"/>
  <c r="R8" i="14"/>
  <c r="Q8" i="14"/>
  <c r="P8" i="14"/>
  <c r="O8" i="14"/>
  <c r="N8" i="14"/>
  <c r="M8" i="14"/>
  <c r="L8" i="14"/>
  <c r="K8" i="14"/>
  <c r="J8" i="14"/>
  <c r="I8" i="14"/>
  <c r="H8" i="14"/>
  <c r="G8" i="14"/>
  <c r="F8" i="14"/>
  <c r="E8" i="14"/>
  <c r="D8" i="14"/>
  <c r="C8" i="14"/>
  <c r="B8" i="14"/>
  <c r="AE7" i="14"/>
  <c r="AD7" i="14"/>
  <c r="AC7" i="14"/>
  <c r="AB7" i="14"/>
  <c r="AA7" i="14"/>
  <c r="Z7" i="14"/>
  <c r="Y7" i="14"/>
  <c r="X7" i="14"/>
  <c r="V7" i="14"/>
  <c r="U7" i="14"/>
  <c r="T7" i="14"/>
  <c r="S7" i="14"/>
  <c r="R7" i="14"/>
  <c r="Q7" i="14"/>
  <c r="P7" i="14"/>
  <c r="O7" i="14"/>
  <c r="N7" i="14"/>
  <c r="M7" i="14"/>
  <c r="L7" i="14"/>
  <c r="K7" i="14"/>
  <c r="J7" i="14"/>
  <c r="I7" i="14"/>
  <c r="H7" i="14"/>
  <c r="G7" i="14"/>
  <c r="F7" i="14"/>
  <c r="E7" i="14"/>
  <c r="D7" i="14"/>
  <c r="C7" i="14"/>
  <c r="B7" i="14"/>
  <c r="AG6" i="14"/>
  <c r="AF6" i="14"/>
  <c r="AG2" i="14"/>
  <c r="AF2" i="14"/>
  <c r="P62" i="13"/>
  <c r="O62" i="13"/>
  <c r="N62" i="13"/>
  <c r="M62" i="13"/>
  <c r="L62" i="13"/>
  <c r="K62" i="13"/>
  <c r="O61" i="13"/>
  <c r="N61" i="13"/>
  <c r="P61" i="13" s="1"/>
  <c r="M61" i="13"/>
  <c r="L61" i="13"/>
  <c r="K61" i="13"/>
  <c r="O60" i="13"/>
  <c r="N60" i="13"/>
  <c r="M60" i="13"/>
  <c r="L60" i="13"/>
  <c r="K60" i="13"/>
  <c r="P60" i="13" s="1"/>
  <c r="P59" i="13"/>
  <c r="O59" i="13"/>
  <c r="N59" i="13"/>
  <c r="M59" i="13"/>
  <c r="L59" i="13"/>
  <c r="O58" i="13"/>
  <c r="N58" i="13"/>
  <c r="P58" i="13" s="1"/>
  <c r="M58" i="13"/>
  <c r="L58" i="13"/>
  <c r="O57" i="13"/>
  <c r="N57" i="13"/>
  <c r="M57" i="13"/>
  <c r="L57" i="13"/>
  <c r="P57" i="13" s="1"/>
  <c r="O56" i="13"/>
  <c r="P56" i="13" s="1"/>
  <c r="N56" i="13"/>
  <c r="M56" i="13"/>
  <c r="L56" i="13"/>
  <c r="B53" i="13"/>
  <c r="B52" i="13"/>
  <c r="AB47" i="13"/>
  <c r="Q47" i="13"/>
  <c r="AG46" i="13"/>
  <c r="Z46" i="13"/>
  <c r="N46" i="13"/>
  <c r="AG45" i="13"/>
  <c r="B41" i="13"/>
  <c r="B40" i="13"/>
  <c r="B38" i="13"/>
  <c r="B36" i="13"/>
  <c r="AI32" i="13"/>
  <c r="AH32" i="13"/>
  <c r="N32" i="13"/>
  <c r="AG32" i="13" s="1"/>
  <c r="AH31" i="13"/>
  <c r="AI31" i="13" s="1"/>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G31" i="13"/>
  <c r="B37" i="13" s="1"/>
  <c r="F31" i="13"/>
  <c r="E31" i="13"/>
  <c r="D31" i="13"/>
  <c r="C31" i="13"/>
  <c r="B31" i="13"/>
  <c r="AH30" i="13"/>
  <c r="AI30" i="13" s="1"/>
  <c r="AG30" i="13"/>
  <c r="AB29" i="13"/>
  <c r="AB33" i="13" s="1"/>
  <c r="Q29" i="13"/>
  <c r="Q33" i="13" s="1"/>
  <c r="AH28" i="13"/>
  <c r="AG28" i="13"/>
  <c r="AH27" i="13"/>
  <c r="AG27" i="13"/>
  <c r="AH26" i="13"/>
  <c r="AG26" i="13"/>
  <c r="AH25" i="13"/>
  <c r="AG25" i="13"/>
  <c r="AH24" i="13"/>
  <c r="AG24" i="13"/>
  <c r="AF22" i="13"/>
  <c r="AE22" i="13"/>
  <c r="AD22" i="13"/>
  <c r="AC22" i="13"/>
  <c r="AA22" i="13"/>
  <c r="Z22" i="13"/>
  <c r="Y22" i="13"/>
  <c r="X22" i="13"/>
  <c r="W22" i="13"/>
  <c r="V22" i="13"/>
  <c r="U22" i="13"/>
  <c r="T22" i="13"/>
  <c r="S22" i="13"/>
  <c r="R22" i="13"/>
  <c r="P22" i="13"/>
  <c r="O22" i="13"/>
  <c r="N22" i="13"/>
  <c r="M22" i="13"/>
  <c r="L22" i="13"/>
  <c r="K22" i="13"/>
  <c r="J22" i="13"/>
  <c r="I22" i="13"/>
  <c r="H22" i="13"/>
  <c r="G22" i="13"/>
  <c r="F22" i="13"/>
  <c r="E22" i="13"/>
  <c r="D22" i="13"/>
  <c r="C22" i="13"/>
  <c r="B22" i="13"/>
  <c r="AG22" i="13" s="1"/>
  <c r="AF21" i="13"/>
  <c r="AE21" i="13"/>
  <c r="AD21" i="13"/>
  <c r="AC21" i="13"/>
  <c r="AA21" i="13"/>
  <c r="Z21" i="13"/>
  <c r="Y21" i="13"/>
  <c r="X21" i="13"/>
  <c r="W21" i="13"/>
  <c r="V21" i="13"/>
  <c r="U21" i="13"/>
  <c r="T21" i="13"/>
  <c r="S21" i="13"/>
  <c r="R21" i="13"/>
  <c r="P21" i="13"/>
  <c r="O21" i="13"/>
  <c r="N21" i="13"/>
  <c r="M21" i="13"/>
  <c r="L21" i="13"/>
  <c r="K21" i="13"/>
  <c r="J21" i="13"/>
  <c r="I21" i="13"/>
  <c r="H21" i="13"/>
  <c r="G21" i="13"/>
  <c r="F21" i="13"/>
  <c r="E21" i="13"/>
  <c r="D21" i="13"/>
  <c r="C21" i="13"/>
  <c r="B21" i="13"/>
  <c r="AF20" i="13"/>
  <c r="AE20" i="13"/>
  <c r="AD20" i="13"/>
  <c r="AC20" i="13"/>
  <c r="AA20" i="13"/>
  <c r="Z20" i="13"/>
  <c r="Y20" i="13"/>
  <c r="X20" i="13"/>
  <c r="W20" i="13"/>
  <c r="V20" i="13"/>
  <c r="U20" i="13"/>
  <c r="T20" i="13"/>
  <c r="S20" i="13"/>
  <c r="R20" i="13"/>
  <c r="P20" i="13"/>
  <c r="O20" i="13"/>
  <c r="N20" i="13"/>
  <c r="M20" i="13"/>
  <c r="L20" i="13"/>
  <c r="K20" i="13"/>
  <c r="J20" i="13"/>
  <c r="I20" i="13"/>
  <c r="H20" i="13"/>
  <c r="AH20" i="13" s="1"/>
  <c r="G20" i="13"/>
  <c r="F20" i="13"/>
  <c r="E20" i="13"/>
  <c r="D20" i="13"/>
  <c r="C20" i="13"/>
  <c r="B20" i="13"/>
  <c r="AH18" i="13"/>
  <c r="AG18" i="13"/>
  <c r="AF17" i="13"/>
  <c r="X17" i="13"/>
  <c r="U17" i="13"/>
  <c r="T17" i="13"/>
  <c r="R17" i="13"/>
  <c r="P17" i="13"/>
  <c r="N17" i="13"/>
  <c r="G17" i="13"/>
  <c r="E17" i="13"/>
  <c r="D17" i="13"/>
  <c r="C17" i="13"/>
  <c r="B17" i="13"/>
  <c r="AH16" i="13"/>
  <c r="AG16" i="13"/>
  <c r="AH15" i="13"/>
  <c r="AG15" i="13"/>
  <c r="AH14" i="13"/>
  <c r="AG14" i="13"/>
  <c r="AH13" i="13"/>
  <c r="AG13" i="13"/>
  <c r="AH12" i="13"/>
  <c r="AG12" i="13"/>
  <c r="AH11" i="13"/>
  <c r="AG11" i="13"/>
  <c r="AF10" i="13"/>
  <c r="AE10" i="13"/>
  <c r="AD10" i="13"/>
  <c r="AC10" i="13"/>
  <c r="AA10" i="13"/>
  <c r="Z10" i="13"/>
  <c r="Y10" i="13"/>
  <c r="X10" i="13"/>
  <c r="W10" i="13"/>
  <c r="V10" i="13"/>
  <c r="U10" i="13"/>
  <c r="T10" i="13"/>
  <c r="S10" i="13"/>
  <c r="R10" i="13"/>
  <c r="P10" i="13"/>
  <c r="O10" i="13"/>
  <c r="N10" i="13"/>
  <c r="M10" i="13"/>
  <c r="L10" i="13"/>
  <c r="K10" i="13"/>
  <c r="J10" i="13"/>
  <c r="I10" i="13"/>
  <c r="H10" i="13"/>
  <c r="G10" i="13"/>
  <c r="F10" i="13"/>
  <c r="E10" i="13"/>
  <c r="D10" i="13"/>
  <c r="C10" i="13"/>
  <c r="B10" i="13"/>
  <c r="AF8" i="13"/>
  <c r="AE8" i="13"/>
  <c r="AD8" i="13"/>
  <c r="AC8" i="13"/>
  <c r="W8" i="13"/>
  <c r="V8" i="13"/>
  <c r="U8" i="13"/>
  <c r="T8" i="13"/>
  <c r="N8" i="13"/>
  <c r="M8" i="13"/>
  <c r="L8" i="13"/>
  <c r="K8" i="13"/>
  <c r="F8" i="13"/>
  <c r="E8" i="13"/>
  <c r="D8" i="13"/>
  <c r="C8" i="13"/>
  <c r="AF7" i="13"/>
  <c r="AE7" i="13"/>
  <c r="AD7" i="13"/>
  <c r="AC7" i="13"/>
  <c r="AA7" i="13"/>
  <c r="Z7" i="13"/>
  <c r="Y7" i="13"/>
  <c r="X7" i="13"/>
  <c r="W7" i="13"/>
  <c r="V7" i="13"/>
  <c r="U7" i="13"/>
  <c r="T7" i="13"/>
  <c r="S7" i="13"/>
  <c r="R7" i="13"/>
  <c r="P7" i="13"/>
  <c r="O7" i="13"/>
  <c r="N7" i="13"/>
  <c r="M7" i="13"/>
  <c r="L7" i="13"/>
  <c r="K7" i="13"/>
  <c r="J7" i="13"/>
  <c r="I7" i="13"/>
  <c r="H7" i="13"/>
  <c r="G7" i="13"/>
  <c r="F7" i="13"/>
  <c r="E7" i="13"/>
  <c r="D7" i="13"/>
  <c r="C7" i="13"/>
  <c r="B7" i="13"/>
  <c r="AH6" i="13"/>
  <c r="AG6" i="13"/>
  <c r="AH2" i="13"/>
  <c r="AG2" i="13"/>
  <c r="P62" i="12"/>
  <c r="N62" i="12"/>
  <c r="M62" i="12"/>
  <c r="L62" i="12"/>
  <c r="K62" i="12"/>
  <c r="N61" i="12"/>
  <c r="M61" i="12"/>
  <c r="P61" i="12" s="1"/>
  <c r="L61" i="12"/>
  <c r="K61" i="12"/>
  <c r="N60" i="12"/>
  <c r="M60" i="12"/>
  <c r="L60" i="12"/>
  <c r="K60" i="12"/>
  <c r="P59" i="12"/>
  <c r="O59" i="12"/>
  <c r="N59" i="12"/>
  <c r="M59" i="12"/>
  <c r="L59" i="12"/>
  <c r="K59" i="12"/>
  <c r="P58" i="12"/>
  <c r="O58" i="12"/>
  <c r="N58" i="12"/>
  <c r="M58" i="12"/>
  <c r="L58" i="12"/>
  <c r="K58" i="12"/>
  <c r="O57" i="12"/>
  <c r="N57" i="12"/>
  <c r="M57" i="12"/>
  <c r="L57" i="12"/>
  <c r="K57" i="12"/>
  <c r="O56" i="12"/>
  <c r="N56" i="12"/>
  <c r="M56" i="12"/>
  <c r="L56" i="12"/>
  <c r="P56" i="12" s="1"/>
  <c r="B54" i="12"/>
  <c r="AF21" i="12" s="1"/>
  <c r="B53" i="12"/>
  <c r="B52" i="12"/>
  <c r="AA8" i="12" s="1"/>
  <c r="B51" i="12"/>
  <c r="AE46" i="12"/>
  <c r="AC46" i="12"/>
  <c r="AB46" i="12"/>
  <c r="O46" i="12"/>
  <c r="N46" i="12"/>
  <c r="M46" i="12"/>
  <c r="J46" i="12"/>
  <c r="AG45" i="12"/>
  <c r="AF45" i="12"/>
  <c r="B41" i="12"/>
  <c r="B40" i="12"/>
  <c r="B38" i="12"/>
  <c r="B36" i="12"/>
  <c r="AH32" i="12"/>
  <c r="AI32" i="12" s="1"/>
  <c r="AG32" i="12"/>
  <c r="AF31" i="12"/>
  <c r="AE31" i="12"/>
  <c r="AD31" i="12"/>
  <c r="AC31" i="12"/>
  <c r="AB31" i="12"/>
  <c r="AA31" i="12"/>
  <c r="Z31" i="12"/>
  <c r="Y31" i="12"/>
  <c r="X31" i="12"/>
  <c r="W31" i="12"/>
  <c r="V31" i="12"/>
  <c r="U31" i="12"/>
  <c r="T31" i="12"/>
  <c r="S31" i="12"/>
  <c r="R31" i="12"/>
  <c r="Q31" i="12"/>
  <c r="P31" i="12"/>
  <c r="O31" i="12"/>
  <c r="N31" i="12"/>
  <c r="M31" i="12"/>
  <c r="L31" i="12"/>
  <c r="K31" i="12"/>
  <c r="J31" i="12"/>
  <c r="I31" i="12"/>
  <c r="H31" i="12"/>
  <c r="G31" i="12"/>
  <c r="F31" i="12"/>
  <c r="E31" i="12"/>
  <c r="D31" i="12"/>
  <c r="C31" i="12"/>
  <c r="B31" i="12"/>
  <c r="AH30" i="12"/>
  <c r="AI30" i="12" s="1"/>
  <c r="AG30" i="12"/>
  <c r="AH28" i="12"/>
  <c r="AG28" i="12"/>
  <c r="AH27" i="12"/>
  <c r="AG27" i="12"/>
  <c r="AH26" i="12"/>
  <c r="AG26" i="12"/>
  <c r="C26" i="12"/>
  <c r="AH25" i="12"/>
  <c r="AG25" i="12"/>
  <c r="AH24" i="12"/>
  <c r="AG24" i="12"/>
  <c r="AF22" i="12"/>
  <c r="AE22" i="12"/>
  <c r="AD22" i="12"/>
  <c r="AC22"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G22" i="12" s="1"/>
  <c r="E21" i="12"/>
  <c r="AF20" i="12"/>
  <c r="AE20" i="12"/>
  <c r="W20" i="12"/>
  <c r="R20" i="12"/>
  <c r="Q20" i="12"/>
  <c r="P20" i="12"/>
  <c r="O20" i="12"/>
  <c r="G20" i="12"/>
  <c r="B20" i="12"/>
  <c r="AH18" i="12"/>
  <c r="AG18" i="12"/>
  <c r="AF17" i="12"/>
  <c r="AE17" i="12"/>
  <c r="AC17" i="12"/>
  <c r="AA17" i="12"/>
  <c r="Y17" i="12"/>
  <c r="U17" i="12"/>
  <c r="S17" i="12"/>
  <c r="K17" i="12"/>
  <c r="J17" i="12"/>
  <c r="I17" i="12"/>
  <c r="AH16" i="12"/>
  <c r="AG16" i="12"/>
  <c r="AH15" i="12"/>
  <c r="AG15" i="12"/>
  <c r="AH14" i="12"/>
  <c r="AG14" i="12"/>
  <c r="AH13" i="12"/>
  <c r="AG13" i="12"/>
  <c r="AH12" i="12"/>
  <c r="AG12" i="12"/>
  <c r="AH11" i="12"/>
  <c r="AG11" i="12"/>
  <c r="AF10" i="12"/>
  <c r="AE10" i="12"/>
  <c r="AD10" i="12"/>
  <c r="AC10"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AH10" i="12" s="1"/>
  <c r="C10" i="12"/>
  <c r="B10" i="12"/>
  <c r="AF8" i="12"/>
  <c r="AE8" i="12"/>
  <c r="AD8" i="12"/>
  <c r="AC8" i="12"/>
  <c r="AB8" i="12"/>
  <c r="X8" i="12"/>
  <c r="W8" i="12"/>
  <c r="V8" i="12"/>
  <c r="U8" i="12"/>
  <c r="T8" i="12"/>
  <c r="P8" i="12"/>
  <c r="O8" i="12"/>
  <c r="N8" i="12"/>
  <c r="M8" i="12"/>
  <c r="L8" i="12"/>
  <c r="H8" i="12"/>
  <c r="G8" i="12"/>
  <c r="F8" i="12"/>
  <c r="E8" i="12"/>
  <c r="D8" i="12"/>
  <c r="AH7" i="12"/>
  <c r="AF7" i="12"/>
  <c r="AE7" i="12"/>
  <c r="AD7" i="12"/>
  <c r="AC7"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G7" i="12" s="1"/>
  <c r="AH6" i="12"/>
  <c r="AG6" i="12"/>
  <c r="AH2" i="12"/>
  <c r="AG2" i="12"/>
  <c r="O62" i="11"/>
  <c r="N62" i="11"/>
  <c r="M62" i="11"/>
  <c r="L62" i="11"/>
  <c r="K62" i="11"/>
  <c r="Q62" i="11" s="1"/>
  <c r="Q61" i="11"/>
  <c r="O61" i="11"/>
  <c r="N61" i="11"/>
  <c r="M61" i="11"/>
  <c r="L61" i="11"/>
  <c r="O60" i="11"/>
  <c r="N60" i="11"/>
  <c r="M60" i="11"/>
  <c r="L60" i="11"/>
  <c r="Q60" i="11" s="1"/>
  <c r="O59" i="11"/>
  <c r="Q59" i="11" s="1"/>
  <c r="N59" i="11"/>
  <c r="M59" i="11"/>
  <c r="L59" i="11"/>
  <c r="O58" i="11"/>
  <c r="Q58" i="11" s="1"/>
  <c r="N58" i="11"/>
  <c r="M58" i="11"/>
  <c r="L58" i="11"/>
  <c r="O57" i="11"/>
  <c r="N57" i="11"/>
  <c r="M57" i="11"/>
  <c r="L57" i="11"/>
  <c r="Q57" i="11" s="1"/>
  <c r="Q56" i="11"/>
  <c r="P56" i="11"/>
  <c r="O56" i="11"/>
  <c r="N56" i="11"/>
  <c r="M56" i="11"/>
  <c r="L56" i="11"/>
  <c r="B53" i="11"/>
  <c r="AE47" i="11"/>
  <c r="J47" i="11"/>
  <c r="U46" i="11"/>
  <c r="AF46" i="11" s="1"/>
  <c r="AF45" i="11"/>
  <c r="B41" i="11"/>
  <c r="B40" i="11"/>
  <c r="B38" i="11"/>
  <c r="B36" i="11"/>
  <c r="J33" i="11"/>
  <c r="AG32" i="11"/>
  <c r="AH32" i="11" s="1"/>
  <c r="AF32" i="11"/>
  <c r="AE31" i="11"/>
  <c r="AD31" i="11"/>
  <c r="AC31" i="11"/>
  <c r="AB31" i="11"/>
  <c r="AA31" i="11"/>
  <c r="Z31" i="11"/>
  <c r="Y31" i="11"/>
  <c r="X31" i="11"/>
  <c r="W31" i="11"/>
  <c r="V31" i="11"/>
  <c r="U31" i="11"/>
  <c r="T31" i="11"/>
  <c r="S31" i="11"/>
  <c r="R31" i="11"/>
  <c r="Q31" i="11"/>
  <c r="P31" i="11"/>
  <c r="O31" i="11"/>
  <c r="N31" i="11"/>
  <c r="M31" i="11"/>
  <c r="L31" i="11"/>
  <c r="K31" i="11"/>
  <c r="J31" i="11"/>
  <c r="I31" i="11"/>
  <c r="H31" i="11"/>
  <c r="G31" i="11"/>
  <c r="F31" i="11"/>
  <c r="E31" i="11"/>
  <c r="D31" i="11"/>
  <c r="C31" i="11"/>
  <c r="B31" i="11"/>
  <c r="AG30" i="11"/>
  <c r="AF30" i="11"/>
  <c r="AE29" i="11"/>
  <c r="AE33" i="11" s="1"/>
  <c r="J29" i="11"/>
  <c r="AG28" i="11"/>
  <c r="AF28" i="11"/>
  <c r="AG27" i="11"/>
  <c r="AF27" i="11"/>
  <c r="AG26" i="11"/>
  <c r="AF26" i="11"/>
  <c r="AG25" i="11"/>
  <c r="AF25" i="11"/>
  <c r="AG24" i="11"/>
  <c r="AF24" i="11"/>
  <c r="AD22" i="11"/>
  <c r="AC22" i="11"/>
  <c r="AB22" i="11"/>
  <c r="AA22" i="11"/>
  <c r="Z22" i="11"/>
  <c r="Y22" i="11"/>
  <c r="X22" i="11"/>
  <c r="W22" i="11"/>
  <c r="V22" i="11"/>
  <c r="U22" i="11"/>
  <c r="T22" i="11"/>
  <c r="S22" i="11"/>
  <c r="R22" i="11"/>
  <c r="Q22" i="11"/>
  <c r="P22" i="11"/>
  <c r="O22" i="11"/>
  <c r="N22" i="11"/>
  <c r="M22" i="11"/>
  <c r="L22" i="11"/>
  <c r="K22" i="11"/>
  <c r="I22" i="11"/>
  <c r="H22" i="11"/>
  <c r="G22" i="11"/>
  <c r="F22" i="11"/>
  <c r="AG22" i="11" s="1"/>
  <c r="E22" i="11"/>
  <c r="D22" i="11"/>
  <c r="C22" i="11"/>
  <c r="B22" i="11"/>
  <c r="AD21" i="11"/>
  <c r="AC21" i="11"/>
  <c r="AB21" i="11"/>
  <c r="AA21" i="11"/>
  <c r="Z21" i="11"/>
  <c r="Y21" i="11"/>
  <c r="X21" i="11"/>
  <c r="W21" i="11"/>
  <c r="V21" i="11"/>
  <c r="U21" i="11"/>
  <c r="T21" i="11"/>
  <c r="S21" i="11"/>
  <c r="R21" i="11"/>
  <c r="Q21" i="11"/>
  <c r="P21" i="11"/>
  <c r="O21" i="11"/>
  <c r="N21" i="11"/>
  <c r="M21" i="11"/>
  <c r="L21" i="11"/>
  <c r="K21" i="11"/>
  <c r="I21" i="11"/>
  <c r="H21" i="11"/>
  <c r="G21" i="11"/>
  <c r="F21" i="11"/>
  <c r="E21" i="11"/>
  <c r="D21" i="11"/>
  <c r="C21" i="11"/>
  <c r="B21" i="11"/>
  <c r="AD20" i="11"/>
  <c r="AC20" i="11"/>
  <c r="S20" i="11"/>
  <c r="Q20" i="11"/>
  <c r="O20" i="11"/>
  <c r="N20" i="11"/>
  <c r="G20" i="11"/>
  <c r="F20" i="11"/>
  <c r="AG18" i="11"/>
  <c r="AF18" i="11"/>
  <c r="AG17" i="11"/>
  <c r="AF17" i="11"/>
  <c r="AD17" i="11"/>
  <c r="Y17" i="11"/>
  <c r="W17" i="11"/>
  <c r="R17" i="11"/>
  <c r="C17" i="11"/>
  <c r="AG16" i="11"/>
  <c r="AF16" i="11"/>
  <c r="AG15" i="11"/>
  <c r="AF15" i="11"/>
  <c r="AG14" i="11"/>
  <c r="AF14" i="11"/>
  <c r="AG13" i="11"/>
  <c r="AF13" i="11"/>
  <c r="AG12" i="11"/>
  <c r="AF12" i="11"/>
  <c r="AG11" i="11"/>
  <c r="AF11" i="11"/>
  <c r="AD10" i="11"/>
  <c r="AC10" i="11"/>
  <c r="AB10" i="11"/>
  <c r="AA10" i="11"/>
  <c r="Z10" i="11"/>
  <c r="Y10" i="11"/>
  <c r="X10" i="11"/>
  <c r="W10" i="11"/>
  <c r="V10" i="11"/>
  <c r="U10" i="11"/>
  <c r="T10" i="11"/>
  <c r="S10" i="11"/>
  <c r="R10" i="11"/>
  <c r="Q10" i="11"/>
  <c r="P10" i="11"/>
  <c r="O10" i="11"/>
  <c r="N10" i="11"/>
  <c r="M10" i="11"/>
  <c r="L10" i="11"/>
  <c r="K10" i="11"/>
  <c r="I10" i="11"/>
  <c r="H10" i="11"/>
  <c r="G10" i="11"/>
  <c r="F10" i="11"/>
  <c r="E10" i="11"/>
  <c r="D10" i="11"/>
  <c r="C10" i="11"/>
  <c r="AF10" i="11" s="1"/>
  <c r="B10" i="11"/>
  <c r="AD8" i="11"/>
  <c r="AC8" i="11"/>
  <c r="AB8" i="11"/>
  <c r="AA8" i="11"/>
  <c r="Z8" i="11"/>
  <c r="Y8" i="11"/>
  <c r="X8" i="11"/>
  <c r="W8" i="11"/>
  <c r="V8" i="11"/>
  <c r="U8" i="11"/>
  <c r="T8" i="11"/>
  <c r="S8" i="11"/>
  <c r="R8" i="11"/>
  <c r="Q8" i="11"/>
  <c r="P8" i="11"/>
  <c r="O8" i="11"/>
  <c r="N8" i="11"/>
  <c r="M8" i="11"/>
  <c r="L8" i="11"/>
  <c r="K8" i="11"/>
  <c r="I8" i="11"/>
  <c r="H8" i="11"/>
  <c r="G8" i="11"/>
  <c r="F8" i="11"/>
  <c r="E8" i="11"/>
  <c r="D8" i="11"/>
  <c r="C8" i="11"/>
  <c r="B8" i="11"/>
  <c r="AD7" i="11"/>
  <c r="AC7" i="11"/>
  <c r="AB7" i="11"/>
  <c r="AA7" i="11"/>
  <c r="Z7" i="11"/>
  <c r="Y7" i="11"/>
  <c r="X7" i="11"/>
  <c r="W7" i="11"/>
  <c r="V7" i="11"/>
  <c r="U7" i="11"/>
  <c r="T7" i="11"/>
  <c r="S7" i="11"/>
  <c r="R7" i="11"/>
  <c r="Q7" i="11"/>
  <c r="P7" i="11"/>
  <c r="O7" i="11"/>
  <c r="N7" i="11"/>
  <c r="M7" i="11"/>
  <c r="L7" i="11"/>
  <c r="K7" i="11"/>
  <c r="I7" i="11"/>
  <c r="H7" i="11"/>
  <c r="G7" i="11"/>
  <c r="F7" i="11"/>
  <c r="E7" i="11"/>
  <c r="D7" i="11"/>
  <c r="C7" i="11"/>
  <c r="B7" i="11"/>
  <c r="AG6" i="11"/>
  <c r="AF6" i="11"/>
  <c r="AG2" i="11"/>
  <c r="AF2" i="11"/>
  <c r="N62" i="10"/>
  <c r="M62" i="10"/>
  <c r="L62" i="10"/>
  <c r="K62" i="10"/>
  <c r="O61" i="10"/>
  <c r="P61" i="10" s="1"/>
  <c r="N61" i="10"/>
  <c r="M61" i="10"/>
  <c r="L61" i="10"/>
  <c r="K61" i="10"/>
  <c r="N60" i="10"/>
  <c r="M60" i="10"/>
  <c r="L60" i="10"/>
  <c r="K60" i="10"/>
  <c r="O59" i="10"/>
  <c r="N59" i="10"/>
  <c r="M59" i="10"/>
  <c r="L59" i="10"/>
  <c r="K59" i="10"/>
  <c r="O58" i="10"/>
  <c r="N58" i="10"/>
  <c r="M58" i="10"/>
  <c r="L58" i="10"/>
  <c r="P58" i="10" s="1"/>
  <c r="O57" i="10"/>
  <c r="N57" i="10"/>
  <c r="M57" i="10"/>
  <c r="L57" i="10"/>
  <c r="O56" i="10"/>
  <c r="N56" i="10"/>
  <c r="M56" i="10"/>
  <c r="L56" i="10"/>
  <c r="P56" i="10" s="1"/>
  <c r="B56" i="10"/>
  <c r="B53" i="10"/>
  <c r="B52" i="10"/>
  <c r="B51" i="10"/>
  <c r="T47" i="10"/>
  <c r="AG46" i="10"/>
  <c r="AG45" i="10"/>
  <c r="B41" i="10"/>
  <c r="B40" i="10"/>
  <c r="B36" i="10"/>
  <c r="T33" i="10"/>
  <c r="AE32" i="10"/>
  <c r="AF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C31" i="10"/>
  <c r="B31" i="10"/>
  <c r="AH30" i="10"/>
  <c r="AE30" i="10"/>
  <c r="AG30" i="10" s="1"/>
  <c r="T29" i="10"/>
  <c r="AH28" i="10"/>
  <c r="AG28" i="10"/>
  <c r="AH27" i="10"/>
  <c r="AG27" i="10"/>
  <c r="C26" i="10"/>
  <c r="AH25" i="10"/>
  <c r="AG25" i="10"/>
  <c r="AH24" i="10"/>
  <c r="AG24" i="10"/>
  <c r="AF22" i="10"/>
  <c r="AE22" i="10"/>
  <c r="AD22" i="10"/>
  <c r="AC22" i="10"/>
  <c r="AB22" i="10"/>
  <c r="AA22" i="10"/>
  <c r="Z22" i="10"/>
  <c r="Y22" i="10"/>
  <c r="X22" i="10"/>
  <c r="W22" i="10"/>
  <c r="V22" i="10"/>
  <c r="U22" i="10"/>
  <c r="S22" i="10"/>
  <c r="R22" i="10"/>
  <c r="Q22" i="10"/>
  <c r="P22" i="10"/>
  <c r="O22" i="10"/>
  <c r="N22" i="10"/>
  <c r="M22" i="10"/>
  <c r="L22" i="10"/>
  <c r="K22" i="10"/>
  <c r="J22" i="10"/>
  <c r="I22" i="10"/>
  <c r="H22" i="10"/>
  <c r="G22" i="10"/>
  <c r="F22" i="10"/>
  <c r="E22" i="10"/>
  <c r="D22" i="10"/>
  <c r="C22" i="10"/>
  <c r="B22" i="10"/>
  <c r="AF21" i="10"/>
  <c r="AE21" i="10"/>
  <c r="AD21" i="10"/>
  <c r="AC21" i="10"/>
  <c r="AB21" i="10"/>
  <c r="AA21" i="10"/>
  <c r="Z21" i="10"/>
  <c r="Y21" i="10"/>
  <c r="X21" i="10"/>
  <c r="W21" i="10"/>
  <c r="V21" i="10"/>
  <c r="U21" i="10"/>
  <c r="S21" i="10"/>
  <c r="R21" i="10"/>
  <c r="Q21" i="10"/>
  <c r="P21" i="10"/>
  <c r="O21" i="10"/>
  <c r="N21" i="10"/>
  <c r="M21" i="10"/>
  <c r="L21" i="10"/>
  <c r="K21" i="10"/>
  <c r="J21" i="10"/>
  <c r="I21" i="10"/>
  <c r="H21" i="10"/>
  <c r="AH21" i="10" s="1"/>
  <c r="G21" i="10"/>
  <c r="F21" i="10"/>
  <c r="E21" i="10"/>
  <c r="D21" i="10"/>
  <c r="C21" i="10"/>
  <c r="B21" i="10"/>
  <c r="AE20" i="10"/>
  <c r="AD20" i="10"/>
  <c r="Z20" i="10"/>
  <c r="W20" i="10"/>
  <c r="V20" i="10"/>
  <c r="U20" i="10"/>
  <c r="S20" i="10"/>
  <c r="M20" i="10"/>
  <c r="L20" i="10"/>
  <c r="K20" i="10"/>
  <c r="J20" i="10"/>
  <c r="I20" i="10"/>
  <c r="C20" i="10"/>
  <c r="B20" i="10"/>
  <c r="AH18" i="10"/>
  <c r="AG18" i="10"/>
  <c r="AF17" i="10"/>
  <c r="AE17" i="10"/>
  <c r="AC17" i="10"/>
  <c r="X17" i="10"/>
  <c r="V17" i="10"/>
  <c r="S17" i="10"/>
  <c r="N17" i="10"/>
  <c r="L17" i="10"/>
  <c r="G17" i="10"/>
  <c r="E17" i="10"/>
  <c r="AH16" i="10"/>
  <c r="AG16" i="10"/>
  <c r="AH15" i="10"/>
  <c r="AG15" i="10"/>
  <c r="AH14" i="10"/>
  <c r="AG14" i="10"/>
  <c r="AH13" i="10"/>
  <c r="AG13" i="10"/>
  <c r="AH12" i="10"/>
  <c r="AG12" i="10"/>
  <c r="AH11" i="10"/>
  <c r="AG11" i="10"/>
  <c r="AE11" i="10"/>
  <c r="AF10" i="10"/>
  <c r="AE10" i="10"/>
  <c r="AD10" i="10"/>
  <c r="AC10" i="10"/>
  <c r="AB10" i="10"/>
  <c r="AA10" i="10"/>
  <c r="Z10" i="10"/>
  <c r="Y10" i="10"/>
  <c r="X10" i="10"/>
  <c r="W10" i="10"/>
  <c r="V10" i="10"/>
  <c r="U10" i="10"/>
  <c r="S10" i="10"/>
  <c r="R10" i="10"/>
  <c r="Q10" i="10"/>
  <c r="P10" i="10"/>
  <c r="O10" i="10"/>
  <c r="N10" i="10"/>
  <c r="M10" i="10"/>
  <c r="L10" i="10"/>
  <c r="K10" i="10"/>
  <c r="J10" i="10"/>
  <c r="I10" i="10"/>
  <c r="H10" i="10"/>
  <c r="G10" i="10"/>
  <c r="F10" i="10"/>
  <c r="E10" i="10"/>
  <c r="D10" i="10"/>
  <c r="C10" i="10"/>
  <c r="B10" i="10"/>
  <c r="AF8" i="10"/>
  <c r="AE8" i="10"/>
  <c r="AD8" i="10"/>
  <c r="AC8" i="10"/>
  <c r="AB8" i="10"/>
  <c r="AA8" i="10"/>
  <c r="Z8" i="10"/>
  <c r="Y8" i="10"/>
  <c r="X8" i="10"/>
  <c r="W8" i="10"/>
  <c r="V8" i="10"/>
  <c r="U8" i="10"/>
  <c r="S8" i="10"/>
  <c r="R8" i="10"/>
  <c r="Q8" i="10"/>
  <c r="P8" i="10"/>
  <c r="O8" i="10"/>
  <c r="N8" i="10"/>
  <c r="M8" i="10"/>
  <c r="L8" i="10"/>
  <c r="K8" i="10"/>
  <c r="J8" i="10"/>
  <c r="I8" i="10"/>
  <c r="H8" i="10"/>
  <c r="G8" i="10"/>
  <c r="F8" i="10"/>
  <c r="E8" i="10"/>
  <c r="D8" i="10"/>
  <c r="C8" i="10"/>
  <c r="AH8" i="10" s="1"/>
  <c r="B8" i="10"/>
  <c r="AF7" i="10"/>
  <c r="AE7" i="10"/>
  <c r="AD7" i="10"/>
  <c r="AC7" i="10"/>
  <c r="AB7" i="10"/>
  <c r="AA7" i="10"/>
  <c r="Z7" i="10"/>
  <c r="Y7" i="10"/>
  <c r="X7" i="10"/>
  <c r="W7" i="10"/>
  <c r="V7" i="10"/>
  <c r="U7" i="10"/>
  <c r="S7" i="10"/>
  <c r="R7" i="10"/>
  <c r="Q7" i="10"/>
  <c r="P7" i="10"/>
  <c r="O7" i="10"/>
  <c r="N7" i="10"/>
  <c r="M7" i="10"/>
  <c r="L7" i="10"/>
  <c r="K7" i="10"/>
  <c r="J7" i="10"/>
  <c r="I7" i="10"/>
  <c r="H7" i="10"/>
  <c r="AG7" i="10" s="1"/>
  <c r="G7" i="10"/>
  <c r="F7" i="10"/>
  <c r="E7" i="10"/>
  <c r="D7" i="10"/>
  <c r="C7" i="10"/>
  <c r="B7" i="10"/>
  <c r="AH6" i="10"/>
  <c r="AG6" i="10"/>
  <c r="AF2" i="10"/>
  <c r="AE2" i="10"/>
  <c r="AD2" i="10"/>
  <c r="AC2" i="10"/>
  <c r="AB2" i="10"/>
  <c r="AA2" i="10"/>
  <c r="Z2" i="10"/>
  <c r="Y2" i="10"/>
  <c r="X2" i="10"/>
  <c r="W2" i="10"/>
  <c r="V2" i="10"/>
  <c r="U2" i="10"/>
  <c r="S2" i="10"/>
  <c r="R2" i="10"/>
  <c r="Q2" i="10"/>
  <c r="P2" i="10"/>
  <c r="O2" i="10"/>
  <c r="N2" i="10"/>
  <c r="M2" i="10"/>
  <c r="L2" i="10"/>
  <c r="K2" i="10"/>
  <c r="J2" i="10"/>
  <c r="I2" i="10"/>
  <c r="H2" i="10"/>
  <c r="G2" i="10"/>
  <c r="F2" i="10"/>
  <c r="E2" i="10"/>
  <c r="D2" i="10"/>
  <c r="C2" i="10"/>
  <c r="B2" i="10"/>
  <c r="N62" i="9"/>
  <c r="M62" i="9"/>
  <c r="L62" i="9"/>
  <c r="K62" i="9"/>
  <c r="P62" i="9" s="1"/>
  <c r="N61" i="9"/>
  <c r="M61" i="9"/>
  <c r="L61" i="9"/>
  <c r="K61" i="9"/>
  <c r="P60" i="9"/>
  <c r="N60" i="9"/>
  <c r="M60" i="9"/>
  <c r="L60" i="9"/>
  <c r="K60" i="9"/>
  <c r="N59" i="9"/>
  <c r="P59" i="9" s="1"/>
  <c r="M59" i="9"/>
  <c r="L59" i="9"/>
  <c r="K59" i="9"/>
  <c r="O58" i="9"/>
  <c r="N58" i="9"/>
  <c r="M58" i="9"/>
  <c r="L58" i="9"/>
  <c r="K58" i="9"/>
  <c r="P58" i="9" s="1"/>
  <c r="O57" i="9"/>
  <c r="N57" i="9"/>
  <c r="M57" i="9"/>
  <c r="L57" i="9"/>
  <c r="K57" i="9"/>
  <c r="P57" i="9" s="1"/>
  <c r="P56" i="9"/>
  <c r="O56" i="9"/>
  <c r="N56" i="9"/>
  <c r="M56" i="9"/>
  <c r="L56" i="9"/>
  <c r="B56" i="9"/>
  <c r="V47" i="9"/>
  <c r="G47" i="9"/>
  <c r="AF46" i="9"/>
  <c r="AF45" i="9"/>
  <c r="B41" i="9"/>
  <c r="B40" i="9"/>
  <c r="B38" i="9"/>
  <c r="B36" i="9"/>
  <c r="V33" i="9"/>
  <c r="AG32" i="9"/>
  <c r="AH32" i="9" s="1"/>
  <c r="AF32"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G30" i="9"/>
  <c r="AF30" i="9"/>
  <c r="V29" i="9"/>
  <c r="G29" i="9"/>
  <c r="G33" i="9" s="1"/>
  <c r="AG28" i="9"/>
  <c r="AF28" i="9"/>
  <c r="AG27" i="9"/>
  <c r="AF27" i="9"/>
  <c r="O26" i="9"/>
  <c r="I26" i="9"/>
  <c r="AG25" i="9"/>
  <c r="AF25" i="9"/>
  <c r="AG24" i="9"/>
  <c r="AF24" i="9"/>
  <c r="AE22" i="9"/>
  <c r="AD22" i="9"/>
  <c r="AC22" i="9"/>
  <c r="AB22" i="9"/>
  <c r="AA22" i="9"/>
  <c r="Z22" i="9"/>
  <c r="Y22" i="9"/>
  <c r="X22" i="9"/>
  <c r="W22" i="9"/>
  <c r="U22" i="9"/>
  <c r="T22" i="9"/>
  <c r="S22" i="9"/>
  <c r="R22" i="9"/>
  <c r="Q22" i="9"/>
  <c r="P22" i="9"/>
  <c r="O22" i="9"/>
  <c r="N22" i="9"/>
  <c r="M22" i="9"/>
  <c r="L22" i="9"/>
  <c r="K22" i="9"/>
  <c r="J22" i="9"/>
  <c r="I22" i="9"/>
  <c r="H22" i="9"/>
  <c r="F22" i="9"/>
  <c r="E22" i="9"/>
  <c r="D22" i="9"/>
  <c r="C22" i="9"/>
  <c r="B22" i="9"/>
  <c r="AE21" i="9"/>
  <c r="AD21" i="9"/>
  <c r="AC21" i="9"/>
  <c r="AB21" i="9"/>
  <c r="AA21" i="9"/>
  <c r="Z21" i="9"/>
  <c r="Y21" i="9"/>
  <c r="X21" i="9"/>
  <c r="W21" i="9"/>
  <c r="U21" i="9"/>
  <c r="T21" i="9"/>
  <c r="S21" i="9"/>
  <c r="R21" i="9"/>
  <c r="Q21" i="9"/>
  <c r="P21" i="9"/>
  <c r="O21" i="9"/>
  <c r="N21" i="9"/>
  <c r="M21" i="9"/>
  <c r="L21" i="9"/>
  <c r="K21" i="9"/>
  <c r="J21" i="9"/>
  <c r="I21" i="9"/>
  <c r="H21" i="9"/>
  <c r="F21" i="9"/>
  <c r="E21" i="9"/>
  <c r="D21" i="9"/>
  <c r="C21" i="9"/>
  <c r="B21" i="9"/>
  <c r="AG21" i="9" s="1"/>
  <c r="AE20" i="9"/>
  <c r="AD20" i="9"/>
  <c r="AC20" i="9"/>
  <c r="AB20" i="9"/>
  <c r="AA20" i="9"/>
  <c r="Z20" i="9"/>
  <c r="Y20" i="9"/>
  <c r="X20" i="9"/>
  <c r="W20" i="9"/>
  <c r="U20" i="9"/>
  <c r="T20" i="9"/>
  <c r="S20" i="9"/>
  <c r="R20" i="9"/>
  <c r="Q20" i="9"/>
  <c r="P20" i="9"/>
  <c r="O20" i="9"/>
  <c r="N20" i="9"/>
  <c r="M20" i="9"/>
  <c r="L20" i="9"/>
  <c r="K20" i="9"/>
  <c r="J20" i="9"/>
  <c r="I20" i="9"/>
  <c r="H20" i="9"/>
  <c r="F20" i="9"/>
  <c r="E20" i="9"/>
  <c r="AF20" i="9" s="1"/>
  <c r="D20" i="9"/>
  <c r="C20" i="9"/>
  <c r="B20" i="9"/>
  <c r="E18" i="9"/>
  <c r="AD17" i="9"/>
  <c r="AB17" i="9"/>
  <c r="AA17" i="9"/>
  <c r="Z17" i="9"/>
  <c r="Y17" i="9"/>
  <c r="X17" i="9"/>
  <c r="W17" i="9"/>
  <c r="U17" i="9"/>
  <c r="AF17" i="9" s="1"/>
  <c r="T17" i="9"/>
  <c r="S17" i="9"/>
  <c r="R17" i="9"/>
  <c r="Q17" i="9"/>
  <c r="P17" i="9"/>
  <c r="O17" i="9"/>
  <c r="K17" i="9"/>
  <c r="AG16" i="9"/>
  <c r="AF16" i="9"/>
  <c r="AG15" i="9"/>
  <c r="AF15" i="9"/>
  <c r="AG14" i="9"/>
  <c r="AF14" i="9"/>
  <c r="AG13" i="9"/>
  <c r="AF13" i="9"/>
  <c r="AG12" i="9"/>
  <c r="AF12" i="9"/>
  <c r="AG11" i="9"/>
  <c r="AF11" i="9"/>
  <c r="AE10" i="9"/>
  <c r="AD10" i="9"/>
  <c r="AC10" i="9"/>
  <c r="AB10" i="9"/>
  <c r="AA10" i="9"/>
  <c r="Z10" i="9"/>
  <c r="Y10" i="9"/>
  <c r="X10" i="9"/>
  <c r="W10" i="9"/>
  <c r="U10" i="9"/>
  <c r="T10" i="9"/>
  <c r="S10" i="9"/>
  <c r="R10" i="9"/>
  <c r="Q10" i="9"/>
  <c r="P10" i="9"/>
  <c r="O10" i="9"/>
  <c r="N10" i="9"/>
  <c r="M10" i="9"/>
  <c r="L10" i="9"/>
  <c r="K10" i="9"/>
  <c r="J10" i="9"/>
  <c r="I10" i="9"/>
  <c r="H10" i="9"/>
  <c r="F10" i="9"/>
  <c r="E10" i="9"/>
  <c r="D10" i="9"/>
  <c r="C10" i="9"/>
  <c r="B10" i="9"/>
  <c r="AE8" i="9"/>
  <c r="AD8" i="9"/>
  <c r="AC8" i="9"/>
  <c r="AB8" i="9"/>
  <c r="AA8" i="9"/>
  <c r="Z8" i="9"/>
  <c r="Y8" i="9"/>
  <c r="X8" i="9"/>
  <c r="W8" i="9"/>
  <c r="U8" i="9"/>
  <c r="T8" i="9"/>
  <c r="S8" i="9"/>
  <c r="R8" i="9"/>
  <c r="Q8" i="9"/>
  <c r="P8" i="9"/>
  <c r="O8" i="9"/>
  <c r="N8" i="9"/>
  <c r="M8" i="9"/>
  <c r="L8" i="9"/>
  <c r="K8" i="9"/>
  <c r="J8" i="9"/>
  <c r="I8" i="9"/>
  <c r="H8" i="9"/>
  <c r="F8" i="9"/>
  <c r="E8" i="9"/>
  <c r="D8" i="9"/>
  <c r="C8" i="9"/>
  <c r="B8" i="9"/>
  <c r="AF8" i="9" s="1"/>
  <c r="AE7" i="9"/>
  <c r="AD7" i="9"/>
  <c r="AC7" i="9"/>
  <c r="AB7" i="9"/>
  <c r="AA7" i="9"/>
  <c r="Z7" i="9"/>
  <c r="Y7" i="9"/>
  <c r="X7" i="9"/>
  <c r="W7" i="9"/>
  <c r="U7" i="9"/>
  <c r="T7" i="9"/>
  <c r="S7" i="9"/>
  <c r="R7" i="9"/>
  <c r="Q7" i="9"/>
  <c r="P7" i="9"/>
  <c r="O7" i="9"/>
  <c r="N7" i="9"/>
  <c r="M7" i="9"/>
  <c r="L7" i="9"/>
  <c r="K7" i="9"/>
  <c r="J7" i="9"/>
  <c r="I7" i="9"/>
  <c r="H7" i="9"/>
  <c r="F7" i="9"/>
  <c r="E7" i="9"/>
  <c r="D7" i="9"/>
  <c r="C7" i="9"/>
  <c r="AF7" i="9" s="1"/>
  <c r="B7" i="9"/>
  <c r="AG6" i="9"/>
  <c r="AF6" i="9"/>
  <c r="AG2" i="9"/>
  <c r="AF2" i="9"/>
  <c r="O62" i="8"/>
  <c r="N62" i="8"/>
  <c r="M62" i="8"/>
  <c r="L62" i="8"/>
  <c r="K62" i="8"/>
  <c r="O61" i="8"/>
  <c r="N61" i="8"/>
  <c r="M61" i="8"/>
  <c r="L61" i="8"/>
  <c r="K61" i="8"/>
  <c r="O60" i="8"/>
  <c r="P60" i="8" s="1"/>
  <c r="N60" i="8"/>
  <c r="M60" i="8"/>
  <c r="L60" i="8"/>
  <c r="O59" i="8"/>
  <c r="N59" i="8"/>
  <c r="M59" i="8"/>
  <c r="L59" i="8"/>
  <c r="O58" i="8"/>
  <c r="N58" i="8"/>
  <c r="M58" i="8"/>
  <c r="L58" i="8"/>
  <c r="P58" i="8" s="1"/>
  <c r="P57" i="8"/>
  <c r="O57" i="8"/>
  <c r="N57" i="8"/>
  <c r="M57" i="8"/>
  <c r="L57" i="8"/>
  <c r="O56" i="8"/>
  <c r="N56" i="8"/>
  <c r="M56" i="8"/>
  <c r="L56" i="8"/>
  <c r="K56" i="8"/>
  <c r="B53" i="8"/>
  <c r="B52" i="8"/>
  <c r="B51" i="8"/>
  <c r="R47" i="8"/>
  <c r="G47" i="8"/>
  <c r="AG46" i="8"/>
  <c r="AG45" i="8"/>
  <c r="B41" i="8"/>
  <c r="B40" i="8"/>
  <c r="B38" i="8"/>
  <c r="B36" i="8"/>
  <c r="AI32" i="8"/>
  <c r="AH32" i="8"/>
  <c r="AG32" i="8"/>
  <c r="AF31" i="8"/>
  <c r="AE31" i="8"/>
  <c r="AD31" i="8"/>
  <c r="AC31" i="8"/>
  <c r="AB31" i="8"/>
  <c r="AA31" i="8"/>
  <c r="Z31" i="8"/>
  <c r="Y31" i="8"/>
  <c r="X31" i="8"/>
  <c r="W31" i="8"/>
  <c r="V31" i="8"/>
  <c r="U31" i="8"/>
  <c r="T31" i="8"/>
  <c r="S31" i="8"/>
  <c r="R31" i="8"/>
  <c r="Q31" i="8"/>
  <c r="P31" i="8"/>
  <c r="O31" i="8"/>
  <c r="N31" i="8"/>
  <c r="M31" i="8"/>
  <c r="L31" i="8"/>
  <c r="K31" i="8"/>
  <c r="J31" i="8"/>
  <c r="I31" i="8"/>
  <c r="H31" i="8"/>
  <c r="G31" i="8"/>
  <c r="F31" i="8"/>
  <c r="E31" i="8"/>
  <c r="D31" i="8"/>
  <c r="C31" i="8"/>
  <c r="AH31" i="8" s="1"/>
  <c r="AI31" i="8" s="1"/>
  <c r="B31" i="8"/>
  <c r="AH30" i="8"/>
  <c r="AG30" i="8"/>
  <c r="R29" i="8"/>
  <c r="R33" i="8" s="1"/>
  <c r="G29" i="8"/>
  <c r="G33" i="8" s="1"/>
  <c r="AH28" i="8"/>
  <c r="AG28" i="8"/>
  <c r="AH27" i="8"/>
  <c r="AG27" i="8"/>
  <c r="AH26" i="8"/>
  <c r="AA26" i="8"/>
  <c r="D26" i="8"/>
  <c r="AG26" i="8" s="1"/>
  <c r="AH25" i="8"/>
  <c r="AG25" i="8"/>
  <c r="AH24" i="8"/>
  <c r="AG24" i="8"/>
  <c r="AF24" i="8"/>
  <c r="AF22" i="8"/>
  <c r="AE22" i="8"/>
  <c r="AD22" i="8"/>
  <c r="AC22" i="8"/>
  <c r="AB22" i="8"/>
  <c r="AA22" i="8"/>
  <c r="Z22" i="8"/>
  <c r="Y22" i="8"/>
  <c r="X22" i="8"/>
  <c r="W22" i="8"/>
  <c r="V22" i="8"/>
  <c r="U22" i="8"/>
  <c r="T22" i="8"/>
  <c r="S22" i="8"/>
  <c r="Q22" i="8"/>
  <c r="P22" i="8"/>
  <c r="O22" i="8"/>
  <c r="N22" i="8"/>
  <c r="M22" i="8"/>
  <c r="L22" i="8"/>
  <c r="K22" i="8"/>
  <c r="J22" i="8"/>
  <c r="I22" i="8"/>
  <c r="H22" i="8"/>
  <c r="F22" i="8"/>
  <c r="E22" i="8"/>
  <c r="D22" i="8"/>
  <c r="C22" i="8"/>
  <c r="B22" i="8"/>
  <c r="AF21" i="8"/>
  <c r="AE21" i="8"/>
  <c r="AD21" i="8"/>
  <c r="AC21" i="8"/>
  <c r="AB21" i="8"/>
  <c r="AA21" i="8"/>
  <c r="Z21" i="8"/>
  <c r="Y21" i="8"/>
  <c r="X21" i="8"/>
  <c r="W21" i="8"/>
  <c r="V21" i="8"/>
  <c r="U21" i="8"/>
  <c r="T21" i="8"/>
  <c r="S21" i="8"/>
  <c r="Q21" i="8"/>
  <c r="P21" i="8"/>
  <c r="O21" i="8"/>
  <c r="N21" i="8"/>
  <c r="M21" i="8"/>
  <c r="L21" i="8"/>
  <c r="K21" i="8"/>
  <c r="J21" i="8"/>
  <c r="I21" i="8"/>
  <c r="H21" i="8"/>
  <c r="F21" i="8"/>
  <c r="E21" i="8"/>
  <c r="D21" i="8"/>
  <c r="C21" i="8"/>
  <c r="B21" i="8"/>
  <c r="AE20" i="8"/>
  <c r="AD20" i="8"/>
  <c r="AB20" i="8"/>
  <c r="AA20" i="8"/>
  <c r="W20" i="8"/>
  <c r="V20" i="8"/>
  <c r="U20" i="8"/>
  <c r="T20" i="8"/>
  <c r="S20" i="8"/>
  <c r="M20" i="8"/>
  <c r="L20" i="8"/>
  <c r="K20" i="8"/>
  <c r="J20" i="8"/>
  <c r="E20" i="8"/>
  <c r="D20" i="8"/>
  <c r="C20" i="8"/>
  <c r="AB18" i="8"/>
  <c r="Q18" i="8"/>
  <c r="C18" i="8"/>
  <c r="AH17" i="8"/>
  <c r="AF17" i="8"/>
  <c r="T17" i="8"/>
  <c r="K17" i="8"/>
  <c r="E17" i="8"/>
  <c r="AG17" i="8" s="1"/>
  <c r="AH16" i="8"/>
  <c r="AG16" i="8"/>
  <c r="AH15" i="8"/>
  <c r="AG15" i="8"/>
  <c r="AH14" i="8"/>
  <c r="AG14" i="8"/>
  <c r="AH13" i="8"/>
  <c r="AG13" i="8"/>
  <c r="AH12" i="8"/>
  <c r="AG12" i="8"/>
  <c r="AH11" i="8"/>
  <c r="AG11" i="8"/>
  <c r="AH10" i="8"/>
  <c r="AF10" i="8"/>
  <c r="AE10" i="8"/>
  <c r="AD10" i="8"/>
  <c r="AC10" i="8"/>
  <c r="AB10" i="8"/>
  <c r="AA10" i="8"/>
  <c r="Z10" i="8"/>
  <c r="Y10" i="8"/>
  <c r="X10" i="8"/>
  <c r="W10" i="8"/>
  <c r="V10" i="8"/>
  <c r="U10" i="8"/>
  <c r="T10" i="8"/>
  <c r="S10" i="8"/>
  <c r="Q10" i="8"/>
  <c r="P10" i="8"/>
  <c r="O10" i="8"/>
  <c r="N10" i="8"/>
  <c r="M10" i="8"/>
  <c r="L10" i="8"/>
  <c r="K10" i="8"/>
  <c r="J10" i="8"/>
  <c r="I10" i="8"/>
  <c r="H10" i="8"/>
  <c r="F10" i="8"/>
  <c r="E10" i="8"/>
  <c r="D10" i="8"/>
  <c r="C10" i="8"/>
  <c r="B10" i="8"/>
  <c r="AF8" i="8"/>
  <c r="AE8" i="8"/>
  <c r="AD8" i="8"/>
  <c r="AC8" i="8"/>
  <c r="AB8" i="8"/>
  <c r="AA8" i="8"/>
  <c r="Z8" i="8"/>
  <c r="Y8" i="8"/>
  <c r="X8" i="8"/>
  <c r="W8" i="8"/>
  <c r="V8" i="8"/>
  <c r="U8" i="8"/>
  <c r="T8" i="8"/>
  <c r="S8" i="8"/>
  <c r="Q8" i="8"/>
  <c r="P8" i="8"/>
  <c r="O8" i="8"/>
  <c r="N8" i="8"/>
  <c r="M8" i="8"/>
  <c r="L8" i="8"/>
  <c r="K8" i="8"/>
  <c r="J8" i="8"/>
  <c r="I8" i="8"/>
  <c r="AH8" i="8" s="1"/>
  <c r="H8" i="8"/>
  <c r="F8" i="8"/>
  <c r="E8" i="8"/>
  <c r="D8" i="8"/>
  <c r="C8" i="8"/>
  <c r="B8" i="8"/>
  <c r="AF7" i="8"/>
  <c r="AE7" i="8"/>
  <c r="AD7" i="8"/>
  <c r="AC7" i="8"/>
  <c r="AB7" i="8"/>
  <c r="AA7" i="8"/>
  <c r="Z7" i="8"/>
  <c r="Y7" i="8"/>
  <c r="X7" i="8"/>
  <c r="W7" i="8"/>
  <c r="V7" i="8"/>
  <c r="U7" i="8"/>
  <c r="T7" i="8"/>
  <c r="S7" i="8"/>
  <c r="Q7" i="8"/>
  <c r="P7" i="8"/>
  <c r="O7" i="8"/>
  <c r="N7" i="8"/>
  <c r="M7" i="8"/>
  <c r="L7" i="8"/>
  <c r="K7" i="8"/>
  <c r="J7" i="8"/>
  <c r="I7" i="8"/>
  <c r="H7" i="8"/>
  <c r="F7" i="8"/>
  <c r="E7" i="8"/>
  <c r="D7" i="8"/>
  <c r="AH7" i="8" s="1"/>
  <c r="C7" i="8"/>
  <c r="B7" i="8"/>
  <c r="AH6" i="8"/>
  <c r="AG6" i="8"/>
  <c r="Y3" i="8"/>
  <c r="X3" i="8"/>
  <c r="M3" i="8"/>
  <c r="AH2" i="8"/>
  <c r="AG2" i="8"/>
  <c r="P62" i="7"/>
  <c r="N62" i="7"/>
  <c r="M62" i="7"/>
  <c r="L62" i="7"/>
  <c r="K62" i="7"/>
  <c r="N61" i="7"/>
  <c r="M61" i="7"/>
  <c r="L61" i="7"/>
  <c r="K61" i="7"/>
  <c r="P60" i="7"/>
  <c r="O60" i="7"/>
  <c r="N60" i="7"/>
  <c r="M60" i="7"/>
  <c r="L60" i="7"/>
  <c r="O59" i="7"/>
  <c r="N59" i="7"/>
  <c r="P59" i="7" s="1"/>
  <c r="M59" i="7"/>
  <c r="L59" i="7"/>
  <c r="O58" i="7"/>
  <c r="N58" i="7"/>
  <c r="M58" i="7"/>
  <c r="L58" i="7"/>
  <c r="O57" i="7"/>
  <c r="P57" i="7" s="1"/>
  <c r="N57" i="7"/>
  <c r="M57" i="7"/>
  <c r="L57" i="7"/>
  <c r="O56" i="7"/>
  <c r="N56" i="7"/>
  <c r="M56" i="7"/>
  <c r="L56" i="7"/>
  <c r="B56" i="7"/>
  <c r="B54" i="7"/>
  <c r="B53" i="7"/>
  <c r="B51" i="7"/>
  <c r="Y7" i="7" s="1"/>
  <c r="AA47" i="7"/>
  <c r="Z47" i="7"/>
  <c r="AD46" i="7"/>
  <c r="AD45" i="7"/>
  <c r="B41" i="7"/>
  <c r="B40" i="7"/>
  <c r="B38" i="7"/>
  <c r="B36" i="7"/>
  <c r="AA33" i="7"/>
  <c r="Z33" i="7"/>
  <c r="AF32" i="7"/>
  <c r="AE32" i="7"/>
  <c r="AD32" i="7"/>
  <c r="AC31" i="7"/>
  <c r="AB31" i="7"/>
  <c r="AA31" i="7"/>
  <c r="Z31" i="7"/>
  <c r="Y31" i="7"/>
  <c r="X31" i="7"/>
  <c r="W31" i="7"/>
  <c r="V31" i="7"/>
  <c r="U31" i="7"/>
  <c r="T31" i="7"/>
  <c r="S31" i="7"/>
  <c r="R31" i="7"/>
  <c r="Q31" i="7"/>
  <c r="P31" i="7"/>
  <c r="O31" i="7"/>
  <c r="N31" i="7"/>
  <c r="M31" i="7"/>
  <c r="L31" i="7"/>
  <c r="K31" i="7"/>
  <c r="J31" i="7"/>
  <c r="I31" i="7"/>
  <c r="H31" i="7"/>
  <c r="G31" i="7"/>
  <c r="F31" i="7"/>
  <c r="E31" i="7"/>
  <c r="D31" i="7"/>
  <c r="C31" i="7"/>
  <c r="B31" i="7"/>
  <c r="AF30" i="7"/>
  <c r="AE30" i="7"/>
  <c r="AD30" i="7"/>
  <c r="AA29" i="7"/>
  <c r="AE28" i="7"/>
  <c r="AD28" i="7"/>
  <c r="AE27" i="7"/>
  <c r="AD27" i="7"/>
  <c r="AE26" i="7"/>
  <c r="AD26" i="7"/>
  <c r="AE25" i="7"/>
  <c r="AD25" i="7"/>
  <c r="AE24" i="7"/>
  <c r="AD24" i="7"/>
  <c r="AC22" i="7"/>
  <c r="AB22" i="7"/>
  <c r="Y22" i="7"/>
  <c r="X22" i="7"/>
  <c r="W22" i="7"/>
  <c r="V22" i="7"/>
  <c r="U22" i="7"/>
  <c r="T22" i="7"/>
  <c r="S22" i="7"/>
  <c r="R22" i="7"/>
  <c r="Q22" i="7"/>
  <c r="P22" i="7"/>
  <c r="O22" i="7"/>
  <c r="N22" i="7"/>
  <c r="L22" i="7"/>
  <c r="K22" i="7"/>
  <c r="J22" i="7"/>
  <c r="I22" i="7"/>
  <c r="H22" i="7"/>
  <c r="G22" i="7"/>
  <c r="F22" i="7"/>
  <c r="E22" i="7"/>
  <c r="D22" i="7"/>
  <c r="C22" i="7"/>
  <c r="B22" i="7"/>
  <c r="AC21" i="7"/>
  <c r="AB21" i="7"/>
  <c r="Y21" i="7"/>
  <c r="X21" i="7"/>
  <c r="W21" i="7"/>
  <c r="V21" i="7"/>
  <c r="U21" i="7"/>
  <c r="T21" i="7"/>
  <c r="S21" i="7"/>
  <c r="R21" i="7"/>
  <c r="Q21" i="7"/>
  <c r="P21" i="7"/>
  <c r="O21" i="7"/>
  <c r="N21" i="7"/>
  <c r="L21" i="7"/>
  <c r="K21" i="7"/>
  <c r="J21" i="7"/>
  <c r="I21" i="7"/>
  <c r="H21" i="7"/>
  <c r="G21" i="7"/>
  <c r="F21" i="7"/>
  <c r="E21" i="7"/>
  <c r="D21" i="7"/>
  <c r="AE21" i="7" s="1"/>
  <c r="C21" i="7"/>
  <c r="B21" i="7"/>
  <c r="AC20" i="7"/>
  <c r="AB20" i="7"/>
  <c r="Y20" i="7"/>
  <c r="X20" i="7"/>
  <c r="W20" i="7"/>
  <c r="V20" i="7"/>
  <c r="U20" i="7"/>
  <c r="T20" i="7"/>
  <c r="S20" i="7"/>
  <c r="R20" i="7"/>
  <c r="Q20" i="7"/>
  <c r="P20" i="7"/>
  <c r="O20" i="7"/>
  <c r="N20" i="7"/>
  <c r="L20" i="7"/>
  <c r="K20" i="7"/>
  <c r="J20" i="7"/>
  <c r="I20" i="7"/>
  <c r="H20" i="7"/>
  <c r="G20" i="7"/>
  <c r="F20" i="7"/>
  <c r="E20" i="7"/>
  <c r="D20" i="7"/>
  <c r="C20" i="7"/>
  <c r="AD20" i="7" s="1"/>
  <c r="B20" i="7"/>
  <c r="AE18" i="7"/>
  <c r="AD18" i="7"/>
  <c r="AC17" i="7"/>
  <c r="W17" i="7"/>
  <c r="Q17" i="7"/>
  <c r="J17" i="7"/>
  <c r="AE16" i="7"/>
  <c r="AD16" i="7"/>
  <c r="AE15" i="7"/>
  <c r="AD15" i="7"/>
  <c r="AE14" i="7"/>
  <c r="AD14" i="7"/>
  <c r="AE13" i="7"/>
  <c r="AD13" i="7"/>
  <c r="AE12" i="7"/>
  <c r="AD12" i="7"/>
  <c r="AE11" i="7"/>
  <c r="AD11" i="7"/>
  <c r="AC10" i="7"/>
  <c r="AB10" i="7"/>
  <c r="Y10" i="7"/>
  <c r="X10" i="7"/>
  <c r="W10" i="7"/>
  <c r="V10" i="7"/>
  <c r="U10" i="7"/>
  <c r="T10" i="7"/>
  <c r="S10" i="7"/>
  <c r="R10" i="7"/>
  <c r="Q10" i="7"/>
  <c r="P10" i="7"/>
  <c r="O10" i="7"/>
  <c r="N10" i="7"/>
  <c r="L10" i="7"/>
  <c r="K10" i="7"/>
  <c r="J10" i="7"/>
  <c r="I10" i="7"/>
  <c r="H10" i="7"/>
  <c r="G10" i="7"/>
  <c r="F10" i="7"/>
  <c r="E10" i="7"/>
  <c r="D10" i="7"/>
  <c r="C10" i="7"/>
  <c r="B10" i="7"/>
  <c r="AC8" i="7"/>
  <c r="AB8" i="7"/>
  <c r="AA8" i="7"/>
  <c r="Z8" i="7"/>
  <c r="Z29" i="7" s="1"/>
  <c r="Y8" i="7"/>
  <c r="X8" i="7"/>
  <c r="W8" i="7"/>
  <c r="V8" i="7"/>
  <c r="U8" i="7"/>
  <c r="T8" i="7"/>
  <c r="S8" i="7"/>
  <c r="R8" i="7"/>
  <c r="Q8" i="7"/>
  <c r="P8" i="7"/>
  <c r="O8" i="7"/>
  <c r="N8" i="7"/>
  <c r="M8" i="7"/>
  <c r="L8" i="7"/>
  <c r="K8" i="7"/>
  <c r="J8" i="7"/>
  <c r="I8" i="7"/>
  <c r="H8" i="7"/>
  <c r="G8" i="7"/>
  <c r="F8" i="7"/>
  <c r="E8" i="7"/>
  <c r="AE8" i="7" s="1"/>
  <c r="D8" i="7"/>
  <c r="C8" i="7"/>
  <c r="B8" i="7"/>
  <c r="AC7" i="7"/>
  <c r="AB7" i="7"/>
  <c r="W7" i="7"/>
  <c r="V7" i="7"/>
  <c r="U7" i="7"/>
  <c r="T7" i="7"/>
  <c r="S7" i="7"/>
  <c r="R7" i="7"/>
  <c r="O7" i="7"/>
  <c r="N7" i="7"/>
  <c r="L7" i="7"/>
  <c r="K7" i="7"/>
  <c r="J7" i="7"/>
  <c r="I7" i="7"/>
  <c r="F7" i="7"/>
  <c r="E7" i="7"/>
  <c r="D7" i="7"/>
  <c r="C7" i="7"/>
  <c r="B7" i="7"/>
  <c r="AE6" i="7"/>
  <c r="AD6" i="7"/>
  <c r="AB3" i="7"/>
  <c r="L3" i="7"/>
  <c r="E3" i="7"/>
  <c r="AE2" i="7"/>
  <c r="AD2" i="7"/>
  <c r="N62" i="6"/>
  <c r="M62" i="6"/>
  <c r="P62" i="6" s="1"/>
  <c r="L62" i="6"/>
  <c r="K62" i="6"/>
  <c r="N61" i="6"/>
  <c r="P61" i="6" s="1"/>
  <c r="M61" i="6"/>
  <c r="L61" i="6"/>
  <c r="K61" i="6"/>
  <c r="N60" i="6"/>
  <c r="M60" i="6"/>
  <c r="L60" i="6"/>
  <c r="K60" i="6"/>
  <c r="P60" i="6" s="1"/>
  <c r="O59" i="6"/>
  <c r="N59" i="6"/>
  <c r="M59" i="6"/>
  <c r="P59" i="6" s="1"/>
  <c r="L59" i="6"/>
  <c r="K59" i="6"/>
  <c r="O58" i="6"/>
  <c r="N58" i="6"/>
  <c r="L58" i="6"/>
  <c r="K58" i="6"/>
  <c r="O57" i="6"/>
  <c r="N57" i="6"/>
  <c r="M57" i="6"/>
  <c r="L57" i="6"/>
  <c r="P57" i="6" s="1"/>
  <c r="P56" i="6"/>
  <c r="O56" i="6"/>
  <c r="N56" i="6"/>
  <c r="M56" i="6"/>
  <c r="L56" i="6"/>
  <c r="B54" i="6"/>
  <c r="B53" i="6"/>
  <c r="B52" i="6"/>
  <c r="AF8" i="6" s="1"/>
  <c r="B51" i="6"/>
  <c r="V47" i="6"/>
  <c r="G47" i="6"/>
  <c r="AG46" i="6"/>
  <c r="AG45" i="6"/>
  <c r="B41" i="6"/>
  <c r="B40" i="6"/>
  <c r="V33" i="6"/>
  <c r="G33" i="6"/>
  <c r="P32" i="6"/>
  <c r="AF31" i="6"/>
  <c r="AE31" i="6"/>
  <c r="AD31" i="6"/>
  <c r="AC31" i="6"/>
  <c r="AB31" i="6"/>
  <c r="AA31" i="6"/>
  <c r="Z31" i="6"/>
  <c r="Y31" i="6"/>
  <c r="X31" i="6"/>
  <c r="W31" i="6"/>
  <c r="V31" i="6"/>
  <c r="U31" i="6"/>
  <c r="T31" i="6"/>
  <c r="S31" i="6"/>
  <c r="R31" i="6"/>
  <c r="Q31" i="6"/>
  <c r="O31" i="6"/>
  <c r="N31" i="6"/>
  <c r="M31" i="6"/>
  <c r="L31" i="6"/>
  <c r="K31" i="6"/>
  <c r="J31" i="6"/>
  <c r="I31" i="6"/>
  <c r="H31" i="6"/>
  <c r="G31" i="6"/>
  <c r="F31" i="6"/>
  <c r="E31" i="6"/>
  <c r="D31" i="6"/>
  <c r="C31" i="6"/>
  <c r="B31" i="6"/>
  <c r="AG30" i="6"/>
  <c r="P30" i="6"/>
  <c r="AH30" i="6" s="1"/>
  <c r="V29" i="6"/>
  <c r="G29" i="6"/>
  <c r="AH28" i="6"/>
  <c r="AG28" i="6"/>
  <c r="AH27" i="6"/>
  <c r="AG27" i="6"/>
  <c r="AH26" i="6"/>
  <c r="AG26" i="6"/>
  <c r="P26" i="6"/>
  <c r="C26" i="6"/>
  <c r="AH25" i="6"/>
  <c r="AG25" i="6"/>
  <c r="AH24" i="6"/>
  <c r="AG24" i="6"/>
  <c r="AF22" i="6"/>
  <c r="AE22" i="6"/>
  <c r="AD22" i="6"/>
  <c r="AC22" i="6"/>
  <c r="AB22" i="6"/>
  <c r="AA22" i="6"/>
  <c r="Z22" i="6"/>
  <c r="Y22" i="6"/>
  <c r="X22" i="6"/>
  <c r="W22" i="6"/>
  <c r="U22" i="6"/>
  <c r="T22" i="6"/>
  <c r="S22" i="6"/>
  <c r="R22" i="6"/>
  <c r="Q22" i="6"/>
  <c r="P22" i="6"/>
  <c r="O22" i="6"/>
  <c r="N22" i="6"/>
  <c r="M22" i="6"/>
  <c r="L22" i="6"/>
  <c r="K22" i="6"/>
  <c r="J22" i="6"/>
  <c r="I22" i="6"/>
  <c r="H22" i="6"/>
  <c r="F22" i="6"/>
  <c r="E22" i="6"/>
  <c r="D22" i="6"/>
  <c r="C22" i="6"/>
  <c r="B22" i="6"/>
  <c r="AF21" i="6"/>
  <c r="AE21" i="6"/>
  <c r="Z21" i="6"/>
  <c r="Y21" i="6"/>
  <c r="X21" i="6"/>
  <c r="W21" i="6"/>
  <c r="U21" i="6"/>
  <c r="Q21" i="6"/>
  <c r="P21" i="6"/>
  <c r="N21" i="6"/>
  <c r="M21" i="6"/>
  <c r="I21" i="6"/>
  <c r="H21" i="6"/>
  <c r="F21" i="6"/>
  <c r="E21" i="6"/>
  <c r="D21" i="6"/>
  <c r="AF20" i="6"/>
  <c r="AE20" i="6"/>
  <c r="AD20" i="6"/>
  <c r="Z20" i="6"/>
  <c r="Y20" i="6"/>
  <c r="X20" i="6"/>
  <c r="U20" i="6"/>
  <c r="Q20" i="6"/>
  <c r="P20" i="6"/>
  <c r="O20" i="6"/>
  <c r="N20" i="6"/>
  <c r="M20" i="6"/>
  <c r="I20" i="6"/>
  <c r="F20" i="6"/>
  <c r="E20" i="6"/>
  <c r="D20" i="6"/>
  <c r="AH18" i="6"/>
  <c r="AG18" i="6"/>
  <c r="AC18" i="6"/>
  <c r="N18" i="6"/>
  <c r="AC17" i="6"/>
  <c r="W17" i="6"/>
  <c r="U17" i="6"/>
  <c r="Q17" i="6"/>
  <c r="P17" i="6"/>
  <c r="M17" i="6"/>
  <c r="I17" i="6"/>
  <c r="F17" i="6"/>
  <c r="C17" i="6"/>
  <c r="B17" i="6"/>
  <c r="AH16" i="6"/>
  <c r="AG16" i="6"/>
  <c r="AH15" i="6"/>
  <c r="AG15" i="6"/>
  <c r="AH14" i="6"/>
  <c r="AG14" i="6"/>
  <c r="AH13" i="6"/>
  <c r="AG13" i="6"/>
  <c r="AH12" i="6"/>
  <c r="AG12" i="6"/>
  <c r="AH11" i="6"/>
  <c r="AG11" i="6"/>
  <c r="AH10" i="6"/>
  <c r="AF10" i="6"/>
  <c r="AE10" i="6"/>
  <c r="AD10" i="6"/>
  <c r="AC10" i="6"/>
  <c r="AB10" i="6"/>
  <c r="AA10" i="6"/>
  <c r="Z10" i="6"/>
  <c r="Y10" i="6"/>
  <c r="X10" i="6"/>
  <c r="W10" i="6"/>
  <c r="U10" i="6"/>
  <c r="T10" i="6"/>
  <c r="S10" i="6"/>
  <c r="R10" i="6"/>
  <c r="Q10" i="6"/>
  <c r="P10" i="6"/>
  <c r="O10" i="6"/>
  <c r="N10" i="6"/>
  <c r="M10" i="6"/>
  <c r="L10" i="6"/>
  <c r="K10" i="6"/>
  <c r="J10" i="6"/>
  <c r="I10" i="6"/>
  <c r="H10" i="6"/>
  <c r="F10" i="6"/>
  <c r="E10" i="6"/>
  <c r="D10" i="6"/>
  <c r="C10" i="6"/>
  <c r="B10" i="6"/>
  <c r="AE8" i="6"/>
  <c r="AD8" i="6"/>
  <c r="AC8" i="6"/>
  <c r="AB8" i="6"/>
  <c r="AA8" i="6"/>
  <c r="Z8" i="6"/>
  <c r="Y8" i="6"/>
  <c r="W8" i="6"/>
  <c r="U8" i="6"/>
  <c r="T8" i="6"/>
  <c r="S8" i="6"/>
  <c r="R8" i="6"/>
  <c r="Q8" i="6"/>
  <c r="P8" i="6"/>
  <c r="N8" i="6"/>
  <c r="M8" i="6"/>
  <c r="L8" i="6"/>
  <c r="K8" i="6"/>
  <c r="J8" i="6"/>
  <c r="I8" i="6"/>
  <c r="H8" i="6"/>
  <c r="E8" i="6"/>
  <c r="D8" i="6"/>
  <c r="C8" i="6"/>
  <c r="B8" i="6"/>
  <c r="AF7" i="6"/>
  <c r="AE7" i="6"/>
  <c r="AD7" i="6"/>
  <c r="AC7" i="6"/>
  <c r="AB7" i="6"/>
  <c r="AA7" i="6"/>
  <c r="Z7" i="6"/>
  <c r="Y7" i="6"/>
  <c r="X7" i="6"/>
  <c r="W7" i="6"/>
  <c r="U7" i="6"/>
  <c r="T7" i="6"/>
  <c r="S7" i="6"/>
  <c r="R7" i="6"/>
  <c r="Q7" i="6"/>
  <c r="P7" i="6"/>
  <c r="O7" i="6"/>
  <c r="N7" i="6"/>
  <c r="M7" i="6"/>
  <c r="L7" i="6"/>
  <c r="K7" i="6"/>
  <c r="J7" i="6"/>
  <c r="I7" i="6"/>
  <c r="AH7" i="6" s="1"/>
  <c r="H7" i="6"/>
  <c r="F7" i="6"/>
  <c r="E7" i="6"/>
  <c r="D7" i="6"/>
  <c r="C7" i="6"/>
  <c r="B7" i="6"/>
  <c r="AH6" i="6"/>
  <c r="AG6" i="6"/>
  <c r="AG2" i="6"/>
  <c r="B2" i="6"/>
  <c r="AH2" i="6" s="1"/>
  <c r="G132" i="5"/>
  <c r="F132" i="5"/>
  <c r="E132" i="5"/>
  <c r="D132" i="5"/>
  <c r="C132" i="5"/>
  <c r="H131" i="5"/>
  <c r="H130" i="5"/>
  <c r="H129" i="5"/>
  <c r="H128" i="5"/>
  <c r="H127" i="5"/>
  <c r="H132" i="5" s="1"/>
  <c r="H126" i="5"/>
  <c r="H125" i="5"/>
  <c r="G121" i="5"/>
  <c r="F121" i="5"/>
  <c r="E121" i="5"/>
  <c r="D121" i="5"/>
  <c r="C121" i="5"/>
  <c r="H120" i="5"/>
  <c r="H119" i="5"/>
  <c r="H118" i="5"/>
  <c r="H117" i="5"/>
  <c r="H116" i="5"/>
  <c r="H115" i="5"/>
  <c r="H114" i="5"/>
  <c r="G110" i="5"/>
  <c r="F110" i="5"/>
  <c r="E110" i="5"/>
  <c r="D110" i="5"/>
  <c r="C110" i="5"/>
  <c r="H109" i="5"/>
  <c r="H108" i="5"/>
  <c r="H107" i="5"/>
  <c r="H106" i="5"/>
  <c r="H105" i="5"/>
  <c r="H104" i="5"/>
  <c r="H103" i="5"/>
  <c r="H110" i="5" s="1"/>
  <c r="G99" i="5"/>
  <c r="F99" i="5"/>
  <c r="E99" i="5"/>
  <c r="D99" i="5"/>
  <c r="C99" i="5"/>
  <c r="H98" i="5"/>
  <c r="H97" i="5"/>
  <c r="H96" i="5"/>
  <c r="H99" i="5" s="1"/>
  <c r="H95" i="5"/>
  <c r="H94" i="5"/>
  <c r="H93" i="5"/>
  <c r="H92" i="5"/>
  <c r="G88" i="5"/>
  <c r="F88" i="5"/>
  <c r="E88" i="5"/>
  <c r="D88" i="5"/>
  <c r="C88" i="5"/>
  <c r="H87" i="5"/>
  <c r="H86" i="5"/>
  <c r="H85" i="5"/>
  <c r="H84" i="5"/>
  <c r="H83" i="5"/>
  <c r="H82" i="5"/>
  <c r="H81" i="5"/>
  <c r="G77" i="5"/>
  <c r="F77" i="5"/>
  <c r="E77" i="5"/>
  <c r="D77" i="5"/>
  <c r="C77" i="5"/>
  <c r="H76" i="5"/>
  <c r="H75" i="5"/>
  <c r="H74" i="5"/>
  <c r="H73" i="5"/>
  <c r="H77" i="5" s="1"/>
  <c r="H72" i="5"/>
  <c r="H71" i="5"/>
  <c r="H70" i="5"/>
  <c r="G66" i="5"/>
  <c r="F66" i="5"/>
  <c r="E66" i="5"/>
  <c r="D66" i="5"/>
  <c r="C66" i="5"/>
  <c r="H65" i="5"/>
  <c r="H64" i="5"/>
  <c r="H63" i="5"/>
  <c r="H66" i="5" s="1"/>
  <c r="H62" i="5"/>
  <c r="H61" i="5"/>
  <c r="H60" i="5"/>
  <c r="H59" i="5"/>
  <c r="G55" i="5"/>
  <c r="F55" i="5"/>
  <c r="E55" i="5"/>
  <c r="D55" i="5"/>
  <c r="C55" i="5"/>
  <c r="H54" i="5"/>
  <c r="H53" i="5"/>
  <c r="H52" i="5"/>
  <c r="H51" i="5"/>
  <c r="H50" i="5"/>
  <c r="H49" i="5"/>
  <c r="H48" i="5"/>
  <c r="H55" i="5" s="1"/>
  <c r="G44" i="5"/>
  <c r="F44" i="5"/>
  <c r="E44" i="5"/>
  <c r="D44" i="5"/>
  <c r="C44" i="5"/>
  <c r="H43" i="5"/>
  <c r="H42" i="5"/>
  <c r="H41" i="5"/>
  <c r="H44" i="5" s="1"/>
  <c r="H40" i="5"/>
  <c r="H39" i="5"/>
  <c r="H38" i="5"/>
  <c r="H37" i="5"/>
  <c r="G33" i="5"/>
  <c r="F33" i="5"/>
  <c r="E33" i="5"/>
  <c r="D33" i="5"/>
  <c r="C33" i="5"/>
  <c r="H32" i="5"/>
  <c r="H31" i="5"/>
  <c r="H30" i="5"/>
  <c r="H29" i="5"/>
  <c r="H28" i="5"/>
  <c r="H27" i="5"/>
  <c r="H26" i="5"/>
  <c r="G22" i="5"/>
  <c r="F22" i="5"/>
  <c r="E22" i="5"/>
  <c r="D22" i="5"/>
  <c r="C22" i="5"/>
  <c r="H21" i="5"/>
  <c r="H20" i="5"/>
  <c r="H19" i="5"/>
  <c r="H18" i="5"/>
  <c r="H17" i="5"/>
  <c r="H16" i="5"/>
  <c r="H15" i="5"/>
  <c r="H22" i="5" s="1"/>
  <c r="G11" i="5"/>
  <c r="H11" i="5" s="1"/>
  <c r="F11" i="5"/>
  <c r="E11" i="5"/>
  <c r="D11" i="5"/>
  <c r="C11" i="5"/>
  <c r="H10" i="5"/>
  <c r="H9" i="5"/>
  <c r="H8" i="5"/>
  <c r="H7" i="5"/>
  <c r="H6" i="5"/>
  <c r="H5" i="5"/>
  <c r="H4" i="5"/>
  <c r="S302" i="4"/>
  <c r="R302" i="4"/>
  <c r="O302" i="4"/>
  <c r="N302" i="4"/>
  <c r="J302" i="4"/>
  <c r="H302" i="4"/>
  <c r="G302" i="4"/>
  <c r="F302" i="4"/>
  <c r="D302" i="4"/>
  <c r="C302" i="4"/>
  <c r="B302" i="4"/>
  <c r="AB300" i="4"/>
  <c r="AA300" i="4"/>
  <c r="X300" i="4"/>
  <c r="W300" i="4"/>
  <c r="V300" i="4"/>
  <c r="L300" i="4"/>
  <c r="K300" i="4"/>
  <c r="AB299" i="4"/>
  <c r="AA299" i="4"/>
  <c r="X299" i="4"/>
  <c r="W299" i="4"/>
  <c r="V299" i="4"/>
  <c r="L299" i="4"/>
  <c r="AB298" i="4"/>
  <c r="AA298" i="4"/>
  <c r="X298" i="4"/>
  <c r="W298" i="4"/>
  <c r="V298" i="4"/>
  <c r="L298" i="4"/>
  <c r="K299" i="4" s="1"/>
  <c r="AB297" i="4"/>
  <c r="AA297" i="4"/>
  <c r="X297" i="4"/>
  <c r="W297" i="4"/>
  <c r="V297" i="4"/>
  <c r="L297" i="4"/>
  <c r="K298" i="4" s="1"/>
  <c r="AB296" i="4"/>
  <c r="AA296" i="4"/>
  <c r="X296" i="4"/>
  <c r="W296" i="4"/>
  <c r="V296" i="4"/>
  <c r="L296" i="4"/>
  <c r="K296" i="4"/>
  <c r="AB295" i="4"/>
  <c r="AA295" i="4"/>
  <c r="X295" i="4"/>
  <c r="W295" i="4"/>
  <c r="V295" i="4"/>
  <c r="K295" i="4"/>
  <c r="AB294" i="4"/>
  <c r="AA294" i="4"/>
  <c r="X294" i="4"/>
  <c r="W294" i="4"/>
  <c r="V294" i="4"/>
  <c r="L294" i="4"/>
  <c r="K294" i="4"/>
  <c r="AB293" i="4"/>
  <c r="AA293" i="4"/>
  <c r="X293" i="4"/>
  <c r="W293" i="4"/>
  <c r="V293" i="4"/>
  <c r="L293" i="4"/>
  <c r="K293" i="4"/>
  <c r="AB292" i="4"/>
  <c r="AA292" i="4"/>
  <c r="X292" i="4"/>
  <c r="W292" i="4"/>
  <c r="V292" i="4"/>
  <c r="L292" i="4"/>
  <c r="AB291" i="4"/>
  <c r="AA291" i="4"/>
  <c r="X291" i="4"/>
  <c r="W291" i="4"/>
  <c r="V291" i="4"/>
  <c r="L291" i="4"/>
  <c r="K291" i="4" s="1"/>
  <c r="AB290" i="4"/>
  <c r="AA290" i="4"/>
  <c r="X290" i="4"/>
  <c r="W290" i="4"/>
  <c r="V290" i="4"/>
  <c r="K290" i="4"/>
  <c r="AB289" i="4"/>
  <c r="AA289" i="4"/>
  <c r="X289" i="4"/>
  <c r="W289" i="4"/>
  <c r="V289" i="4"/>
  <c r="L289" i="4"/>
  <c r="AB288" i="4"/>
  <c r="AA288" i="4"/>
  <c r="X288" i="4"/>
  <c r="W288" i="4"/>
  <c r="V288" i="4"/>
  <c r="L288" i="4"/>
  <c r="K289" i="4" s="1"/>
  <c r="AB287" i="4"/>
  <c r="AA287" i="4"/>
  <c r="X287" i="4"/>
  <c r="W287" i="4"/>
  <c r="V287" i="4"/>
  <c r="L287" i="4"/>
  <c r="K288" i="4" s="1"/>
  <c r="AB286" i="4"/>
  <c r="AA286" i="4"/>
  <c r="X286" i="4"/>
  <c r="W286" i="4"/>
  <c r="V286" i="4"/>
  <c r="L286" i="4"/>
  <c r="K286" i="4"/>
  <c r="AB285" i="4"/>
  <c r="AA285" i="4"/>
  <c r="X285" i="4"/>
  <c r="W285" i="4"/>
  <c r="V285" i="4"/>
  <c r="L285" i="4"/>
  <c r="AB284" i="4"/>
  <c r="AA284" i="4"/>
  <c r="X284" i="4"/>
  <c r="W284" i="4"/>
  <c r="V284" i="4"/>
  <c r="L284" i="4"/>
  <c r="K285" i="4" s="1"/>
  <c r="AC283" i="4"/>
  <c r="AB283" i="4"/>
  <c r="AA283" i="4"/>
  <c r="Z283" i="4"/>
  <c r="X283" i="4"/>
  <c r="W283" i="4"/>
  <c r="V283" i="4"/>
  <c r="L283" i="4"/>
  <c r="K284" i="4" s="1"/>
  <c r="AC282" i="4"/>
  <c r="AB282" i="4"/>
  <c r="AA282" i="4"/>
  <c r="Z282" i="4"/>
  <c r="X282" i="4"/>
  <c r="W282" i="4"/>
  <c r="V282" i="4"/>
  <c r="L282" i="4"/>
  <c r="K283" i="4" s="1"/>
  <c r="L281" i="4"/>
  <c r="K282" i="4" s="1"/>
  <c r="AC280" i="4"/>
  <c r="AB280" i="4"/>
  <c r="AA280" i="4"/>
  <c r="Z280" i="4"/>
  <c r="X280" i="4"/>
  <c r="W280" i="4"/>
  <c r="V280" i="4"/>
  <c r="L280" i="4"/>
  <c r="K281" i="4" s="1"/>
  <c r="AC279" i="4"/>
  <c r="AB279" i="4"/>
  <c r="AA279" i="4"/>
  <c r="Z279" i="4"/>
  <c r="X279" i="4"/>
  <c r="W279" i="4"/>
  <c r="V279" i="4"/>
  <c r="L279" i="4"/>
  <c r="K280" i="4" s="1"/>
  <c r="AC278" i="4"/>
  <c r="AB278" i="4"/>
  <c r="AA278" i="4"/>
  <c r="Z278" i="4"/>
  <c r="X278" i="4"/>
  <c r="W278" i="4"/>
  <c r="V278" i="4"/>
  <c r="L278" i="4"/>
  <c r="K278" i="4" s="1"/>
  <c r="AC277" i="4"/>
  <c r="AB277" i="4"/>
  <c r="AA277" i="4"/>
  <c r="Z277" i="4"/>
  <c r="X277" i="4"/>
  <c r="W277" i="4"/>
  <c r="V277" i="4"/>
  <c r="K277" i="4"/>
  <c r="AE276" i="4"/>
  <c r="AC276" i="4"/>
  <c r="AB276" i="4"/>
  <c r="AA276" i="4"/>
  <c r="Z276" i="4"/>
  <c r="X276" i="4"/>
  <c r="W276" i="4"/>
  <c r="V276" i="4"/>
  <c r="K276" i="4"/>
  <c r="K274" i="4"/>
  <c r="AC273" i="4"/>
  <c r="AB273" i="4"/>
  <c r="AA273" i="4"/>
  <c r="Z273" i="4"/>
  <c r="X273" i="4"/>
  <c r="W273" i="4"/>
  <c r="V273" i="4"/>
  <c r="K273" i="4"/>
  <c r="AB272" i="4"/>
  <c r="AE271" i="4"/>
  <c r="AC271" i="4"/>
  <c r="AB271" i="4"/>
  <c r="AA271" i="4"/>
  <c r="Z271" i="4"/>
  <c r="X271" i="4"/>
  <c r="W271" i="4"/>
  <c r="V271" i="4"/>
  <c r="L271" i="4"/>
  <c r="K272" i="4" s="1"/>
  <c r="K271" i="4"/>
  <c r="S267" i="4"/>
  <c r="R267" i="4"/>
  <c r="O267" i="4"/>
  <c r="N267" i="4"/>
  <c r="J267" i="4"/>
  <c r="H267" i="4"/>
  <c r="G267" i="4"/>
  <c r="F267" i="4"/>
  <c r="D267" i="4"/>
  <c r="C267" i="4"/>
  <c r="B267" i="4"/>
  <c r="K266" i="4"/>
  <c r="AE265" i="4"/>
  <c r="AC265" i="4"/>
  <c r="AB265" i="4"/>
  <c r="AA265" i="4"/>
  <c r="Z265" i="4"/>
  <c r="X265" i="4"/>
  <c r="W265" i="4"/>
  <c r="V265" i="4"/>
  <c r="K265" i="4"/>
  <c r="K264" i="4"/>
  <c r="K263" i="4"/>
  <c r="K262" i="4"/>
  <c r="K261" i="4"/>
  <c r="AE259" i="4"/>
  <c r="AC259" i="4"/>
  <c r="AB259" i="4"/>
  <c r="AA259" i="4"/>
  <c r="Z259" i="4"/>
  <c r="X259" i="4"/>
  <c r="W259" i="4"/>
  <c r="V259" i="4"/>
  <c r="L259" i="4"/>
  <c r="K260" i="4" s="1"/>
  <c r="K259" i="4"/>
  <c r="AE258" i="4"/>
  <c r="AC258" i="4"/>
  <c r="AB258" i="4"/>
  <c r="AA258" i="4"/>
  <c r="Z258" i="4"/>
  <c r="X258" i="4"/>
  <c r="W258" i="4"/>
  <c r="V258" i="4"/>
  <c r="L258" i="4"/>
  <c r="AE257" i="4"/>
  <c r="AC257" i="4"/>
  <c r="AB257" i="4"/>
  <c r="AA257" i="4"/>
  <c r="Z257" i="4"/>
  <c r="X257" i="4"/>
  <c r="W257" i="4"/>
  <c r="V257" i="4"/>
  <c r="L257" i="4"/>
  <c r="K258" i="4" s="1"/>
  <c r="K257" i="4"/>
  <c r="AE256" i="4"/>
  <c r="AC256" i="4"/>
  <c r="AB256" i="4"/>
  <c r="AA256" i="4"/>
  <c r="Z256" i="4"/>
  <c r="X256" i="4"/>
  <c r="W256" i="4"/>
  <c r="V256" i="4"/>
  <c r="L256" i="4"/>
  <c r="K256" i="4" s="1"/>
  <c r="AE255" i="4"/>
  <c r="AC255" i="4"/>
  <c r="AB255" i="4"/>
  <c r="AA255" i="4"/>
  <c r="Z255" i="4"/>
  <c r="X255" i="4"/>
  <c r="W255" i="4"/>
  <c r="V255" i="4"/>
  <c r="AE254" i="4"/>
  <c r="AC254" i="4"/>
  <c r="AB254" i="4"/>
  <c r="AA254" i="4"/>
  <c r="Z254" i="4"/>
  <c r="X254" i="4"/>
  <c r="W254" i="4"/>
  <c r="V254" i="4"/>
  <c r="L254" i="4"/>
  <c r="K255" i="4" s="1"/>
  <c r="AE253" i="4"/>
  <c r="AC253" i="4"/>
  <c r="AB253" i="4"/>
  <c r="AA253" i="4"/>
  <c r="Z253" i="4"/>
  <c r="X253" i="4"/>
  <c r="W253" i="4"/>
  <c r="V253" i="4"/>
  <c r="L253" i="4"/>
  <c r="K254" i="4" s="1"/>
  <c r="AE252" i="4"/>
  <c r="AC252" i="4"/>
  <c r="AB252" i="4"/>
  <c r="AA252" i="4"/>
  <c r="Z252" i="4"/>
  <c r="X252" i="4"/>
  <c r="W252" i="4"/>
  <c r="V252" i="4"/>
  <c r="L252" i="4"/>
  <c r="K252" i="4" s="1"/>
  <c r="AE251" i="4"/>
  <c r="AC251" i="4"/>
  <c r="AB251" i="4"/>
  <c r="AA251" i="4"/>
  <c r="Z251" i="4"/>
  <c r="X251" i="4"/>
  <c r="W251" i="4"/>
  <c r="V251" i="4"/>
  <c r="L251" i="4"/>
  <c r="AE250" i="4"/>
  <c r="AC250" i="4"/>
  <c r="AB250" i="4"/>
  <c r="AA250" i="4"/>
  <c r="Z250" i="4"/>
  <c r="X250" i="4"/>
  <c r="W250" i="4"/>
  <c r="V250" i="4"/>
  <c r="L250" i="4"/>
  <c r="K251" i="4" s="1"/>
  <c r="AE249" i="4"/>
  <c r="AC249" i="4"/>
  <c r="AB249" i="4"/>
  <c r="AA249" i="4"/>
  <c r="Z249" i="4"/>
  <c r="X249" i="4"/>
  <c r="W249" i="4"/>
  <c r="V249" i="4"/>
  <c r="L249" i="4"/>
  <c r="AE248" i="4"/>
  <c r="AC248" i="4"/>
  <c r="AB248" i="4"/>
  <c r="AA248" i="4"/>
  <c r="Z248" i="4"/>
  <c r="X248" i="4"/>
  <c r="W248" i="4"/>
  <c r="V248" i="4"/>
  <c r="L248" i="4"/>
  <c r="K248" i="4" s="1"/>
  <c r="AE247" i="4"/>
  <c r="AC247" i="4"/>
  <c r="AB247" i="4"/>
  <c r="AA247" i="4"/>
  <c r="Z247" i="4"/>
  <c r="X247" i="4"/>
  <c r="W247" i="4"/>
  <c r="V247" i="4"/>
  <c r="L247" i="4"/>
  <c r="AE246" i="4"/>
  <c r="AC246" i="4"/>
  <c r="AB246" i="4"/>
  <c r="AA246" i="4"/>
  <c r="Z246" i="4"/>
  <c r="X246" i="4"/>
  <c r="W246" i="4"/>
  <c r="V246" i="4"/>
  <c r="L246" i="4"/>
  <c r="K247" i="4" s="1"/>
  <c r="AE245" i="4"/>
  <c r="AC245" i="4"/>
  <c r="AB245" i="4"/>
  <c r="AA245" i="4"/>
  <c r="Z245" i="4"/>
  <c r="X245" i="4"/>
  <c r="W245" i="4"/>
  <c r="V245" i="4"/>
  <c r="L245" i="4"/>
  <c r="K246" i="4" s="1"/>
  <c r="AE244" i="4"/>
  <c r="AC244" i="4"/>
  <c r="AB244" i="4"/>
  <c r="AA244" i="4"/>
  <c r="Z244" i="4"/>
  <c r="X244" i="4"/>
  <c r="W244" i="4"/>
  <c r="V244" i="4"/>
  <c r="L244" i="4"/>
  <c r="K244" i="4" s="1"/>
  <c r="AE243" i="4"/>
  <c r="AC243" i="4"/>
  <c r="AB243" i="4"/>
  <c r="AA243" i="4"/>
  <c r="Z243" i="4"/>
  <c r="X243" i="4"/>
  <c r="W243" i="4"/>
  <c r="V243" i="4"/>
  <c r="L243" i="4"/>
  <c r="AE242" i="4"/>
  <c r="AC242" i="4"/>
  <c r="AB242" i="4"/>
  <c r="AA242" i="4"/>
  <c r="Z242" i="4"/>
  <c r="X242" i="4"/>
  <c r="W242" i="4"/>
  <c r="V242" i="4"/>
  <c r="L242" i="4"/>
  <c r="K243" i="4" s="1"/>
  <c r="AE241" i="4"/>
  <c r="AC241" i="4"/>
  <c r="AB241" i="4"/>
  <c r="AA241" i="4"/>
  <c r="Z241" i="4"/>
  <c r="X241" i="4"/>
  <c r="W241" i="4"/>
  <c r="V241" i="4"/>
  <c r="L241" i="4"/>
  <c r="K242" i="4" s="1"/>
  <c r="AE240" i="4"/>
  <c r="AC240" i="4"/>
  <c r="AB240" i="4"/>
  <c r="AA240" i="4"/>
  <c r="Z240" i="4"/>
  <c r="X240" i="4"/>
  <c r="W240" i="4"/>
  <c r="V240" i="4"/>
  <c r="L240" i="4"/>
  <c r="K240" i="4" s="1"/>
  <c r="AE239" i="4"/>
  <c r="AC239" i="4"/>
  <c r="AB239" i="4"/>
  <c r="AA239" i="4"/>
  <c r="Z239" i="4"/>
  <c r="X239" i="4"/>
  <c r="W239" i="4"/>
  <c r="V239" i="4"/>
  <c r="L239" i="4"/>
  <c r="AC238" i="4"/>
  <c r="AB238" i="4"/>
  <c r="AA238" i="4"/>
  <c r="Z238" i="4"/>
  <c r="X238" i="4"/>
  <c r="W238" i="4"/>
  <c r="V238" i="4"/>
  <c r="L238" i="4"/>
  <c r="K239" i="4" s="1"/>
  <c r="K238" i="4"/>
  <c r="S235" i="4"/>
  <c r="R235" i="4"/>
  <c r="O235" i="4"/>
  <c r="N235" i="4"/>
  <c r="J235" i="4"/>
  <c r="H235" i="4"/>
  <c r="G235" i="4"/>
  <c r="F235" i="4"/>
  <c r="D235" i="4"/>
  <c r="C235" i="4"/>
  <c r="B235" i="4"/>
  <c r="AE234" i="4"/>
  <c r="AC234" i="4"/>
  <c r="AB234" i="4"/>
  <c r="AA234" i="4"/>
  <c r="Z234" i="4"/>
  <c r="X234" i="4"/>
  <c r="W234" i="4"/>
  <c r="V234" i="4"/>
  <c r="K234" i="4"/>
  <c r="AE233" i="4"/>
  <c r="AC233" i="4"/>
  <c r="AB233" i="4"/>
  <c r="AA233" i="4"/>
  <c r="Z233" i="4"/>
  <c r="X233" i="4"/>
  <c r="W233" i="4"/>
  <c r="V233" i="4"/>
  <c r="K233" i="4"/>
  <c r="AE232" i="4"/>
  <c r="AC232" i="4"/>
  <c r="AB232" i="4"/>
  <c r="AA232" i="4"/>
  <c r="Z232" i="4"/>
  <c r="X232" i="4"/>
  <c r="W232" i="4"/>
  <c r="V232" i="4"/>
  <c r="K232" i="4"/>
  <c r="AE231" i="4"/>
  <c r="AC231" i="4"/>
  <c r="AB231" i="4"/>
  <c r="AA231" i="4"/>
  <c r="Z231" i="4"/>
  <c r="X231" i="4"/>
  <c r="W231" i="4"/>
  <c r="V231" i="4"/>
  <c r="K231" i="4"/>
  <c r="AE230" i="4"/>
  <c r="AC230" i="4"/>
  <c r="AB230" i="4"/>
  <c r="AA230" i="4"/>
  <c r="Z230" i="4"/>
  <c r="X230" i="4"/>
  <c r="W230" i="4"/>
  <c r="V230" i="4"/>
  <c r="L230" i="4"/>
  <c r="AE229" i="4"/>
  <c r="AC229" i="4"/>
  <c r="AB229" i="4"/>
  <c r="AA229" i="4"/>
  <c r="Z229" i="4"/>
  <c r="X229" i="4"/>
  <c r="W229" i="4"/>
  <c r="V229" i="4"/>
  <c r="L229" i="4"/>
  <c r="K230" i="4" s="1"/>
  <c r="AE228" i="4"/>
  <c r="AC228" i="4"/>
  <c r="AB228" i="4"/>
  <c r="AA228" i="4"/>
  <c r="Z228" i="4"/>
  <c r="X228" i="4"/>
  <c r="W228" i="4"/>
  <c r="V228" i="4"/>
  <c r="L228" i="4"/>
  <c r="AE227" i="4"/>
  <c r="AC227" i="4"/>
  <c r="AB227" i="4"/>
  <c r="AA227" i="4"/>
  <c r="Z227" i="4"/>
  <c r="X227" i="4"/>
  <c r="W227" i="4"/>
  <c r="V227" i="4"/>
  <c r="L227" i="4"/>
  <c r="K228" i="4" s="1"/>
  <c r="K227" i="4"/>
  <c r="AE226" i="4"/>
  <c r="AC226" i="4"/>
  <c r="AB226" i="4"/>
  <c r="AA226" i="4"/>
  <c r="Z226" i="4"/>
  <c r="X226" i="4"/>
  <c r="W226" i="4"/>
  <c r="V226" i="4"/>
  <c r="L226" i="4"/>
  <c r="K226" i="4" s="1"/>
  <c r="AE225" i="4"/>
  <c r="AC225" i="4"/>
  <c r="AB225" i="4"/>
  <c r="AA225" i="4"/>
  <c r="Z225" i="4"/>
  <c r="X225" i="4"/>
  <c r="W225" i="4"/>
  <c r="V225" i="4"/>
  <c r="L225" i="4"/>
  <c r="AE224" i="4"/>
  <c r="AC224" i="4"/>
  <c r="X224" i="4"/>
  <c r="W224" i="4"/>
  <c r="V224" i="4"/>
  <c r="L224" i="4"/>
  <c r="K224" i="4" s="1"/>
  <c r="AE223" i="4"/>
  <c r="AC223" i="4"/>
  <c r="X223" i="4"/>
  <c r="W223" i="4"/>
  <c r="V223" i="4"/>
  <c r="K223" i="4"/>
  <c r="AE222" i="4"/>
  <c r="AC222" i="4"/>
  <c r="X222" i="4"/>
  <c r="W222" i="4"/>
  <c r="V222" i="4"/>
  <c r="K222" i="4"/>
  <c r="AE221" i="4"/>
  <c r="AC221" i="4"/>
  <c r="X221" i="4"/>
  <c r="W221" i="4"/>
  <c r="V221" i="4"/>
  <c r="K221" i="4"/>
  <c r="K220" i="4"/>
  <c r="AE219" i="4"/>
  <c r="AC219" i="4"/>
  <c r="X219" i="4"/>
  <c r="W219" i="4"/>
  <c r="V219" i="4"/>
  <c r="K219" i="4"/>
  <c r="AE218" i="4"/>
  <c r="AC218" i="4"/>
  <c r="AB218" i="4"/>
  <c r="AA218" i="4"/>
  <c r="X218" i="4"/>
  <c r="W218" i="4"/>
  <c r="V218" i="4"/>
  <c r="K218" i="4"/>
  <c r="AE217" i="4"/>
  <c r="AC217" i="4"/>
  <c r="AB217" i="4"/>
  <c r="AA217" i="4"/>
  <c r="X217" i="4"/>
  <c r="W217" i="4"/>
  <c r="V217" i="4"/>
  <c r="K217" i="4"/>
  <c r="AE216" i="4"/>
  <c r="AC216" i="4"/>
  <c r="AB216" i="4"/>
  <c r="AA216" i="4"/>
  <c r="Z216" i="4"/>
  <c r="X216" i="4"/>
  <c r="W216" i="4"/>
  <c r="V216" i="4"/>
  <c r="K216" i="4"/>
  <c r="AE215" i="4"/>
  <c r="AC215" i="4"/>
  <c r="AB215" i="4"/>
  <c r="AA215" i="4"/>
  <c r="Z215" i="4"/>
  <c r="X215" i="4"/>
  <c r="W215" i="4"/>
  <c r="V215" i="4"/>
  <c r="AE214" i="4"/>
  <c r="AC214" i="4"/>
  <c r="AB214" i="4"/>
  <c r="AA214" i="4"/>
  <c r="Z214" i="4"/>
  <c r="X214" i="4"/>
  <c r="W214" i="4"/>
  <c r="V214" i="4"/>
  <c r="L214" i="4"/>
  <c r="K215" i="4" s="1"/>
  <c r="AE213" i="4"/>
  <c r="AC213" i="4"/>
  <c r="AB213" i="4"/>
  <c r="AA213" i="4"/>
  <c r="Z213" i="4"/>
  <c r="X213" i="4"/>
  <c r="W213" i="4"/>
  <c r="V213" i="4"/>
  <c r="L213" i="4"/>
  <c r="K214" i="4" s="1"/>
  <c r="AE212" i="4"/>
  <c r="AC212" i="4"/>
  <c r="AB212" i="4"/>
  <c r="AA212" i="4"/>
  <c r="Z212" i="4"/>
  <c r="X212" i="4"/>
  <c r="W212" i="4"/>
  <c r="V212" i="4"/>
  <c r="L212" i="4"/>
  <c r="K212" i="4" s="1"/>
  <c r="AE211" i="4"/>
  <c r="AC211" i="4"/>
  <c r="AB211" i="4"/>
  <c r="AA211" i="4"/>
  <c r="Z211" i="4"/>
  <c r="X211" i="4"/>
  <c r="W211" i="4"/>
  <c r="V211" i="4"/>
  <c r="L211" i="4"/>
  <c r="K211" i="4" s="1"/>
  <c r="AE210" i="4"/>
  <c r="AC210" i="4"/>
  <c r="AB210" i="4"/>
  <c r="AA210" i="4"/>
  <c r="Z210" i="4"/>
  <c r="X210" i="4"/>
  <c r="W210" i="4"/>
  <c r="V210" i="4"/>
  <c r="K210" i="4"/>
  <c r="AE208" i="4"/>
  <c r="AC208" i="4"/>
  <c r="AB208" i="4"/>
  <c r="AA208" i="4"/>
  <c r="Z208" i="4"/>
  <c r="X208" i="4"/>
  <c r="W208" i="4"/>
  <c r="V208" i="4"/>
  <c r="L208" i="4"/>
  <c r="K209" i="4" s="1"/>
  <c r="K208" i="4"/>
  <c r="AE207" i="4"/>
  <c r="AC207" i="4"/>
  <c r="AB207" i="4"/>
  <c r="AA207" i="4"/>
  <c r="Z207" i="4"/>
  <c r="X207" i="4"/>
  <c r="W207" i="4"/>
  <c r="V207" i="4"/>
  <c r="L207" i="4"/>
  <c r="K207" i="4" s="1"/>
  <c r="AE206" i="4"/>
  <c r="AC206" i="4"/>
  <c r="AB206" i="4"/>
  <c r="AA206" i="4"/>
  <c r="Z206" i="4"/>
  <c r="X206" i="4"/>
  <c r="W206" i="4"/>
  <c r="V206" i="4"/>
  <c r="K206" i="4"/>
  <c r="S201" i="4"/>
  <c r="R201" i="4"/>
  <c r="O201" i="4"/>
  <c r="N201" i="4"/>
  <c r="J201" i="4"/>
  <c r="H201" i="4"/>
  <c r="G201" i="4"/>
  <c r="F201" i="4"/>
  <c r="D201" i="4"/>
  <c r="C201" i="4"/>
  <c r="B201" i="4"/>
  <c r="K200" i="4"/>
  <c r="AE199" i="4"/>
  <c r="K199" i="4"/>
  <c r="AE198" i="4"/>
  <c r="K198" i="4"/>
  <c r="AE197" i="4"/>
  <c r="K197" i="4"/>
  <c r="AE196" i="4"/>
  <c r="K196" i="4"/>
  <c r="AE195" i="4"/>
  <c r="K195" i="4"/>
  <c r="AE194" i="4"/>
  <c r="K194" i="4"/>
  <c r="AE193" i="4"/>
  <c r="AE192" i="4"/>
  <c r="L192" i="4"/>
  <c r="K192" i="4" s="1"/>
  <c r="AE191" i="4"/>
  <c r="K191" i="4"/>
  <c r="AE190" i="4"/>
  <c r="K190" i="4"/>
  <c r="AE189" i="4"/>
  <c r="AE188" i="4"/>
  <c r="AC188" i="4"/>
  <c r="AB188" i="4"/>
  <c r="AA188" i="4"/>
  <c r="Z188" i="4"/>
  <c r="X188" i="4"/>
  <c r="W188" i="4"/>
  <c r="V188" i="4"/>
  <c r="L188" i="4"/>
  <c r="K189" i="4" s="1"/>
  <c r="AE187" i="4"/>
  <c r="AC187" i="4"/>
  <c r="AB187" i="4"/>
  <c r="AA187" i="4"/>
  <c r="Z187" i="4"/>
  <c r="X187" i="4"/>
  <c r="W187" i="4"/>
  <c r="V187" i="4"/>
  <c r="L187" i="4"/>
  <c r="K187" i="4" s="1"/>
  <c r="AE186" i="4"/>
  <c r="AC186" i="4"/>
  <c r="AB186" i="4"/>
  <c r="AA186" i="4"/>
  <c r="Z186" i="4"/>
  <c r="X186" i="4"/>
  <c r="W186" i="4"/>
  <c r="V186" i="4"/>
  <c r="L186" i="4"/>
  <c r="AE185" i="4"/>
  <c r="AC185" i="4"/>
  <c r="AB185" i="4"/>
  <c r="AA185" i="4"/>
  <c r="Z185" i="4"/>
  <c r="X185" i="4"/>
  <c r="W185" i="4"/>
  <c r="V185" i="4"/>
  <c r="L185" i="4"/>
  <c r="K186" i="4" s="1"/>
  <c r="AE184" i="4"/>
  <c r="AC184" i="4"/>
  <c r="AB184" i="4"/>
  <c r="AA184" i="4"/>
  <c r="Z184" i="4"/>
  <c r="X184" i="4"/>
  <c r="W184" i="4"/>
  <c r="V184" i="4"/>
  <c r="L184" i="4"/>
  <c r="K185" i="4" s="1"/>
  <c r="AE183" i="4"/>
  <c r="AC183" i="4"/>
  <c r="AB183" i="4"/>
  <c r="AA183" i="4"/>
  <c r="Z183" i="4"/>
  <c r="X183" i="4"/>
  <c r="W183" i="4"/>
  <c r="V183" i="4"/>
  <c r="L183" i="4"/>
  <c r="K183" i="4" s="1"/>
  <c r="AE182" i="4"/>
  <c r="AC182" i="4"/>
  <c r="AB182" i="4"/>
  <c r="AA182" i="4"/>
  <c r="Z182" i="4"/>
  <c r="X182" i="4"/>
  <c r="W182" i="4"/>
  <c r="V182" i="4"/>
  <c r="L182" i="4"/>
  <c r="AE181" i="4"/>
  <c r="AC181" i="4"/>
  <c r="AB181" i="4"/>
  <c r="AA181" i="4"/>
  <c r="Z181" i="4"/>
  <c r="X181" i="4"/>
  <c r="W181" i="4"/>
  <c r="V181" i="4"/>
  <c r="L181" i="4"/>
  <c r="K182" i="4" s="1"/>
  <c r="AE180" i="4"/>
  <c r="AC180" i="4"/>
  <c r="AB180" i="4"/>
  <c r="AA180" i="4"/>
  <c r="Z180" i="4"/>
  <c r="X180" i="4"/>
  <c r="W180" i="4"/>
  <c r="V180" i="4"/>
  <c r="L180" i="4"/>
  <c r="K181" i="4" s="1"/>
  <c r="AE179" i="4"/>
  <c r="AC179" i="4"/>
  <c r="AB179" i="4"/>
  <c r="AA179" i="4"/>
  <c r="Z179" i="4"/>
  <c r="X179" i="4"/>
  <c r="W179" i="4"/>
  <c r="V179" i="4"/>
  <c r="K179" i="4"/>
  <c r="AE178" i="4"/>
  <c r="AC178" i="4"/>
  <c r="AB178" i="4"/>
  <c r="AA178" i="4"/>
  <c r="Z178" i="4"/>
  <c r="X178" i="4"/>
  <c r="W178" i="4"/>
  <c r="V178" i="4"/>
  <c r="L178" i="4"/>
  <c r="AE177" i="4"/>
  <c r="AC177" i="4"/>
  <c r="AB177" i="4"/>
  <c r="AA177" i="4"/>
  <c r="Z177" i="4"/>
  <c r="X177" i="4"/>
  <c r="W177" i="4"/>
  <c r="V177" i="4"/>
  <c r="L177" i="4"/>
  <c r="K178" i="4" s="1"/>
  <c r="K177" i="4"/>
  <c r="AE176" i="4"/>
  <c r="AC176" i="4"/>
  <c r="AB176" i="4"/>
  <c r="AA176" i="4"/>
  <c r="Z176" i="4"/>
  <c r="X176" i="4"/>
  <c r="W176" i="4"/>
  <c r="V176" i="4"/>
  <c r="K176" i="4"/>
  <c r="AE175" i="4"/>
  <c r="AC175" i="4"/>
  <c r="AB175" i="4"/>
  <c r="AA175" i="4"/>
  <c r="Z175" i="4"/>
  <c r="X175" i="4"/>
  <c r="W175" i="4"/>
  <c r="V175" i="4"/>
  <c r="L175" i="4"/>
  <c r="K175" i="4"/>
  <c r="AE174" i="4"/>
  <c r="AC174" i="4"/>
  <c r="AB174" i="4"/>
  <c r="AA174" i="4"/>
  <c r="Z174" i="4"/>
  <c r="X174" i="4"/>
  <c r="W174" i="4"/>
  <c r="V174" i="4"/>
  <c r="L174" i="4"/>
  <c r="K174" i="4" s="1"/>
  <c r="AE173" i="4"/>
  <c r="AC173" i="4"/>
  <c r="AB173" i="4"/>
  <c r="AA173" i="4"/>
  <c r="Z173" i="4"/>
  <c r="X173" i="4"/>
  <c r="W173" i="4"/>
  <c r="V173" i="4"/>
  <c r="L173" i="4"/>
  <c r="AE172" i="4"/>
  <c r="AC172" i="4"/>
  <c r="AB172" i="4"/>
  <c r="AA172" i="4"/>
  <c r="Z172" i="4"/>
  <c r="X172" i="4"/>
  <c r="W172" i="4"/>
  <c r="V172" i="4"/>
  <c r="L172" i="4"/>
  <c r="K173" i="4" s="1"/>
  <c r="K172" i="4"/>
  <c r="AE171" i="4"/>
  <c r="AC171" i="4"/>
  <c r="AB171" i="4"/>
  <c r="AA171" i="4"/>
  <c r="Z171" i="4"/>
  <c r="X171" i="4"/>
  <c r="W171" i="4"/>
  <c r="V171" i="4"/>
  <c r="K171" i="4"/>
  <c r="S168" i="4"/>
  <c r="R168" i="4"/>
  <c r="O168" i="4"/>
  <c r="N168" i="4"/>
  <c r="J168" i="4"/>
  <c r="H168" i="4"/>
  <c r="G168" i="4"/>
  <c r="F168" i="4"/>
  <c r="D168" i="4"/>
  <c r="C168" i="4"/>
  <c r="B168" i="4"/>
  <c r="AE167" i="4"/>
  <c r="AC167" i="4"/>
  <c r="AB167" i="4"/>
  <c r="AA167" i="4"/>
  <c r="Z167" i="4"/>
  <c r="X167" i="4"/>
  <c r="W167" i="4"/>
  <c r="V167" i="4"/>
  <c r="AE166" i="4"/>
  <c r="AC166" i="4"/>
  <c r="AB166" i="4"/>
  <c r="AA166" i="4"/>
  <c r="Z166" i="4"/>
  <c r="X166" i="4"/>
  <c r="W166" i="4"/>
  <c r="V166" i="4"/>
  <c r="L166" i="4"/>
  <c r="K167" i="4" s="1"/>
  <c r="AE165" i="4"/>
  <c r="AC165" i="4"/>
  <c r="AB165" i="4"/>
  <c r="AA165" i="4"/>
  <c r="Z165" i="4"/>
  <c r="X165" i="4"/>
  <c r="W165" i="4"/>
  <c r="V165" i="4"/>
  <c r="L165" i="4"/>
  <c r="K166" i="4" s="1"/>
  <c r="K165" i="4"/>
  <c r="AE164" i="4"/>
  <c r="AC164" i="4"/>
  <c r="AB164" i="4"/>
  <c r="AA164" i="4"/>
  <c r="Z164" i="4"/>
  <c r="X164" i="4"/>
  <c r="W164" i="4"/>
  <c r="V164" i="4"/>
  <c r="L164" i="4"/>
  <c r="K164" i="4" s="1"/>
  <c r="AE163" i="4"/>
  <c r="AC163" i="4"/>
  <c r="AB163" i="4"/>
  <c r="AA163" i="4"/>
  <c r="Z163" i="4"/>
  <c r="X163" i="4"/>
  <c r="W163" i="4"/>
  <c r="V163" i="4"/>
  <c r="L163" i="4"/>
  <c r="K163" i="4"/>
  <c r="AE162" i="4"/>
  <c r="AC162" i="4"/>
  <c r="AB162" i="4"/>
  <c r="AA162" i="4"/>
  <c r="Z162" i="4"/>
  <c r="X162" i="4"/>
  <c r="W162" i="4"/>
  <c r="V162" i="4"/>
  <c r="K162" i="4"/>
  <c r="AE161" i="4"/>
  <c r="AC161" i="4"/>
  <c r="AB161" i="4"/>
  <c r="AA161" i="4"/>
  <c r="Z161" i="4"/>
  <c r="X161" i="4"/>
  <c r="W161" i="4"/>
  <c r="V161" i="4"/>
  <c r="L161" i="4"/>
  <c r="AE160" i="4"/>
  <c r="AC160" i="4"/>
  <c r="AB160" i="4"/>
  <c r="AA160" i="4"/>
  <c r="Z160" i="4"/>
  <c r="X160" i="4"/>
  <c r="W160" i="4"/>
  <c r="V160" i="4"/>
  <c r="L160" i="4"/>
  <c r="K161" i="4" s="1"/>
  <c r="K160" i="4"/>
  <c r="AE159" i="4"/>
  <c r="AC159" i="4"/>
  <c r="AB159" i="4"/>
  <c r="AA159" i="4"/>
  <c r="Z159" i="4"/>
  <c r="X159" i="4"/>
  <c r="W159" i="4"/>
  <c r="V159" i="4"/>
  <c r="L159" i="4"/>
  <c r="AE158" i="4"/>
  <c r="AC158" i="4"/>
  <c r="AB158" i="4"/>
  <c r="AA158" i="4"/>
  <c r="Z158" i="4"/>
  <c r="X158" i="4"/>
  <c r="W158" i="4"/>
  <c r="V158" i="4"/>
  <c r="L158" i="4"/>
  <c r="K159" i="4" s="1"/>
  <c r="AE157" i="4"/>
  <c r="AC157" i="4"/>
  <c r="AB157" i="4"/>
  <c r="AA157" i="4"/>
  <c r="Z157" i="4"/>
  <c r="X157" i="4"/>
  <c r="W157" i="4"/>
  <c r="V157" i="4"/>
  <c r="L157" i="4"/>
  <c r="K158" i="4" s="1"/>
  <c r="AE156" i="4"/>
  <c r="AC156" i="4"/>
  <c r="AB156" i="4"/>
  <c r="AA156" i="4"/>
  <c r="Z156" i="4"/>
  <c r="X156" i="4"/>
  <c r="W156" i="4"/>
  <c r="V156" i="4"/>
  <c r="L156" i="4"/>
  <c r="K157" i="4" s="1"/>
  <c r="K156" i="4"/>
  <c r="AE155" i="4"/>
  <c r="AC155" i="4"/>
  <c r="AA155" i="4"/>
  <c r="X155" i="4"/>
  <c r="W155" i="4"/>
  <c r="AE154" i="4"/>
  <c r="AC154" i="4"/>
  <c r="AB154" i="4"/>
  <c r="AA154" i="4"/>
  <c r="Z154" i="4"/>
  <c r="X154" i="4"/>
  <c r="W154" i="4"/>
  <c r="V154" i="4"/>
  <c r="L154" i="4"/>
  <c r="K155" i="4" s="1"/>
  <c r="K154" i="4"/>
  <c r="AE153" i="4"/>
  <c r="AC153" i="4"/>
  <c r="AB153" i="4"/>
  <c r="AA153" i="4"/>
  <c r="Z153" i="4"/>
  <c r="X153" i="4"/>
  <c r="W153" i="4"/>
  <c r="V153" i="4"/>
  <c r="L153" i="4"/>
  <c r="AE152" i="4"/>
  <c r="AC152" i="4"/>
  <c r="AB152" i="4"/>
  <c r="AA152" i="4"/>
  <c r="Z152" i="4"/>
  <c r="X152" i="4"/>
  <c r="W152" i="4"/>
  <c r="V152" i="4"/>
  <c r="L152" i="4"/>
  <c r="K153" i="4" s="1"/>
  <c r="K152" i="4"/>
  <c r="AE151" i="4"/>
  <c r="AC151" i="4"/>
  <c r="AB151" i="4"/>
  <c r="AA151" i="4"/>
  <c r="Z151" i="4"/>
  <c r="X151" i="4"/>
  <c r="W151" i="4"/>
  <c r="V151" i="4"/>
  <c r="L151" i="4"/>
  <c r="K151" i="4"/>
  <c r="AE150" i="4"/>
  <c r="AC150" i="4"/>
  <c r="AB150" i="4"/>
  <c r="AA150" i="4"/>
  <c r="Z150" i="4"/>
  <c r="X150" i="4"/>
  <c r="W150" i="4"/>
  <c r="V150" i="4"/>
  <c r="L150" i="4"/>
  <c r="K150" i="4"/>
  <c r="AE149" i="4"/>
  <c r="AC149" i="4"/>
  <c r="AB149" i="4"/>
  <c r="AA149" i="4"/>
  <c r="Z149" i="4"/>
  <c r="X149" i="4"/>
  <c r="W149" i="4"/>
  <c r="V149" i="4"/>
  <c r="L149" i="4"/>
  <c r="AE148" i="4"/>
  <c r="AC148" i="4"/>
  <c r="AB148" i="4"/>
  <c r="AA148" i="4"/>
  <c r="Z148" i="4"/>
  <c r="X148" i="4"/>
  <c r="W148" i="4"/>
  <c r="V148" i="4"/>
  <c r="L148" i="4"/>
  <c r="K149" i="4" s="1"/>
  <c r="K148" i="4"/>
  <c r="AE147" i="4"/>
  <c r="AC147" i="4"/>
  <c r="AB147" i="4"/>
  <c r="AA147" i="4"/>
  <c r="Z147" i="4"/>
  <c r="X147" i="4"/>
  <c r="W147" i="4"/>
  <c r="V147" i="4"/>
  <c r="L147" i="4"/>
  <c r="AE146" i="4"/>
  <c r="AC146" i="4"/>
  <c r="AB146" i="4"/>
  <c r="AA146" i="4"/>
  <c r="Z146" i="4"/>
  <c r="X146" i="4"/>
  <c r="W146" i="4"/>
  <c r="V146" i="4"/>
  <c r="L146" i="4"/>
  <c r="K147" i="4" s="1"/>
  <c r="L145" i="4"/>
  <c r="L144" i="4"/>
  <c r="K145" i="4" s="1"/>
  <c r="K144" i="4"/>
  <c r="L143" i="4"/>
  <c r="K143" i="4" s="1"/>
  <c r="L142" i="4"/>
  <c r="K142" i="4"/>
  <c r="AE141" i="4"/>
  <c r="AC141" i="4"/>
  <c r="AB141" i="4"/>
  <c r="AA141" i="4"/>
  <c r="Z141" i="4"/>
  <c r="X141" i="4"/>
  <c r="W141" i="4"/>
  <c r="V141" i="4"/>
  <c r="L141" i="4"/>
  <c r="AE140" i="4"/>
  <c r="AC140" i="4"/>
  <c r="AB140" i="4"/>
  <c r="AA140" i="4"/>
  <c r="Z140" i="4"/>
  <c r="X140" i="4"/>
  <c r="W140" i="4"/>
  <c r="V140" i="4"/>
  <c r="L140" i="4"/>
  <c r="K141" i="4" s="1"/>
  <c r="AE139" i="4"/>
  <c r="AC139" i="4"/>
  <c r="AB139" i="4"/>
  <c r="AA139" i="4"/>
  <c r="Z139" i="4"/>
  <c r="X139" i="4"/>
  <c r="W139" i="4"/>
  <c r="V139" i="4"/>
  <c r="L139" i="4"/>
  <c r="K140" i="4" s="1"/>
  <c r="AE138" i="4"/>
  <c r="AC138" i="4"/>
  <c r="AB138" i="4"/>
  <c r="AA138" i="4"/>
  <c r="Z138" i="4"/>
  <c r="X138" i="4"/>
  <c r="W138" i="4"/>
  <c r="V138" i="4"/>
  <c r="L138" i="4"/>
  <c r="K138" i="4" s="1"/>
  <c r="AE137" i="4"/>
  <c r="AC137" i="4"/>
  <c r="AB137" i="4"/>
  <c r="AA137" i="4"/>
  <c r="Z137" i="4"/>
  <c r="X137" i="4"/>
  <c r="W137" i="4"/>
  <c r="V137" i="4"/>
  <c r="L137" i="4"/>
  <c r="K137" i="4" s="1"/>
  <c r="S134" i="4"/>
  <c r="R134" i="4"/>
  <c r="O134" i="4"/>
  <c r="N134" i="4"/>
  <c r="J134" i="4"/>
  <c r="H134" i="4"/>
  <c r="G134" i="4"/>
  <c r="F134" i="4"/>
  <c r="D134" i="4"/>
  <c r="C134" i="4"/>
  <c r="B134" i="4"/>
  <c r="K133" i="4"/>
  <c r="K132" i="4"/>
  <c r="AE131" i="4"/>
  <c r="AC131" i="4"/>
  <c r="AB131" i="4"/>
  <c r="AA131" i="4"/>
  <c r="Z131" i="4"/>
  <c r="X131" i="4"/>
  <c r="W131" i="4"/>
  <c r="V131" i="4"/>
  <c r="K131" i="4"/>
  <c r="AE130" i="4"/>
  <c r="AC130" i="4"/>
  <c r="AB130" i="4"/>
  <c r="AA130" i="4"/>
  <c r="Z130" i="4"/>
  <c r="X130" i="4"/>
  <c r="W130" i="4"/>
  <c r="V130" i="4"/>
  <c r="K130" i="4"/>
  <c r="AE129" i="4"/>
  <c r="AC129" i="4"/>
  <c r="AB129" i="4"/>
  <c r="AA129" i="4"/>
  <c r="Z129" i="4"/>
  <c r="X129" i="4"/>
  <c r="W129" i="4"/>
  <c r="V129" i="4"/>
  <c r="K129" i="4"/>
  <c r="AE128" i="4"/>
  <c r="AC128" i="4"/>
  <c r="AB128" i="4"/>
  <c r="AA128" i="4"/>
  <c r="Z128" i="4"/>
  <c r="X128" i="4"/>
  <c r="W128" i="4"/>
  <c r="V128" i="4"/>
  <c r="K128" i="4"/>
  <c r="AE127" i="4"/>
  <c r="AC127" i="4"/>
  <c r="AB127" i="4"/>
  <c r="AA127" i="4"/>
  <c r="Z127" i="4"/>
  <c r="X127" i="4"/>
  <c r="W127" i="4"/>
  <c r="V127" i="4"/>
  <c r="K127" i="4"/>
  <c r="AE126" i="4"/>
  <c r="AC126" i="4"/>
  <c r="AB126" i="4"/>
  <c r="AA126" i="4"/>
  <c r="Z126" i="4"/>
  <c r="X126" i="4"/>
  <c r="W126" i="4"/>
  <c r="V126" i="4"/>
  <c r="K126" i="4"/>
  <c r="AE125" i="4"/>
  <c r="AC125" i="4"/>
  <c r="AB125" i="4"/>
  <c r="AA125" i="4"/>
  <c r="Z125" i="4"/>
  <c r="X125" i="4"/>
  <c r="W125" i="4"/>
  <c r="V125" i="4"/>
  <c r="K125" i="4"/>
  <c r="AE124" i="4"/>
  <c r="AC124" i="4"/>
  <c r="AB124" i="4"/>
  <c r="AA124" i="4"/>
  <c r="Z124" i="4"/>
  <c r="X124" i="4"/>
  <c r="W124" i="4"/>
  <c r="V124" i="4"/>
  <c r="K124" i="4"/>
  <c r="AE123" i="4"/>
  <c r="AC123" i="4"/>
  <c r="AB123" i="4"/>
  <c r="AA123" i="4"/>
  <c r="Z123" i="4"/>
  <c r="X123" i="4"/>
  <c r="W123" i="4"/>
  <c r="V123" i="4"/>
  <c r="K123" i="4"/>
  <c r="AE122" i="4"/>
  <c r="AC122" i="4"/>
  <c r="AB122" i="4"/>
  <c r="AA122" i="4"/>
  <c r="Z122" i="4"/>
  <c r="X122" i="4"/>
  <c r="W122" i="4"/>
  <c r="V122" i="4"/>
  <c r="K122" i="4"/>
  <c r="AE121" i="4"/>
  <c r="AC121" i="4"/>
  <c r="AB121" i="4"/>
  <c r="AA121" i="4"/>
  <c r="Z121" i="4"/>
  <c r="X121" i="4"/>
  <c r="W121" i="4"/>
  <c r="V121" i="4"/>
  <c r="K121" i="4"/>
  <c r="AE120" i="4"/>
  <c r="AC120" i="4"/>
  <c r="AB120" i="4"/>
  <c r="AA120" i="4"/>
  <c r="Z120" i="4"/>
  <c r="X120" i="4"/>
  <c r="W120" i="4"/>
  <c r="V120" i="4"/>
  <c r="K120" i="4"/>
  <c r="K119" i="4"/>
  <c r="K118" i="4"/>
  <c r="K117" i="4"/>
  <c r="K116" i="4"/>
  <c r="AE115" i="4"/>
  <c r="AC115" i="4"/>
  <c r="AB115" i="4"/>
  <c r="AA115" i="4"/>
  <c r="Z115" i="4"/>
  <c r="X115" i="4"/>
  <c r="W115" i="4"/>
  <c r="V115" i="4"/>
  <c r="K115" i="4"/>
  <c r="AE114" i="4"/>
  <c r="AC114" i="4"/>
  <c r="AB114" i="4"/>
  <c r="AA114" i="4"/>
  <c r="Z114" i="4"/>
  <c r="X114" i="4"/>
  <c r="W114" i="4"/>
  <c r="V114" i="4"/>
  <c r="K114" i="4"/>
  <c r="AE113" i="4"/>
  <c r="AC113" i="4"/>
  <c r="AB113" i="4"/>
  <c r="AA113" i="4"/>
  <c r="Z113" i="4"/>
  <c r="X113" i="4"/>
  <c r="W113" i="4"/>
  <c r="V113" i="4"/>
  <c r="K113" i="4"/>
  <c r="AE112" i="4"/>
  <c r="AC112" i="4"/>
  <c r="AB112" i="4"/>
  <c r="AA112" i="4"/>
  <c r="Z112" i="4"/>
  <c r="X112" i="4"/>
  <c r="W112" i="4"/>
  <c r="V112" i="4"/>
  <c r="K112" i="4"/>
  <c r="AE111" i="4"/>
  <c r="AC111" i="4"/>
  <c r="AB111" i="4"/>
  <c r="AA111" i="4"/>
  <c r="Z111" i="4"/>
  <c r="X111" i="4"/>
  <c r="W111" i="4"/>
  <c r="V111" i="4"/>
  <c r="K111" i="4"/>
  <c r="AE110" i="4"/>
  <c r="AC110" i="4"/>
  <c r="AB110" i="4"/>
  <c r="AA110" i="4"/>
  <c r="Z110" i="4"/>
  <c r="X110" i="4"/>
  <c r="W110" i="4"/>
  <c r="V110" i="4"/>
  <c r="K110" i="4"/>
  <c r="AE109" i="4"/>
  <c r="AC109" i="4"/>
  <c r="AB109" i="4"/>
  <c r="AA109" i="4"/>
  <c r="Z109" i="4"/>
  <c r="X109" i="4"/>
  <c r="W109" i="4"/>
  <c r="V109" i="4"/>
  <c r="K109" i="4"/>
  <c r="K134" i="4" s="1"/>
  <c r="AE108" i="4"/>
  <c r="AC108" i="4"/>
  <c r="AB108" i="4"/>
  <c r="AA108" i="4"/>
  <c r="Z108" i="4"/>
  <c r="X108" i="4"/>
  <c r="W108" i="4"/>
  <c r="V108" i="4"/>
  <c r="K108" i="4"/>
  <c r="AE107" i="4"/>
  <c r="AC107" i="4"/>
  <c r="AB107" i="4"/>
  <c r="AA107" i="4"/>
  <c r="Z107" i="4"/>
  <c r="X107" i="4"/>
  <c r="W107" i="4"/>
  <c r="V107" i="4"/>
  <c r="K107" i="4"/>
  <c r="AE106" i="4"/>
  <c r="AC106" i="4"/>
  <c r="AB106" i="4"/>
  <c r="AA106" i="4"/>
  <c r="Z106" i="4"/>
  <c r="X106" i="4"/>
  <c r="W106" i="4"/>
  <c r="V106" i="4"/>
  <c r="K106" i="4"/>
  <c r="AE105" i="4"/>
  <c r="AC105" i="4"/>
  <c r="AB105" i="4"/>
  <c r="AA105" i="4"/>
  <c r="Z105" i="4"/>
  <c r="X105" i="4"/>
  <c r="W105" i="4"/>
  <c r="V105" i="4"/>
  <c r="K105" i="4"/>
  <c r="AE104" i="4"/>
  <c r="AC104" i="4"/>
  <c r="AB104" i="4"/>
  <c r="AA104" i="4"/>
  <c r="Z104" i="4"/>
  <c r="X104" i="4"/>
  <c r="W104" i="4"/>
  <c r="V104" i="4"/>
  <c r="J104" i="4"/>
  <c r="K104" i="4" s="1"/>
  <c r="S101" i="4"/>
  <c r="R101" i="4"/>
  <c r="O101" i="4"/>
  <c r="N101" i="4"/>
  <c r="J101" i="4"/>
  <c r="H101" i="4"/>
  <c r="G101" i="4"/>
  <c r="F101" i="4"/>
  <c r="D101" i="4"/>
  <c r="B101" i="4"/>
  <c r="AE100" i="4"/>
  <c r="AC100" i="4"/>
  <c r="AB100" i="4"/>
  <c r="AA100" i="4"/>
  <c r="Z100" i="4"/>
  <c r="X100" i="4"/>
  <c r="W100" i="4"/>
  <c r="V100" i="4"/>
  <c r="K100" i="4"/>
  <c r="C100" i="4"/>
  <c r="AE99" i="4"/>
  <c r="AC99" i="4"/>
  <c r="AB99" i="4"/>
  <c r="AA99" i="4"/>
  <c r="Z99" i="4"/>
  <c r="X99" i="4"/>
  <c r="W99" i="4"/>
  <c r="V99" i="4"/>
  <c r="K99" i="4"/>
  <c r="C99" i="4"/>
  <c r="AE98" i="4"/>
  <c r="AC98" i="4"/>
  <c r="AB98" i="4"/>
  <c r="AA98" i="4"/>
  <c r="Z98" i="4"/>
  <c r="X98" i="4"/>
  <c r="W98" i="4"/>
  <c r="V98" i="4"/>
  <c r="K98" i="4"/>
  <c r="C98" i="4"/>
  <c r="AE97" i="4"/>
  <c r="AC97" i="4"/>
  <c r="AB97" i="4"/>
  <c r="AA97" i="4"/>
  <c r="Z97" i="4"/>
  <c r="X97" i="4"/>
  <c r="W97" i="4"/>
  <c r="V97" i="4"/>
  <c r="K97" i="4"/>
  <c r="C97" i="4"/>
  <c r="AE96" i="4"/>
  <c r="AC96" i="4"/>
  <c r="AB96" i="4"/>
  <c r="AA96" i="4"/>
  <c r="Z96" i="4"/>
  <c r="X96" i="4"/>
  <c r="W96" i="4"/>
  <c r="V96" i="4"/>
  <c r="K96" i="4"/>
  <c r="C96" i="4"/>
  <c r="AE95" i="4"/>
  <c r="AC95" i="4"/>
  <c r="AB95" i="4"/>
  <c r="AA95" i="4"/>
  <c r="Z95" i="4"/>
  <c r="X95" i="4"/>
  <c r="W95" i="4"/>
  <c r="V95" i="4"/>
  <c r="K95" i="4"/>
  <c r="C95" i="4"/>
  <c r="AE94" i="4"/>
  <c r="AC94" i="4"/>
  <c r="AB94" i="4"/>
  <c r="AA94" i="4"/>
  <c r="Z94" i="4"/>
  <c r="X94" i="4"/>
  <c r="W94" i="4"/>
  <c r="V94" i="4"/>
  <c r="K94" i="4"/>
  <c r="C94" i="4"/>
  <c r="AE93" i="4"/>
  <c r="AC93" i="4"/>
  <c r="AB93" i="4"/>
  <c r="AA93" i="4"/>
  <c r="Z93" i="4"/>
  <c r="X93" i="4"/>
  <c r="W93" i="4"/>
  <c r="V93" i="4"/>
  <c r="K93" i="4"/>
  <c r="AE92" i="4"/>
  <c r="AC92" i="4"/>
  <c r="AB92" i="4"/>
  <c r="AA92" i="4"/>
  <c r="Z92" i="4"/>
  <c r="X92" i="4"/>
  <c r="W92" i="4"/>
  <c r="V92" i="4"/>
  <c r="K92" i="4"/>
  <c r="AE91" i="4"/>
  <c r="AC91" i="4"/>
  <c r="AB91" i="4"/>
  <c r="AA91" i="4"/>
  <c r="Z91" i="4"/>
  <c r="X91" i="4"/>
  <c r="W91" i="4"/>
  <c r="V91" i="4"/>
  <c r="K91" i="4"/>
  <c r="AE90" i="4"/>
  <c r="AC90" i="4"/>
  <c r="AB90" i="4"/>
  <c r="AA90" i="4"/>
  <c r="Z90" i="4"/>
  <c r="X90" i="4"/>
  <c r="W90" i="4"/>
  <c r="V90" i="4"/>
  <c r="K90" i="4"/>
  <c r="AE89" i="4"/>
  <c r="AC89" i="4"/>
  <c r="AB89" i="4"/>
  <c r="AA89" i="4"/>
  <c r="Z89" i="4"/>
  <c r="X89" i="4"/>
  <c r="W89" i="4"/>
  <c r="V89" i="4"/>
  <c r="K89" i="4"/>
  <c r="AE88" i="4"/>
  <c r="AC88" i="4"/>
  <c r="AB88" i="4"/>
  <c r="AA88" i="4"/>
  <c r="Z88" i="4"/>
  <c r="X88" i="4"/>
  <c r="W88" i="4"/>
  <c r="V88" i="4"/>
  <c r="K88" i="4"/>
  <c r="AE87" i="4"/>
  <c r="AC87" i="4"/>
  <c r="AB87" i="4"/>
  <c r="AA87" i="4"/>
  <c r="Z87" i="4"/>
  <c r="X87" i="4"/>
  <c r="W87" i="4"/>
  <c r="V87" i="4"/>
  <c r="K87" i="4"/>
  <c r="K86" i="4"/>
  <c r="K85" i="4"/>
  <c r="AE84" i="4"/>
  <c r="AC84" i="4"/>
  <c r="AB84" i="4"/>
  <c r="AA84" i="4"/>
  <c r="Z84" i="4"/>
  <c r="X84" i="4"/>
  <c r="W84" i="4"/>
  <c r="V84" i="4"/>
  <c r="K84" i="4"/>
  <c r="AE83" i="4"/>
  <c r="AC83" i="4"/>
  <c r="AB83" i="4"/>
  <c r="AA83" i="4"/>
  <c r="Z83" i="4"/>
  <c r="X83" i="4"/>
  <c r="W83" i="4"/>
  <c r="V83" i="4"/>
  <c r="K83" i="4"/>
  <c r="AE82" i="4"/>
  <c r="AC82" i="4"/>
  <c r="AB82" i="4"/>
  <c r="AA82" i="4"/>
  <c r="Z82" i="4"/>
  <c r="X82" i="4"/>
  <c r="W82" i="4"/>
  <c r="V82" i="4"/>
  <c r="K82" i="4"/>
  <c r="K81" i="4"/>
  <c r="AE80" i="4"/>
  <c r="AC80" i="4"/>
  <c r="AB80" i="4"/>
  <c r="AA80" i="4"/>
  <c r="Z80" i="4"/>
  <c r="X80" i="4"/>
  <c r="W80" i="4"/>
  <c r="V80" i="4"/>
  <c r="K80" i="4"/>
  <c r="AE79" i="4"/>
  <c r="AC79" i="4"/>
  <c r="AB79" i="4"/>
  <c r="AA79" i="4"/>
  <c r="Z79" i="4"/>
  <c r="X79" i="4"/>
  <c r="W79" i="4"/>
  <c r="V79" i="4"/>
  <c r="K79" i="4"/>
  <c r="C79" i="4"/>
  <c r="AE78" i="4"/>
  <c r="AC78" i="4"/>
  <c r="AB78" i="4"/>
  <c r="AA78" i="4"/>
  <c r="Z78" i="4"/>
  <c r="X78" i="4"/>
  <c r="W78" i="4"/>
  <c r="V78" i="4"/>
  <c r="K78" i="4"/>
  <c r="C78" i="4"/>
  <c r="AE77" i="4"/>
  <c r="AC77" i="4"/>
  <c r="AB77" i="4"/>
  <c r="AA77" i="4"/>
  <c r="Z77" i="4"/>
  <c r="X77" i="4"/>
  <c r="W77" i="4"/>
  <c r="V77" i="4"/>
  <c r="K77" i="4"/>
  <c r="C77" i="4"/>
  <c r="K76" i="4"/>
  <c r="C76" i="4"/>
  <c r="K75" i="4"/>
  <c r="C75" i="4"/>
  <c r="C101" i="4" s="1"/>
  <c r="K74" i="4"/>
  <c r="C74" i="4"/>
  <c r="K73" i="4"/>
  <c r="C73" i="4"/>
  <c r="K72" i="4"/>
  <c r="K71" i="4"/>
  <c r="AE70" i="4"/>
  <c r="AC70" i="4"/>
  <c r="AB70" i="4"/>
  <c r="AA70" i="4"/>
  <c r="Z70" i="4"/>
  <c r="X70" i="4"/>
  <c r="W70" i="4"/>
  <c r="V70" i="4"/>
  <c r="K70" i="4"/>
  <c r="S67" i="4"/>
  <c r="R67" i="4"/>
  <c r="O67" i="4"/>
  <c r="N67" i="4"/>
  <c r="J67" i="4"/>
  <c r="H67" i="4"/>
  <c r="G67" i="4"/>
  <c r="F67" i="4"/>
  <c r="D67" i="4"/>
  <c r="B67" i="4"/>
  <c r="K66" i="4"/>
  <c r="K65" i="4"/>
  <c r="K64" i="4"/>
  <c r="C64" i="4"/>
  <c r="K63" i="4"/>
  <c r="C63" i="4"/>
  <c r="K62" i="4"/>
  <c r="K61" i="4"/>
  <c r="C61" i="4"/>
  <c r="C60" i="4"/>
  <c r="L59" i="4"/>
  <c r="K60" i="4" s="1"/>
  <c r="K59" i="4"/>
  <c r="C59" i="4"/>
  <c r="C67" i="4" s="1"/>
  <c r="L58" i="4"/>
  <c r="C58" i="4"/>
  <c r="L57" i="4"/>
  <c r="K57" i="4"/>
  <c r="L56" i="4"/>
  <c r="AE55" i="4"/>
  <c r="AC55" i="4"/>
  <c r="AB55" i="4"/>
  <c r="AA55" i="4"/>
  <c r="Z55" i="4"/>
  <c r="X55" i="4"/>
  <c r="W55" i="4"/>
  <c r="V55" i="4"/>
  <c r="L55" i="4"/>
  <c r="K56" i="4" s="1"/>
  <c r="K55" i="4"/>
  <c r="AE54" i="4"/>
  <c r="AC54" i="4"/>
  <c r="AB54" i="4"/>
  <c r="AA54" i="4"/>
  <c r="Z54" i="4"/>
  <c r="X54" i="4"/>
  <c r="W54" i="4"/>
  <c r="V54" i="4"/>
  <c r="L54" i="4"/>
  <c r="L53" i="4"/>
  <c r="K54" i="4" s="1"/>
  <c r="L52" i="4"/>
  <c r="K53" i="4" s="1"/>
  <c r="K51" i="4"/>
  <c r="AE50" i="4"/>
  <c r="AC50" i="4"/>
  <c r="AB50" i="4"/>
  <c r="Z50" i="4"/>
  <c r="X50" i="4"/>
  <c r="W50" i="4"/>
  <c r="V50" i="4"/>
  <c r="K50" i="4"/>
  <c r="AE49" i="4"/>
  <c r="AC49" i="4"/>
  <c r="AB49" i="4"/>
  <c r="Z49" i="4"/>
  <c r="X49" i="4"/>
  <c r="W49" i="4"/>
  <c r="V49" i="4"/>
  <c r="L49" i="4"/>
  <c r="K49" i="4"/>
  <c r="AE48" i="4"/>
  <c r="AC48" i="4"/>
  <c r="AB48" i="4"/>
  <c r="AA48" i="4"/>
  <c r="Z48" i="4"/>
  <c r="X48" i="4"/>
  <c r="W48" i="4"/>
  <c r="V48" i="4"/>
  <c r="L48" i="4"/>
  <c r="AE47" i="4"/>
  <c r="AC47" i="4"/>
  <c r="AB47" i="4"/>
  <c r="AA47" i="4"/>
  <c r="Z47" i="4"/>
  <c r="X47" i="4"/>
  <c r="W47" i="4"/>
  <c r="V47" i="4"/>
  <c r="L47" i="4"/>
  <c r="K48" i="4" s="1"/>
  <c r="AE46" i="4"/>
  <c r="AC46" i="4"/>
  <c r="AB46" i="4"/>
  <c r="AA46" i="4"/>
  <c r="Z46" i="4"/>
  <c r="X46" i="4"/>
  <c r="W46" i="4"/>
  <c r="V46" i="4"/>
  <c r="K46" i="4"/>
  <c r="K45" i="4"/>
  <c r="AE44" i="4"/>
  <c r="AC44" i="4"/>
  <c r="AB44" i="4"/>
  <c r="AA44" i="4"/>
  <c r="Z44" i="4"/>
  <c r="X44" i="4"/>
  <c r="W44" i="4"/>
  <c r="V44" i="4"/>
  <c r="K44" i="4"/>
  <c r="K43" i="4"/>
  <c r="K42" i="4"/>
  <c r="G42" i="4"/>
  <c r="K41" i="4"/>
  <c r="AE40" i="4"/>
  <c r="AC40" i="4"/>
  <c r="AB40" i="4"/>
  <c r="AA40" i="4"/>
  <c r="Z40" i="4"/>
  <c r="X40" i="4"/>
  <c r="W40" i="4"/>
  <c r="V40" i="4"/>
  <c r="K40" i="4"/>
  <c r="G40" i="4"/>
  <c r="K39" i="4"/>
  <c r="G39" i="4"/>
  <c r="K38" i="4"/>
  <c r="K37" i="4"/>
  <c r="G37" i="4"/>
  <c r="AE36" i="4"/>
  <c r="AC36" i="4"/>
  <c r="AB36" i="4"/>
  <c r="AA36" i="4"/>
  <c r="Z36" i="4"/>
  <c r="X36" i="4"/>
  <c r="W36" i="4"/>
  <c r="V36" i="4"/>
  <c r="K36" i="4"/>
  <c r="G36" i="4"/>
  <c r="S33" i="4"/>
  <c r="R33" i="4"/>
  <c r="O33" i="4"/>
  <c r="N33" i="4"/>
  <c r="J33" i="4"/>
  <c r="H33" i="4"/>
  <c r="G33" i="4"/>
  <c r="F33" i="4"/>
  <c r="D33" i="4"/>
  <c r="B33" i="4"/>
  <c r="K32" i="4"/>
  <c r="AE31" i="4"/>
  <c r="AC31" i="4"/>
  <c r="AB31" i="4"/>
  <c r="AA31" i="4"/>
  <c r="Z31" i="4"/>
  <c r="X31" i="4"/>
  <c r="W31" i="4"/>
  <c r="V31" i="4"/>
  <c r="K31" i="4"/>
  <c r="K30" i="4"/>
  <c r="K29" i="4"/>
  <c r="K28" i="4"/>
  <c r="K27" i="4"/>
  <c r="K26" i="4"/>
  <c r="K25" i="4"/>
  <c r="K24" i="4"/>
  <c r="K23" i="4"/>
  <c r="K22" i="4"/>
  <c r="K21" i="4"/>
  <c r="K20" i="4"/>
  <c r="K19" i="4"/>
  <c r="AE18" i="4"/>
  <c r="AC18" i="4"/>
  <c r="AB18" i="4"/>
  <c r="AA18" i="4"/>
  <c r="Z18" i="4"/>
  <c r="X18" i="4"/>
  <c r="W18" i="4"/>
  <c r="V18" i="4"/>
  <c r="K18" i="4"/>
  <c r="AE17" i="4"/>
  <c r="AC17" i="4"/>
  <c r="AB17" i="4"/>
  <c r="AA17" i="4"/>
  <c r="Z17" i="4"/>
  <c r="X17" i="4"/>
  <c r="W17" i="4"/>
  <c r="V17" i="4"/>
  <c r="K17" i="4"/>
  <c r="K16" i="4"/>
  <c r="K15" i="4"/>
  <c r="K14" i="4"/>
  <c r="K13" i="4"/>
  <c r="K12" i="4"/>
  <c r="AE11" i="4"/>
  <c r="AC11" i="4"/>
  <c r="AB11" i="4"/>
  <c r="AA11" i="4"/>
  <c r="Z11" i="4"/>
  <c r="X11" i="4"/>
  <c r="W11" i="4"/>
  <c r="V11" i="4"/>
  <c r="K11" i="4"/>
  <c r="AE10" i="4"/>
  <c r="AC10" i="4"/>
  <c r="AB10" i="4"/>
  <c r="AA10" i="4"/>
  <c r="Z10" i="4"/>
  <c r="X10" i="4"/>
  <c r="W10" i="4"/>
  <c r="V10" i="4"/>
  <c r="K10" i="4"/>
  <c r="AE9" i="4"/>
  <c r="AC9" i="4"/>
  <c r="AB9" i="4"/>
  <c r="AA9" i="4"/>
  <c r="Z9" i="4"/>
  <c r="X9" i="4"/>
  <c r="W9" i="4"/>
  <c r="V9" i="4"/>
  <c r="K9" i="4"/>
  <c r="AE8" i="4"/>
  <c r="AC8" i="4"/>
  <c r="AB8" i="4"/>
  <c r="AA8" i="4"/>
  <c r="Z8" i="4"/>
  <c r="X8" i="4"/>
  <c r="W8" i="4"/>
  <c r="V8" i="4"/>
  <c r="K8" i="4"/>
  <c r="AE7" i="4"/>
  <c r="AC7" i="4"/>
  <c r="AB7" i="4"/>
  <c r="AA7" i="4"/>
  <c r="Z7" i="4"/>
  <c r="X7" i="4"/>
  <c r="W7" i="4"/>
  <c r="V7" i="4"/>
  <c r="K7" i="4"/>
  <c r="AE6" i="4"/>
  <c r="AC6" i="4"/>
  <c r="AB6" i="4"/>
  <c r="AA6" i="4"/>
  <c r="Z6" i="4"/>
  <c r="X6" i="4"/>
  <c r="W6" i="4"/>
  <c r="V6" i="4"/>
  <c r="K6" i="4"/>
  <c r="C6" i="4"/>
  <c r="K5" i="4"/>
  <c r="C5" i="4"/>
  <c r="AE4" i="4"/>
  <c r="AC4" i="4"/>
  <c r="AB4" i="4"/>
  <c r="AA4" i="4"/>
  <c r="Z4" i="4"/>
  <c r="X4" i="4"/>
  <c r="W4" i="4"/>
  <c r="V4" i="4"/>
  <c r="K4" i="4"/>
  <c r="C4" i="4"/>
  <c r="AE3" i="4"/>
  <c r="AA3" i="4"/>
  <c r="Z3" i="4"/>
  <c r="X3" i="4"/>
  <c r="W3" i="4"/>
  <c r="V3" i="4"/>
  <c r="K3" i="4"/>
  <c r="C3" i="4"/>
  <c r="C33" i="4" s="1"/>
  <c r="AL72" i="3"/>
  <c r="B42" i="13" s="1"/>
  <c r="C72" i="3"/>
  <c r="B42" i="6" s="1"/>
  <c r="AD4" i="6" s="1"/>
  <c r="BG69" i="3"/>
  <c r="BB69" i="3"/>
  <c r="AW69" i="3"/>
  <c r="AR69" i="3"/>
  <c r="AM69" i="3"/>
  <c r="AC69" i="3"/>
  <c r="AG69" i="3" s="1"/>
  <c r="AH69" i="3" s="1"/>
  <c r="X69" i="3"/>
  <c r="S69" i="3"/>
  <c r="N69" i="3"/>
  <c r="I69" i="3"/>
  <c r="D69" i="3"/>
  <c r="BG68" i="3"/>
  <c r="BB68" i="3"/>
  <c r="AW68" i="3"/>
  <c r="AR68" i="3"/>
  <c r="AM68" i="3"/>
  <c r="AC68" i="3"/>
  <c r="AG68" i="3" s="1"/>
  <c r="AH68" i="3" s="1"/>
  <c r="X68" i="3"/>
  <c r="S68" i="3"/>
  <c r="N68" i="3"/>
  <c r="I68" i="3"/>
  <c r="D68" i="3"/>
  <c r="BG67" i="3"/>
  <c r="BB67" i="3"/>
  <c r="AW67" i="3"/>
  <c r="AR67" i="3"/>
  <c r="AM67" i="3"/>
  <c r="AG67" i="3"/>
  <c r="AH67" i="3" s="1"/>
  <c r="AC67" i="3"/>
  <c r="X67" i="3"/>
  <c r="S67" i="3"/>
  <c r="N67" i="3"/>
  <c r="I67" i="3"/>
  <c r="D67" i="3"/>
  <c r="BG66" i="3"/>
  <c r="BB66" i="3"/>
  <c r="AW66" i="3"/>
  <c r="AR66" i="3"/>
  <c r="AM66" i="3"/>
  <c r="AC66" i="3"/>
  <c r="AG66" i="3" s="1"/>
  <c r="AH66" i="3" s="1"/>
  <c r="X66" i="3"/>
  <c r="S66" i="3"/>
  <c r="N66" i="3"/>
  <c r="I66" i="3"/>
  <c r="D66" i="3"/>
  <c r="BG65" i="3"/>
  <c r="BB65" i="3"/>
  <c r="AW65" i="3"/>
  <c r="AR65" i="3"/>
  <c r="AM65" i="3"/>
  <c r="AH65" i="3"/>
  <c r="AG65" i="3"/>
  <c r="AF65" i="3"/>
  <c r="AC65" i="3"/>
  <c r="X65" i="3"/>
  <c r="S65" i="3"/>
  <c r="N65" i="3"/>
  <c r="I65" i="3"/>
  <c r="D65" i="3"/>
  <c r="BG64" i="3"/>
  <c r="BB64" i="3"/>
  <c r="AW64" i="3"/>
  <c r="AR64" i="3"/>
  <c r="AM64" i="3"/>
  <c r="AG64" i="3"/>
  <c r="AH64" i="3" s="1"/>
  <c r="AC64" i="3"/>
  <c r="X64" i="3"/>
  <c r="S64" i="3"/>
  <c r="N64" i="3"/>
  <c r="I64" i="3"/>
  <c r="D64" i="3"/>
  <c r="BG63" i="3"/>
  <c r="BB63" i="3"/>
  <c r="AW63" i="3"/>
  <c r="AR63" i="3"/>
  <c r="AM63" i="3"/>
  <c r="AC63" i="3"/>
  <c r="AG63" i="3" s="1"/>
  <c r="AH63" i="3" s="1"/>
  <c r="X63" i="3"/>
  <c r="S63" i="3"/>
  <c r="N63" i="3"/>
  <c r="I63" i="3"/>
  <c r="D63" i="3"/>
  <c r="BG61" i="3"/>
  <c r="BB61" i="3"/>
  <c r="AW61" i="3"/>
  <c r="AR61" i="3"/>
  <c r="AM61" i="3"/>
  <c r="AH61" i="3"/>
  <c r="AG61" i="3"/>
  <c r="AC61" i="3"/>
  <c r="X61" i="3"/>
  <c r="S61" i="3"/>
  <c r="N61" i="3"/>
  <c r="I61" i="3"/>
  <c r="D61" i="3"/>
  <c r="BG60" i="3"/>
  <c r="BB60" i="3"/>
  <c r="AW60" i="3"/>
  <c r="AR60" i="3"/>
  <c r="AM60" i="3"/>
  <c r="AC60" i="3"/>
  <c r="AG60" i="3" s="1"/>
  <c r="AH60" i="3" s="1"/>
  <c r="X60" i="3"/>
  <c r="S60" i="3"/>
  <c r="N60" i="3"/>
  <c r="I60" i="3"/>
  <c r="D60" i="3"/>
  <c r="BG59" i="3"/>
  <c r="BB59" i="3"/>
  <c r="AW59" i="3"/>
  <c r="AR59" i="3"/>
  <c r="AM59" i="3"/>
  <c r="AC59" i="3"/>
  <c r="AG59" i="3" s="1"/>
  <c r="AH59" i="3" s="1"/>
  <c r="X59" i="3"/>
  <c r="S59" i="3"/>
  <c r="N59" i="3"/>
  <c r="I59" i="3"/>
  <c r="D59" i="3"/>
  <c r="BG58" i="3"/>
  <c r="BB58" i="3"/>
  <c r="AW58" i="3"/>
  <c r="AR58" i="3"/>
  <c r="AM58" i="3"/>
  <c r="AH58" i="3"/>
  <c r="AG58" i="3"/>
  <c r="AC58" i="3"/>
  <c r="X58" i="3"/>
  <c r="S58" i="3"/>
  <c r="N58" i="3"/>
  <c r="I58" i="3"/>
  <c r="D58" i="3"/>
  <c r="BG57" i="3"/>
  <c r="BB57" i="3"/>
  <c r="AW57" i="3"/>
  <c r="AR57" i="3"/>
  <c r="AM57" i="3"/>
  <c r="AC57" i="3"/>
  <c r="AG57" i="3" s="1"/>
  <c r="AH57" i="3" s="1"/>
  <c r="X57" i="3"/>
  <c r="S57" i="3"/>
  <c r="N57" i="3"/>
  <c r="I57" i="3"/>
  <c r="D57" i="3"/>
  <c r="BG56" i="3"/>
  <c r="BB56" i="3"/>
  <c r="AW56" i="3"/>
  <c r="AR56" i="3"/>
  <c r="AM56" i="3"/>
  <c r="AC56" i="3"/>
  <c r="AG56" i="3" s="1"/>
  <c r="AH56" i="3" s="1"/>
  <c r="X56" i="3"/>
  <c r="S56" i="3"/>
  <c r="N56" i="3"/>
  <c r="I56" i="3"/>
  <c r="D56" i="3"/>
  <c r="BG55" i="3"/>
  <c r="BB55" i="3"/>
  <c r="AW55" i="3"/>
  <c r="AR55" i="3"/>
  <c r="AM55" i="3"/>
  <c r="AG55" i="3"/>
  <c r="AH55" i="3" s="1"/>
  <c r="AC55" i="3"/>
  <c r="X55" i="3"/>
  <c r="S55" i="3"/>
  <c r="N55" i="3"/>
  <c r="I55" i="3"/>
  <c r="D55" i="3"/>
  <c r="BG54" i="3"/>
  <c r="BB54" i="3"/>
  <c r="AW54" i="3"/>
  <c r="AR54" i="3"/>
  <c r="AM54" i="3"/>
  <c r="AC54" i="3"/>
  <c r="AG54" i="3" s="1"/>
  <c r="AH54" i="3" s="1"/>
  <c r="X54" i="3"/>
  <c r="S54" i="3"/>
  <c r="N54" i="3"/>
  <c r="I54" i="3"/>
  <c r="D54" i="3"/>
  <c r="BG53" i="3"/>
  <c r="BB53" i="3"/>
  <c r="AW53" i="3"/>
  <c r="AR53" i="3"/>
  <c r="AM53" i="3"/>
  <c r="AH53" i="3"/>
  <c r="AC53" i="3"/>
  <c r="X53" i="3"/>
  <c r="S53" i="3"/>
  <c r="N53" i="3"/>
  <c r="I53" i="3"/>
  <c r="D53" i="3"/>
  <c r="BG52" i="3"/>
  <c r="BB52" i="3"/>
  <c r="AW52" i="3"/>
  <c r="AR52" i="3"/>
  <c r="AM52" i="3"/>
  <c r="AC52" i="3"/>
  <c r="AG52" i="3" s="1"/>
  <c r="AH52" i="3" s="1"/>
  <c r="X52" i="3"/>
  <c r="S52" i="3"/>
  <c r="N52" i="3"/>
  <c r="I52" i="3"/>
  <c r="D52" i="3"/>
  <c r="BG51" i="3"/>
  <c r="BB51" i="3"/>
  <c r="AW51" i="3"/>
  <c r="AR51" i="3"/>
  <c r="AM51" i="3"/>
  <c r="AC51" i="3"/>
  <c r="AG51" i="3" s="1"/>
  <c r="AH51" i="3" s="1"/>
  <c r="X51" i="3"/>
  <c r="S51" i="3"/>
  <c r="N51" i="3"/>
  <c r="I51" i="3"/>
  <c r="D51" i="3"/>
  <c r="BG50" i="3"/>
  <c r="BB50" i="3"/>
  <c r="AW50" i="3"/>
  <c r="AR50" i="3"/>
  <c r="AM50" i="3"/>
  <c r="AH50" i="3"/>
  <c r="AC50" i="3"/>
  <c r="X50" i="3"/>
  <c r="S50" i="3"/>
  <c r="N50" i="3"/>
  <c r="I50" i="3"/>
  <c r="D50" i="3"/>
  <c r="BG49" i="3"/>
  <c r="BB49" i="3"/>
  <c r="AW49" i="3"/>
  <c r="AR49" i="3"/>
  <c r="AM49" i="3"/>
  <c r="AH49" i="3"/>
  <c r="AC49" i="3"/>
  <c r="X49" i="3"/>
  <c r="S49" i="3"/>
  <c r="N49" i="3"/>
  <c r="I49" i="3"/>
  <c r="D49" i="3"/>
  <c r="BG48" i="3"/>
  <c r="BB48" i="3"/>
  <c r="AW48" i="3"/>
  <c r="AR48" i="3"/>
  <c r="AM48" i="3"/>
  <c r="AG48" i="3"/>
  <c r="AH48" i="3" s="1"/>
  <c r="AC48" i="3"/>
  <c r="X48" i="3"/>
  <c r="S48" i="3"/>
  <c r="N48" i="3"/>
  <c r="I48" i="3"/>
  <c r="D48" i="3"/>
  <c r="BG47" i="3"/>
  <c r="BB47" i="3"/>
  <c r="AW47" i="3"/>
  <c r="AR47" i="3"/>
  <c r="AM47" i="3"/>
  <c r="AC47" i="3"/>
  <c r="X47" i="3"/>
  <c r="AG47" i="3" s="1"/>
  <c r="AH47" i="3" s="1"/>
  <c r="S47" i="3"/>
  <c r="N47" i="3"/>
  <c r="I47" i="3"/>
  <c r="D47" i="3"/>
  <c r="BG46" i="3"/>
  <c r="BB46" i="3"/>
  <c r="AW46" i="3"/>
  <c r="AR46" i="3"/>
  <c r="AM46" i="3"/>
  <c r="AH46" i="3"/>
  <c r="AC46" i="3"/>
  <c r="X46" i="3"/>
  <c r="S46" i="3"/>
  <c r="N46" i="3"/>
  <c r="I46" i="3"/>
  <c r="D46" i="3"/>
  <c r="BG45" i="3"/>
  <c r="BB45" i="3"/>
  <c r="AW45" i="3"/>
  <c r="AR45" i="3"/>
  <c r="AM45" i="3"/>
  <c r="AH45" i="3"/>
  <c r="AC45" i="3"/>
  <c r="X45" i="3"/>
  <c r="S45" i="3"/>
  <c r="N45" i="3"/>
  <c r="I45" i="3"/>
  <c r="D45" i="3"/>
  <c r="BG44" i="3"/>
  <c r="BB44" i="3"/>
  <c r="AW44" i="3"/>
  <c r="AR44" i="3"/>
  <c r="AM44" i="3"/>
  <c r="AH44" i="3"/>
  <c r="AC44" i="3"/>
  <c r="X44" i="3"/>
  <c r="S44" i="3"/>
  <c r="N44" i="3"/>
  <c r="I44" i="3"/>
  <c r="D44" i="3"/>
  <c r="BG43" i="3"/>
  <c r="BB43" i="3"/>
  <c r="AW43" i="3"/>
  <c r="AR43" i="3"/>
  <c r="AM43" i="3"/>
  <c r="AG43" i="3"/>
  <c r="AH43" i="3" s="1"/>
  <c r="AC43" i="3"/>
  <c r="X43" i="3"/>
  <c r="S43" i="3"/>
  <c r="N43" i="3"/>
  <c r="I43" i="3"/>
  <c r="D43" i="3"/>
  <c r="BG42" i="3"/>
  <c r="BB42" i="3"/>
  <c r="AW42" i="3"/>
  <c r="AR42" i="3"/>
  <c r="AM42" i="3"/>
  <c r="AC42" i="3"/>
  <c r="AG42" i="3" s="1"/>
  <c r="AH42" i="3" s="1"/>
  <c r="X42" i="3"/>
  <c r="S42" i="3"/>
  <c r="N42" i="3"/>
  <c r="I42" i="3"/>
  <c r="D42" i="3"/>
  <c r="BG41" i="3"/>
  <c r="BB41" i="3"/>
  <c r="AW41" i="3"/>
  <c r="AR41" i="3"/>
  <c r="AM41" i="3"/>
  <c r="AG41" i="3"/>
  <c r="AH41" i="3" s="1"/>
  <c r="AF41" i="3"/>
  <c r="AC41" i="3"/>
  <c r="X41" i="3"/>
  <c r="S41" i="3"/>
  <c r="N41" i="3"/>
  <c r="I41" i="3"/>
  <c r="D41" i="3"/>
  <c r="BG40" i="3"/>
  <c r="BB40" i="3"/>
  <c r="AW40" i="3"/>
  <c r="AR40" i="3"/>
  <c r="AM40" i="3"/>
  <c r="AG40" i="3"/>
  <c r="AH40" i="3" s="1"/>
  <c r="AF40" i="3"/>
  <c r="AC40" i="3"/>
  <c r="X40" i="3"/>
  <c r="S40" i="3"/>
  <c r="N40" i="3"/>
  <c r="I40" i="3"/>
  <c r="D40" i="3"/>
  <c r="BG39" i="3"/>
  <c r="BB39" i="3"/>
  <c r="AW39" i="3"/>
  <c r="AR39" i="3"/>
  <c r="AM39" i="3"/>
  <c r="AG39" i="3"/>
  <c r="AH39" i="3" s="1"/>
  <c r="AF39" i="3"/>
  <c r="AC39" i="3"/>
  <c r="X39" i="3"/>
  <c r="S39" i="3"/>
  <c r="N39" i="3"/>
  <c r="I39" i="3"/>
  <c r="D39" i="3"/>
  <c r="BG38" i="3"/>
  <c r="BB38" i="3"/>
  <c r="AW38" i="3"/>
  <c r="AR38" i="3"/>
  <c r="AM38" i="3"/>
  <c r="AH38" i="3"/>
  <c r="AC38" i="3"/>
  <c r="X38" i="3"/>
  <c r="S38" i="3"/>
  <c r="N38" i="3"/>
  <c r="I38" i="3"/>
  <c r="D38" i="3"/>
  <c r="BG37" i="3"/>
  <c r="BB37" i="3"/>
  <c r="AW37" i="3"/>
  <c r="AR37" i="3"/>
  <c r="AM37" i="3"/>
  <c r="AH37" i="3"/>
  <c r="AC37" i="3"/>
  <c r="X37" i="3"/>
  <c r="S37" i="3"/>
  <c r="N37" i="3"/>
  <c r="I37" i="3"/>
  <c r="D37" i="3"/>
  <c r="BG36" i="3"/>
  <c r="BB36" i="3"/>
  <c r="AW36" i="3"/>
  <c r="AR36" i="3"/>
  <c r="AM36" i="3"/>
  <c r="AL36" i="3"/>
  <c r="AK36" i="3"/>
  <c r="AH36" i="3"/>
  <c r="AC36" i="3"/>
  <c r="X36" i="3"/>
  <c r="S36" i="3"/>
  <c r="N36" i="3"/>
  <c r="I36" i="3"/>
  <c r="D36" i="3"/>
  <c r="BG35" i="3"/>
  <c r="BB35" i="3"/>
  <c r="AW35" i="3"/>
  <c r="AR35" i="3"/>
  <c r="AM35" i="3"/>
  <c r="AH35" i="3"/>
  <c r="AC35" i="3"/>
  <c r="X35" i="3"/>
  <c r="S35" i="3"/>
  <c r="N35" i="3"/>
  <c r="I35" i="3"/>
  <c r="D35" i="3"/>
  <c r="BG33" i="3"/>
  <c r="AV33" i="3"/>
  <c r="AW33" i="3" s="1"/>
  <c r="AR33" i="3"/>
  <c r="AM33" i="3"/>
  <c r="AH33" i="3"/>
  <c r="AB33" i="3"/>
  <c r="AC33" i="3" s="1"/>
  <c r="X33" i="3"/>
  <c r="R33" i="3"/>
  <c r="S33" i="3" s="1"/>
  <c r="N33" i="3"/>
  <c r="M33" i="3"/>
  <c r="I33" i="3"/>
  <c r="D33" i="3"/>
  <c r="BG32" i="3"/>
  <c r="BB32" i="3"/>
  <c r="AW32" i="3"/>
  <c r="AR32" i="3"/>
  <c r="AM32" i="3"/>
  <c r="AH32" i="3"/>
  <c r="AC32" i="3"/>
  <c r="X32" i="3"/>
  <c r="S32" i="3"/>
  <c r="N32" i="3"/>
  <c r="I32" i="3"/>
  <c r="D32" i="3"/>
  <c r="BG31" i="3"/>
  <c r="BB31" i="3"/>
  <c r="AV31" i="3"/>
  <c r="AW31" i="3" s="1"/>
  <c r="AQ31" i="3"/>
  <c r="AR31" i="3" s="1"/>
  <c r="AM31" i="3"/>
  <c r="AH31" i="3"/>
  <c r="AC31" i="3"/>
  <c r="X31" i="3"/>
  <c r="R31" i="3"/>
  <c r="S31" i="3" s="1"/>
  <c r="N31" i="3"/>
  <c r="I31" i="3"/>
  <c r="D31" i="3"/>
  <c r="BG30" i="3"/>
  <c r="BB30" i="3"/>
  <c r="AW30" i="3"/>
  <c r="AV30" i="3"/>
  <c r="AQ30" i="3"/>
  <c r="AR30" i="3" s="1"/>
  <c r="AM30" i="3"/>
  <c r="AH30" i="3"/>
  <c r="AC30" i="3"/>
  <c r="X30" i="3"/>
  <c r="S30" i="3"/>
  <c r="R30" i="3"/>
  <c r="N30" i="3"/>
  <c r="I30" i="3"/>
  <c r="D30" i="3"/>
  <c r="BG29" i="3"/>
  <c r="BB29" i="3"/>
  <c r="AW29" i="3"/>
  <c r="AR29" i="3"/>
  <c r="AM29" i="3"/>
  <c r="AC29" i="3"/>
  <c r="AG29" i="3" s="1"/>
  <c r="AH29" i="3" s="1"/>
  <c r="X29" i="3"/>
  <c r="S29" i="3"/>
  <c r="N29" i="3"/>
  <c r="I29" i="3"/>
  <c r="D29" i="3"/>
  <c r="BG28" i="3"/>
  <c r="BB28" i="3"/>
  <c r="AW28" i="3"/>
  <c r="AR28" i="3"/>
  <c r="AM28" i="3"/>
  <c r="AH28" i="3"/>
  <c r="AG28" i="3"/>
  <c r="AC28" i="3"/>
  <c r="X28" i="3"/>
  <c r="S28" i="3"/>
  <c r="N28" i="3"/>
  <c r="I28" i="3"/>
  <c r="D28" i="3"/>
  <c r="BG27" i="3"/>
  <c r="BF27" i="3"/>
  <c r="BE27" i="3"/>
  <c r="AZ27" i="3"/>
  <c r="BA27" i="3" s="1"/>
  <c r="BB27" i="3" s="1"/>
  <c r="AV27" i="3"/>
  <c r="AW27" i="3" s="1"/>
  <c r="AU27" i="3"/>
  <c r="AR27" i="3"/>
  <c r="AQ27" i="3"/>
  <c r="AP27" i="3"/>
  <c r="AL27" i="3"/>
  <c r="AM27" i="3" s="1"/>
  <c r="AG27" i="3"/>
  <c r="AH27" i="3" s="1"/>
  <c r="AF27" i="3"/>
  <c r="AC27" i="3"/>
  <c r="AB27" i="3"/>
  <c r="W27" i="3"/>
  <c r="X27" i="3" s="1"/>
  <c r="V27" i="3"/>
  <c r="R27" i="3"/>
  <c r="S27" i="3" s="1"/>
  <c r="N27" i="3"/>
  <c r="I27" i="3"/>
  <c r="C27" i="3"/>
  <c r="D27" i="3" s="1"/>
  <c r="BE26" i="3"/>
  <c r="BF26" i="3" s="1"/>
  <c r="BB26" i="3"/>
  <c r="BA26" i="3"/>
  <c r="AZ26" i="3"/>
  <c r="AV26" i="3"/>
  <c r="AW26" i="3" s="1"/>
  <c r="AP26" i="3"/>
  <c r="AQ26" i="3" s="1"/>
  <c r="AM26" i="3"/>
  <c r="AL26" i="3"/>
  <c r="AK26" i="3"/>
  <c r="AF26" i="3"/>
  <c r="AA26" i="3"/>
  <c r="AB26" i="3" s="1"/>
  <c r="X26" i="3"/>
  <c r="W26" i="3"/>
  <c r="W72" i="3" s="1"/>
  <c r="B42" i="10" s="1"/>
  <c r="V26" i="3"/>
  <c r="R26" i="3"/>
  <c r="R72" i="3" s="1"/>
  <c r="M26" i="3"/>
  <c r="M72" i="3" s="1"/>
  <c r="B42" i="8" s="1"/>
  <c r="I26" i="3"/>
  <c r="H26" i="3"/>
  <c r="H72" i="3" s="1"/>
  <c r="B42" i="7" s="1"/>
  <c r="G26" i="3"/>
  <c r="C26" i="3"/>
  <c r="D26" i="3" s="1"/>
  <c r="B26" i="3"/>
  <c r="BG24" i="3"/>
  <c r="BB24" i="3"/>
  <c r="AW24" i="3"/>
  <c r="AR24" i="3"/>
  <c r="AM24" i="3"/>
  <c r="AG24" i="3"/>
  <c r="AH24" i="3" s="1"/>
  <c r="AC24" i="3"/>
  <c r="X24" i="3"/>
  <c r="S24" i="3"/>
  <c r="N24" i="3"/>
  <c r="I24" i="3"/>
  <c r="D24" i="3"/>
  <c r="BG23" i="3"/>
  <c r="BB23" i="3"/>
  <c r="AW23" i="3"/>
  <c r="AR23" i="3"/>
  <c r="AM23" i="3"/>
  <c r="AH23" i="3"/>
  <c r="AG23" i="3"/>
  <c r="AC23" i="3"/>
  <c r="X23" i="3"/>
  <c r="S23" i="3"/>
  <c r="N23" i="3"/>
  <c r="I23" i="3"/>
  <c r="D23" i="3"/>
  <c r="BG22" i="3"/>
  <c r="BB22" i="3"/>
  <c r="AW22" i="3"/>
  <c r="AR22" i="3"/>
  <c r="AL22" i="3"/>
  <c r="AK22" i="3"/>
  <c r="AM22" i="3" s="1"/>
  <c r="AG22" i="3"/>
  <c r="AH22" i="3" s="1"/>
  <c r="AC22" i="3"/>
  <c r="X22" i="3"/>
  <c r="S22" i="3"/>
  <c r="N22" i="3"/>
  <c r="I22" i="3"/>
  <c r="D22" i="3"/>
  <c r="BG21" i="3"/>
  <c r="BB21" i="3"/>
  <c r="AW21" i="3"/>
  <c r="AR21" i="3"/>
  <c r="AM21" i="3"/>
  <c r="AC21" i="3"/>
  <c r="AG21" i="3" s="1"/>
  <c r="AH21" i="3" s="1"/>
  <c r="X21" i="3"/>
  <c r="S21" i="3"/>
  <c r="N21" i="3"/>
  <c r="I21" i="3"/>
  <c r="D21" i="3"/>
  <c r="BG20" i="3"/>
  <c r="BB20" i="3"/>
  <c r="AW20" i="3"/>
  <c r="AR20" i="3"/>
  <c r="AM20" i="3"/>
  <c r="AL20" i="3"/>
  <c r="AK20" i="3"/>
  <c r="AC20" i="3"/>
  <c r="AG20" i="3" s="1"/>
  <c r="AH20" i="3" s="1"/>
  <c r="X20" i="3"/>
  <c r="S20" i="3"/>
  <c r="N20" i="3"/>
  <c r="I20" i="3"/>
  <c r="D20" i="3"/>
  <c r="BG19" i="3"/>
  <c r="BB19" i="3"/>
  <c r="AW19" i="3"/>
  <c r="AR19" i="3"/>
  <c r="AM19" i="3"/>
  <c r="AH19" i="3"/>
  <c r="AG19" i="3"/>
  <c r="AC19" i="3"/>
  <c r="X19" i="3"/>
  <c r="S19" i="3"/>
  <c r="N19" i="3"/>
  <c r="I19" i="3"/>
  <c r="D19" i="3"/>
  <c r="BG18" i="3"/>
  <c r="BB18" i="3"/>
  <c r="AW18" i="3"/>
  <c r="AR18" i="3"/>
  <c r="AM18" i="3"/>
  <c r="AC18" i="3"/>
  <c r="AG18" i="3" s="1"/>
  <c r="AH18" i="3" s="1"/>
  <c r="X18" i="3"/>
  <c r="S18" i="3"/>
  <c r="N18" i="3"/>
  <c r="I18" i="3"/>
  <c r="D18" i="3"/>
  <c r="BG17" i="3"/>
  <c r="BB17" i="3"/>
  <c r="AW17" i="3"/>
  <c r="AR17" i="3"/>
  <c r="AM17" i="3"/>
  <c r="AL17" i="3"/>
  <c r="AK17" i="3"/>
  <c r="AC17" i="3"/>
  <c r="AG17" i="3" s="1"/>
  <c r="AH17" i="3" s="1"/>
  <c r="X17" i="3"/>
  <c r="S17" i="3"/>
  <c r="N17" i="3"/>
  <c r="I17" i="3"/>
  <c r="D17" i="3"/>
  <c r="BG16" i="3"/>
  <c r="BB16" i="3"/>
  <c r="AW16" i="3"/>
  <c r="AR16" i="3"/>
  <c r="AM16" i="3"/>
  <c r="AH16" i="3"/>
  <c r="AC16" i="3"/>
  <c r="X16" i="3"/>
  <c r="S16" i="3"/>
  <c r="N16" i="3"/>
  <c r="I16" i="3"/>
  <c r="D16" i="3"/>
  <c r="BG15" i="3"/>
  <c r="BB15" i="3"/>
  <c r="AW15" i="3"/>
  <c r="AR15" i="3"/>
  <c r="AM15" i="3"/>
  <c r="AC15" i="3"/>
  <c r="AG15" i="3" s="1"/>
  <c r="AH15" i="3" s="1"/>
  <c r="X15" i="3"/>
  <c r="S15" i="3"/>
  <c r="N15" i="3"/>
  <c r="I15" i="3"/>
  <c r="D15" i="3"/>
  <c r="BG14" i="3"/>
  <c r="BB14" i="3"/>
  <c r="AW14" i="3"/>
  <c r="AR14" i="3"/>
  <c r="AM14" i="3"/>
  <c r="AC14" i="3"/>
  <c r="AG14" i="3" s="1"/>
  <c r="AH14" i="3" s="1"/>
  <c r="X14" i="3"/>
  <c r="S14" i="3"/>
  <c r="N14" i="3"/>
  <c r="I14" i="3"/>
  <c r="D14" i="3"/>
  <c r="BG13" i="3"/>
  <c r="BB13" i="3"/>
  <c r="AW13" i="3"/>
  <c r="AR13" i="3"/>
  <c r="AM13" i="3"/>
  <c r="AG13" i="3"/>
  <c r="AH13" i="3" s="1"/>
  <c r="AC13" i="3"/>
  <c r="X13" i="3"/>
  <c r="S13" i="3"/>
  <c r="N13" i="3"/>
  <c r="I13" i="3"/>
  <c r="D13" i="3"/>
  <c r="BG12" i="3"/>
  <c r="BB12" i="3"/>
  <c r="AW12" i="3"/>
  <c r="AR12" i="3"/>
  <c r="AM12" i="3"/>
  <c r="AC12" i="3"/>
  <c r="AG12" i="3" s="1"/>
  <c r="AH12" i="3" s="1"/>
  <c r="X12" i="3"/>
  <c r="S12" i="3"/>
  <c r="N12" i="3"/>
  <c r="I12" i="3"/>
  <c r="D12" i="3"/>
  <c r="BG11" i="3"/>
  <c r="BB11" i="3"/>
  <c r="AW11" i="3"/>
  <c r="AR11" i="3"/>
  <c r="AM11" i="3"/>
  <c r="AH11" i="3"/>
  <c r="AC11" i="3"/>
  <c r="X11" i="3"/>
  <c r="S11" i="3"/>
  <c r="N11" i="3"/>
  <c r="I11" i="3"/>
  <c r="D11" i="3"/>
  <c r="BG10" i="3"/>
  <c r="BB10" i="3"/>
  <c r="AW10" i="3"/>
  <c r="AR10" i="3"/>
  <c r="AM10" i="3"/>
  <c r="AH10" i="3"/>
  <c r="AC10" i="3"/>
  <c r="X10" i="3"/>
  <c r="S10" i="3"/>
  <c r="N10" i="3"/>
  <c r="I10" i="3"/>
  <c r="D10" i="3"/>
  <c r="BG9" i="3"/>
  <c r="BB9" i="3"/>
  <c r="AW9" i="3"/>
  <c r="AR9" i="3"/>
  <c r="AM9" i="3"/>
  <c r="AH9" i="3"/>
  <c r="AG9" i="3"/>
  <c r="AC9" i="3"/>
  <c r="X9" i="3"/>
  <c r="S9" i="3"/>
  <c r="N9" i="3"/>
  <c r="I9" i="3"/>
  <c r="D9" i="3"/>
  <c r="BG8" i="3"/>
  <c r="BB8" i="3"/>
  <c r="AW8" i="3"/>
  <c r="AR8" i="3"/>
  <c r="AM8" i="3"/>
  <c r="AC8" i="3"/>
  <c r="AG8" i="3" s="1"/>
  <c r="X8" i="3"/>
  <c r="S8" i="3"/>
  <c r="N8" i="3"/>
  <c r="I8" i="3"/>
  <c r="D8" i="3"/>
  <c r="BG7" i="3"/>
  <c r="BB7" i="3"/>
  <c r="AW7" i="3"/>
  <c r="AR7" i="3"/>
  <c r="AM7" i="3"/>
  <c r="AG7" i="3"/>
  <c r="AH7" i="3" s="1"/>
  <c r="AC7" i="3"/>
  <c r="X7" i="3"/>
  <c r="S7" i="3"/>
  <c r="N7" i="3"/>
  <c r="I7" i="3"/>
  <c r="D7" i="3"/>
  <c r="BG6" i="3"/>
  <c r="BB6" i="3"/>
  <c r="AW6" i="3"/>
  <c r="AR6" i="3"/>
  <c r="AM6" i="3"/>
  <c r="AH6" i="3"/>
  <c r="AC6" i="3"/>
  <c r="X6" i="3"/>
  <c r="S6" i="3"/>
  <c r="N6" i="3"/>
  <c r="I6" i="3"/>
  <c r="D6" i="3"/>
  <c r="BG5" i="3"/>
  <c r="BB5" i="3"/>
  <c r="AW5" i="3"/>
  <c r="AR5" i="3"/>
  <c r="AM5" i="3"/>
  <c r="AH5" i="3"/>
  <c r="AC5" i="3"/>
  <c r="X5" i="3"/>
  <c r="S5" i="3"/>
  <c r="N5" i="3"/>
  <c r="I5" i="3"/>
  <c r="D5" i="3"/>
  <c r="I53" i="2"/>
  <c r="I52" i="2"/>
  <c r="I51" i="2"/>
  <c r="I50" i="2"/>
  <c r="I49" i="2"/>
  <c r="I48" i="2"/>
  <c r="I47" i="2"/>
  <c r="I46" i="2"/>
  <c r="I45" i="2"/>
  <c r="I44" i="2"/>
  <c r="H43" i="2"/>
  <c r="I43" i="2" s="1"/>
  <c r="I42" i="2"/>
  <c r="H42" i="2"/>
  <c r="I41" i="2"/>
  <c r="H40" i="2"/>
  <c r="I40" i="2" s="1"/>
  <c r="I39" i="2"/>
  <c r="I38" i="2"/>
  <c r="C33" i="2"/>
  <c r="P20" i="2"/>
  <c r="B39" i="17" s="1"/>
  <c r="N20" i="2"/>
  <c r="B39" i="15" s="1"/>
  <c r="M20" i="2"/>
  <c r="B39" i="14" s="1"/>
  <c r="L20" i="2"/>
  <c r="B39" i="13" s="1"/>
  <c r="K20" i="2"/>
  <c r="B39" i="12" s="1"/>
  <c r="J20" i="2"/>
  <c r="B39" i="11" s="1"/>
  <c r="I20" i="2"/>
  <c r="B39" i="10" s="1"/>
  <c r="G9" i="1" s="1"/>
  <c r="H20" i="2"/>
  <c r="B39" i="9" s="1"/>
  <c r="G20" i="2"/>
  <c r="B39" i="8" s="1"/>
  <c r="F20" i="2"/>
  <c r="B39" i="7" s="1"/>
  <c r="P3" i="7" s="1"/>
  <c r="E20" i="2"/>
  <c r="B39" i="6" s="1"/>
  <c r="O18" i="2"/>
  <c r="O20" i="2" s="1"/>
  <c r="B39" i="16" s="1"/>
  <c r="C13" i="2"/>
  <c r="C3" i="2"/>
  <c r="C20" i="2" s="1"/>
  <c r="C22" i="2" s="1"/>
  <c r="N15" i="1"/>
  <c r="M15" i="1"/>
  <c r="L15" i="1"/>
  <c r="F15" i="1"/>
  <c r="E15" i="1"/>
  <c r="D15" i="1"/>
  <c r="N11" i="1"/>
  <c r="M11" i="1"/>
  <c r="L11" i="1"/>
  <c r="K11" i="1"/>
  <c r="J11" i="1"/>
  <c r="I11" i="1"/>
  <c r="H11" i="1"/>
  <c r="G11" i="1"/>
  <c r="F11" i="1"/>
  <c r="E11" i="1"/>
  <c r="D11" i="1"/>
  <c r="C11" i="1"/>
  <c r="B11" i="1" s="1"/>
  <c r="N10" i="1"/>
  <c r="M10" i="1"/>
  <c r="L10" i="1"/>
  <c r="K10" i="1"/>
  <c r="J10" i="1"/>
  <c r="I10" i="1"/>
  <c r="H10" i="1"/>
  <c r="G10" i="1"/>
  <c r="B10" i="1" s="1"/>
  <c r="F10" i="1"/>
  <c r="E10" i="1"/>
  <c r="D10" i="1"/>
  <c r="C10" i="1"/>
  <c r="N9" i="1"/>
  <c r="L9" i="1"/>
  <c r="K9" i="1"/>
  <c r="F9" i="1"/>
  <c r="E9" i="1"/>
  <c r="D9" i="1"/>
  <c r="N8" i="1"/>
  <c r="M8" i="1"/>
  <c r="L8" i="1"/>
  <c r="K8" i="1"/>
  <c r="J8" i="1"/>
  <c r="I8" i="1"/>
  <c r="I15" i="1" s="1"/>
  <c r="H8" i="1"/>
  <c r="H15" i="1" s="1"/>
  <c r="F8" i="1"/>
  <c r="E8" i="1"/>
  <c r="D8" i="1"/>
  <c r="N7" i="1"/>
  <c r="J7" i="1"/>
  <c r="N6" i="1"/>
  <c r="M6" i="1"/>
  <c r="L6" i="1"/>
  <c r="K6" i="1"/>
  <c r="J6" i="1"/>
  <c r="I6" i="1"/>
  <c r="H6" i="1"/>
  <c r="G6" i="1"/>
  <c r="F6" i="1"/>
  <c r="E6" i="1"/>
  <c r="D6" i="1"/>
  <c r="AB3" i="16" l="1"/>
  <c r="T3" i="16"/>
  <c r="K3" i="16"/>
  <c r="B3" i="16"/>
  <c r="AA3" i="16"/>
  <c r="S3" i="16"/>
  <c r="J3" i="16"/>
  <c r="Z3" i="16"/>
  <c r="R3" i="16"/>
  <c r="I3" i="16"/>
  <c r="AC3" i="16"/>
  <c r="U3" i="16"/>
  <c r="L3" i="16"/>
  <c r="C3" i="16"/>
  <c r="V3" i="16"/>
  <c r="D3" i="16"/>
  <c r="Q3" i="16"/>
  <c r="O3" i="16"/>
  <c r="Y3" i="16"/>
  <c r="H3" i="16"/>
  <c r="W3" i="16"/>
  <c r="E3" i="16"/>
  <c r="X3" i="16"/>
  <c r="N3" i="16"/>
  <c r="M3" i="16"/>
  <c r="G3" i="16"/>
  <c r="AE3" i="16"/>
  <c r="AD3" i="16"/>
  <c r="M9" i="1"/>
  <c r="AB72" i="3"/>
  <c r="B42" i="11" s="1"/>
  <c r="AC26" i="3"/>
  <c r="AG26" i="3" s="1"/>
  <c r="AH26" i="3" s="1"/>
  <c r="AA3" i="6"/>
  <c r="R3" i="6"/>
  <c r="J3" i="6"/>
  <c r="Z3" i="6"/>
  <c r="Q3" i="6"/>
  <c r="I3" i="6"/>
  <c r="AB3" i="6"/>
  <c r="S3" i="6"/>
  <c r="K3" i="6"/>
  <c r="B3" i="6"/>
  <c r="Y3" i="6"/>
  <c r="M3" i="6"/>
  <c r="U3" i="6"/>
  <c r="X3" i="6"/>
  <c r="L3" i="6"/>
  <c r="W3" i="6"/>
  <c r="H3" i="6"/>
  <c r="F3" i="6"/>
  <c r="AF3" i="6"/>
  <c r="T3" i="6"/>
  <c r="E3" i="6"/>
  <c r="AE3" i="6"/>
  <c r="P3" i="6"/>
  <c r="D3" i="6"/>
  <c r="AD3" i="6"/>
  <c r="O3" i="6"/>
  <c r="C3" i="6"/>
  <c r="AC3" i="6"/>
  <c r="N3" i="6"/>
  <c r="C9" i="1"/>
  <c r="X4" i="7"/>
  <c r="P4" i="7"/>
  <c r="P29" i="7" s="1"/>
  <c r="P33" i="7" s="1"/>
  <c r="G4" i="7"/>
  <c r="W4" i="7"/>
  <c r="O4" i="7"/>
  <c r="F4" i="7"/>
  <c r="Y4" i="7"/>
  <c r="L4" i="7"/>
  <c r="L47" i="7" s="1"/>
  <c r="B4" i="7"/>
  <c r="V4" i="7"/>
  <c r="K4" i="7"/>
  <c r="U4" i="7"/>
  <c r="J4" i="7"/>
  <c r="S4" i="7"/>
  <c r="H4" i="7"/>
  <c r="AB4" i="7"/>
  <c r="AB47" i="7" s="1"/>
  <c r="N4" i="7"/>
  <c r="C4" i="7"/>
  <c r="T4" i="7"/>
  <c r="R4" i="7"/>
  <c r="Q4" i="7"/>
  <c r="I4" i="7"/>
  <c r="E4" i="7"/>
  <c r="E47" i="7" s="1"/>
  <c r="D4" i="7"/>
  <c r="AC4" i="7"/>
  <c r="D12" i="1"/>
  <c r="AB4" i="8"/>
  <c r="T4" i="8"/>
  <c r="K4" i="8"/>
  <c r="B4" i="8"/>
  <c r="AA4" i="8"/>
  <c r="AA47" i="8" s="1"/>
  <c r="S4" i="8"/>
  <c r="J4" i="8"/>
  <c r="J47" i="8" s="1"/>
  <c r="Z4" i="8"/>
  <c r="Q4" i="8"/>
  <c r="I4" i="8"/>
  <c r="AC4" i="8"/>
  <c r="N4" i="8"/>
  <c r="Y4" i="8"/>
  <c r="M4" i="8"/>
  <c r="M47" i="8" s="1"/>
  <c r="X4" i="8"/>
  <c r="L4" i="8"/>
  <c r="W4" i="8"/>
  <c r="H4" i="8"/>
  <c r="V4" i="8"/>
  <c r="F4" i="8"/>
  <c r="AD4" i="8"/>
  <c r="O4" i="8"/>
  <c r="C4" i="8"/>
  <c r="U4" i="8"/>
  <c r="P4" i="8"/>
  <c r="E4" i="8"/>
  <c r="D4" i="8"/>
  <c r="AF4" i="8"/>
  <c r="E12" i="1"/>
  <c r="AE4" i="8"/>
  <c r="AE47" i="8" s="1"/>
  <c r="I55" i="2"/>
  <c r="AR26" i="3"/>
  <c r="AQ72" i="3"/>
  <c r="B42" i="14" s="1"/>
  <c r="B42" i="9"/>
  <c r="F12" i="1"/>
  <c r="AA4" i="10"/>
  <c r="R4" i="10"/>
  <c r="J4" i="10"/>
  <c r="B4" i="10"/>
  <c r="Z4" i="10"/>
  <c r="Q4" i="10"/>
  <c r="I4" i="10"/>
  <c r="AD4" i="10"/>
  <c r="S4" i="10"/>
  <c r="G4" i="10"/>
  <c r="AC4" i="10"/>
  <c r="P4" i="10"/>
  <c r="F4" i="10"/>
  <c r="AB4" i="10"/>
  <c r="O4" i="10"/>
  <c r="E4" i="10"/>
  <c r="AF4" i="10"/>
  <c r="V4" i="10"/>
  <c r="K4" i="10"/>
  <c r="AE4" i="10"/>
  <c r="U4" i="10"/>
  <c r="H4" i="10"/>
  <c r="Y4" i="10"/>
  <c r="X4" i="10"/>
  <c r="W4" i="10"/>
  <c r="N4" i="10"/>
  <c r="M4" i="10"/>
  <c r="L4" i="10"/>
  <c r="C4" i="10"/>
  <c r="G12" i="1"/>
  <c r="D4" i="10"/>
  <c r="BF72" i="3"/>
  <c r="B42" i="17" s="1"/>
  <c r="BG26" i="3"/>
  <c r="AB29" i="7"/>
  <c r="AB33" i="7" s="1"/>
  <c r="AG72" i="3"/>
  <c r="B42" i="12" s="1"/>
  <c r="AH8" i="3"/>
  <c r="K168" i="4"/>
  <c r="AB3" i="12"/>
  <c r="T3" i="12"/>
  <c r="L3" i="12"/>
  <c r="D3" i="12"/>
  <c r="AA3" i="12"/>
  <c r="S3" i="12"/>
  <c r="K3" i="12"/>
  <c r="C3" i="12"/>
  <c r="Z3" i="12"/>
  <c r="R3" i="12"/>
  <c r="J3" i="12"/>
  <c r="B3" i="12"/>
  <c r="AF3" i="12"/>
  <c r="U3" i="12"/>
  <c r="G3" i="12"/>
  <c r="AE3" i="12"/>
  <c r="Q3" i="12"/>
  <c r="F3" i="12"/>
  <c r="AD3" i="12"/>
  <c r="P3" i="12"/>
  <c r="E3" i="12"/>
  <c r="X3" i="12"/>
  <c r="M3" i="12"/>
  <c r="V3" i="12"/>
  <c r="H3" i="12"/>
  <c r="W3" i="12"/>
  <c r="O3" i="12"/>
  <c r="N3" i="12"/>
  <c r="I3" i="12"/>
  <c r="AC3" i="12"/>
  <c r="Y3" i="12"/>
  <c r="N26" i="3"/>
  <c r="K193" i="4"/>
  <c r="K297" i="4"/>
  <c r="J15" i="1"/>
  <c r="AB3" i="8"/>
  <c r="AB29" i="8" s="1"/>
  <c r="AB33" i="8" s="1"/>
  <c r="T3" i="8"/>
  <c r="T29" i="8" s="1"/>
  <c r="T33" i="8" s="1"/>
  <c r="K3" i="8"/>
  <c r="K29" i="8" s="1"/>
  <c r="K33" i="8" s="1"/>
  <c r="B3" i="8"/>
  <c r="AA3" i="8"/>
  <c r="S3" i="8"/>
  <c r="S29" i="8" s="1"/>
  <c r="S33" i="8" s="1"/>
  <c r="J3" i="8"/>
  <c r="Z3" i="8"/>
  <c r="Q3" i="8"/>
  <c r="I3" i="8"/>
  <c r="V3" i="8"/>
  <c r="V29" i="8" s="1"/>
  <c r="V33" i="8" s="1"/>
  <c r="F3" i="8"/>
  <c r="AF3" i="8"/>
  <c r="U3" i="8"/>
  <c r="U29" i="8" s="1"/>
  <c r="U33" i="8" s="1"/>
  <c r="E3" i="8"/>
  <c r="E29" i="8" s="1"/>
  <c r="E33" i="8" s="1"/>
  <c r="AE3" i="8"/>
  <c r="P3" i="8"/>
  <c r="D3" i="8"/>
  <c r="D29" i="8" s="1"/>
  <c r="D33" i="8" s="1"/>
  <c r="AD3" i="8"/>
  <c r="AD29" i="8" s="1"/>
  <c r="AD33" i="8" s="1"/>
  <c r="O3" i="8"/>
  <c r="C3" i="8"/>
  <c r="C29" i="8" s="1"/>
  <c r="C33" i="8" s="1"/>
  <c r="AC3" i="8"/>
  <c r="N3" i="8"/>
  <c r="W3" i="8"/>
  <c r="W29" i="8" s="1"/>
  <c r="W33" i="8" s="1"/>
  <c r="H3" i="8"/>
  <c r="K47" i="4"/>
  <c r="K279" i="4"/>
  <c r="K302" i="4" s="1"/>
  <c r="K287" i="4"/>
  <c r="H88" i="5"/>
  <c r="F4" i="6"/>
  <c r="U4" i="6"/>
  <c r="U47" i="6" s="1"/>
  <c r="X3" i="7"/>
  <c r="AD10" i="7"/>
  <c r="AD21" i="7"/>
  <c r="L3" i="8"/>
  <c r="L29" i="8" s="1"/>
  <c r="L33" i="8" s="1"/>
  <c r="AH26" i="10"/>
  <c r="AG26" i="10"/>
  <c r="AD4" i="13"/>
  <c r="U4" i="13"/>
  <c r="L4" i="13"/>
  <c r="D4" i="13"/>
  <c r="D47" i="13" s="1"/>
  <c r="AC4" i="13"/>
  <c r="T4" i="13"/>
  <c r="K4" i="13"/>
  <c r="C4" i="13"/>
  <c r="AA4" i="13"/>
  <c r="S4" i="13"/>
  <c r="J4" i="13"/>
  <c r="B4" i="13"/>
  <c r="AE4" i="13"/>
  <c r="V4" i="13"/>
  <c r="M4" i="13"/>
  <c r="E4" i="13"/>
  <c r="AF4" i="13"/>
  <c r="N4" i="13"/>
  <c r="Z4" i="13"/>
  <c r="I4" i="13"/>
  <c r="Y4" i="13"/>
  <c r="H4" i="13"/>
  <c r="R4" i="13"/>
  <c r="O4" i="13"/>
  <c r="F4" i="13"/>
  <c r="X4" i="13"/>
  <c r="W4" i="13"/>
  <c r="P4" i="13"/>
  <c r="G4" i="13"/>
  <c r="K15" i="1"/>
  <c r="X3" i="9"/>
  <c r="O3" i="9"/>
  <c r="F3" i="9"/>
  <c r="AE3" i="9"/>
  <c r="W3" i="9"/>
  <c r="N3" i="9"/>
  <c r="E3" i="9"/>
  <c r="Y3" i="9"/>
  <c r="L3" i="9"/>
  <c r="U3" i="9"/>
  <c r="K3" i="9"/>
  <c r="T3" i="9"/>
  <c r="J3" i="9"/>
  <c r="AA3" i="9"/>
  <c r="P3" i="9"/>
  <c r="C3" i="9"/>
  <c r="AD3" i="9"/>
  <c r="I3" i="9"/>
  <c r="AC3" i="9"/>
  <c r="H3" i="9"/>
  <c r="AB3" i="9"/>
  <c r="D3" i="9"/>
  <c r="Z3" i="9"/>
  <c r="B3" i="9"/>
  <c r="S3" i="9"/>
  <c r="M3" i="9"/>
  <c r="AD3" i="17"/>
  <c r="V3" i="17"/>
  <c r="M3" i="17"/>
  <c r="D3" i="17"/>
  <c r="AC3" i="17"/>
  <c r="U3" i="17"/>
  <c r="L3" i="17"/>
  <c r="C3" i="17"/>
  <c r="Z3" i="17"/>
  <c r="R3" i="17"/>
  <c r="H3" i="17"/>
  <c r="Y3" i="17"/>
  <c r="Q3" i="17"/>
  <c r="G3" i="17"/>
  <c r="AF3" i="17"/>
  <c r="X3" i="17"/>
  <c r="O3" i="17"/>
  <c r="F3" i="17"/>
  <c r="W3" i="17"/>
  <c r="T3" i="17"/>
  <c r="S3" i="17"/>
  <c r="AA3" i="17"/>
  <c r="B3" i="17"/>
  <c r="K3" i="17"/>
  <c r="J3" i="17"/>
  <c r="E3" i="17"/>
  <c r="AE3" i="17"/>
  <c r="N3" i="17"/>
  <c r="AB3" i="17"/>
  <c r="BA72" i="3"/>
  <c r="B42" i="16" s="1"/>
  <c r="K139" i="4"/>
  <c r="K188" i="4"/>
  <c r="K213" i="4"/>
  <c r="K245" i="4"/>
  <c r="K250" i="4"/>
  <c r="H33" i="5"/>
  <c r="H4" i="6"/>
  <c r="H47" i="6" s="1"/>
  <c r="W4" i="6"/>
  <c r="M29" i="8"/>
  <c r="M33" i="8" s="1"/>
  <c r="L4" i="6"/>
  <c r="X4" i="6"/>
  <c r="P31" i="6"/>
  <c r="M58" i="6"/>
  <c r="P58" i="6" s="1"/>
  <c r="B38" i="6"/>
  <c r="AG22" i="9"/>
  <c r="AF22" i="9"/>
  <c r="Y4" i="6"/>
  <c r="Y47" i="6" s="1"/>
  <c r="AG31" i="6"/>
  <c r="B37" i="6"/>
  <c r="C7" i="1" s="1"/>
  <c r="AH31" i="6"/>
  <c r="AI31" i="6" s="1"/>
  <c r="AG32" i="6"/>
  <c r="E29" i="7"/>
  <c r="E33" i="7" s="1"/>
  <c r="AE31" i="7"/>
  <c r="AF31" i="7" s="1"/>
  <c r="AD31" i="7"/>
  <c r="AH22" i="10"/>
  <c r="AG22" i="10"/>
  <c r="AG21" i="11"/>
  <c r="AF21" i="11"/>
  <c r="N4" i="6"/>
  <c r="N47" i="6" s="1"/>
  <c r="AC4" i="6"/>
  <c r="AH32" i="6"/>
  <c r="AI32" i="6" s="1"/>
  <c r="L29" i="7"/>
  <c r="L33" i="7" s="1"/>
  <c r="M47" i="7"/>
  <c r="M29" i="7"/>
  <c r="M33" i="7" s="1"/>
  <c r="M4" i="6"/>
  <c r="M47" i="6" s="1"/>
  <c r="AV72" i="3"/>
  <c r="B42" i="15" s="1"/>
  <c r="K52" i="4"/>
  <c r="K67" i="4" s="1"/>
  <c r="K146" i="4"/>
  <c r="K180" i="4"/>
  <c r="K229" i="4"/>
  <c r="K253" i="4"/>
  <c r="C4" i="6"/>
  <c r="O4" i="6"/>
  <c r="AG17" i="6"/>
  <c r="AH17" i="6"/>
  <c r="AB20" i="6"/>
  <c r="S20" i="6"/>
  <c r="K20" i="6"/>
  <c r="B20" i="6"/>
  <c r="AA20" i="6"/>
  <c r="R20" i="6"/>
  <c r="J20" i="6"/>
  <c r="B56" i="6"/>
  <c r="AC20" i="6"/>
  <c r="T20" i="6"/>
  <c r="L20" i="6"/>
  <c r="C20" i="6"/>
  <c r="N3" i="7"/>
  <c r="N29" i="7" s="1"/>
  <c r="N33" i="7" s="1"/>
  <c r="AD8" i="7"/>
  <c r="B37" i="7"/>
  <c r="D7" i="1" s="1"/>
  <c r="P61" i="7"/>
  <c r="AG21" i="10"/>
  <c r="AB3" i="10"/>
  <c r="S3" i="10"/>
  <c r="S29" i="10" s="1"/>
  <c r="S33" i="10" s="1"/>
  <c r="K3" i="10"/>
  <c r="K29" i="10" s="1"/>
  <c r="K33" i="10" s="1"/>
  <c r="C3" i="10"/>
  <c r="C29" i="10" s="1"/>
  <c r="C33" i="10" s="1"/>
  <c r="AA3" i="10"/>
  <c r="R3" i="10"/>
  <c r="J3" i="10"/>
  <c r="J29" i="10" s="1"/>
  <c r="J33" i="10" s="1"/>
  <c r="B3" i="10"/>
  <c r="AE3" i="10"/>
  <c r="AE29" i="10" s="1"/>
  <c r="U3" i="10"/>
  <c r="U29" i="10" s="1"/>
  <c r="U33" i="10" s="1"/>
  <c r="H3" i="10"/>
  <c r="AD3" i="10"/>
  <c r="AD29" i="10" s="1"/>
  <c r="AD33" i="10" s="1"/>
  <c r="Q3" i="10"/>
  <c r="G3" i="10"/>
  <c r="AC3" i="10"/>
  <c r="P3" i="10"/>
  <c r="F3" i="10"/>
  <c r="W3" i="10"/>
  <c r="W29" i="10" s="1"/>
  <c r="W33" i="10" s="1"/>
  <c r="L3" i="10"/>
  <c r="AF3" i="10"/>
  <c r="AF29" i="10" s="1"/>
  <c r="AF33" i="10" s="1"/>
  <c r="V3" i="10"/>
  <c r="V29" i="10" s="1"/>
  <c r="V33" i="10" s="1"/>
  <c r="I3" i="10"/>
  <c r="I29" i="10" s="1"/>
  <c r="I33" i="10" s="1"/>
  <c r="D3" i="10"/>
  <c r="D29" i="10" s="1"/>
  <c r="D33" i="10" s="1"/>
  <c r="Z3" i="10"/>
  <c r="Z29" i="10" s="1"/>
  <c r="Z33" i="10" s="1"/>
  <c r="Y3" i="10"/>
  <c r="X3" i="10"/>
  <c r="O3" i="10"/>
  <c r="N3" i="10"/>
  <c r="N29" i="10" s="1"/>
  <c r="N33" i="10" s="1"/>
  <c r="E3" i="10"/>
  <c r="W3" i="11"/>
  <c r="O3" i="11"/>
  <c r="F3" i="11"/>
  <c r="AC3" i="11"/>
  <c r="U3" i="11"/>
  <c r="M3" i="11"/>
  <c r="D3" i="11"/>
  <c r="V3" i="11"/>
  <c r="K3" i="11"/>
  <c r="T3" i="11"/>
  <c r="I3" i="11"/>
  <c r="AD3" i="11"/>
  <c r="S3" i="11"/>
  <c r="H3" i="11"/>
  <c r="Z3" i="11"/>
  <c r="P3" i="11"/>
  <c r="C3" i="11"/>
  <c r="Y3" i="11"/>
  <c r="B3" i="11"/>
  <c r="X3" i="11"/>
  <c r="R3" i="11"/>
  <c r="Q3" i="11"/>
  <c r="AB3" i="11"/>
  <c r="G3" i="11"/>
  <c r="AA3" i="11"/>
  <c r="E3" i="11"/>
  <c r="L3" i="11"/>
  <c r="N3" i="11"/>
  <c r="AA4" i="6"/>
  <c r="AA47" i="6" s="1"/>
  <c r="R4" i="6"/>
  <c r="J4" i="6"/>
  <c r="J47" i="6" s="1"/>
  <c r="Z4" i="6"/>
  <c r="Z47" i="6" s="1"/>
  <c r="Q4" i="6"/>
  <c r="Q47" i="6" s="1"/>
  <c r="I4" i="6"/>
  <c r="I47" i="6" s="1"/>
  <c r="AB4" i="6"/>
  <c r="S4" i="6"/>
  <c r="K4" i="6"/>
  <c r="B4" i="6"/>
  <c r="K184" i="4"/>
  <c r="K201" i="4" s="1"/>
  <c r="K241" i="4"/>
  <c r="K267" i="4" s="1"/>
  <c r="K101" i="4"/>
  <c r="H9" i="1"/>
  <c r="AD3" i="13"/>
  <c r="AD29" i="13" s="1"/>
  <c r="AD33" i="13" s="1"/>
  <c r="U3" i="13"/>
  <c r="U29" i="13" s="1"/>
  <c r="U33" i="13" s="1"/>
  <c r="L3" i="13"/>
  <c r="L29" i="13" s="1"/>
  <c r="L33" i="13" s="1"/>
  <c r="D3" i="13"/>
  <c r="AC3" i="13"/>
  <c r="AC29" i="13" s="1"/>
  <c r="AC33" i="13" s="1"/>
  <c r="T3" i="13"/>
  <c r="T29" i="13" s="1"/>
  <c r="T33" i="13" s="1"/>
  <c r="K3" i="13"/>
  <c r="K29" i="13" s="1"/>
  <c r="K33" i="13" s="1"/>
  <c r="C3" i="13"/>
  <c r="C29" i="13" s="1"/>
  <c r="C33" i="13" s="1"/>
  <c r="AA3" i="13"/>
  <c r="S3" i="13"/>
  <c r="J3" i="13"/>
  <c r="J29" i="13" s="1"/>
  <c r="J33" i="13" s="1"/>
  <c r="B3" i="13"/>
  <c r="AE3" i="13"/>
  <c r="AE29" i="13" s="1"/>
  <c r="AE33" i="13" s="1"/>
  <c r="V3" i="13"/>
  <c r="V29" i="13" s="1"/>
  <c r="V33" i="13" s="1"/>
  <c r="M3" i="13"/>
  <c r="M29" i="13" s="1"/>
  <c r="M33" i="13" s="1"/>
  <c r="E3" i="13"/>
  <c r="E29" i="13" s="1"/>
  <c r="E33" i="13" s="1"/>
  <c r="AF3" i="13"/>
  <c r="AF29" i="13" s="1"/>
  <c r="AF33" i="13" s="1"/>
  <c r="N3" i="13"/>
  <c r="N29" i="13" s="1"/>
  <c r="N33" i="13" s="1"/>
  <c r="Z3" i="13"/>
  <c r="I3" i="13"/>
  <c r="Y3" i="13"/>
  <c r="Y29" i="13" s="1"/>
  <c r="Y33" i="13" s="1"/>
  <c r="H3" i="13"/>
  <c r="R3" i="13"/>
  <c r="O3" i="13"/>
  <c r="X3" i="13"/>
  <c r="W3" i="13"/>
  <c r="W29" i="13" s="1"/>
  <c r="W33" i="13" s="1"/>
  <c r="P3" i="13"/>
  <c r="G3" i="13"/>
  <c r="F3" i="13"/>
  <c r="F29" i="13" s="1"/>
  <c r="F33" i="13" s="1"/>
  <c r="I9" i="1"/>
  <c r="J12" i="1"/>
  <c r="AA3" i="14"/>
  <c r="R3" i="14"/>
  <c r="J3" i="14"/>
  <c r="B3" i="14"/>
  <c r="Z3" i="14"/>
  <c r="Q3" i="14"/>
  <c r="I3" i="14"/>
  <c r="AB3" i="14"/>
  <c r="O3" i="14"/>
  <c r="E3" i="14"/>
  <c r="Y3" i="14"/>
  <c r="N3" i="14"/>
  <c r="D3" i="14"/>
  <c r="X3" i="14"/>
  <c r="M3" i="14"/>
  <c r="C3" i="14"/>
  <c r="AD3" i="14"/>
  <c r="S3" i="14"/>
  <c r="G3" i="14"/>
  <c r="AC3" i="14"/>
  <c r="P3" i="14"/>
  <c r="F3" i="14"/>
  <c r="K3" i="14"/>
  <c r="H3" i="14"/>
  <c r="U3" i="14"/>
  <c r="L3" i="14"/>
  <c r="T3" i="14"/>
  <c r="AE3" i="14"/>
  <c r="V3" i="14"/>
  <c r="S26" i="3"/>
  <c r="K33" i="4"/>
  <c r="K225" i="4"/>
  <c r="H121" i="5"/>
  <c r="D4" i="6"/>
  <c r="D47" i="6" s="1"/>
  <c r="P4" i="6"/>
  <c r="P47" i="6" s="1"/>
  <c r="AE4" i="6"/>
  <c r="AE47" i="6" s="1"/>
  <c r="AG10" i="6"/>
  <c r="AB21" i="6"/>
  <c r="S21" i="6"/>
  <c r="K21" i="6"/>
  <c r="B21" i="6"/>
  <c r="AA21" i="6"/>
  <c r="R21" i="6"/>
  <c r="J21" i="6"/>
  <c r="AC21" i="6"/>
  <c r="T21" i="6"/>
  <c r="L21" i="6"/>
  <c r="C21" i="6"/>
  <c r="Q3" i="9"/>
  <c r="AG7" i="6"/>
  <c r="J9" i="1"/>
  <c r="C12" i="1"/>
  <c r="T3" i="7"/>
  <c r="T29" i="7" s="1"/>
  <c r="T33" i="7" s="1"/>
  <c r="K3" i="7"/>
  <c r="K29" i="7" s="1"/>
  <c r="K33" i="7" s="1"/>
  <c r="C3" i="7"/>
  <c r="C29" i="7" s="1"/>
  <c r="C33" i="7" s="1"/>
  <c r="AC3" i="7"/>
  <c r="AC29" i="7" s="1"/>
  <c r="AC33" i="7" s="1"/>
  <c r="S3" i="7"/>
  <c r="S29" i="7" s="1"/>
  <c r="S33" i="7" s="1"/>
  <c r="J3" i="7"/>
  <c r="J29" i="7" s="1"/>
  <c r="J33" i="7" s="1"/>
  <c r="B3" i="7"/>
  <c r="U3" i="7"/>
  <c r="U29" i="7" s="1"/>
  <c r="U33" i="7" s="1"/>
  <c r="H3" i="7"/>
  <c r="R3" i="7"/>
  <c r="R29" i="7" s="1"/>
  <c r="R33" i="7" s="1"/>
  <c r="G3" i="7"/>
  <c r="G29" i="7" s="1"/>
  <c r="G33" i="7" s="1"/>
  <c r="Q3" i="7"/>
  <c r="F3" i="7"/>
  <c r="F29" i="7" s="1"/>
  <c r="F33" i="7" s="1"/>
  <c r="Y3" i="7"/>
  <c r="Y29" i="7" s="1"/>
  <c r="Y33" i="7" s="1"/>
  <c r="O3" i="7"/>
  <c r="O29" i="7" s="1"/>
  <c r="O33" i="7" s="1"/>
  <c r="D3" i="7"/>
  <c r="D29" i="7" s="1"/>
  <c r="D33" i="7" s="1"/>
  <c r="V3" i="7"/>
  <c r="V29" i="7" s="1"/>
  <c r="V33" i="7" s="1"/>
  <c r="I3" i="7"/>
  <c r="I29" i="7" s="1"/>
  <c r="I33" i="7" s="1"/>
  <c r="AB3" i="15"/>
  <c r="T3" i="15"/>
  <c r="L3" i="15"/>
  <c r="C3" i="15"/>
  <c r="AA3" i="15"/>
  <c r="S3" i="15"/>
  <c r="K3" i="15"/>
  <c r="B3" i="15"/>
  <c r="Z3" i="15"/>
  <c r="R3" i="15"/>
  <c r="J3" i="15"/>
  <c r="AC3" i="15"/>
  <c r="U3" i="15"/>
  <c r="M3" i="15"/>
  <c r="D3" i="15"/>
  <c r="W3" i="15"/>
  <c r="F3" i="15"/>
  <c r="V3" i="15"/>
  <c r="E3" i="15"/>
  <c r="Q3" i="15"/>
  <c r="X3" i="15"/>
  <c r="H3" i="15"/>
  <c r="O3" i="15"/>
  <c r="N3" i="15"/>
  <c r="I3" i="15"/>
  <c r="Y3" i="15"/>
  <c r="P3" i="15"/>
  <c r="AE3" i="15"/>
  <c r="AD3" i="15"/>
  <c r="K58" i="4"/>
  <c r="K235" i="4"/>
  <c r="K249" i="4"/>
  <c r="E4" i="6"/>
  <c r="E47" i="6" s="1"/>
  <c r="T4" i="6"/>
  <c r="T47" i="6" s="1"/>
  <c r="AF4" i="6"/>
  <c r="AF47" i="6" s="1"/>
  <c r="H20" i="6"/>
  <c r="W20" i="6"/>
  <c r="O21" i="6"/>
  <c r="AD21" i="6"/>
  <c r="AD47" i="6" s="1"/>
  <c r="B29" i="6"/>
  <c r="W3" i="7"/>
  <c r="W29" i="7" s="1"/>
  <c r="W33" i="7" s="1"/>
  <c r="P56" i="7"/>
  <c r="AH22" i="8"/>
  <c r="AG22" i="8"/>
  <c r="R3" i="9"/>
  <c r="AG17" i="9"/>
  <c r="M3" i="10"/>
  <c r="AI30" i="6"/>
  <c r="AE17" i="7"/>
  <c r="AD17" i="7"/>
  <c r="AE20" i="7"/>
  <c r="P56" i="8"/>
  <c r="P61" i="8"/>
  <c r="B37" i="9"/>
  <c r="F7" i="1" s="1"/>
  <c r="AG31" i="9"/>
  <c r="AH31" i="9" s="1"/>
  <c r="B29" i="10"/>
  <c r="AH2" i="10"/>
  <c r="AG2" i="10"/>
  <c r="AA29" i="10"/>
  <c r="AA33" i="10" s="1"/>
  <c r="AH10" i="10"/>
  <c r="AF22" i="11"/>
  <c r="L29" i="10"/>
  <c r="L33" i="10" s="1"/>
  <c r="AC29" i="10"/>
  <c r="AC33" i="10" s="1"/>
  <c r="P58" i="7"/>
  <c r="AH18" i="8"/>
  <c r="AG18" i="8"/>
  <c r="AH21" i="8"/>
  <c r="AG21" i="8"/>
  <c r="AG31" i="11"/>
  <c r="AH31" i="11" s="1"/>
  <c r="AF31" i="11"/>
  <c r="B37" i="11"/>
  <c r="H7" i="1" s="1"/>
  <c r="AE31" i="10"/>
  <c r="AH31" i="10" s="1"/>
  <c r="AI31" i="10" s="1"/>
  <c r="AH32" i="10"/>
  <c r="O60" i="10"/>
  <c r="P60" i="10" s="1"/>
  <c r="AE33" i="10"/>
  <c r="AG32" i="10"/>
  <c r="B38" i="10"/>
  <c r="AE10" i="7"/>
  <c r="AG10" i="8"/>
  <c r="P62" i="8"/>
  <c r="AH7" i="10"/>
  <c r="K292" i="4"/>
  <c r="B36" i="6"/>
  <c r="C6" i="1" s="1"/>
  <c r="B6" i="1" s="1"/>
  <c r="AE22" i="7"/>
  <c r="AG8" i="8"/>
  <c r="AI30" i="8"/>
  <c r="Z20" i="8"/>
  <c r="Q20" i="8"/>
  <c r="I20" i="8"/>
  <c r="Y20" i="8"/>
  <c r="P20" i="8"/>
  <c r="H20" i="8"/>
  <c r="AF20" i="8"/>
  <c r="X20" i="8"/>
  <c r="X29" i="8" s="1"/>
  <c r="X33" i="8" s="1"/>
  <c r="O20" i="8"/>
  <c r="F20" i="8"/>
  <c r="AF31" i="9"/>
  <c r="H29" i="10"/>
  <c r="H33" i="10" s="1"/>
  <c r="AH17" i="10"/>
  <c r="AG17" i="10"/>
  <c r="F8" i="6"/>
  <c r="O8" i="6"/>
  <c r="X8" i="6"/>
  <c r="AH22" i="6"/>
  <c r="AG22" i="6"/>
  <c r="AD22" i="7"/>
  <c r="AG7" i="8"/>
  <c r="B20" i="8"/>
  <c r="N20" i="8"/>
  <c r="AC20" i="8"/>
  <c r="B37" i="8"/>
  <c r="E7" i="1" s="1"/>
  <c r="AG31" i="8"/>
  <c r="B56" i="8"/>
  <c r="P59" i="8"/>
  <c r="AG7" i="9"/>
  <c r="AG8" i="9"/>
  <c r="AF21" i="9"/>
  <c r="AH30" i="9"/>
  <c r="P57" i="10"/>
  <c r="P59" i="10"/>
  <c r="P61" i="9"/>
  <c r="Y20" i="10"/>
  <c r="Y29" i="10" s="1"/>
  <c r="Y33" i="10" s="1"/>
  <c r="P20" i="10"/>
  <c r="P29" i="10" s="1"/>
  <c r="P33" i="10" s="1"/>
  <c r="H20" i="10"/>
  <c r="AF20" i="10"/>
  <c r="X20" i="10"/>
  <c r="X29" i="10" s="1"/>
  <c r="X33" i="10" s="1"/>
  <c r="O20" i="10"/>
  <c r="O29" i="10" s="1"/>
  <c r="O33" i="10" s="1"/>
  <c r="G20" i="10"/>
  <c r="AG7" i="11"/>
  <c r="P57" i="12"/>
  <c r="AH21" i="13"/>
  <c r="AG20" i="13"/>
  <c r="AG22" i="14"/>
  <c r="AA21" i="12"/>
  <c r="S21" i="12"/>
  <c r="K21" i="12"/>
  <c r="C21" i="12"/>
  <c r="Z21" i="12"/>
  <c r="R21" i="12"/>
  <c r="J21" i="12"/>
  <c r="B21" i="12"/>
  <c r="Y21" i="12"/>
  <c r="Q21" i="12"/>
  <c r="I21" i="12"/>
  <c r="AB21" i="12"/>
  <c r="T21" i="12"/>
  <c r="L21" i="12"/>
  <c r="D21" i="12"/>
  <c r="X21" i="12"/>
  <c r="H21" i="12"/>
  <c r="W21" i="12"/>
  <c r="G21" i="12"/>
  <c r="V21" i="12"/>
  <c r="F21" i="12"/>
  <c r="AE21" i="12"/>
  <c r="O21" i="12"/>
  <c r="AC21" i="12"/>
  <c r="M21" i="12"/>
  <c r="N21" i="12"/>
  <c r="B56" i="12"/>
  <c r="AG18" i="9"/>
  <c r="AF18" i="9"/>
  <c r="M29" i="10"/>
  <c r="M33" i="10" s="1"/>
  <c r="AG8" i="10"/>
  <c r="D20" i="10"/>
  <c r="N20" i="10"/>
  <c r="AA20" i="10"/>
  <c r="AB20" i="11"/>
  <c r="T20" i="11"/>
  <c r="L20" i="11"/>
  <c r="C20" i="11"/>
  <c r="Z20" i="11"/>
  <c r="R20" i="11"/>
  <c r="I20" i="11"/>
  <c r="W20" i="11"/>
  <c r="M20" i="11"/>
  <c r="V20" i="11"/>
  <c r="K20" i="11"/>
  <c r="B56" i="11"/>
  <c r="U20" i="11"/>
  <c r="H20" i="11"/>
  <c r="AA20" i="11"/>
  <c r="P20" i="11"/>
  <c r="E20" i="11"/>
  <c r="P21" i="12"/>
  <c r="AG46" i="12"/>
  <c r="G7" i="7"/>
  <c r="AD7" i="7" s="1"/>
  <c r="P7" i="7"/>
  <c r="X7" i="7"/>
  <c r="AG10" i="9"/>
  <c r="AF10" i="9"/>
  <c r="AG10" i="10"/>
  <c r="E20" i="10"/>
  <c r="Q20" i="10"/>
  <c r="AB20" i="10"/>
  <c r="AB29" i="10" s="1"/>
  <c r="AB33" i="10" s="1"/>
  <c r="AF8" i="11"/>
  <c r="AG8" i="11"/>
  <c r="B20" i="11"/>
  <c r="X20" i="11"/>
  <c r="U21" i="12"/>
  <c r="H7" i="7"/>
  <c r="Q7" i="7"/>
  <c r="AG20" i="9"/>
  <c r="AG26" i="9"/>
  <c r="AF26" i="9"/>
  <c r="F20" i="10"/>
  <c r="F29" i="10" s="1"/>
  <c r="F33" i="10" s="1"/>
  <c r="R20" i="10"/>
  <c r="R29" i="10" s="1"/>
  <c r="R33" i="10" s="1"/>
  <c r="AC20" i="10"/>
  <c r="D20" i="11"/>
  <c r="Y20" i="11"/>
  <c r="AD21" i="12"/>
  <c r="AH22" i="13"/>
  <c r="P61" i="14"/>
  <c r="P62" i="10"/>
  <c r="AC20" i="12"/>
  <c r="U20" i="12"/>
  <c r="M20" i="12"/>
  <c r="E20" i="12"/>
  <c r="AB20" i="12"/>
  <c r="T20" i="12"/>
  <c r="L20" i="12"/>
  <c r="D20" i="12"/>
  <c r="AA20" i="12"/>
  <c r="S20" i="12"/>
  <c r="K20" i="12"/>
  <c r="C20" i="12"/>
  <c r="AD20" i="12"/>
  <c r="V20" i="12"/>
  <c r="N20" i="12"/>
  <c r="F20" i="12"/>
  <c r="P60" i="12"/>
  <c r="AH10" i="13"/>
  <c r="H7" i="18"/>
  <c r="J5" i="18"/>
  <c r="H22" i="18"/>
  <c r="J20" i="18"/>
  <c r="H67" i="18"/>
  <c r="J65" i="18"/>
  <c r="H20" i="12"/>
  <c r="X20" i="12"/>
  <c r="AH7" i="13"/>
  <c r="AG21" i="13"/>
  <c r="AF22" i="14"/>
  <c r="AF7" i="11"/>
  <c r="AG10" i="12"/>
  <c r="AH17" i="12"/>
  <c r="AG17" i="12"/>
  <c r="I20" i="12"/>
  <c r="Y20" i="12"/>
  <c r="B37" i="12"/>
  <c r="I7" i="1" s="1"/>
  <c r="AH17" i="13"/>
  <c r="AG17" i="13"/>
  <c r="Z8" i="13"/>
  <c r="R8" i="13"/>
  <c r="I8" i="13"/>
  <c r="B56" i="13"/>
  <c r="Y8" i="13"/>
  <c r="P8" i="13"/>
  <c r="H8" i="13"/>
  <c r="X8" i="13"/>
  <c r="O8" i="13"/>
  <c r="G8" i="13"/>
  <c r="AA8" i="13"/>
  <c r="S8" i="13"/>
  <c r="J8" i="13"/>
  <c r="B8" i="13"/>
  <c r="AF21" i="14"/>
  <c r="AG10" i="11"/>
  <c r="AH30" i="11"/>
  <c r="J20" i="12"/>
  <c r="Z20" i="12"/>
  <c r="AF20" i="14"/>
  <c r="AH31" i="15"/>
  <c r="AI31" i="15" s="1"/>
  <c r="AH22" i="12"/>
  <c r="AF7" i="14"/>
  <c r="AG21" i="15"/>
  <c r="AH21" i="15"/>
  <c r="X20" i="15"/>
  <c r="P20" i="15"/>
  <c r="H20" i="15"/>
  <c r="AE20" i="15"/>
  <c r="W20" i="15"/>
  <c r="O20" i="15"/>
  <c r="F20" i="15"/>
  <c r="AD20" i="15"/>
  <c r="V20" i="15"/>
  <c r="N20" i="15"/>
  <c r="E20" i="15"/>
  <c r="Y20" i="15"/>
  <c r="Q20" i="15"/>
  <c r="I20" i="15"/>
  <c r="AB20" i="15"/>
  <c r="L20" i="15"/>
  <c r="AA20" i="15"/>
  <c r="K20" i="15"/>
  <c r="Z20" i="15"/>
  <c r="J20" i="15"/>
  <c r="AC20" i="15"/>
  <c r="M20" i="15"/>
  <c r="C20" i="15"/>
  <c r="B37" i="15"/>
  <c r="L7" i="1" s="1"/>
  <c r="P58" i="15"/>
  <c r="P59" i="15"/>
  <c r="AF8" i="16"/>
  <c r="AG21" i="16"/>
  <c r="H14" i="18"/>
  <c r="J18" i="18"/>
  <c r="H18" i="18"/>
  <c r="H52" i="18"/>
  <c r="J50" i="18"/>
  <c r="J172" i="18"/>
  <c r="H174" i="18"/>
  <c r="J187" i="18"/>
  <c r="H190" i="18"/>
  <c r="H215" i="18"/>
  <c r="J213" i="18"/>
  <c r="AG20" i="16"/>
  <c r="AF20" i="16"/>
  <c r="I8" i="12"/>
  <c r="Q8" i="12"/>
  <c r="Y8" i="12"/>
  <c r="AG7" i="13"/>
  <c r="AG10" i="13"/>
  <c r="AG31" i="13"/>
  <c r="AG7" i="14"/>
  <c r="T20" i="15"/>
  <c r="B8" i="12"/>
  <c r="J8" i="12"/>
  <c r="R8" i="12"/>
  <c r="Z8" i="12"/>
  <c r="AG31" i="12"/>
  <c r="AF10" i="14"/>
  <c r="AG17" i="14"/>
  <c r="AF17" i="14"/>
  <c r="U20" i="15"/>
  <c r="C8" i="12"/>
  <c r="K8" i="12"/>
  <c r="S8" i="12"/>
  <c r="AH31" i="12"/>
  <c r="AI31" i="12" s="1"/>
  <c r="AF8" i="14"/>
  <c r="AF10" i="16"/>
  <c r="AG17" i="16"/>
  <c r="AF17" i="16"/>
  <c r="AH7" i="17"/>
  <c r="AG7" i="17"/>
  <c r="AH10" i="15"/>
  <c r="AG10" i="15"/>
  <c r="AG22" i="15"/>
  <c r="AH22" i="15"/>
  <c r="AI30" i="15"/>
  <c r="Y8" i="15"/>
  <c r="Q8" i="15"/>
  <c r="I8" i="15"/>
  <c r="X8" i="15"/>
  <c r="P8" i="15"/>
  <c r="H8" i="15"/>
  <c r="AG8" i="15" s="1"/>
  <c r="AE8" i="15"/>
  <c r="W8" i="15"/>
  <c r="O8" i="15"/>
  <c r="F8" i="15"/>
  <c r="AH8" i="15" s="1"/>
  <c r="Z8" i="15"/>
  <c r="R8" i="15"/>
  <c r="J8" i="15"/>
  <c r="B37" i="16"/>
  <c r="M7" i="1" s="1"/>
  <c r="P57" i="16"/>
  <c r="P59" i="16"/>
  <c r="H37" i="18"/>
  <c r="J64" i="18"/>
  <c r="H64" i="18"/>
  <c r="J142" i="18"/>
  <c r="H142" i="18"/>
  <c r="J144" i="18"/>
  <c r="H146" i="18"/>
  <c r="H155" i="18"/>
  <c r="J155" i="18"/>
  <c r="J185" i="18"/>
  <c r="H185" i="18"/>
  <c r="J198" i="18"/>
  <c r="H198" i="18"/>
  <c r="J212" i="18"/>
  <c r="H212" i="18"/>
  <c r="J79" i="18"/>
  <c r="H79" i="18"/>
  <c r="H89" i="18" s="1"/>
  <c r="H98" i="18"/>
  <c r="J96" i="18"/>
  <c r="H111" i="18"/>
  <c r="J111" i="18"/>
  <c r="J6" i="18"/>
  <c r="H12" i="18"/>
  <c r="J19" i="18"/>
  <c r="H19" i="18"/>
  <c r="J48" i="18"/>
  <c r="H48" i="18"/>
  <c r="H59" i="18" s="1"/>
  <c r="H82" i="18"/>
  <c r="J80" i="18"/>
  <c r="J156" i="18"/>
  <c r="H156" i="18"/>
  <c r="J226" i="18"/>
  <c r="H226" i="18"/>
  <c r="B37" i="14"/>
  <c r="K7" i="1" s="1"/>
  <c r="L8" i="15"/>
  <c r="AB8" i="15"/>
  <c r="AF31" i="14"/>
  <c r="AG31" i="14"/>
  <c r="AH31" i="14" s="1"/>
  <c r="P58" i="14"/>
  <c r="M8" i="15"/>
  <c r="AC8" i="15"/>
  <c r="AG17" i="15"/>
  <c r="N8" i="15"/>
  <c r="AD8" i="15"/>
  <c r="AG27" i="15"/>
  <c r="Y7" i="15"/>
  <c r="Q7" i="15"/>
  <c r="I7" i="15"/>
  <c r="X7" i="15"/>
  <c r="P7" i="15"/>
  <c r="H7" i="15"/>
  <c r="B56" i="15"/>
  <c r="AE7" i="15"/>
  <c r="W7" i="15"/>
  <c r="O7" i="15"/>
  <c r="F7" i="15"/>
  <c r="Z7" i="15"/>
  <c r="R7" i="15"/>
  <c r="J7" i="15"/>
  <c r="P57" i="15"/>
  <c r="AH20" i="17"/>
  <c r="P62" i="16"/>
  <c r="AH8" i="17"/>
  <c r="AG20" i="17"/>
  <c r="J49" i="18"/>
  <c r="H49" i="18"/>
  <c r="J94" i="18"/>
  <c r="J239" i="18" s="1"/>
  <c r="L239" i="18" s="1"/>
  <c r="H94" i="18"/>
  <c r="H105" i="18" s="1"/>
  <c r="J170" i="18"/>
  <c r="H170" i="18"/>
  <c r="H178" i="18" s="1"/>
  <c r="P56" i="16"/>
  <c r="AG8" i="17"/>
  <c r="J143" i="18"/>
  <c r="H143" i="18"/>
  <c r="H159" i="18"/>
  <c r="J157" i="18"/>
  <c r="J199" i="18"/>
  <c r="H199" i="18"/>
  <c r="H202" i="18"/>
  <c r="J200" i="18"/>
  <c r="AG31" i="15"/>
  <c r="AH10" i="17"/>
  <c r="AG21" i="17"/>
  <c r="J21" i="18"/>
  <c r="J127" i="18"/>
  <c r="H127" i="18"/>
  <c r="J186" i="18"/>
  <c r="J211" i="18"/>
  <c r="H211" i="18"/>
  <c r="J36" i="18"/>
  <c r="J51" i="18"/>
  <c r="H225" i="18"/>
  <c r="H233" i="18" s="1"/>
  <c r="G34" i="18"/>
  <c r="G38" i="18"/>
  <c r="H110" i="18"/>
  <c r="H121" i="18" s="1"/>
  <c r="J113" i="18"/>
  <c r="H126" i="18"/>
  <c r="H130" i="18"/>
  <c r="J81" i="18"/>
  <c r="J97" i="18"/>
  <c r="H171" i="18"/>
  <c r="H33" i="18"/>
  <c r="H63" i="18"/>
  <c r="J112" i="18"/>
  <c r="H186" i="18"/>
  <c r="AF31" i="16"/>
  <c r="AH31" i="17"/>
  <c r="AI31" i="17" s="1"/>
  <c r="AG7" i="15" l="1"/>
  <c r="J240" i="18"/>
  <c r="L240" i="18" s="1"/>
  <c r="L244" i="18" s="1"/>
  <c r="H206" i="18"/>
  <c r="H150" i="18"/>
  <c r="AH7" i="15"/>
  <c r="H193" i="18"/>
  <c r="H74" i="18"/>
  <c r="H29" i="18"/>
  <c r="AH8" i="6"/>
  <c r="H38" i="18"/>
  <c r="J35" i="18"/>
  <c r="AG20" i="15"/>
  <c r="AG20" i="12"/>
  <c r="AG20" i="10"/>
  <c r="AH20" i="15"/>
  <c r="AG20" i="11"/>
  <c r="AF20" i="11"/>
  <c r="H29" i="13"/>
  <c r="H33" i="13" s="1"/>
  <c r="G29" i="11"/>
  <c r="G33" i="11" s="1"/>
  <c r="V29" i="11"/>
  <c r="V33" i="11" s="1"/>
  <c r="Q29" i="10"/>
  <c r="Q33" i="10" s="1"/>
  <c r="C8" i="1"/>
  <c r="W47" i="6"/>
  <c r="AH3" i="17"/>
  <c r="AG3" i="17"/>
  <c r="R47" i="13"/>
  <c r="M47" i="13"/>
  <c r="K47" i="13"/>
  <c r="F47" i="6"/>
  <c r="AC29" i="8"/>
  <c r="AC33" i="8" s="1"/>
  <c r="L47" i="10"/>
  <c r="AE47" i="10"/>
  <c r="P47" i="10"/>
  <c r="AH4" i="10"/>
  <c r="B47" i="10"/>
  <c r="AG4" i="10"/>
  <c r="U47" i="8"/>
  <c r="L47" i="8"/>
  <c r="Z47" i="8"/>
  <c r="Q47" i="7"/>
  <c r="J47" i="7"/>
  <c r="O47" i="7"/>
  <c r="C29" i="6"/>
  <c r="C33" i="6" s="1"/>
  <c r="AF29" i="6"/>
  <c r="AF33" i="6" s="1"/>
  <c r="Y29" i="6"/>
  <c r="Y33" i="6" s="1"/>
  <c r="J29" i="6"/>
  <c r="J33" i="6" s="1"/>
  <c r="X4" i="11"/>
  <c r="X47" i="11" s="1"/>
  <c r="P4" i="11"/>
  <c r="P47" i="11" s="1"/>
  <c r="G4" i="11"/>
  <c r="G47" i="11" s="1"/>
  <c r="AD4" i="11"/>
  <c r="AD47" i="11" s="1"/>
  <c r="V4" i="11"/>
  <c r="V47" i="11" s="1"/>
  <c r="N4" i="11"/>
  <c r="N47" i="11" s="1"/>
  <c r="E4" i="11"/>
  <c r="E47" i="11" s="1"/>
  <c r="W4" i="11"/>
  <c r="W47" i="11" s="1"/>
  <c r="L4" i="11"/>
  <c r="L47" i="11" s="1"/>
  <c r="U4" i="11"/>
  <c r="U47" i="11" s="1"/>
  <c r="K4" i="11"/>
  <c r="K47" i="11" s="1"/>
  <c r="T4" i="11"/>
  <c r="T47" i="11" s="1"/>
  <c r="I4" i="11"/>
  <c r="I47" i="11" s="1"/>
  <c r="AA4" i="11"/>
  <c r="AA47" i="11" s="1"/>
  <c r="Q4" i="11"/>
  <c r="Q47" i="11" s="1"/>
  <c r="D4" i="11"/>
  <c r="D47" i="11" s="1"/>
  <c r="O4" i="11"/>
  <c r="O47" i="11" s="1"/>
  <c r="M4" i="11"/>
  <c r="M47" i="11" s="1"/>
  <c r="AC4" i="11"/>
  <c r="AC47" i="11" s="1"/>
  <c r="H4" i="11"/>
  <c r="H47" i="11" s="1"/>
  <c r="AB4" i="11"/>
  <c r="AB47" i="11" s="1"/>
  <c r="F4" i="11"/>
  <c r="F47" i="11" s="1"/>
  <c r="S4" i="11"/>
  <c r="S47" i="11" s="1"/>
  <c r="R4" i="11"/>
  <c r="R47" i="11" s="1"/>
  <c r="Z4" i="11"/>
  <c r="Z47" i="11" s="1"/>
  <c r="Y4" i="11"/>
  <c r="Y47" i="11" s="1"/>
  <c r="C4" i="11"/>
  <c r="C47" i="11" s="1"/>
  <c r="B4" i="11"/>
  <c r="H12" i="1"/>
  <c r="E29" i="16"/>
  <c r="E33" i="16" s="1"/>
  <c r="C29" i="16"/>
  <c r="P29" i="15"/>
  <c r="P33" i="15" s="1"/>
  <c r="AB29" i="11"/>
  <c r="AB33" i="11" s="1"/>
  <c r="AG8" i="6"/>
  <c r="AC4" i="16"/>
  <c r="AC47" i="16" s="1"/>
  <c r="U4" i="16"/>
  <c r="U47" i="16" s="1"/>
  <c r="L4" i="16"/>
  <c r="L47" i="16" s="1"/>
  <c r="C4" i="16"/>
  <c r="C47" i="16" s="1"/>
  <c r="AB4" i="16"/>
  <c r="AB47" i="16" s="1"/>
  <c r="T4" i="16"/>
  <c r="T47" i="16" s="1"/>
  <c r="K4" i="16"/>
  <c r="K47" i="16" s="1"/>
  <c r="B4" i="16"/>
  <c r="AA4" i="16"/>
  <c r="AA47" i="16" s="1"/>
  <c r="S4" i="16"/>
  <c r="S47" i="16" s="1"/>
  <c r="J4" i="16"/>
  <c r="J47" i="16" s="1"/>
  <c r="AD4" i="16"/>
  <c r="AD47" i="16" s="1"/>
  <c r="V4" i="16"/>
  <c r="V47" i="16" s="1"/>
  <c r="M4" i="16"/>
  <c r="M47" i="16" s="1"/>
  <c r="D4" i="16"/>
  <c r="D47" i="16" s="1"/>
  <c r="W4" i="16"/>
  <c r="W47" i="16" s="1"/>
  <c r="E4" i="16"/>
  <c r="E47" i="16" s="1"/>
  <c r="R4" i="16"/>
  <c r="R47" i="16" s="1"/>
  <c r="Q4" i="16"/>
  <c r="Q47" i="16" s="1"/>
  <c r="Z4" i="16"/>
  <c r="Z47" i="16" s="1"/>
  <c r="I4" i="16"/>
  <c r="I47" i="16" s="1"/>
  <c r="X4" i="16"/>
  <c r="X47" i="16" s="1"/>
  <c r="G4" i="16"/>
  <c r="G47" i="16" s="1"/>
  <c r="AE4" i="16"/>
  <c r="AE47" i="16" s="1"/>
  <c r="Y4" i="16"/>
  <c r="Y47" i="16" s="1"/>
  <c r="O4" i="16"/>
  <c r="O47" i="16" s="1"/>
  <c r="N4" i="16"/>
  <c r="N47" i="16" s="1"/>
  <c r="H4" i="16"/>
  <c r="H47" i="16" s="1"/>
  <c r="M12" i="1"/>
  <c r="AF3" i="9"/>
  <c r="AG3" i="9"/>
  <c r="H47" i="13"/>
  <c r="V47" i="13"/>
  <c r="T47" i="13"/>
  <c r="AF29" i="8"/>
  <c r="AF33" i="8" s="1"/>
  <c r="AA29" i="8"/>
  <c r="AA33" i="8" s="1"/>
  <c r="M47" i="10"/>
  <c r="K47" i="10"/>
  <c r="AC47" i="10"/>
  <c r="J47" i="10"/>
  <c r="C47" i="8"/>
  <c r="X47" i="8"/>
  <c r="AE7" i="7"/>
  <c r="R47" i="7"/>
  <c r="U47" i="7"/>
  <c r="W47" i="7"/>
  <c r="O29" i="6"/>
  <c r="O33" i="6" s="1"/>
  <c r="F29" i="6"/>
  <c r="F33" i="6" s="1"/>
  <c r="AH3" i="6"/>
  <c r="AG3" i="6"/>
  <c r="R29" i="6"/>
  <c r="R33" i="6" s="1"/>
  <c r="W29" i="16"/>
  <c r="W33" i="16" s="1"/>
  <c r="AA29" i="16"/>
  <c r="AA33" i="16" s="1"/>
  <c r="E29" i="10"/>
  <c r="E33" i="10" s="1"/>
  <c r="AI32" i="10"/>
  <c r="AI30" i="10"/>
  <c r="Y29" i="15"/>
  <c r="Y33" i="15" s="1"/>
  <c r="V29" i="15"/>
  <c r="V33" i="15" s="1"/>
  <c r="R29" i="15"/>
  <c r="R33" i="15" s="1"/>
  <c r="T29" i="15"/>
  <c r="T33" i="15" s="1"/>
  <c r="Q29" i="7"/>
  <c r="Q33" i="7" s="1"/>
  <c r="P29" i="14"/>
  <c r="P33" i="14" s="1"/>
  <c r="G29" i="13"/>
  <c r="G33" i="13" s="1"/>
  <c r="I29" i="13"/>
  <c r="I33" i="13" s="1"/>
  <c r="B29" i="13"/>
  <c r="AG3" i="13"/>
  <c r="AH3" i="13"/>
  <c r="D29" i="13"/>
  <c r="D33" i="13" s="1"/>
  <c r="B47" i="6"/>
  <c r="AH4" i="6"/>
  <c r="AG4" i="6"/>
  <c r="R47" i="6"/>
  <c r="Q29" i="11"/>
  <c r="Q33" i="11" s="1"/>
  <c r="H29" i="11"/>
  <c r="H33" i="11" s="1"/>
  <c r="M29" i="11"/>
  <c r="M33" i="11" s="1"/>
  <c r="AB4" i="15"/>
  <c r="AB47" i="15" s="1"/>
  <c r="T4" i="15"/>
  <c r="T47" i="15" s="1"/>
  <c r="L4" i="15"/>
  <c r="L47" i="15" s="1"/>
  <c r="C4" i="15"/>
  <c r="C47" i="15" s="1"/>
  <c r="AA4" i="15"/>
  <c r="AA47" i="15" s="1"/>
  <c r="S4" i="15"/>
  <c r="S47" i="15" s="1"/>
  <c r="K4" i="15"/>
  <c r="K47" i="15" s="1"/>
  <c r="B4" i="15"/>
  <c r="Z4" i="15"/>
  <c r="Z47" i="15" s="1"/>
  <c r="R4" i="15"/>
  <c r="R47" i="15" s="1"/>
  <c r="J4" i="15"/>
  <c r="J47" i="15" s="1"/>
  <c r="AC4" i="15"/>
  <c r="AC47" i="15" s="1"/>
  <c r="U4" i="15"/>
  <c r="U47" i="15" s="1"/>
  <c r="M4" i="15"/>
  <c r="M47" i="15" s="1"/>
  <c r="D4" i="15"/>
  <c r="D47" i="15" s="1"/>
  <c r="W4" i="15"/>
  <c r="W47" i="15" s="1"/>
  <c r="F4" i="15"/>
  <c r="F47" i="15" s="1"/>
  <c r="V4" i="15"/>
  <c r="V47" i="15" s="1"/>
  <c r="E4" i="15"/>
  <c r="E47" i="15" s="1"/>
  <c r="Q4" i="15"/>
  <c r="Q47" i="15" s="1"/>
  <c r="X4" i="15"/>
  <c r="X47" i="15" s="1"/>
  <c r="H4" i="15"/>
  <c r="H47" i="15" s="1"/>
  <c r="O4" i="15"/>
  <c r="O47" i="15" s="1"/>
  <c r="N4" i="15"/>
  <c r="N47" i="15" s="1"/>
  <c r="I4" i="15"/>
  <c r="I47" i="15" s="1"/>
  <c r="Y4" i="15"/>
  <c r="Y47" i="15" s="1"/>
  <c r="P4" i="15"/>
  <c r="P47" i="15" s="1"/>
  <c r="AE4" i="15"/>
  <c r="AE47" i="15" s="1"/>
  <c r="AD4" i="15"/>
  <c r="AD47" i="15" s="1"/>
  <c r="L12" i="1"/>
  <c r="S29" i="17"/>
  <c r="S33" i="17" s="1"/>
  <c r="E29" i="9"/>
  <c r="E33" i="9" s="1"/>
  <c r="G47" i="13"/>
  <c r="Y47" i="13"/>
  <c r="AE47" i="13"/>
  <c r="AC47" i="13"/>
  <c r="O29" i="8"/>
  <c r="O33" i="8" s="1"/>
  <c r="F29" i="8"/>
  <c r="F33" i="8" s="1"/>
  <c r="AH3" i="8"/>
  <c r="B29" i="8"/>
  <c r="AG3" i="8"/>
  <c r="N47" i="10"/>
  <c r="V47" i="10"/>
  <c r="G47" i="10"/>
  <c r="R47" i="10"/>
  <c r="O47" i="8"/>
  <c r="S47" i="8"/>
  <c r="T47" i="7"/>
  <c r="K47" i="7"/>
  <c r="G47" i="7"/>
  <c r="AD29" i="6"/>
  <c r="AD33" i="6" s="1"/>
  <c r="H29" i="6"/>
  <c r="H33" i="6" s="1"/>
  <c r="K29" i="6"/>
  <c r="K33" i="6" s="1"/>
  <c r="AA29" i="6"/>
  <c r="AA33" i="6" s="1"/>
  <c r="AD29" i="16"/>
  <c r="AD33" i="16" s="1"/>
  <c r="H29" i="16"/>
  <c r="H33" i="16" s="1"/>
  <c r="AG3" i="16"/>
  <c r="AF3" i="16"/>
  <c r="B29" i="16"/>
  <c r="H163" i="18"/>
  <c r="AH8" i="13"/>
  <c r="AG8" i="13"/>
  <c r="AH20" i="8"/>
  <c r="AG20" i="8"/>
  <c r="R29" i="9"/>
  <c r="R33" i="9" s="1"/>
  <c r="B33" i="6"/>
  <c r="Z29" i="15"/>
  <c r="Z33" i="15" s="1"/>
  <c r="AB29" i="15"/>
  <c r="AB33" i="15" s="1"/>
  <c r="AG3" i="14"/>
  <c r="AF3" i="14"/>
  <c r="P29" i="13"/>
  <c r="P33" i="13" s="1"/>
  <c r="Z29" i="13"/>
  <c r="Z33" i="13" s="1"/>
  <c r="K47" i="6"/>
  <c r="R29" i="11"/>
  <c r="R33" i="11" s="1"/>
  <c r="S29" i="11"/>
  <c r="S33" i="11" s="1"/>
  <c r="U29" i="11"/>
  <c r="U33" i="11" s="1"/>
  <c r="O47" i="6"/>
  <c r="X47" i="6"/>
  <c r="N29" i="17"/>
  <c r="N33" i="17" s="1"/>
  <c r="T29" i="17"/>
  <c r="T33" i="17" s="1"/>
  <c r="D29" i="9"/>
  <c r="D33" i="9" s="1"/>
  <c r="P47" i="13"/>
  <c r="I47" i="13"/>
  <c r="B47" i="13"/>
  <c r="AG4" i="13"/>
  <c r="AH4" i="13"/>
  <c r="AC29" i="12"/>
  <c r="AC33" i="12" s="1"/>
  <c r="W47" i="10"/>
  <c r="AF47" i="10"/>
  <c r="S47" i="10"/>
  <c r="AA47" i="10"/>
  <c r="AD47" i="8"/>
  <c r="Y47" i="8"/>
  <c r="C47" i="7"/>
  <c r="V47" i="7"/>
  <c r="P47" i="7"/>
  <c r="D29" i="6"/>
  <c r="D33" i="6" s="1"/>
  <c r="W29" i="6"/>
  <c r="W33" i="6" s="1"/>
  <c r="S29" i="6"/>
  <c r="S33" i="6" s="1"/>
  <c r="AE29" i="16"/>
  <c r="AE33" i="16" s="1"/>
  <c r="Y29" i="16"/>
  <c r="Y33" i="16" s="1"/>
  <c r="K29" i="16"/>
  <c r="K33" i="16" s="1"/>
  <c r="H137" i="18"/>
  <c r="H219" i="18"/>
  <c r="J241" i="18"/>
  <c r="L241" i="18" s="1"/>
  <c r="J242" i="18"/>
  <c r="L242" i="18" s="1"/>
  <c r="AH20" i="12"/>
  <c r="AG31" i="10"/>
  <c r="W29" i="15"/>
  <c r="W33" i="15" s="1"/>
  <c r="AH3" i="15"/>
  <c r="AG3" i="15"/>
  <c r="T29" i="14"/>
  <c r="T33" i="14" s="1"/>
  <c r="S29" i="13"/>
  <c r="S33" i="13" s="1"/>
  <c r="S47" i="6"/>
  <c r="N29" i="11"/>
  <c r="N33" i="11" s="1"/>
  <c r="X29" i="11"/>
  <c r="X33" i="11" s="1"/>
  <c r="AD29" i="11"/>
  <c r="AD33" i="11" s="1"/>
  <c r="AC29" i="11"/>
  <c r="AC33" i="11" s="1"/>
  <c r="AH20" i="6"/>
  <c r="AG20" i="6"/>
  <c r="C47" i="6"/>
  <c r="AC47" i="6"/>
  <c r="Y29" i="8"/>
  <c r="Y33" i="8" s="1"/>
  <c r="B48" i="6"/>
  <c r="L47" i="6"/>
  <c r="M29" i="17"/>
  <c r="M33" i="17" s="1"/>
  <c r="AB29" i="9"/>
  <c r="AB33" i="9" s="1"/>
  <c r="W47" i="13"/>
  <c r="Z47" i="13"/>
  <c r="J47" i="13"/>
  <c r="L47" i="13"/>
  <c r="I29" i="8"/>
  <c r="I33" i="8" s="1"/>
  <c r="I29" i="12"/>
  <c r="I33" i="12" s="1"/>
  <c r="AD4" i="17"/>
  <c r="AD47" i="17" s="1"/>
  <c r="V4" i="17"/>
  <c r="V47" i="17" s="1"/>
  <c r="M4" i="17"/>
  <c r="M47" i="17" s="1"/>
  <c r="D4" i="17"/>
  <c r="D47" i="17" s="1"/>
  <c r="AC4" i="17"/>
  <c r="AC47" i="17" s="1"/>
  <c r="U4" i="17"/>
  <c r="U47" i="17" s="1"/>
  <c r="L4" i="17"/>
  <c r="L47" i="17" s="1"/>
  <c r="C4" i="17"/>
  <c r="C47" i="17" s="1"/>
  <c r="Z4" i="17"/>
  <c r="Z47" i="17" s="1"/>
  <c r="R4" i="17"/>
  <c r="R47" i="17" s="1"/>
  <c r="H4" i="17"/>
  <c r="H47" i="17" s="1"/>
  <c r="Y4" i="17"/>
  <c r="Y47" i="17" s="1"/>
  <c r="Q4" i="17"/>
  <c r="Q47" i="17" s="1"/>
  <c r="G4" i="17"/>
  <c r="G47" i="17" s="1"/>
  <c r="AF4" i="17"/>
  <c r="AF47" i="17" s="1"/>
  <c r="X4" i="17"/>
  <c r="X47" i="17" s="1"/>
  <c r="O4" i="17"/>
  <c r="O47" i="17" s="1"/>
  <c r="F4" i="17"/>
  <c r="F47" i="17" s="1"/>
  <c r="K4" i="17"/>
  <c r="K47" i="17" s="1"/>
  <c r="AE4" i="17"/>
  <c r="AE47" i="17" s="1"/>
  <c r="J4" i="17"/>
  <c r="J47" i="17" s="1"/>
  <c r="AB4" i="17"/>
  <c r="AB47" i="17" s="1"/>
  <c r="E4" i="17"/>
  <c r="E47" i="17" s="1"/>
  <c r="N4" i="17"/>
  <c r="N47" i="17" s="1"/>
  <c r="W4" i="17"/>
  <c r="W47" i="17" s="1"/>
  <c r="T4" i="17"/>
  <c r="T47" i="17" s="1"/>
  <c r="S4" i="17"/>
  <c r="S47" i="17" s="1"/>
  <c r="AA4" i="17"/>
  <c r="AA47" i="17" s="1"/>
  <c r="B4" i="17"/>
  <c r="B29" i="17" s="1"/>
  <c r="N12" i="1"/>
  <c r="X47" i="10"/>
  <c r="E47" i="10"/>
  <c r="AD47" i="10"/>
  <c r="AA4" i="14"/>
  <c r="AA47" i="14" s="1"/>
  <c r="R4" i="14"/>
  <c r="R47" i="14" s="1"/>
  <c r="J4" i="14"/>
  <c r="J47" i="14" s="1"/>
  <c r="B4" i="14"/>
  <c r="B29" i="14" s="1"/>
  <c r="Z4" i="14"/>
  <c r="Z47" i="14" s="1"/>
  <c r="Q4" i="14"/>
  <c r="Q47" i="14" s="1"/>
  <c r="I4" i="14"/>
  <c r="I47" i="14" s="1"/>
  <c r="AB4" i="14"/>
  <c r="AB47" i="14" s="1"/>
  <c r="O4" i="14"/>
  <c r="O47" i="14" s="1"/>
  <c r="E4" i="14"/>
  <c r="E47" i="14" s="1"/>
  <c r="Y4" i="14"/>
  <c r="Y47" i="14" s="1"/>
  <c r="N4" i="14"/>
  <c r="N47" i="14" s="1"/>
  <c r="D4" i="14"/>
  <c r="D47" i="14" s="1"/>
  <c r="X4" i="14"/>
  <c r="X47" i="14" s="1"/>
  <c r="M4" i="14"/>
  <c r="M47" i="14" s="1"/>
  <c r="C4" i="14"/>
  <c r="C47" i="14" s="1"/>
  <c r="AD4" i="14"/>
  <c r="AD47" i="14" s="1"/>
  <c r="S4" i="14"/>
  <c r="S47" i="14" s="1"/>
  <c r="G4" i="14"/>
  <c r="G47" i="14" s="1"/>
  <c r="AC4" i="14"/>
  <c r="AC47" i="14" s="1"/>
  <c r="P4" i="14"/>
  <c r="P47" i="14" s="1"/>
  <c r="F4" i="14"/>
  <c r="F47" i="14" s="1"/>
  <c r="H4" i="14"/>
  <c r="H47" i="14" s="1"/>
  <c r="AE4" i="14"/>
  <c r="AE47" i="14" s="1"/>
  <c r="T4" i="14"/>
  <c r="T47" i="14" s="1"/>
  <c r="K4" i="14"/>
  <c r="K47" i="14" s="1"/>
  <c r="V4" i="14"/>
  <c r="V47" i="14" s="1"/>
  <c r="U4" i="14"/>
  <c r="U47" i="14" s="1"/>
  <c r="L4" i="14"/>
  <c r="L47" i="14" s="1"/>
  <c r="K12" i="1"/>
  <c r="AF47" i="8"/>
  <c r="F47" i="8"/>
  <c r="N47" i="8"/>
  <c r="B47" i="8"/>
  <c r="AH4" i="8"/>
  <c r="AG4" i="8"/>
  <c r="AC47" i="7"/>
  <c r="N47" i="7"/>
  <c r="AE4" i="7"/>
  <c r="B47" i="7"/>
  <c r="AD4" i="7"/>
  <c r="X47" i="7"/>
  <c r="P29" i="6"/>
  <c r="P33" i="6" s="1"/>
  <c r="L29" i="6"/>
  <c r="L33" i="6" s="1"/>
  <c r="AB29" i="6"/>
  <c r="AB33" i="6" s="1"/>
  <c r="G29" i="16"/>
  <c r="G33" i="16" s="1"/>
  <c r="O29" i="16"/>
  <c r="O33" i="16" s="1"/>
  <c r="I29" i="16"/>
  <c r="I33" i="16" s="1"/>
  <c r="T29" i="16"/>
  <c r="T33" i="16" s="1"/>
  <c r="AH21" i="12"/>
  <c r="AG21" i="12"/>
  <c r="B37" i="10"/>
  <c r="G7" i="1" s="1"/>
  <c r="B7" i="1" s="1"/>
  <c r="B33" i="10"/>
  <c r="O29" i="15"/>
  <c r="O33" i="15" s="1"/>
  <c r="D29" i="15"/>
  <c r="D33" i="15" s="1"/>
  <c r="K29" i="15"/>
  <c r="K33" i="15" s="1"/>
  <c r="H29" i="7"/>
  <c r="H33" i="7" s="1"/>
  <c r="AH21" i="6"/>
  <c r="AG21" i="6"/>
  <c r="L29" i="14"/>
  <c r="L33" i="14" s="1"/>
  <c r="S29" i="14"/>
  <c r="S33" i="14" s="1"/>
  <c r="E29" i="14"/>
  <c r="E33" i="14" s="1"/>
  <c r="X29" i="13"/>
  <c r="X33" i="13" s="1"/>
  <c r="AA29" i="13"/>
  <c r="AA33" i="13" s="1"/>
  <c r="AB47" i="6"/>
  <c r="L29" i="11"/>
  <c r="L33" i="11" s="1"/>
  <c r="AF3" i="11"/>
  <c r="AG3" i="11"/>
  <c r="B29" i="11"/>
  <c r="I29" i="11"/>
  <c r="I33" i="11" s="1"/>
  <c r="F29" i="11"/>
  <c r="F33" i="11" s="1"/>
  <c r="AG3" i="10"/>
  <c r="AH3" i="10"/>
  <c r="E29" i="17"/>
  <c r="E33" i="17" s="1"/>
  <c r="F29" i="17"/>
  <c r="F33" i="17" s="1"/>
  <c r="R29" i="17"/>
  <c r="R33" i="17" s="1"/>
  <c r="V29" i="17"/>
  <c r="V33" i="17" s="1"/>
  <c r="H29" i="9"/>
  <c r="H33" i="9" s="1"/>
  <c r="X47" i="13"/>
  <c r="N47" i="13"/>
  <c r="S47" i="13"/>
  <c r="U47" i="13"/>
  <c r="H29" i="8"/>
  <c r="H33" i="8" s="1"/>
  <c r="P29" i="8"/>
  <c r="P33" i="8" s="1"/>
  <c r="Q29" i="8"/>
  <c r="Q33" i="8" s="1"/>
  <c r="AH3" i="12"/>
  <c r="B29" i="12"/>
  <c r="AG3" i="12"/>
  <c r="D29" i="12"/>
  <c r="D33" i="12" s="1"/>
  <c r="Z4" i="12"/>
  <c r="Z47" i="12" s="1"/>
  <c r="R4" i="12"/>
  <c r="R47" i="12" s="1"/>
  <c r="J4" i="12"/>
  <c r="J47" i="12" s="1"/>
  <c r="B4" i="12"/>
  <c r="Y4" i="12"/>
  <c r="Y47" i="12" s="1"/>
  <c r="Q4" i="12"/>
  <c r="Q47" i="12" s="1"/>
  <c r="I4" i="12"/>
  <c r="I47" i="12" s="1"/>
  <c r="AF4" i="12"/>
  <c r="AF47" i="12" s="1"/>
  <c r="X4" i="12"/>
  <c r="X47" i="12" s="1"/>
  <c r="P4" i="12"/>
  <c r="P47" i="12" s="1"/>
  <c r="H4" i="12"/>
  <c r="H47" i="12" s="1"/>
  <c r="W4" i="12"/>
  <c r="W47" i="12" s="1"/>
  <c r="L4" i="12"/>
  <c r="L47" i="12" s="1"/>
  <c r="V4" i="12"/>
  <c r="V47" i="12" s="1"/>
  <c r="K4" i="12"/>
  <c r="K47" i="12" s="1"/>
  <c r="U4" i="12"/>
  <c r="U47" i="12" s="1"/>
  <c r="G4" i="12"/>
  <c r="G47" i="12" s="1"/>
  <c r="AC4" i="12"/>
  <c r="AC47" i="12" s="1"/>
  <c r="O4" i="12"/>
  <c r="O47" i="12" s="1"/>
  <c r="D4" i="12"/>
  <c r="D47" i="12" s="1"/>
  <c r="AA4" i="12"/>
  <c r="AA47" i="12" s="1"/>
  <c r="M4" i="12"/>
  <c r="M47" i="12" s="1"/>
  <c r="T4" i="12"/>
  <c r="T47" i="12" s="1"/>
  <c r="S4" i="12"/>
  <c r="S47" i="12" s="1"/>
  <c r="N4" i="12"/>
  <c r="N47" i="12" s="1"/>
  <c r="F4" i="12"/>
  <c r="F47" i="12" s="1"/>
  <c r="AE4" i="12"/>
  <c r="AE47" i="12" s="1"/>
  <c r="C4" i="12"/>
  <c r="C47" i="12" s="1"/>
  <c r="AD4" i="12"/>
  <c r="AD47" i="12" s="1"/>
  <c r="AB4" i="12"/>
  <c r="AB47" i="12" s="1"/>
  <c r="E4" i="12"/>
  <c r="E47" i="12" s="1"/>
  <c r="I12" i="1"/>
  <c r="D47" i="10"/>
  <c r="Y47" i="10"/>
  <c r="O47" i="10"/>
  <c r="I47" i="10"/>
  <c r="D47" i="8"/>
  <c r="V47" i="8"/>
  <c r="AC47" i="8"/>
  <c r="K47" i="8"/>
  <c r="D47" i="7"/>
  <c r="B9" i="1"/>
  <c r="AE29" i="6"/>
  <c r="AE33" i="6" s="1"/>
  <c r="X29" i="6"/>
  <c r="X33" i="6" s="1"/>
  <c r="I29" i="6"/>
  <c r="I33" i="6" s="1"/>
  <c r="M29" i="16"/>
  <c r="M33" i="16" s="1"/>
  <c r="Q29" i="16"/>
  <c r="Q33" i="16" s="1"/>
  <c r="R29" i="16"/>
  <c r="R33" i="16" s="1"/>
  <c r="AB29" i="16"/>
  <c r="AB33" i="16" s="1"/>
  <c r="H29" i="15"/>
  <c r="H33" i="15" s="1"/>
  <c r="S29" i="15"/>
  <c r="S33" i="15" s="1"/>
  <c r="O29" i="13"/>
  <c r="O33" i="13" s="1"/>
  <c r="E29" i="11"/>
  <c r="E33" i="11" s="1"/>
  <c r="Y29" i="11"/>
  <c r="Y33" i="11" s="1"/>
  <c r="T29" i="11"/>
  <c r="T33" i="11" s="1"/>
  <c r="O29" i="11"/>
  <c r="O33" i="11" s="1"/>
  <c r="O29" i="17"/>
  <c r="O33" i="17" s="1"/>
  <c r="Z29" i="17"/>
  <c r="Z33" i="17" s="1"/>
  <c r="AD29" i="17"/>
  <c r="AD33" i="17" s="1"/>
  <c r="K29" i="9"/>
  <c r="K33" i="9" s="1"/>
  <c r="F47" i="13"/>
  <c r="AF47" i="13"/>
  <c r="AA47" i="13"/>
  <c r="AD47" i="13"/>
  <c r="X29" i="7"/>
  <c r="X33" i="7" s="1"/>
  <c r="AE29" i="8"/>
  <c r="AE33" i="8" s="1"/>
  <c r="Z29" i="8"/>
  <c r="Z33" i="8" s="1"/>
  <c r="O29" i="12"/>
  <c r="O33" i="12" s="1"/>
  <c r="J29" i="12"/>
  <c r="J33" i="12" s="1"/>
  <c r="H47" i="10"/>
  <c r="AB47" i="10"/>
  <c r="Q47" i="10"/>
  <c r="Y4" i="9"/>
  <c r="Y47" i="9" s="1"/>
  <c r="P4" i="9"/>
  <c r="P47" i="9" s="1"/>
  <c r="H4" i="9"/>
  <c r="H47" i="9" s="1"/>
  <c r="X4" i="9"/>
  <c r="X47" i="9" s="1"/>
  <c r="O4" i="9"/>
  <c r="O47" i="9" s="1"/>
  <c r="F4" i="9"/>
  <c r="F47" i="9" s="1"/>
  <c r="Z4" i="9"/>
  <c r="Z47" i="9" s="1"/>
  <c r="M4" i="9"/>
  <c r="M47" i="9" s="1"/>
  <c r="B4" i="9"/>
  <c r="B29" i="9" s="1"/>
  <c r="W4" i="9"/>
  <c r="W47" i="9" s="1"/>
  <c r="L4" i="9"/>
  <c r="L47" i="9" s="1"/>
  <c r="U4" i="9"/>
  <c r="U47" i="9" s="1"/>
  <c r="K4" i="9"/>
  <c r="K47" i="9" s="1"/>
  <c r="AB4" i="9"/>
  <c r="AB47" i="9" s="1"/>
  <c r="Q4" i="9"/>
  <c r="Q47" i="9" s="1"/>
  <c r="D4" i="9"/>
  <c r="D47" i="9" s="1"/>
  <c r="T4" i="9"/>
  <c r="T47" i="9" s="1"/>
  <c r="S4" i="9"/>
  <c r="S47" i="9" s="1"/>
  <c r="R4" i="9"/>
  <c r="R47" i="9" s="1"/>
  <c r="N4" i="9"/>
  <c r="N47" i="9" s="1"/>
  <c r="AE4" i="9"/>
  <c r="AE47" i="9" s="1"/>
  <c r="J4" i="9"/>
  <c r="J47" i="9" s="1"/>
  <c r="AA4" i="9"/>
  <c r="AA47" i="9" s="1"/>
  <c r="C4" i="9"/>
  <c r="C47" i="9" s="1"/>
  <c r="AD4" i="9"/>
  <c r="AD47" i="9" s="1"/>
  <c r="AC4" i="9"/>
  <c r="AC47" i="9" s="1"/>
  <c r="I4" i="9"/>
  <c r="I47" i="9" s="1"/>
  <c r="E4" i="9"/>
  <c r="E47" i="9" s="1"/>
  <c r="E47" i="8"/>
  <c r="H47" i="8"/>
  <c r="I47" i="8"/>
  <c r="T47" i="8"/>
  <c r="H47" i="7"/>
  <c r="Y47" i="7"/>
  <c r="N29" i="6"/>
  <c r="N33" i="6" s="1"/>
  <c r="E29" i="6"/>
  <c r="E33" i="6" s="1"/>
  <c r="U29" i="6"/>
  <c r="U33" i="6" s="1"/>
  <c r="Q29" i="6"/>
  <c r="Q33" i="6" s="1"/>
  <c r="N29" i="16"/>
  <c r="N33" i="16" s="1"/>
  <c r="D29" i="16"/>
  <c r="D33" i="16" s="1"/>
  <c r="Z29" i="16"/>
  <c r="Z33" i="16" s="1"/>
  <c r="G8" i="1"/>
  <c r="M29" i="15"/>
  <c r="M33" i="15" s="1"/>
  <c r="B12" i="1"/>
  <c r="AD29" i="14"/>
  <c r="AD33" i="14" s="1"/>
  <c r="O29" i="14"/>
  <c r="O33" i="14" s="1"/>
  <c r="AA29" i="14"/>
  <c r="AA33" i="14" s="1"/>
  <c r="J34" i="18"/>
  <c r="H34" i="18"/>
  <c r="H44" i="18" s="1"/>
  <c r="AH8" i="12"/>
  <c r="AG8" i="12"/>
  <c r="AH20" i="10"/>
  <c r="AD29" i="15"/>
  <c r="AD33" i="15" s="1"/>
  <c r="X29" i="15"/>
  <c r="X33" i="15" s="1"/>
  <c r="AA29" i="15"/>
  <c r="AA33" i="15" s="1"/>
  <c r="B29" i="7"/>
  <c r="AD3" i="7"/>
  <c r="AE3" i="7"/>
  <c r="H29" i="14"/>
  <c r="H33" i="14" s="1"/>
  <c r="C29" i="14"/>
  <c r="AB29" i="14"/>
  <c r="AB33" i="14" s="1"/>
  <c r="R29" i="13"/>
  <c r="R33" i="13" s="1"/>
  <c r="AA29" i="11"/>
  <c r="AA33" i="11" s="1"/>
  <c r="C29" i="11"/>
  <c r="C33" i="11" s="1"/>
  <c r="K29" i="11"/>
  <c r="K33" i="11" s="1"/>
  <c r="W29" i="11"/>
  <c r="W33" i="11" s="1"/>
  <c r="G29" i="10"/>
  <c r="G33" i="10" s="1"/>
  <c r="K29" i="17"/>
  <c r="K33" i="17" s="1"/>
  <c r="M29" i="9"/>
  <c r="M33" i="9" s="1"/>
  <c r="I29" i="9"/>
  <c r="I33" i="9" s="1"/>
  <c r="U29" i="9"/>
  <c r="U33" i="9" s="1"/>
  <c r="O29" i="9"/>
  <c r="O33" i="9" s="1"/>
  <c r="O47" i="13"/>
  <c r="E47" i="13"/>
  <c r="C47" i="13"/>
  <c r="N29" i="8"/>
  <c r="N33" i="8" s="1"/>
  <c r="J29" i="8"/>
  <c r="J33" i="8" s="1"/>
  <c r="W29" i="12"/>
  <c r="W33" i="12" s="1"/>
  <c r="F29" i="12"/>
  <c r="F33" i="12" s="1"/>
  <c r="R29" i="12"/>
  <c r="R33" i="12" s="1"/>
  <c r="T29" i="12"/>
  <c r="T33" i="12" s="1"/>
  <c r="C47" i="10"/>
  <c r="U47" i="10"/>
  <c r="F47" i="10"/>
  <c r="Z47" i="10"/>
  <c r="P47" i="8"/>
  <c r="W47" i="8"/>
  <c r="Q47" i="8"/>
  <c r="AB47" i="8"/>
  <c r="I47" i="7"/>
  <c r="S47" i="7"/>
  <c r="F47" i="7"/>
  <c r="AC29" i="6"/>
  <c r="AC33" i="6" s="1"/>
  <c r="T29" i="6"/>
  <c r="T33" i="6" s="1"/>
  <c r="M29" i="6"/>
  <c r="M33" i="6" s="1"/>
  <c r="Z29" i="6"/>
  <c r="Z33" i="6" s="1"/>
  <c r="X29" i="16"/>
  <c r="X33" i="16" s="1"/>
  <c r="V29" i="16"/>
  <c r="V33" i="16" s="1"/>
  <c r="B33" i="17" l="1"/>
  <c r="B33" i="9"/>
  <c r="B33" i="14"/>
  <c r="B48" i="14"/>
  <c r="C48" i="14" s="1"/>
  <c r="B33" i="12"/>
  <c r="AG47" i="13"/>
  <c r="G29" i="12"/>
  <c r="G33" i="12" s="1"/>
  <c r="Q29" i="17"/>
  <c r="Q33" i="17" s="1"/>
  <c r="V29" i="12"/>
  <c r="V33" i="12" s="1"/>
  <c r="L29" i="17"/>
  <c r="L33" i="17" s="1"/>
  <c r="C29" i="15"/>
  <c r="M29" i="12"/>
  <c r="M33" i="12" s="1"/>
  <c r="B47" i="15"/>
  <c r="AG47" i="15" s="1"/>
  <c r="AH4" i="15"/>
  <c r="AG4" i="15"/>
  <c r="AI3" i="13"/>
  <c r="V29" i="14"/>
  <c r="V33" i="14" s="1"/>
  <c r="AI3" i="6"/>
  <c r="Q29" i="14"/>
  <c r="Q33" i="14" s="1"/>
  <c r="AF29" i="17"/>
  <c r="AF33" i="17" s="1"/>
  <c r="AC29" i="15"/>
  <c r="AC33" i="15" s="1"/>
  <c r="B35" i="7"/>
  <c r="AD29" i="7"/>
  <c r="AE29" i="7"/>
  <c r="AF4" i="7" s="1"/>
  <c r="B33" i="7"/>
  <c r="B48" i="7"/>
  <c r="C48" i="7" s="1"/>
  <c r="D48" i="7" s="1"/>
  <c r="E48" i="7" s="1"/>
  <c r="F48" i="7" s="1"/>
  <c r="G48" i="7" s="1"/>
  <c r="H48" i="7" s="1"/>
  <c r="I48" i="7" s="1"/>
  <c r="J48" i="7" s="1"/>
  <c r="K48" i="7" s="1"/>
  <c r="L48" i="7" s="1"/>
  <c r="M48" i="7" s="1"/>
  <c r="N48" i="7" s="1"/>
  <c r="O48" i="7" s="1"/>
  <c r="P48" i="7" s="1"/>
  <c r="Q48" i="7" s="1"/>
  <c r="R48" i="7" s="1"/>
  <c r="S48" i="7" s="1"/>
  <c r="T48" i="7" s="1"/>
  <c r="U48" i="7" s="1"/>
  <c r="V48" i="7" s="1"/>
  <c r="W48" i="7" s="1"/>
  <c r="X48" i="7" s="1"/>
  <c r="Y48" i="7" s="1"/>
  <c r="Z48" i="7" s="1"/>
  <c r="AA48" i="7" s="1"/>
  <c r="AB48" i="7" s="1"/>
  <c r="AC48" i="7" s="1"/>
  <c r="AG47" i="8"/>
  <c r="Y29" i="12"/>
  <c r="Y33" i="12" s="1"/>
  <c r="AB29" i="17"/>
  <c r="AB33" i="17" s="1"/>
  <c r="AG29" i="13"/>
  <c r="X29" i="14"/>
  <c r="X33" i="14" s="1"/>
  <c r="S29" i="16"/>
  <c r="S33" i="16" s="1"/>
  <c r="AB29" i="12"/>
  <c r="AB33" i="12" s="1"/>
  <c r="P29" i="11"/>
  <c r="P33" i="11" s="1"/>
  <c r="Q29" i="15"/>
  <c r="Q33" i="15" s="1"/>
  <c r="U29" i="14"/>
  <c r="U33" i="14" s="1"/>
  <c r="AI4" i="8"/>
  <c r="C29" i="17"/>
  <c r="C33" i="17" s="1"/>
  <c r="G15" i="1"/>
  <c r="L29" i="12"/>
  <c r="L33" i="12" s="1"/>
  <c r="AH4" i="12"/>
  <c r="AG4" i="12"/>
  <c r="B47" i="12"/>
  <c r="AG47" i="12" s="1"/>
  <c r="P29" i="12"/>
  <c r="P33" i="12" s="1"/>
  <c r="AG29" i="10"/>
  <c r="H29" i="17"/>
  <c r="H33" i="17" s="1"/>
  <c r="J29" i="14"/>
  <c r="J33" i="14" s="1"/>
  <c r="N29" i="15"/>
  <c r="N33" i="15" s="1"/>
  <c r="S29" i="12"/>
  <c r="S33" i="12" s="1"/>
  <c r="AF29" i="14"/>
  <c r="F29" i="15"/>
  <c r="F33" i="15" s="1"/>
  <c r="J29" i="16"/>
  <c r="J33" i="16" s="1"/>
  <c r="X29" i="17"/>
  <c r="X33" i="17" s="1"/>
  <c r="U29" i="15"/>
  <c r="U33" i="15" s="1"/>
  <c r="J29" i="17"/>
  <c r="J33" i="17" s="1"/>
  <c r="N29" i="12"/>
  <c r="N33" i="12" s="1"/>
  <c r="AE29" i="9"/>
  <c r="AE33" i="9" s="1"/>
  <c r="AH29" i="10"/>
  <c r="AI4" i="10" s="1"/>
  <c r="W29" i="17"/>
  <c r="W33" i="17" s="1"/>
  <c r="Y29" i="14"/>
  <c r="Y33" i="14" s="1"/>
  <c r="AC29" i="16"/>
  <c r="AC33" i="16" s="1"/>
  <c r="U29" i="12"/>
  <c r="U33" i="12" s="1"/>
  <c r="N29" i="9"/>
  <c r="N33" i="9" s="1"/>
  <c r="I29" i="15"/>
  <c r="I33" i="15" s="1"/>
  <c r="B35" i="13"/>
  <c r="B33" i="13"/>
  <c r="AH29" i="13"/>
  <c r="B48" i="13"/>
  <c r="C48" i="13" s="1"/>
  <c r="D48" i="13" s="1"/>
  <c r="E48" i="13" s="1"/>
  <c r="F48" i="13" s="1"/>
  <c r="G48" i="13" s="1"/>
  <c r="H48" i="13" s="1"/>
  <c r="I48" i="13" s="1"/>
  <c r="J48" i="13" s="1"/>
  <c r="K48" i="13" s="1"/>
  <c r="L48" i="13" s="1"/>
  <c r="M48" i="13" s="1"/>
  <c r="N48" i="13" s="1"/>
  <c r="O48" i="13" s="1"/>
  <c r="P48" i="13" s="1"/>
  <c r="Q48" i="13" s="1"/>
  <c r="R48" i="13" s="1"/>
  <c r="S48" i="13" s="1"/>
  <c r="T48" i="13" s="1"/>
  <c r="U48" i="13" s="1"/>
  <c r="V48" i="13" s="1"/>
  <c r="W48" i="13" s="1"/>
  <c r="X48" i="13" s="1"/>
  <c r="Y48" i="13" s="1"/>
  <c r="Z48" i="13" s="1"/>
  <c r="AA48" i="13" s="1"/>
  <c r="AB48" i="13" s="1"/>
  <c r="AC48" i="13" s="1"/>
  <c r="AD48" i="13" s="1"/>
  <c r="AE48" i="13" s="1"/>
  <c r="AF48" i="13" s="1"/>
  <c r="U29" i="17"/>
  <c r="U33" i="17" s="1"/>
  <c r="B47" i="16"/>
  <c r="AF47" i="16" s="1"/>
  <c r="AG4" i="16"/>
  <c r="AF4" i="16"/>
  <c r="AF29" i="16" s="1"/>
  <c r="F29" i="14"/>
  <c r="F33" i="14" s="1"/>
  <c r="C33" i="16"/>
  <c r="Z29" i="12"/>
  <c r="Z33" i="12" s="1"/>
  <c r="AG29" i="17"/>
  <c r="AE29" i="15"/>
  <c r="AE33" i="15" s="1"/>
  <c r="AD29" i="12"/>
  <c r="AD33" i="12" s="1"/>
  <c r="T29" i="9"/>
  <c r="T33" i="9" s="1"/>
  <c r="AI21" i="6"/>
  <c r="AH33" i="10"/>
  <c r="AG33" i="10"/>
  <c r="AD47" i="7"/>
  <c r="AE29" i="17"/>
  <c r="AE33" i="17" s="1"/>
  <c r="G29" i="14"/>
  <c r="G33" i="14" s="1"/>
  <c r="X29" i="12"/>
  <c r="X33" i="12" s="1"/>
  <c r="AA29" i="9"/>
  <c r="AA33" i="9" s="1"/>
  <c r="AG29" i="6"/>
  <c r="B33" i="16"/>
  <c r="B48" i="16"/>
  <c r="C48" i="16" s="1"/>
  <c r="D48" i="16" s="1"/>
  <c r="E48" i="16" s="1"/>
  <c r="F48" i="16" s="1"/>
  <c r="G48" i="16" s="1"/>
  <c r="H48" i="16" s="1"/>
  <c r="I48" i="16" s="1"/>
  <c r="J48" i="16" s="1"/>
  <c r="K48" i="16" s="1"/>
  <c r="B33" i="8"/>
  <c r="B35" i="8"/>
  <c r="AH29" i="8"/>
  <c r="AG29" i="8"/>
  <c r="B48" i="8"/>
  <c r="C48" i="8" s="1"/>
  <c r="D48" i="8" s="1"/>
  <c r="E48" i="8" s="1"/>
  <c r="F48" i="8" s="1"/>
  <c r="G48" i="8" s="1"/>
  <c r="H48" i="8" s="1"/>
  <c r="I48" i="8" s="1"/>
  <c r="J48" i="8" s="1"/>
  <c r="K48" i="8" s="1"/>
  <c r="L48" i="8" s="1"/>
  <c r="M48" i="8" s="1"/>
  <c r="N48" i="8" s="1"/>
  <c r="O48" i="8" s="1"/>
  <c r="P48" i="8" s="1"/>
  <c r="Q48" i="8" s="1"/>
  <c r="R48" i="8" s="1"/>
  <c r="S48" i="8" s="1"/>
  <c r="T48" i="8" s="1"/>
  <c r="U48" i="8" s="1"/>
  <c r="V48" i="8" s="1"/>
  <c r="W48" i="8" s="1"/>
  <c r="X48" i="8" s="1"/>
  <c r="Y48" i="8" s="1"/>
  <c r="Z48" i="8" s="1"/>
  <c r="AA48" i="8" s="1"/>
  <c r="AB48" i="8" s="1"/>
  <c r="AC48" i="8" s="1"/>
  <c r="AD48" i="8" s="1"/>
  <c r="AE48" i="8" s="1"/>
  <c r="AF48" i="8" s="1"/>
  <c r="G29" i="17"/>
  <c r="G33" i="17" s="1"/>
  <c r="Q29" i="9"/>
  <c r="Q33" i="9" s="1"/>
  <c r="Q29" i="12"/>
  <c r="Q33" i="12" s="1"/>
  <c r="X29" i="9"/>
  <c r="X33" i="9" s="1"/>
  <c r="B47" i="14"/>
  <c r="AF47" i="14" s="1"/>
  <c r="AG4" i="14"/>
  <c r="AF4" i="14"/>
  <c r="C33" i="14"/>
  <c r="F29" i="9"/>
  <c r="F33" i="9" s="1"/>
  <c r="B35" i="10"/>
  <c r="AA29" i="12"/>
  <c r="AA33" i="12" s="1"/>
  <c r="N29" i="14"/>
  <c r="N33" i="14" s="1"/>
  <c r="AH29" i="6"/>
  <c r="AI3" i="8"/>
  <c r="P29" i="9"/>
  <c r="P33" i="9" s="1"/>
  <c r="L29" i="16"/>
  <c r="L33" i="16" s="1"/>
  <c r="AA29" i="17"/>
  <c r="AA33" i="17" s="1"/>
  <c r="L29" i="15"/>
  <c r="L33" i="15" s="1"/>
  <c r="AG47"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8" i="10" s="1"/>
  <c r="AD48" i="10" s="1"/>
  <c r="AE48" i="10" s="1"/>
  <c r="AF48" i="10" s="1"/>
  <c r="H29" i="12"/>
  <c r="H33" i="12" s="1"/>
  <c r="L29" i="9"/>
  <c r="L33" i="9" s="1"/>
  <c r="I29" i="14"/>
  <c r="I33" i="14" s="1"/>
  <c r="AG29" i="11"/>
  <c r="AH20" i="11" s="1"/>
  <c r="B35" i="11"/>
  <c r="B33" i="11"/>
  <c r="AF29" i="12"/>
  <c r="AF33" i="12" s="1"/>
  <c r="W29" i="9"/>
  <c r="W33" i="9" s="1"/>
  <c r="C48" i="6"/>
  <c r="D48" i="6" s="1"/>
  <c r="E48" i="6" s="1"/>
  <c r="F48" i="6" s="1"/>
  <c r="G48" i="6" s="1"/>
  <c r="H48" i="6" s="1"/>
  <c r="I48" i="6" s="1"/>
  <c r="J48" i="6" s="1"/>
  <c r="K48" i="6" s="1"/>
  <c r="L48" i="6" s="1"/>
  <c r="M48" i="6" s="1"/>
  <c r="N48" i="6" s="1"/>
  <c r="O48" i="6" s="1"/>
  <c r="P48" i="6" s="1"/>
  <c r="Q48" i="6" s="1"/>
  <c r="R48" i="6" s="1"/>
  <c r="S48" i="6" s="1"/>
  <c r="T48" i="6" s="1"/>
  <c r="U48" i="6" s="1"/>
  <c r="V48" i="6" s="1"/>
  <c r="W48" i="6" s="1"/>
  <c r="X48" i="6" s="1"/>
  <c r="Y48" i="6" s="1"/>
  <c r="Z48" i="6" s="1"/>
  <c r="AA48" i="6" s="1"/>
  <c r="AB48" i="6" s="1"/>
  <c r="AC48" i="6" s="1"/>
  <c r="AD48" i="6" s="1"/>
  <c r="AE48" i="6" s="1"/>
  <c r="AF48" i="6" s="1"/>
  <c r="AG29" i="15"/>
  <c r="AI4" i="13"/>
  <c r="D29" i="17"/>
  <c r="D33" i="17" s="1"/>
  <c r="AC29" i="14"/>
  <c r="AC33" i="14" s="1"/>
  <c r="AH33" i="6"/>
  <c r="AG33" i="6"/>
  <c r="Z29" i="9"/>
  <c r="Z33" i="9" s="1"/>
  <c r="AI4" i="6"/>
  <c r="Z29" i="14"/>
  <c r="Z33" i="14" s="1"/>
  <c r="C29" i="12"/>
  <c r="C33" i="12" s="1"/>
  <c r="Y29" i="9"/>
  <c r="Y33" i="9" s="1"/>
  <c r="D29" i="11"/>
  <c r="D33" i="11" s="1"/>
  <c r="J29" i="15"/>
  <c r="J33" i="15" s="1"/>
  <c r="AG4" i="11"/>
  <c r="B47" i="11"/>
  <c r="AF47" i="11" s="1"/>
  <c r="AF4" i="11"/>
  <c r="AD29" i="9"/>
  <c r="AD33" i="9" s="1"/>
  <c r="B8" i="1"/>
  <c r="C15" i="1"/>
  <c r="B15" i="1" s="1"/>
  <c r="M29" i="14"/>
  <c r="M33" i="14" s="1"/>
  <c r="AI8" i="6"/>
  <c r="B47" i="17"/>
  <c r="AG47" i="17" s="1"/>
  <c r="AH4" i="17"/>
  <c r="AG4" i="17"/>
  <c r="AG4" i="9"/>
  <c r="AF4" i="9"/>
  <c r="B47" i="9"/>
  <c r="AF47" i="9" s="1"/>
  <c r="AC29" i="9"/>
  <c r="AC33" i="9" s="1"/>
  <c r="AG29" i="12"/>
  <c r="R29" i="14"/>
  <c r="R33" i="14" s="1"/>
  <c r="E29" i="12"/>
  <c r="E33" i="12" s="1"/>
  <c r="J29" i="9"/>
  <c r="J33" i="9" s="1"/>
  <c r="B29" i="15"/>
  <c r="Y29" i="17"/>
  <c r="Y33" i="17" s="1"/>
  <c r="AE29" i="14"/>
  <c r="AE33" i="14" s="1"/>
  <c r="B35" i="6"/>
  <c r="AI8" i="13"/>
  <c r="U29" i="16"/>
  <c r="U33" i="16" s="1"/>
  <c r="K29" i="12"/>
  <c r="K33" i="12" s="1"/>
  <c r="AC29" i="17"/>
  <c r="AC33" i="17" s="1"/>
  <c r="AG47" i="6"/>
  <c r="D29" i="14"/>
  <c r="D33" i="14" s="1"/>
  <c r="AE29" i="12"/>
  <c r="AE33" i="12" s="1"/>
  <c r="C29" i="9"/>
  <c r="C33" i="9" s="1"/>
  <c r="Z29" i="11"/>
  <c r="Z33" i="11" s="1"/>
  <c r="E29" i="15"/>
  <c r="E33" i="15" s="1"/>
  <c r="S29" i="9"/>
  <c r="S33" i="9" s="1"/>
  <c r="K29" i="14"/>
  <c r="K33" i="14" s="1"/>
  <c r="B43" i="11" l="1"/>
  <c r="H5" i="1"/>
  <c r="AI28" i="8"/>
  <c r="AI11" i="8"/>
  <c r="AI6" i="8"/>
  <c r="AI29" i="8"/>
  <c r="AI15" i="8"/>
  <c r="AI26" i="8"/>
  <c r="AI24" i="8"/>
  <c r="AI8" i="8"/>
  <c r="AI27" i="8"/>
  <c r="AI16" i="8"/>
  <c r="AI13" i="8"/>
  <c r="AI2" i="8"/>
  <c r="AI10" i="8"/>
  <c r="AI12" i="8"/>
  <c r="AI7" i="8"/>
  <c r="AI25" i="8"/>
  <c r="AI14" i="8"/>
  <c r="AI17" i="8"/>
  <c r="AI22" i="8"/>
  <c r="AI21" i="8"/>
  <c r="AI18" i="8"/>
  <c r="AI20" i="8"/>
  <c r="AD33" i="7"/>
  <c r="AE33" i="7"/>
  <c r="AH33" i="12"/>
  <c r="AG33" i="12"/>
  <c r="AF29" i="9"/>
  <c r="B43" i="8"/>
  <c r="E5" i="1"/>
  <c r="AI29" i="10"/>
  <c r="AI27" i="10"/>
  <c r="AI16" i="10"/>
  <c r="AI18" i="10"/>
  <c r="AI25" i="10"/>
  <c r="AI14" i="10"/>
  <c r="AI11" i="10"/>
  <c r="AI15" i="10"/>
  <c r="AI24" i="10"/>
  <c r="AI21" i="10"/>
  <c r="AI28" i="10"/>
  <c r="AI8" i="10"/>
  <c r="AI12" i="10"/>
  <c r="AI6" i="10"/>
  <c r="AI13" i="10"/>
  <c r="AI7" i="10"/>
  <c r="AI10" i="10"/>
  <c r="AI22" i="10"/>
  <c r="AI2" i="10"/>
  <c r="AI17" i="10"/>
  <c r="AI26" i="10"/>
  <c r="C33" i="15"/>
  <c r="AH33" i="15" s="1"/>
  <c r="AH29" i="15"/>
  <c r="AH29" i="12"/>
  <c r="AG29" i="9"/>
  <c r="AH33" i="8"/>
  <c r="AG33" i="8"/>
  <c r="B48" i="12"/>
  <c r="C48" i="12" s="1"/>
  <c r="D48" i="12" s="1"/>
  <c r="E48" i="12" s="1"/>
  <c r="F48" i="12" s="1"/>
  <c r="G48" i="12" s="1"/>
  <c r="H48" i="12" s="1"/>
  <c r="I48" i="12" s="1"/>
  <c r="J48" i="12" s="1"/>
  <c r="K48" i="12" s="1"/>
  <c r="L48" i="12" s="1"/>
  <c r="M48" i="12" s="1"/>
  <c r="N48" i="12" s="1"/>
  <c r="O48" i="12" s="1"/>
  <c r="P48" i="12" s="1"/>
  <c r="Q48" i="12" s="1"/>
  <c r="R48" i="12" s="1"/>
  <c r="S48" i="12" s="1"/>
  <c r="T48" i="12" s="1"/>
  <c r="U48" i="12" s="1"/>
  <c r="V48" i="12" s="1"/>
  <c r="W48" i="12" s="1"/>
  <c r="X48" i="12" s="1"/>
  <c r="Y48" i="12" s="1"/>
  <c r="Z48" i="12" s="1"/>
  <c r="AA48" i="12" s="1"/>
  <c r="AB48" i="12" s="1"/>
  <c r="AC48" i="12" s="1"/>
  <c r="AD48" i="12" s="1"/>
  <c r="AE48" i="12" s="1"/>
  <c r="AF48" i="12" s="1"/>
  <c r="AG33" i="9"/>
  <c r="AF33" i="9"/>
  <c r="AH29" i="11"/>
  <c r="AH25" i="11"/>
  <c r="AH12" i="11"/>
  <c r="AH2" i="11"/>
  <c r="AH27" i="11"/>
  <c r="AH28" i="11"/>
  <c r="AH14" i="11"/>
  <c r="AH6" i="11"/>
  <c r="AH11" i="11"/>
  <c r="AH24" i="11"/>
  <c r="AH22" i="11"/>
  <c r="AH26" i="11"/>
  <c r="AH13" i="11"/>
  <c r="AH17" i="11"/>
  <c r="AH16" i="11"/>
  <c r="AH18" i="11"/>
  <c r="AH15" i="11"/>
  <c r="AH7" i="11"/>
  <c r="AH21" i="11"/>
  <c r="AH10" i="11"/>
  <c r="AH8" i="11"/>
  <c r="AF13" i="7"/>
  <c r="AF6" i="7"/>
  <c r="AF29" i="7"/>
  <c r="AF26" i="7"/>
  <c r="AF12" i="7"/>
  <c r="AF14" i="7"/>
  <c r="AF11" i="7"/>
  <c r="AF2" i="7"/>
  <c r="AF24" i="7"/>
  <c r="AF15" i="7"/>
  <c r="AF16" i="7"/>
  <c r="AF28" i="7"/>
  <c r="AF18" i="7"/>
  <c r="AF25" i="7"/>
  <c r="AF21" i="7"/>
  <c r="AF8" i="7"/>
  <c r="AF27" i="7"/>
  <c r="AF10" i="7"/>
  <c r="AF22" i="7"/>
  <c r="AF17" i="7"/>
  <c r="AF20" i="7"/>
  <c r="AF3" i="7"/>
  <c r="AH4" i="11"/>
  <c r="AG29" i="14"/>
  <c r="L48" i="16"/>
  <c r="M48" i="16" s="1"/>
  <c r="N48" i="16" s="1"/>
  <c r="O48" i="16" s="1"/>
  <c r="P48" i="16" s="1"/>
  <c r="Q48" i="16" s="1"/>
  <c r="R48" i="16" s="1"/>
  <c r="S48" i="16" s="1"/>
  <c r="T48" i="16" s="1"/>
  <c r="U48" i="16" s="1"/>
  <c r="V48" i="16" s="1"/>
  <c r="W48" i="16" s="1"/>
  <c r="X48" i="16" s="1"/>
  <c r="Y48" i="16" s="1"/>
  <c r="Z48" i="16" s="1"/>
  <c r="AA48" i="16" s="1"/>
  <c r="AB48" i="16" s="1"/>
  <c r="AC48" i="16" s="1"/>
  <c r="AD48" i="16" s="1"/>
  <c r="AE48" i="16" s="1"/>
  <c r="AI4" i="12"/>
  <c r="AH3" i="11"/>
  <c r="D5" i="1"/>
  <c r="B43" i="7"/>
  <c r="B35" i="12"/>
  <c r="B35" i="9"/>
  <c r="B35" i="15"/>
  <c r="B48" i="15"/>
  <c r="C48" i="15" s="1"/>
  <c r="D48" i="15" s="1"/>
  <c r="E48" i="15" s="1"/>
  <c r="F48" i="15" s="1"/>
  <c r="G48" i="15" s="1"/>
  <c r="H48" i="15" s="1"/>
  <c r="I48" i="15" s="1"/>
  <c r="J48" i="15" s="1"/>
  <c r="K48" i="15" s="1"/>
  <c r="L48" i="15" s="1"/>
  <c r="M48" i="15" s="1"/>
  <c r="N48" i="15" s="1"/>
  <c r="O48" i="15" s="1"/>
  <c r="P48" i="15" s="1"/>
  <c r="Q48" i="15" s="1"/>
  <c r="R48" i="15" s="1"/>
  <c r="S48" i="15" s="1"/>
  <c r="T48" i="15" s="1"/>
  <c r="U48" i="15" s="1"/>
  <c r="V48" i="15" s="1"/>
  <c r="W48" i="15" s="1"/>
  <c r="X48" i="15" s="1"/>
  <c r="Y48" i="15" s="1"/>
  <c r="Z48" i="15" s="1"/>
  <c r="AA48" i="15" s="1"/>
  <c r="AB48" i="15" s="1"/>
  <c r="AC48" i="15" s="1"/>
  <c r="AD48" i="15" s="1"/>
  <c r="AE48" i="15" s="1"/>
  <c r="AF48" i="15" s="1"/>
  <c r="B33" i="15"/>
  <c r="AG33" i="15" s="1"/>
  <c r="B35" i="16"/>
  <c r="D48" i="14"/>
  <c r="E48" i="14" s="1"/>
  <c r="F48" i="14" s="1"/>
  <c r="G48" i="14" s="1"/>
  <c r="H48" i="14" s="1"/>
  <c r="I48" i="14" s="1"/>
  <c r="J48" i="14" s="1"/>
  <c r="K48" i="14" s="1"/>
  <c r="L48" i="14" s="1"/>
  <c r="M48" i="14" s="1"/>
  <c r="N48" i="14" s="1"/>
  <c r="O48" i="14" s="1"/>
  <c r="P48" i="14" s="1"/>
  <c r="Q48" i="14" s="1"/>
  <c r="R48" i="14" s="1"/>
  <c r="S48" i="14" s="1"/>
  <c r="T48" i="14" s="1"/>
  <c r="U48" i="14" s="1"/>
  <c r="V48" i="14" s="1"/>
  <c r="W48" i="14" s="1"/>
  <c r="X48" i="14" s="1"/>
  <c r="Y48" i="14" s="1"/>
  <c r="Z48" i="14" s="1"/>
  <c r="AA48" i="14" s="1"/>
  <c r="AB48" i="14" s="1"/>
  <c r="AC48" i="14" s="1"/>
  <c r="AD48" i="14" s="1"/>
  <c r="AE48" i="14" s="1"/>
  <c r="AH29" i="17"/>
  <c r="G5" i="1"/>
  <c r="B43" i="10"/>
  <c r="AF7" i="7"/>
  <c r="AI20" i="10"/>
  <c r="B48" i="11"/>
  <c r="C48" i="11" s="1"/>
  <c r="D48" i="11" s="1"/>
  <c r="E48" i="11" s="1"/>
  <c r="F48" i="11" s="1"/>
  <c r="G48" i="11" s="1"/>
  <c r="H48" i="11" s="1"/>
  <c r="I48" i="11" s="1"/>
  <c r="J48" i="11" s="1"/>
  <c r="K48" i="11" s="1"/>
  <c r="L48" i="11" s="1"/>
  <c r="M48" i="11" s="1"/>
  <c r="N48" i="11" s="1"/>
  <c r="O48" i="11" s="1"/>
  <c r="P48" i="11" s="1"/>
  <c r="Q48" i="11" s="1"/>
  <c r="R48" i="11" s="1"/>
  <c r="S48" i="11" s="1"/>
  <c r="T48" i="11" s="1"/>
  <c r="U48" i="11" s="1"/>
  <c r="V48" i="11" s="1"/>
  <c r="W48" i="11" s="1"/>
  <c r="X48" i="11" s="1"/>
  <c r="Y48" i="11" s="1"/>
  <c r="Z48" i="11" s="1"/>
  <c r="AA48" i="11" s="1"/>
  <c r="AB48" i="11" s="1"/>
  <c r="AC48" i="11" s="1"/>
  <c r="AD48" i="11" s="1"/>
  <c r="AE48" i="11" s="1"/>
  <c r="AI29" i="6"/>
  <c r="AI12" i="6"/>
  <c r="AI28" i="6"/>
  <c r="AI6" i="6"/>
  <c r="AI15" i="6"/>
  <c r="AI26" i="6"/>
  <c r="AI24" i="6"/>
  <c r="AI7" i="6"/>
  <c r="AI2" i="6"/>
  <c r="AI16" i="6"/>
  <c r="AI10" i="6"/>
  <c r="AI13" i="6"/>
  <c r="AI11" i="6"/>
  <c r="AI14" i="6"/>
  <c r="AI18" i="6"/>
  <c r="AI25" i="6"/>
  <c r="AI27" i="6"/>
  <c r="AI22" i="6"/>
  <c r="AI17" i="6"/>
  <c r="AF33" i="16"/>
  <c r="AG33" i="16"/>
  <c r="AI25" i="13"/>
  <c r="AI13" i="13"/>
  <c r="AI28" i="13"/>
  <c r="AI16" i="13"/>
  <c r="AI29" i="13"/>
  <c r="AI14" i="13"/>
  <c r="AI26" i="13"/>
  <c r="AI11" i="13"/>
  <c r="AI20" i="13"/>
  <c r="AI15" i="13"/>
  <c r="AI2" i="13"/>
  <c r="AI6" i="13"/>
  <c r="AI18" i="13"/>
  <c r="AI27" i="13"/>
  <c r="AI24" i="13"/>
  <c r="AI12" i="13"/>
  <c r="AI22" i="13"/>
  <c r="AI21" i="13"/>
  <c r="AI10" i="13"/>
  <c r="AI7" i="13"/>
  <c r="AI17" i="13"/>
  <c r="AI4" i="15"/>
  <c r="AF33" i="14"/>
  <c r="AH33" i="17"/>
  <c r="AG33" i="17"/>
  <c r="AG33" i="14"/>
  <c r="AH4" i="9"/>
  <c r="AG33" i="11"/>
  <c r="AF33" i="11"/>
  <c r="AH4" i="14"/>
  <c r="AG29" i="16"/>
  <c r="AH33" i="13"/>
  <c r="AG33" i="13"/>
  <c r="B35" i="14"/>
  <c r="B35" i="17"/>
  <c r="C5" i="1"/>
  <c r="B43" i="6"/>
  <c r="AH4" i="16"/>
  <c r="AF29" i="11"/>
  <c r="AI3" i="10"/>
  <c r="J5" i="1"/>
  <c r="B43" i="13"/>
  <c r="AI20" i="6"/>
  <c r="B48" i="9"/>
  <c r="C48" i="9" s="1"/>
  <c r="D48" i="9" s="1"/>
  <c r="E48" i="9" s="1"/>
  <c r="F48" i="9" s="1"/>
  <c r="G48" i="9" s="1"/>
  <c r="H48" i="9" s="1"/>
  <c r="I48" i="9" s="1"/>
  <c r="J48" i="9" s="1"/>
  <c r="K48" i="9" s="1"/>
  <c r="L48" i="9" s="1"/>
  <c r="M48" i="9" s="1"/>
  <c r="N48" i="9" s="1"/>
  <c r="O48" i="9" s="1"/>
  <c r="P48" i="9" s="1"/>
  <c r="Q48" i="9" s="1"/>
  <c r="R48" i="9" s="1"/>
  <c r="S48" i="9" s="1"/>
  <c r="T48" i="9" s="1"/>
  <c r="U48" i="9" s="1"/>
  <c r="V48" i="9" s="1"/>
  <c r="W48" i="9" s="1"/>
  <c r="X48" i="9" s="1"/>
  <c r="Y48" i="9" s="1"/>
  <c r="Z48" i="9" s="1"/>
  <c r="AA48" i="9" s="1"/>
  <c r="AB48" i="9" s="1"/>
  <c r="AC48" i="9" s="1"/>
  <c r="AD48" i="9" s="1"/>
  <c r="AE48" i="9" s="1"/>
  <c r="B48" i="17"/>
  <c r="C48" i="17" s="1"/>
  <c r="D48" i="17" s="1"/>
  <c r="E48" i="17" s="1"/>
  <c r="F48" i="17" s="1"/>
  <c r="G48" i="17" s="1"/>
  <c r="H48" i="17" s="1"/>
  <c r="I48" i="17" s="1"/>
  <c r="J48" i="17" s="1"/>
  <c r="K48" i="17" s="1"/>
  <c r="L48" i="17" s="1"/>
  <c r="M48" i="17" s="1"/>
  <c r="N48" i="17" s="1"/>
  <c r="O48" i="17" s="1"/>
  <c r="P48" i="17" s="1"/>
  <c r="Q48" i="17" s="1"/>
  <c r="R48" i="17" s="1"/>
  <c r="S48" i="17" s="1"/>
  <c r="T48" i="17" s="1"/>
  <c r="U48" i="17" s="1"/>
  <c r="V48" i="17" s="1"/>
  <c r="W48" i="17" s="1"/>
  <c r="X48" i="17" s="1"/>
  <c r="Y48" i="17" s="1"/>
  <c r="Z48" i="17" s="1"/>
  <c r="AA48" i="17" s="1"/>
  <c r="AB48" i="17" s="1"/>
  <c r="AC48" i="17" s="1"/>
  <c r="AD48" i="17" s="1"/>
  <c r="AE48" i="17" s="1"/>
  <c r="AF48" i="17" s="1"/>
  <c r="AI25" i="17" l="1"/>
  <c r="AI15" i="17"/>
  <c r="AI6" i="17"/>
  <c r="AI29" i="17"/>
  <c r="AI26" i="17"/>
  <c r="AI16" i="17"/>
  <c r="AI11" i="17"/>
  <c r="AI2" i="17"/>
  <c r="AI28" i="17"/>
  <c r="AI14" i="17"/>
  <c r="AI12" i="17"/>
  <c r="AI24" i="17"/>
  <c r="AI17" i="17"/>
  <c r="AI22" i="17"/>
  <c r="AI21" i="17"/>
  <c r="AI13" i="17"/>
  <c r="AI27" i="17"/>
  <c r="AI18" i="17"/>
  <c r="AI10" i="17"/>
  <c r="AI20" i="17"/>
  <c r="AI8" i="17"/>
  <c r="AI7" i="17"/>
  <c r="AI3" i="17"/>
  <c r="AI15" i="12"/>
  <c r="AI6" i="12"/>
  <c r="AI28" i="12"/>
  <c r="AI29" i="12"/>
  <c r="AI11" i="12"/>
  <c r="AI26" i="12"/>
  <c r="AI2" i="12"/>
  <c r="AI24" i="12"/>
  <c r="AI16" i="12"/>
  <c r="AI14" i="12"/>
  <c r="AI25" i="12"/>
  <c r="AI13" i="12"/>
  <c r="AI10" i="12"/>
  <c r="AI18" i="12"/>
  <c r="AI27" i="12"/>
  <c r="AI12" i="12"/>
  <c r="AI7" i="12"/>
  <c r="AI22" i="12"/>
  <c r="AI17" i="12"/>
  <c r="AI8" i="12"/>
  <c r="AI3" i="12"/>
  <c r="AI20" i="12"/>
  <c r="AI21" i="12"/>
  <c r="E16" i="1"/>
  <c r="E13" i="1"/>
  <c r="D16" i="1"/>
  <c r="D13" i="1"/>
  <c r="AI25" i="15"/>
  <c r="AI15" i="15"/>
  <c r="AI29" i="15"/>
  <c r="AI24" i="15"/>
  <c r="AI18" i="15"/>
  <c r="AI13" i="15"/>
  <c r="AI28" i="15"/>
  <c r="AI16" i="15"/>
  <c r="AI14" i="15"/>
  <c r="AI26" i="15"/>
  <c r="AI2" i="15"/>
  <c r="AI17" i="15"/>
  <c r="AI12" i="15"/>
  <c r="AI11" i="15"/>
  <c r="AI6" i="15"/>
  <c r="AI27" i="15"/>
  <c r="AI8" i="15"/>
  <c r="AI10" i="15"/>
  <c r="AI21" i="15"/>
  <c r="AI22" i="15"/>
  <c r="AI7" i="15"/>
  <c r="AI3" i="15"/>
  <c r="AI20" i="15"/>
  <c r="C16" i="1"/>
  <c r="C13" i="1"/>
  <c r="B43" i="16"/>
  <c r="M5" i="1"/>
  <c r="J16" i="1"/>
  <c r="J13" i="1"/>
  <c r="L5" i="1"/>
  <c r="B43" i="15"/>
  <c r="AH28" i="14"/>
  <c r="AH25" i="14"/>
  <c r="AH15" i="14"/>
  <c r="AH21" i="14"/>
  <c r="AH2" i="14"/>
  <c r="AH13" i="14"/>
  <c r="AH20" i="14"/>
  <c r="AH11" i="14"/>
  <c r="AH12" i="14"/>
  <c r="AH24" i="14"/>
  <c r="AH10" i="14"/>
  <c r="AH16" i="14"/>
  <c r="AH6" i="14"/>
  <c r="AH27" i="14"/>
  <c r="AH18" i="14"/>
  <c r="AH26" i="14"/>
  <c r="AH8" i="14"/>
  <c r="AH14" i="14"/>
  <c r="AH22" i="14"/>
  <c r="AH7" i="14"/>
  <c r="AH17" i="14"/>
  <c r="AH3" i="14"/>
  <c r="H13" i="1"/>
  <c r="H16" i="1"/>
  <c r="B43" i="17"/>
  <c r="N5" i="1"/>
  <c r="B43" i="14"/>
  <c r="K5" i="1"/>
  <c r="F5" i="1"/>
  <c r="B43" i="9"/>
  <c r="AH29" i="16"/>
  <c r="AH27" i="16"/>
  <c r="AH25" i="16"/>
  <c r="AH28" i="16"/>
  <c r="AH7" i="16"/>
  <c r="AH10" i="16"/>
  <c r="AH8" i="16"/>
  <c r="AH15" i="16"/>
  <c r="AH22" i="16"/>
  <c r="AH12" i="16"/>
  <c r="AH26" i="16"/>
  <c r="AH14" i="16"/>
  <c r="AH2" i="16"/>
  <c r="AH18" i="16"/>
  <c r="AH6" i="16"/>
  <c r="AH16" i="16"/>
  <c r="AH11" i="16"/>
  <c r="AH24" i="16"/>
  <c r="AH13" i="16"/>
  <c r="AH20" i="16"/>
  <c r="AH17" i="16"/>
  <c r="AH21" i="16"/>
  <c r="AH3" i="16"/>
  <c r="G16" i="1"/>
  <c r="G13" i="1"/>
  <c r="I5" i="1"/>
  <c r="B43" i="12"/>
  <c r="AH29" i="9"/>
  <c r="AH24" i="9"/>
  <c r="AH6" i="9"/>
  <c r="AH13" i="9"/>
  <c r="AH16" i="9"/>
  <c r="AH14" i="9"/>
  <c r="AH28" i="9"/>
  <c r="AH12" i="9"/>
  <c r="AH15" i="9"/>
  <c r="AH2" i="9"/>
  <c r="AH27" i="9"/>
  <c r="AH21" i="9"/>
  <c r="AH11" i="9"/>
  <c r="AH25" i="9"/>
  <c r="AH17" i="9"/>
  <c r="AH10" i="9"/>
  <c r="AH7" i="9"/>
  <c r="AH20" i="9"/>
  <c r="AH22" i="9"/>
  <c r="AH26" i="9"/>
  <c r="AH8" i="9"/>
  <c r="AH18" i="9"/>
  <c r="AH3" i="9"/>
  <c r="AI4" i="17"/>
  <c r="F16" i="1" l="1"/>
  <c r="K16" i="1"/>
  <c r="K13" i="1"/>
  <c r="B13" i="1" s="1"/>
  <c r="M16" i="1"/>
  <c r="M13" i="1"/>
  <c r="I16" i="1"/>
  <c r="B16" i="1" s="1"/>
  <c r="I13" i="1"/>
  <c r="N16" i="1"/>
  <c r="N13" i="1"/>
  <c r="B5" i="1"/>
  <c r="L16" i="1"/>
  <c r="L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2F28B5-2315-7443-B9E4-94E3021012E8}" keepAlive="1" name="Query - Query (2)" description="Connection to the 'Query (2)' query in the workbook." type="5" refreshedVersion="8" background="1" saveData="1">
    <dbPr connection="Provider=Microsoft.Mashup.OleDb.1;Data Source=$Workbook$;Location=&quot;Query (2)&quot;;Extended Properties=&quot;&quot;" command="SELECT * FROM [Query (2)]"/>
  </connection>
</connections>
</file>

<file path=xl/sharedStrings.xml><?xml version="1.0" encoding="utf-8"?>
<sst xmlns="http://schemas.openxmlformats.org/spreadsheetml/2006/main" count="8012" uniqueCount="381">
  <si>
    <t>Total</t>
  </si>
  <si>
    <t>January</t>
  </si>
  <si>
    <t>February</t>
  </si>
  <si>
    <t>March</t>
  </si>
  <si>
    <t>April</t>
  </si>
  <si>
    <t>May</t>
  </si>
  <si>
    <t>June</t>
  </si>
  <si>
    <t>July</t>
  </si>
  <si>
    <t>August</t>
  </si>
  <si>
    <t>September</t>
  </si>
  <si>
    <t>October</t>
  </si>
  <si>
    <t>November</t>
  </si>
  <si>
    <t>December</t>
  </si>
  <si>
    <t>Monthy Expenses</t>
  </si>
  <si>
    <t>Monthly UPI</t>
  </si>
  <si>
    <t>Monthly Cash</t>
  </si>
  <si>
    <t>Monthly Sales</t>
  </si>
  <si>
    <t>Rent, Salaries &amp; others</t>
  </si>
  <si>
    <t>Swiggy</t>
  </si>
  <si>
    <t>Zomato</t>
  </si>
  <si>
    <t>Stock</t>
  </si>
  <si>
    <t>Actual P/L</t>
  </si>
  <si>
    <t>Total In</t>
  </si>
  <si>
    <t>Total Out</t>
  </si>
  <si>
    <t>Expenses - Monthly</t>
  </si>
  <si>
    <t>Febraury</t>
  </si>
  <si>
    <t>Base Cost</t>
  </si>
  <si>
    <t>Rent</t>
  </si>
  <si>
    <t>Maintenance</t>
  </si>
  <si>
    <t>Electricity</t>
  </si>
  <si>
    <t>Room Rent</t>
  </si>
  <si>
    <t>Staff - electricity</t>
  </si>
  <si>
    <t>Wifi</t>
  </si>
  <si>
    <t>Software</t>
  </si>
  <si>
    <t>Pest Control</t>
  </si>
  <si>
    <t>Marketing Cost</t>
  </si>
  <si>
    <t>Salaries</t>
  </si>
  <si>
    <t>Manager 1</t>
  </si>
  <si>
    <t>Waiter 1</t>
  </si>
  <si>
    <t>Waiter 2</t>
  </si>
  <si>
    <t>Cleaning 1</t>
  </si>
  <si>
    <t>Cleaning 2</t>
  </si>
  <si>
    <t xml:space="preserve">Total </t>
  </si>
  <si>
    <t>Per day</t>
  </si>
  <si>
    <t>Advance Paid to</t>
  </si>
  <si>
    <t>Mandi Prasad</t>
  </si>
  <si>
    <t>Nagender Reddy</t>
  </si>
  <si>
    <t>Nagaraju</t>
  </si>
  <si>
    <t>Munna</t>
  </si>
  <si>
    <t>Mandi Master</t>
  </si>
  <si>
    <t>Susheela</t>
  </si>
  <si>
    <t xml:space="preserve">Munni </t>
  </si>
  <si>
    <t>Cold drinks deposit</t>
  </si>
  <si>
    <t xml:space="preserve">Old </t>
  </si>
  <si>
    <t>New</t>
  </si>
  <si>
    <t>difference</t>
  </si>
  <si>
    <t>Item</t>
  </si>
  <si>
    <t>Quantity</t>
  </si>
  <si>
    <t>Price</t>
  </si>
  <si>
    <t>Unit Price</t>
  </si>
  <si>
    <t>Balance</t>
  </si>
  <si>
    <t>Sauces</t>
  </si>
  <si>
    <t>Green Chilli Sauce</t>
  </si>
  <si>
    <t>Red Chilli Sauce</t>
  </si>
  <si>
    <t>Capsicum Sauce</t>
  </si>
  <si>
    <t>Tomato Sauce</t>
  </si>
  <si>
    <t>8to8 Sauce</t>
  </si>
  <si>
    <t>Soya Sauce</t>
  </si>
  <si>
    <t>Vinegar</t>
  </si>
  <si>
    <t>Schezwan Sauce</t>
  </si>
  <si>
    <t>Rose Water</t>
  </si>
  <si>
    <t>Kewada water</t>
  </si>
  <si>
    <t>Garam Masala (kg)</t>
  </si>
  <si>
    <t>White pepper (kg)</t>
  </si>
  <si>
    <t>Chicken Masala (kg)</t>
  </si>
  <si>
    <t>Mutton Masala (kg)</t>
  </si>
  <si>
    <t>Tandoori Chicken Masala (kg)</t>
  </si>
  <si>
    <t>Chat Masala (kg)</t>
  </si>
  <si>
    <t>Corn Powder (kg)</t>
  </si>
  <si>
    <t>Tasting salt (kg)</t>
  </si>
  <si>
    <t>Red Color (box)</t>
  </si>
  <si>
    <t>Yellow Color (box)</t>
  </si>
  <si>
    <t>Main Items</t>
  </si>
  <si>
    <t>Biryani Rice (kg)</t>
  </si>
  <si>
    <t>Oil (L)</t>
  </si>
  <si>
    <t>Maida (kg)</t>
  </si>
  <si>
    <t>Aata (kg)</t>
  </si>
  <si>
    <t>Cold Drinks (cases)</t>
  </si>
  <si>
    <t>Cold Drinks (bottles)</t>
  </si>
  <si>
    <t>Cold Drinks (cans)</t>
  </si>
  <si>
    <t>Water Bottles (cases)</t>
  </si>
  <si>
    <t>Alibeg</t>
  </si>
  <si>
    <t>Baby Kaju (kg)</t>
  </si>
  <si>
    <t>Kaju 4 pieces (kg)</t>
  </si>
  <si>
    <t>Haldi (kg)</t>
  </si>
  <si>
    <t>Jeera  (kg)</t>
  </si>
  <si>
    <t>Til (kg)</t>
  </si>
  <si>
    <t>Charmagash (kg)</t>
  </si>
  <si>
    <t>Kash Kash (kg)</t>
  </si>
  <si>
    <t>Salt (kg)</t>
  </si>
  <si>
    <t>Big salt (kg)</t>
  </si>
  <si>
    <t>Elaichi (kg)</t>
  </si>
  <si>
    <t>Loung (kg)</t>
  </si>
  <si>
    <t>Dalchini (kg)</t>
  </si>
  <si>
    <t>Star Phool (kg)</t>
  </si>
  <si>
    <t>Jai Phool (kg)</t>
  </si>
  <si>
    <t>Shazira (kg)</t>
  </si>
  <si>
    <t>Biryani patta (kg)</t>
  </si>
  <si>
    <t>Kastur methi (kg)</t>
  </si>
  <si>
    <t>Japhal (kg)</t>
  </si>
  <si>
    <t>Japatri</t>
  </si>
  <si>
    <t>Kabab Chini</t>
  </si>
  <si>
    <t>Kali Mirch/Miryalu</t>
  </si>
  <si>
    <t>Big Elaichi</t>
  </si>
  <si>
    <t>Phatar ka Phool (kg)</t>
  </si>
  <si>
    <t>Gulab Ka phool</t>
  </si>
  <si>
    <t>Bread Crumbs (kg)</t>
  </si>
  <si>
    <t>Kismis</t>
  </si>
  <si>
    <t>Maggi Cube</t>
  </si>
  <si>
    <t>S Mart</t>
  </si>
  <si>
    <t>Dhaniya (kg)</t>
  </si>
  <si>
    <t>Sugar (kg)</t>
  </si>
  <si>
    <t>Dalda (kg)</t>
  </si>
  <si>
    <t>Red Chilli Powder (kg)</t>
  </si>
  <si>
    <t>Dhaniya Powder (kg)</t>
  </si>
  <si>
    <t>Coal (bags)</t>
  </si>
  <si>
    <t>Boxes</t>
  </si>
  <si>
    <t xml:space="preserve"> </t>
  </si>
  <si>
    <t>Biryani</t>
  </si>
  <si>
    <t>Mandi</t>
  </si>
  <si>
    <t>Chicken Bodies (KG)</t>
  </si>
  <si>
    <t>Chicken Lollipop</t>
  </si>
  <si>
    <t>Chicken Boneless</t>
  </si>
  <si>
    <t>Pet Bottles</t>
  </si>
  <si>
    <t>Glass Bottles</t>
  </si>
  <si>
    <t>Water Bottles</t>
  </si>
  <si>
    <t>Cooked KG</t>
  </si>
  <si>
    <t>Plates Sold</t>
  </si>
  <si>
    <t>Plates Left</t>
  </si>
  <si>
    <t>Ordered</t>
  </si>
  <si>
    <t>Used</t>
  </si>
  <si>
    <t>Left</t>
  </si>
  <si>
    <t>Ordered KG</t>
  </si>
  <si>
    <t>Left KG</t>
  </si>
  <si>
    <t>Thumbsup</t>
  </si>
  <si>
    <t>Sprite</t>
  </si>
  <si>
    <t>Coco cola</t>
  </si>
  <si>
    <t>Fanta</t>
  </si>
  <si>
    <t>Week 1</t>
  </si>
  <si>
    <t>Week 2</t>
  </si>
  <si>
    <t>Week 3</t>
  </si>
  <si>
    <t>Week 4</t>
  </si>
  <si>
    <t>Week 5</t>
  </si>
  <si>
    <t>Average</t>
  </si>
  <si>
    <t>Monday</t>
  </si>
  <si>
    <t>Tuesday</t>
  </si>
  <si>
    <t>Wednesday</t>
  </si>
  <si>
    <t>Thursday</t>
  </si>
  <si>
    <t>Friday</t>
  </si>
  <si>
    <t>Saturday</t>
  </si>
  <si>
    <t>Sunday</t>
  </si>
  <si>
    <t>% Share</t>
  </si>
  <si>
    <t>Chef</t>
  </si>
  <si>
    <t>Salaries, Rent and others</t>
  </si>
  <si>
    <t>Meat</t>
  </si>
  <si>
    <t>Chicken</t>
  </si>
  <si>
    <t>Mutton</t>
  </si>
  <si>
    <t>Sea food</t>
  </si>
  <si>
    <t>Market</t>
  </si>
  <si>
    <t xml:space="preserve">All Vegetables </t>
  </si>
  <si>
    <t>Curd</t>
  </si>
  <si>
    <t>Milk</t>
  </si>
  <si>
    <t>Paneer</t>
  </si>
  <si>
    <t>Mushroom</t>
  </si>
  <si>
    <t>Babycorn</t>
  </si>
  <si>
    <t>Eggs</t>
  </si>
  <si>
    <t>Dry Grocery</t>
  </si>
  <si>
    <t>Garlic</t>
  </si>
  <si>
    <t>Running</t>
  </si>
  <si>
    <t>Gas</t>
  </si>
  <si>
    <t>Coal</t>
  </si>
  <si>
    <t>Water</t>
  </si>
  <si>
    <t>Others</t>
  </si>
  <si>
    <t>Covers</t>
  </si>
  <si>
    <t>Tissue Paper</t>
  </si>
  <si>
    <t>Utilities</t>
  </si>
  <si>
    <t>Worker</t>
  </si>
  <si>
    <t>Stationery</t>
  </si>
  <si>
    <t>UPI</t>
  </si>
  <si>
    <t>Cash</t>
  </si>
  <si>
    <t>Total Sale</t>
  </si>
  <si>
    <t>Profit or Loss</t>
  </si>
  <si>
    <t>auto 30</t>
  </si>
  <si>
    <t>chicken 620</t>
  </si>
  <si>
    <t>susheela</t>
  </si>
  <si>
    <t>fry pan/pulka</t>
  </si>
  <si>
    <t>auto 70</t>
  </si>
  <si>
    <t>auto 50</t>
  </si>
  <si>
    <t>mirchi p</t>
  </si>
  <si>
    <t>catering 7k</t>
  </si>
  <si>
    <t>masala 75</t>
  </si>
  <si>
    <t>Chefs amount from Javeed</t>
  </si>
  <si>
    <t>Market from Javeed</t>
  </si>
  <si>
    <t>Javeed's Expenses</t>
  </si>
  <si>
    <t>Counter Cash</t>
  </si>
  <si>
    <t>Sea Food</t>
  </si>
  <si>
    <t xml:space="preserve">  </t>
  </si>
  <si>
    <t>Mon</t>
  </si>
  <si>
    <t>Tue</t>
  </si>
  <si>
    <t>Wed</t>
  </si>
  <si>
    <t>Number of Days</t>
  </si>
  <si>
    <t>Thu</t>
  </si>
  <si>
    <t>Fri</t>
  </si>
  <si>
    <t>Sat</t>
  </si>
  <si>
    <t>Sun</t>
  </si>
  <si>
    <t>auto</t>
  </si>
  <si>
    <t>auto/rice</t>
  </si>
  <si>
    <t>B/M.....P</t>
  </si>
  <si>
    <t>M.......P</t>
  </si>
  <si>
    <t>exhaust fan</t>
  </si>
  <si>
    <t>jameel</t>
  </si>
  <si>
    <t>Gas repair</t>
  </si>
  <si>
    <t>sounf/tooth</t>
  </si>
  <si>
    <t xml:space="preserve">spray </t>
  </si>
  <si>
    <t>m powder</t>
  </si>
  <si>
    <t>Soap Oil</t>
  </si>
  <si>
    <t>rice auto</t>
  </si>
  <si>
    <t>Big order</t>
  </si>
  <si>
    <t>mirchi</t>
  </si>
  <si>
    <t>prashant</t>
  </si>
  <si>
    <t>AC</t>
  </si>
  <si>
    <t>paper roll</t>
  </si>
  <si>
    <t>gas repair</t>
  </si>
  <si>
    <t>munna</t>
  </si>
  <si>
    <t>lakshmi</t>
  </si>
  <si>
    <t>rice bag</t>
  </si>
  <si>
    <t>B--------P</t>
  </si>
  <si>
    <t>mutton</t>
  </si>
  <si>
    <t>rent</t>
  </si>
  <si>
    <t>10K balance</t>
  </si>
  <si>
    <t>light holder</t>
  </si>
  <si>
    <t>worker</t>
  </si>
  <si>
    <t>aunty</t>
  </si>
  <si>
    <t>nagaraju</t>
  </si>
  <si>
    <t>new</t>
  </si>
  <si>
    <t>broom</t>
  </si>
  <si>
    <t>electrician</t>
  </si>
  <si>
    <t>sealing repair</t>
  </si>
  <si>
    <t>mirchi powder</t>
  </si>
  <si>
    <t>kavya</t>
  </si>
  <si>
    <t>Unbilled Items</t>
  </si>
  <si>
    <t>Aug Balance</t>
  </si>
  <si>
    <t>Purchase</t>
  </si>
  <si>
    <t>Billed</t>
  </si>
  <si>
    <t>Unbilled</t>
  </si>
  <si>
    <t>Amount lost</t>
  </si>
  <si>
    <t>Water bottles</t>
  </si>
  <si>
    <t>Thumbs up 250 ml</t>
  </si>
  <si>
    <t>pet</t>
  </si>
  <si>
    <t>Coca Cola 250 ml</t>
  </si>
  <si>
    <t>glass</t>
  </si>
  <si>
    <t>Sprite 250 ml</t>
  </si>
  <si>
    <t>cans</t>
  </si>
  <si>
    <t>Thumbs up 200 ml</t>
  </si>
  <si>
    <t>Coca Cola 200 ml</t>
  </si>
  <si>
    <t>Sprite 200 ml</t>
  </si>
  <si>
    <t>Fanta 200 ml</t>
  </si>
  <si>
    <t>Thumbs up can</t>
  </si>
  <si>
    <t>Coca Cola can</t>
  </si>
  <si>
    <t>Sprite can</t>
  </si>
  <si>
    <t>Oct Balance</t>
  </si>
  <si>
    <t>Nov Balance</t>
  </si>
  <si>
    <t>Dec Balance</t>
  </si>
  <si>
    <t>Jan Balance</t>
  </si>
  <si>
    <t>Item Sales Report From 2025-02-01 to 2025-02-28 (Jail Food Multicuisine Restaurant-2nd floor, SS Mall Multipex,Korrapadu Road, Proddatur )</t>
  </si>
  <si>
    <t>THUMBS UP - 250 ML</t>
  </si>
  <si>
    <t>FANTA 200 ML</t>
  </si>
  <si>
    <t>SPRITE - 200 ML</t>
  </si>
  <si>
    <t>COCA COLA - 250 ML</t>
  </si>
  <si>
    <t>SPRITE - 250 ML</t>
  </si>
  <si>
    <t>THUMS UP - 200 ML</t>
  </si>
  <si>
    <t>COCA COLA - 200 ML</t>
  </si>
  <si>
    <t>Feb Balance</t>
  </si>
  <si>
    <t>Item Sales Report From 2025-03-01 to 2025-03-31 (Jail Food Multicuisine Restaurant-2nd floor, SS Mall Multipex,Korrapadu Road, Proddatur )</t>
  </si>
  <si>
    <t>Mar Balance</t>
  </si>
  <si>
    <t>April Missing</t>
  </si>
  <si>
    <t>Item Sales Report From 2025-04-01 to 2025-04-30 (Jail Food Multicuisine Restaurant-2nd floor, SS Mall Multipex,Korrapadu Road, Proddatur )</t>
  </si>
  <si>
    <t>April Balance</t>
  </si>
  <si>
    <t>May Missing</t>
  </si>
  <si>
    <t>Item Sales Report From 2025-05-01 to 2025-05-31 (Jail Food Multicuisine Restaurant-2nd floor, SS Mall Multipex,Korrapadu Road, Proddatur )</t>
  </si>
  <si>
    <t>Item Name</t>
  </si>
  <si>
    <t>Item Sales Count</t>
  </si>
  <si>
    <t>May Balance</t>
  </si>
  <si>
    <t>June Missing</t>
  </si>
  <si>
    <t>Item Sales Report From 2025-06-01 to 2025-06-30 (Jail Food Multicuisine Restaurant-2nd floor, SS Mall Multipex,Korrapadu Road, Proddatur )</t>
  </si>
  <si>
    <t>Jun Balance</t>
  </si>
  <si>
    <t>July Missing</t>
  </si>
  <si>
    <t>Item Sales Report From 2025-07-01 to 2025-07-31 (Jail Food Multicuisine Restaurant-2nd floor, SS Mall Multipex,Korrapadu Road, Proddatur )</t>
  </si>
  <si>
    <t>Jul Balance</t>
  </si>
  <si>
    <t>Aug Missing</t>
  </si>
  <si>
    <t>Sep Missing</t>
  </si>
  <si>
    <t>MAAZA - 250 ML</t>
  </si>
  <si>
    <t>Sep Balance</t>
  </si>
  <si>
    <t>Oct Missing</t>
  </si>
  <si>
    <t>Nov Missing</t>
  </si>
  <si>
    <t>Dec Missing</t>
  </si>
  <si>
    <t>This Year</t>
  </si>
  <si>
    <t>Month</t>
  </si>
  <si>
    <t>Row Labels</t>
  </si>
  <si>
    <t>Grand Total</t>
  </si>
  <si>
    <t>Sum of Total In</t>
  </si>
  <si>
    <t>Sum of Total Out</t>
  </si>
  <si>
    <t>Column1</t>
  </si>
  <si>
    <t>Column2</t>
  </si>
  <si>
    <t>Column6</t>
  </si>
  <si>
    <t>Column7</t>
  </si>
  <si>
    <t>Column9</t>
  </si>
  <si>
    <t>Column13</t>
  </si>
  <si>
    <t>Column14</t>
  </si>
  <si>
    <t>Column18</t>
  </si>
  <si>
    <t>Column19</t>
  </si>
  <si>
    <t>Cooked KG3</t>
  </si>
  <si>
    <t>Plates Sold4</t>
  </si>
  <si>
    <t>Plates Left5</t>
  </si>
  <si>
    <t>Plates Sold8</t>
  </si>
  <si>
    <t>Ordered KG10</t>
  </si>
  <si>
    <t>Plates Sold11</t>
  </si>
  <si>
    <t>Left KG12</t>
  </si>
  <si>
    <t>Thumbsup15</t>
  </si>
  <si>
    <t>Sprite16</t>
  </si>
  <si>
    <t>Coco cola17</t>
  </si>
  <si>
    <t xml:space="preserve">August </t>
  </si>
  <si>
    <t>Month+</t>
  </si>
  <si>
    <t>April(Balance)</t>
  </si>
  <si>
    <t>April(Price)</t>
  </si>
  <si>
    <t>April(Quantity)</t>
  </si>
  <si>
    <t>April(Unit Price)</t>
  </si>
  <si>
    <t>August (Balance)</t>
  </si>
  <si>
    <t>August (Price)</t>
  </si>
  <si>
    <t>August (Quantity)</t>
  </si>
  <si>
    <t>August (Unit Price)</t>
  </si>
  <si>
    <t>December(Balance)</t>
  </si>
  <si>
    <t>December(Price)</t>
  </si>
  <si>
    <t>December(Quantity)</t>
  </si>
  <si>
    <t>December(Unit Price)</t>
  </si>
  <si>
    <t>Febraury(Balance)</t>
  </si>
  <si>
    <t>Febraury(Price)</t>
  </si>
  <si>
    <t>Febraury(Quantity)</t>
  </si>
  <si>
    <t>Febraury(Unit Price)</t>
  </si>
  <si>
    <t>January(Balance)</t>
  </si>
  <si>
    <t>January(Price)</t>
  </si>
  <si>
    <t>January(Quantity)</t>
  </si>
  <si>
    <t>January(Unit Price)</t>
  </si>
  <si>
    <t>July(Balance)</t>
  </si>
  <si>
    <t>July(Price)</t>
  </si>
  <si>
    <t>July(Quantity)</t>
  </si>
  <si>
    <t>July(Unit Price)</t>
  </si>
  <si>
    <t>June(Balance)</t>
  </si>
  <si>
    <t>June(Price)</t>
  </si>
  <si>
    <t>June(Quantity)</t>
  </si>
  <si>
    <t>June(Unit Price)</t>
  </si>
  <si>
    <t>March(Balance)</t>
  </si>
  <si>
    <t>March(Price)</t>
  </si>
  <si>
    <t>March(Quantity)</t>
  </si>
  <si>
    <t>March(Unit Price)</t>
  </si>
  <si>
    <t>May(Balance)</t>
  </si>
  <si>
    <t>May(Price)</t>
  </si>
  <si>
    <t>May(Quantity)</t>
  </si>
  <si>
    <t>May(Unit Price)</t>
  </si>
  <si>
    <t>November(Balance)</t>
  </si>
  <si>
    <t>November(Price)</t>
  </si>
  <si>
    <t>November(Quantity)</t>
  </si>
  <si>
    <t>November(Unit Price)</t>
  </si>
  <si>
    <t>October(Balance)</t>
  </si>
  <si>
    <t>October(Price)</t>
  </si>
  <si>
    <t>October(Quantity)</t>
  </si>
  <si>
    <t>October(Unit Price)</t>
  </si>
  <si>
    <t>September(Balance)</t>
  </si>
  <si>
    <t>September(Price)</t>
  </si>
  <si>
    <t>September(Quantity)</t>
  </si>
  <si>
    <t>September(Unit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</si>
</sst>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quot;-&quot;mmm&quot;-&quot;yyyy"/>
    <numFmt numFmtId="166" formatCode="d&quot;-&quot;mmm"/>
  </numFmts>
  <fonts count="9" x14ac:knownFonts="1">
    <font>
      <sz val="10"/>
      <color rgb="FF000000"/>
      <name val="Calibri"/>
      <scheme val="minor"/>
    </font>
    <font>
      <sz val="10"/>
      <color theme="1"/>
      <name val="Calibri"/>
      <family val="2"/>
      <scheme val="minor"/>
    </font>
    <font>
      <sz val="10"/>
      <name val="Arial"/>
      <family val="2"/>
    </font>
    <font>
      <sz val="10"/>
      <color rgb="FF000000"/>
      <name val="Arial"/>
      <family val="2"/>
    </font>
    <font>
      <sz val="10"/>
      <color theme="1"/>
      <name val="Arial"/>
      <family val="2"/>
    </font>
    <font>
      <sz val="11"/>
      <color rgb="FF000000"/>
      <name val="Calibri"/>
      <family val="2"/>
    </font>
    <font>
      <b/>
      <sz val="11"/>
      <color rgb="FF000000"/>
      <name val="Calibri"/>
      <family val="2"/>
    </font>
    <font>
      <sz val="8"/>
      <name val="Calibri"/>
      <family val="2"/>
      <scheme val="minor"/>
    </font>
    <font>
      <sz val="18"/>
      <color rgb="FF000000"/>
      <name val="Calibri"/>
      <family val="2"/>
      <scheme val="minor"/>
    </font>
  </fonts>
  <fills count="1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EFEFEF"/>
        <bgColor rgb="FFEFEFEF"/>
      </patternFill>
    </fill>
    <fill>
      <patternFill patternType="solid">
        <fgColor rgb="FFEAD1DC"/>
        <bgColor rgb="FFEAD1DC"/>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
      <patternFill patternType="solid">
        <fgColor rgb="FF00FFFF"/>
        <bgColor rgb="FF00FFFF"/>
      </patternFill>
    </fill>
    <fill>
      <patternFill patternType="solid">
        <fgColor rgb="FFD9D2E9"/>
        <bgColor rgb="FFD9D2E9"/>
      </patternFill>
    </fill>
    <fill>
      <patternFill patternType="solid">
        <fgColor rgb="FFB4A7D6"/>
        <bgColor rgb="FFB4A7D6"/>
      </patternFill>
    </fill>
    <fill>
      <patternFill patternType="solid">
        <fgColor rgb="FFC9DAF8"/>
        <bgColor rgb="FFC9DAF8"/>
      </patternFill>
    </fill>
    <fill>
      <patternFill patternType="solid">
        <fgColor rgb="FFFF9900"/>
        <bgColor rgb="FFFF99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s>
  <cellStyleXfs count="1">
    <xf numFmtId="0" fontId="0" fillId="0" borderId="0"/>
  </cellStyleXfs>
  <cellXfs count="111">
    <xf numFmtId="0" fontId="0" fillId="0" borderId="0" xfId="0"/>
    <xf numFmtId="0" fontId="1" fillId="0" borderId="0" xfId="0" applyFont="1" applyAlignment="1">
      <alignment horizontal="right"/>
    </xf>
    <xf numFmtId="0" fontId="1" fillId="2" borderId="1" xfId="0" applyFont="1" applyFill="1" applyBorder="1" applyAlignment="1">
      <alignment horizontal="right"/>
    </xf>
    <xf numFmtId="0" fontId="1" fillId="2" borderId="1" xfId="0" applyFont="1" applyFill="1" applyBorder="1" applyAlignment="1">
      <alignment horizontal="center"/>
    </xf>
    <xf numFmtId="0" fontId="1" fillId="0" borderId="1" xfId="0" applyFont="1" applyBorder="1"/>
    <xf numFmtId="1" fontId="1" fillId="0" borderId="1" xfId="0" applyNumberFormat="1" applyFont="1" applyBorder="1" applyAlignment="1">
      <alignment horizontal="right"/>
    </xf>
    <xf numFmtId="1" fontId="1" fillId="0" borderId="0" xfId="0" applyNumberFormat="1" applyFont="1"/>
    <xf numFmtId="1" fontId="1" fillId="0" borderId="0" xfId="0" applyNumberFormat="1" applyFont="1" applyAlignment="1">
      <alignment horizontal="right"/>
    </xf>
    <xf numFmtId="0" fontId="1" fillId="4" borderId="1" xfId="0" applyFont="1" applyFill="1" applyBorder="1"/>
    <xf numFmtId="0" fontId="1" fillId="5" borderId="2"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1" fillId="0" borderId="2" xfId="0" applyFont="1" applyBorder="1"/>
    <xf numFmtId="0" fontId="1" fillId="0" borderId="0" xfId="0" applyFont="1"/>
    <xf numFmtId="0" fontId="1" fillId="3" borderId="1" xfId="0" applyFont="1" applyFill="1" applyBorder="1"/>
    <xf numFmtId="164" fontId="1" fillId="0" borderId="0" xfId="0" applyNumberFormat="1" applyFont="1"/>
    <xf numFmtId="0" fontId="1" fillId="6" borderId="0" xfId="0" applyFont="1" applyFill="1"/>
    <xf numFmtId="0" fontId="1" fillId="0" borderId="0" xfId="0" applyFont="1" applyAlignment="1">
      <alignment horizontal="center"/>
    </xf>
    <xf numFmtId="0" fontId="4" fillId="0" borderId="0" xfId="0" applyFont="1"/>
    <xf numFmtId="1" fontId="4" fillId="0" borderId="0" xfId="0" applyNumberFormat="1" applyFont="1"/>
    <xf numFmtId="0" fontId="4" fillId="0" borderId="0" xfId="0" applyFont="1" applyAlignment="1">
      <alignment horizontal="right"/>
    </xf>
    <xf numFmtId="0" fontId="1" fillId="4" borderId="1" xfId="0" applyFont="1" applyFill="1" applyBorder="1" applyAlignment="1">
      <alignment horizontal="right"/>
    </xf>
    <xf numFmtId="0" fontId="1" fillId="4" borderId="1" xfId="0" applyFont="1" applyFill="1" applyBorder="1" applyAlignment="1">
      <alignment horizontal="center"/>
    </xf>
    <xf numFmtId="0" fontId="4" fillId="4" borderId="1" xfId="0" applyFont="1" applyFill="1" applyBorder="1" applyAlignment="1">
      <alignment horizontal="right"/>
    </xf>
    <xf numFmtId="0" fontId="4" fillId="4" borderId="1" xfId="0" applyFont="1" applyFill="1" applyBorder="1" applyAlignment="1">
      <alignment horizontal="center"/>
    </xf>
    <xf numFmtId="1" fontId="4" fillId="4" borderId="1" xfId="0" applyNumberFormat="1" applyFont="1" applyFill="1" applyBorder="1" applyAlignment="1">
      <alignment horizontal="center"/>
    </xf>
    <xf numFmtId="0" fontId="1" fillId="6" borderId="1" xfId="0" applyFont="1" applyFill="1" applyBorder="1" applyAlignment="1">
      <alignment horizontal="right"/>
    </xf>
    <xf numFmtId="1" fontId="1" fillId="6" borderId="1" xfId="0" applyNumberFormat="1" applyFont="1" applyFill="1" applyBorder="1" applyAlignment="1">
      <alignment horizontal="right"/>
    </xf>
    <xf numFmtId="0" fontId="4" fillId="6" borderId="1" xfId="0" applyFont="1" applyFill="1" applyBorder="1"/>
    <xf numFmtId="1" fontId="4" fillId="6" borderId="1" xfId="0" applyNumberFormat="1" applyFont="1" applyFill="1" applyBorder="1"/>
    <xf numFmtId="0" fontId="4" fillId="0" borderId="1" xfId="0" applyFont="1" applyBorder="1" applyAlignment="1">
      <alignment horizontal="right"/>
    </xf>
    <xf numFmtId="1" fontId="4" fillId="0" borderId="1" xfId="0" applyNumberFormat="1" applyFont="1" applyBorder="1" applyAlignment="1">
      <alignment horizontal="right"/>
    </xf>
    <xf numFmtId="0" fontId="4" fillId="0" borderId="1" xfId="0" applyFont="1" applyBorder="1"/>
    <xf numFmtId="0" fontId="1" fillId="0" borderId="1" xfId="0" applyFont="1" applyBorder="1" applyAlignment="1">
      <alignment horizontal="right"/>
    </xf>
    <xf numFmtId="0" fontId="4" fillId="6" borderId="1" xfId="0" applyFont="1" applyFill="1" applyBorder="1" applyAlignment="1">
      <alignment horizontal="right"/>
    </xf>
    <xf numFmtId="1" fontId="4" fillId="0" borderId="1" xfId="0" applyNumberFormat="1" applyFont="1" applyBorder="1"/>
    <xf numFmtId="0" fontId="4" fillId="4" borderId="1" xfId="0" applyFont="1" applyFill="1" applyBorder="1"/>
    <xf numFmtId="0" fontId="4" fillId="4" borderId="0" xfId="0" applyFont="1" applyFill="1"/>
    <xf numFmtId="0" fontId="4" fillId="0" borderId="0" xfId="0" applyFont="1" applyAlignment="1">
      <alignment horizontal="center"/>
    </xf>
    <xf numFmtId="0" fontId="4" fillId="0" borderId="1" xfId="0" applyFont="1" applyBorder="1" applyAlignment="1">
      <alignment horizontal="center"/>
    </xf>
    <xf numFmtId="0" fontId="4" fillId="6" borderId="8" xfId="0" applyFont="1" applyFill="1" applyBorder="1"/>
    <xf numFmtId="0" fontId="4" fillId="6" borderId="1" xfId="0" applyFont="1" applyFill="1" applyBorder="1" applyAlignment="1">
      <alignment horizontal="center"/>
    </xf>
    <xf numFmtId="0" fontId="4" fillId="6" borderId="7" xfId="0" applyFont="1" applyFill="1" applyBorder="1" applyAlignment="1">
      <alignment horizontal="center"/>
    </xf>
    <xf numFmtId="165" fontId="4" fillId="0" borderId="8" xfId="0" applyNumberFormat="1" applyFont="1" applyBorder="1" applyAlignment="1">
      <alignment horizontal="right"/>
    </xf>
    <xf numFmtId="0" fontId="4" fillId="0" borderId="7" xfId="0" applyFont="1" applyBorder="1" applyAlignment="1">
      <alignment horizontal="right"/>
    </xf>
    <xf numFmtId="0" fontId="4" fillId="0" borderId="8" xfId="0" applyFont="1" applyBorder="1" applyAlignment="1">
      <alignment horizontal="right"/>
    </xf>
    <xf numFmtId="165" fontId="4" fillId="0" borderId="1" xfId="0" applyNumberFormat="1" applyFont="1" applyBorder="1"/>
    <xf numFmtId="0" fontId="4" fillId="10" borderId="1" xfId="0" applyFont="1" applyFill="1" applyBorder="1" applyAlignment="1">
      <alignment horizontal="right"/>
    </xf>
    <xf numFmtId="0" fontId="4" fillId="0" borderId="7" xfId="0" applyFont="1" applyBorder="1"/>
    <xf numFmtId="165" fontId="4" fillId="0" borderId="8" xfId="0" applyNumberFormat="1" applyFont="1" applyBorder="1"/>
    <xf numFmtId="0" fontId="4" fillId="0" borderId="8" xfId="0" applyFont="1" applyBorder="1"/>
    <xf numFmtId="0" fontId="1" fillId="10" borderId="1" xfId="0" applyFont="1" applyFill="1" applyBorder="1"/>
    <xf numFmtId="0" fontId="4" fillId="0" borderId="9" xfId="0" applyFont="1" applyBorder="1"/>
    <xf numFmtId="0" fontId="4" fillId="0" borderId="10" xfId="0" applyFont="1" applyBorder="1"/>
    <xf numFmtId="165" fontId="4" fillId="0" borderId="0" xfId="0" applyNumberFormat="1" applyFont="1"/>
    <xf numFmtId="1" fontId="1" fillId="9" borderId="1" xfId="0" applyNumberFormat="1" applyFont="1" applyFill="1" applyBorder="1" applyAlignment="1">
      <alignment horizontal="right"/>
    </xf>
    <xf numFmtId="1" fontId="4" fillId="11" borderId="1" xfId="0" applyNumberFormat="1" applyFont="1" applyFill="1" applyBorder="1" applyAlignment="1">
      <alignment horizontal="right"/>
    </xf>
    <xf numFmtId="1" fontId="4" fillId="9" borderId="1" xfId="0" applyNumberFormat="1" applyFont="1" applyFill="1" applyBorder="1"/>
    <xf numFmtId="1" fontId="1" fillId="0" borderId="1" xfId="0" applyNumberFormat="1" applyFont="1" applyBorder="1"/>
    <xf numFmtId="1" fontId="4" fillId="9" borderId="8" xfId="0" applyNumberFormat="1" applyFont="1" applyFill="1" applyBorder="1"/>
    <xf numFmtId="1" fontId="1" fillId="2" borderId="1" xfId="0" applyNumberFormat="1" applyFont="1" applyFill="1" applyBorder="1" applyAlignment="1">
      <alignment horizontal="right" vertical="center"/>
    </xf>
    <xf numFmtId="1" fontId="4" fillId="12" borderId="1" xfId="0" applyNumberFormat="1" applyFont="1" applyFill="1" applyBorder="1" applyAlignment="1">
      <alignment horizontal="right"/>
    </xf>
    <xf numFmtId="1" fontId="1" fillId="12" borderId="1" xfId="0" applyNumberFormat="1" applyFont="1" applyFill="1" applyBorder="1" applyAlignment="1">
      <alignment horizontal="right" vertical="center"/>
    </xf>
    <xf numFmtId="166" fontId="1" fillId="4" borderId="9" xfId="0" applyNumberFormat="1" applyFont="1" applyFill="1" applyBorder="1"/>
    <xf numFmtId="0" fontId="1" fillId="4" borderId="0" xfId="0" applyFont="1" applyFill="1"/>
    <xf numFmtId="1" fontId="1" fillId="0" borderId="11" xfId="0" applyNumberFormat="1" applyFont="1" applyBorder="1"/>
    <xf numFmtId="1" fontId="1" fillId="4" borderId="1" xfId="0" applyNumberFormat="1" applyFont="1" applyFill="1" applyBorder="1" applyAlignment="1">
      <alignment horizontal="right"/>
    </xf>
    <xf numFmtId="2" fontId="1" fillId="0" borderId="1" xfId="0" applyNumberFormat="1" applyFont="1" applyBorder="1"/>
    <xf numFmtId="1" fontId="1" fillId="0" borderId="8" xfId="0" applyNumberFormat="1" applyFont="1" applyBorder="1"/>
    <xf numFmtId="1" fontId="1" fillId="10" borderId="1" xfId="0" applyNumberFormat="1" applyFont="1" applyFill="1" applyBorder="1"/>
    <xf numFmtId="1" fontId="1" fillId="10" borderId="1" xfId="0" applyNumberFormat="1" applyFont="1" applyFill="1" applyBorder="1" applyAlignment="1">
      <alignment horizontal="right"/>
    </xf>
    <xf numFmtId="2" fontId="1" fillId="10" borderId="1" xfId="0" applyNumberFormat="1" applyFont="1" applyFill="1" applyBorder="1"/>
    <xf numFmtId="0" fontId="1" fillId="10" borderId="0" xfId="0" applyFont="1" applyFill="1"/>
    <xf numFmtId="9" fontId="1" fillId="0" borderId="0" xfId="0" applyNumberFormat="1" applyFont="1"/>
    <xf numFmtId="0" fontId="1" fillId="7" borderId="0" xfId="0" applyFont="1" applyFill="1"/>
    <xf numFmtId="1" fontId="1" fillId="6" borderId="1" xfId="0" applyNumberFormat="1" applyFont="1" applyFill="1" applyBorder="1"/>
    <xf numFmtId="2" fontId="1" fillId="6" borderId="1" xfId="0" applyNumberFormat="1" applyFont="1" applyFill="1" applyBorder="1"/>
    <xf numFmtId="1" fontId="1" fillId="7" borderId="3" xfId="0" applyNumberFormat="1" applyFont="1" applyFill="1" applyBorder="1"/>
    <xf numFmtId="1" fontId="1" fillId="7" borderId="4" xfId="0" applyNumberFormat="1" applyFont="1" applyFill="1" applyBorder="1"/>
    <xf numFmtId="1" fontId="1" fillId="7" borderId="1" xfId="0" applyNumberFormat="1" applyFont="1" applyFill="1" applyBorder="1"/>
    <xf numFmtId="1" fontId="1" fillId="0" borderId="8" xfId="0" applyNumberFormat="1" applyFont="1" applyBorder="1" applyAlignment="1">
      <alignment horizontal="right"/>
    </xf>
    <xf numFmtId="1" fontId="4" fillId="0" borderId="8" xfId="0" applyNumberFormat="1" applyFont="1" applyBorder="1" applyAlignment="1">
      <alignment horizontal="right"/>
    </xf>
    <xf numFmtId="0" fontId="1" fillId="13" borderId="1" xfId="0" applyFont="1" applyFill="1" applyBorder="1"/>
    <xf numFmtId="1" fontId="1" fillId="9" borderId="1" xfId="0" applyNumberFormat="1" applyFont="1" applyFill="1" applyBorder="1"/>
    <xf numFmtId="166" fontId="1" fillId="4" borderId="1" xfId="0" applyNumberFormat="1" applyFont="1" applyFill="1" applyBorder="1"/>
    <xf numFmtId="0" fontId="1" fillId="0" borderId="8" xfId="0" applyFont="1" applyBorder="1"/>
    <xf numFmtId="0" fontId="1" fillId="2" borderId="1" xfId="0" applyFont="1" applyFill="1" applyBorder="1"/>
    <xf numFmtId="0" fontId="1" fillId="7" borderId="1" xfId="0" applyFont="1" applyFill="1" applyBorder="1" applyAlignment="1">
      <alignment horizontal="right"/>
    </xf>
    <xf numFmtId="0" fontId="5" fillId="0" borderId="0" xfId="0" applyFont="1" applyAlignment="1">
      <alignment horizontal="left"/>
    </xf>
    <xf numFmtId="0" fontId="6" fillId="0" borderId="0" xfId="0" applyFont="1" applyAlignment="1">
      <alignment horizontal="center"/>
    </xf>
    <xf numFmtId="0" fontId="1" fillId="14" borderId="1" xfId="0" applyFont="1" applyFill="1" applyBorder="1"/>
    <xf numFmtId="0" fontId="0" fillId="0" borderId="0" xfId="0" pivotButton="1"/>
    <xf numFmtId="0" fontId="0" fillId="0" borderId="0" xfId="0" applyAlignment="1">
      <alignment horizontal="left"/>
    </xf>
    <xf numFmtId="1" fontId="1" fillId="0" borderId="0" xfId="0" applyNumberFormat="1" applyFont="1" applyAlignment="1">
      <alignment horizontal="center" vertical="center"/>
    </xf>
    <xf numFmtId="0" fontId="1" fillId="3" borderId="2" xfId="0" applyFont="1" applyFill="1" applyBorder="1"/>
    <xf numFmtId="0" fontId="2" fillId="0" borderId="3" xfId="0" applyFont="1" applyBorder="1"/>
    <xf numFmtId="0" fontId="3" fillId="9" borderId="2" xfId="0" applyFont="1" applyFill="1" applyBorder="1" applyAlignment="1">
      <alignment horizontal="left"/>
    </xf>
    <xf numFmtId="0" fontId="4" fillId="3" borderId="2" xfId="0" applyFont="1" applyFill="1" applyBorder="1" applyAlignment="1">
      <alignment horizontal="center"/>
    </xf>
    <xf numFmtId="0" fontId="2" fillId="0" borderId="4" xfId="0" applyFont="1" applyBorder="1"/>
    <xf numFmtId="0" fontId="1" fillId="3" borderId="2" xfId="0" applyFont="1" applyFill="1" applyBorder="1" applyAlignment="1">
      <alignment horizontal="center"/>
    </xf>
    <xf numFmtId="0" fontId="4" fillId="0" borderId="5" xfId="0" applyFont="1" applyBorder="1" applyAlignment="1">
      <alignment horizontal="center"/>
    </xf>
    <xf numFmtId="0" fontId="2" fillId="0" borderId="6" xfId="0" applyFont="1" applyBorder="1"/>
    <xf numFmtId="0" fontId="2" fillId="0" borderId="7" xfId="0" applyFont="1" applyBorder="1"/>
    <xf numFmtId="1" fontId="1" fillId="6" borderId="2" xfId="0" applyNumberFormat="1" applyFont="1" applyFill="1" applyBorder="1" applyAlignment="1">
      <alignment horizontal="center"/>
    </xf>
    <xf numFmtId="0" fontId="1" fillId="13" borderId="0" xfId="0" applyFont="1" applyFill="1" applyAlignment="1">
      <alignment horizontal="center"/>
    </xf>
    <xf numFmtId="0" fontId="0" fillId="0" borderId="0" xfId="0"/>
    <xf numFmtId="0" fontId="6" fillId="0" borderId="0" xfId="0" applyFont="1" applyAlignment="1">
      <alignment horizontal="center"/>
    </xf>
    <xf numFmtId="0" fontId="1" fillId="7" borderId="2" xfId="0" applyFont="1" applyFill="1" applyBorder="1" applyAlignment="1">
      <alignment horizontal="center"/>
    </xf>
    <xf numFmtId="0" fontId="8" fillId="0" borderId="0" xfId="0" applyFont="1"/>
    <xf numFmtId="0" fontId="0" fillId="0" borderId="0" xfId="0" applyNumberFormat="1"/>
  </cellXfs>
  <cellStyles count="1">
    <cellStyle name="Normal" xfId="0" builtinId="0"/>
  </cellStyles>
  <dxfs count="183">
    <dxf>
      <font>
        <strike val="0"/>
        <outline val="0"/>
        <shadow val="0"/>
        <u val="none"/>
        <vertAlign val="baseline"/>
        <sz val="18"/>
        <color rgb="FF000000"/>
        <name val="Calibri"/>
        <family val="2"/>
        <scheme val="minor"/>
      </font>
    </dxf>
    <dxf>
      <font>
        <strike val="0"/>
        <outline val="0"/>
        <shadow val="0"/>
        <u val="none"/>
        <vertAlign val="baseline"/>
        <sz val="18"/>
        <color rgb="FF000000"/>
        <name val="Calibri"/>
        <family val="2"/>
        <scheme val="minor"/>
      </font>
    </dxf>
    <dxf>
      <font>
        <strike val="0"/>
        <outline val="0"/>
        <shadow val="0"/>
        <u val="none"/>
        <vertAlign val="baseline"/>
        <sz val="18"/>
        <color rgb="FF000000"/>
        <name val="Calibri"/>
        <family val="2"/>
        <scheme val="minor"/>
      </font>
      <numFmt numFmtId="0" formatCode="General"/>
    </dxf>
    <dxf>
      <font>
        <strike val="0"/>
        <outline val="0"/>
        <shadow val="0"/>
        <u val="none"/>
        <vertAlign val="baseline"/>
        <sz val="18"/>
        <color rgb="FF000000"/>
        <name val="Calibri"/>
        <family val="2"/>
        <scheme val="minor"/>
      </font>
      <numFmt numFmtId="0" formatCode="Genera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65" formatCode="d&quot;-&quot;mmm&quot;-&quot;yyyy"/>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fill>
        <patternFill patternType="solid">
          <fgColor rgb="FFFFFF00"/>
          <bgColor rgb="FFFFFF00"/>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[JF_2025_Monthly_Expenses.xlsx]Total Sales IN&amp;OUT!PivotTable1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5.1185749150064921E-2"/>
          <c:y val="2.7888218749039285E-2"/>
          <c:w val="0.83840966299503417"/>
          <c:h val="0.93187651636307511"/>
        </c:manualLayout>
      </c:layout>
      <c:barChart>
        <c:barDir val="col"/>
        <c:grouping val="clustered"/>
        <c:varyColors val="0"/>
        <c:ser>
          <c:idx val="0"/>
          <c:order val="0"/>
          <c:tx>
            <c:strRef>
              <c:f>'Total Sales IN&amp;OUT'!$B$3</c:f>
              <c:strCache>
                <c:ptCount val="1"/>
                <c:pt idx="0">
                  <c:v>Sum of Total Out</c:v>
                </c:pt>
              </c:strCache>
            </c:strRef>
          </c:tx>
          <c:spPr>
            <a:solidFill>
              <a:schemeClr val="accent1"/>
            </a:solidFill>
            <a:ln>
              <a:noFill/>
            </a:ln>
            <a:effectLst/>
          </c:spPr>
          <c:invertIfNegative val="0"/>
          <c:dLbls>
            <c:dLbl>
              <c:idx val="0"/>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C1BE-9E4D-9519-E69E087805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IN&amp;OUT'!$A$4:$A$16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IN&amp;OUT'!$B$4:$B$16</c:f>
              <c:numCache>
                <c:formatCode>General</c:formatCode>
                <c:ptCount val="12"/>
                <c:pt idx="0">
                  <c:v>446078.99999999977</c:v>
                </c:pt>
                <c:pt idx="1">
                  <c:v>332508.00000000012</c:v>
                </c:pt>
                <c:pt idx="2">
                  <c:v>360442.99999999988</c:v>
                </c:pt>
                <c:pt idx="3">
                  <c:v>375007.99999999983</c:v>
                </c:pt>
                <c:pt idx="4">
                  <c:v>423435.00000000029</c:v>
                </c:pt>
                <c:pt idx="5">
                  <c:v>318770.99999999994</c:v>
                </c:pt>
                <c:pt idx="6">
                  <c:v>418397.99999999983</c:v>
                </c:pt>
                <c:pt idx="7">
                  <c:v>532619.00000000035</c:v>
                </c:pt>
                <c:pt idx="8">
                  <c:v>352770</c:v>
                </c:pt>
                <c:pt idx="9">
                  <c:v>363746.99999999988</c:v>
                </c:pt>
                <c:pt idx="10">
                  <c:v>241059.99999999994</c:v>
                </c:pt>
                <c:pt idx="11">
                  <c:v>301689.00000000006</c:v>
                </c:pt>
              </c:numCache>
            </c:numRef>
          </c:val>
          <c:extLst>
            <c:ext xmlns:c16="http://schemas.microsoft.com/office/drawing/2014/chart" uri="{C3380CC4-5D6E-409C-BE32-E72D297353CC}">
              <c16:uniqueId val="{00000003-605A-804B-A18E-48D611177E39}"/>
            </c:ext>
          </c:extLst>
        </c:ser>
        <c:ser>
          <c:idx val="1"/>
          <c:order val="1"/>
          <c:tx>
            <c:strRef>
              <c:f>'Total Sales IN&amp;OUT'!$C$3</c:f>
              <c:strCache>
                <c:ptCount val="1"/>
                <c:pt idx="0">
                  <c:v>Sum of Total 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IN&amp;OUT'!$A$4:$A$16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IN&amp;OUT'!$C$4:$C$16</c:f>
              <c:numCache>
                <c:formatCode>General</c:formatCode>
                <c:ptCount val="12"/>
                <c:pt idx="0">
                  <c:v>412373</c:v>
                </c:pt>
                <c:pt idx="1">
                  <c:v>236379</c:v>
                </c:pt>
                <c:pt idx="2">
                  <c:v>318990</c:v>
                </c:pt>
                <c:pt idx="3">
                  <c:v>381785</c:v>
                </c:pt>
                <c:pt idx="4">
                  <c:v>428246</c:v>
                </c:pt>
                <c:pt idx="5">
                  <c:v>321615</c:v>
                </c:pt>
                <c:pt idx="6">
                  <c:v>414018</c:v>
                </c:pt>
                <c:pt idx="7">
                  <c:v>485693</c:v>
                </c:pt>
                <c:pt idx="8">
                  <c:v>277023</c:v>
                </c:pt>
                <c:pt idx="9">
                  <c:v>382945</c:v>
                </c:pt>
                <c:pt idx="10">
                  <c:v>219514</c:v>
                </c:pt>
                <c:pt idx="11">
                  <c:v>256450</c:v>
                </c:pt>
              </c:numCache>
            </c:numRef>
          </c:val>
          <c:extLst>
            <c:ext xmlns:c16="http://schemas.microsoft.com/office/drawing/2014/chart" uri="{C3380CC4-5D6E-409C-BE32-E72D297353CC}">
              <c16:uniqueId val="{00000005-605A-804B-A18E-48D611177E39}"/>
            </c:ext>
          </c:extLst>
        </c:ser>
        <c:dLbls>
          <c:dLblPos val="inEnd"/>
          <c:showLegendKey val="0"/>
          <c:showVal val="1"/>
          <c:showCatName val="0"/>
          <c:showSerName val="0"/>
          <c:showPercent val="0"/>
          <c:showBubbleSize val="0"/>
        </c:dLbls>
        <c:gapWidth val="219"/>
        <c:overlap val="-27"/>
        <c:axId val="1739282112"/>
        <c:axId val="1739283904"/>
      </c:barChart>
      <c:catAx>
        <c:axId val="17392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283904"/>
        <c:crosses val="autoZero"/>
        <c:auto val="1"/>
        <c:lblAlgn val="ctr"/>
        <c:lblOffset val="100"/>
        <c:noMultiLvlLbl val="0"/>
      </c:catAx>
      <c:valAx>
        <c:axId val="173928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282112"/>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Summary!$C$15:$N$15</c:f>
              <c:numCache>
                <c:formatCode>0</c:formatCode>
                <c:ptCount val="12"/>
                <c:pt idx="0">
                  <c:v>412373</c:v>
                </c:pt>
                <c:pt idx="1">
                  <c:v>236379</c:v>
                </c:pt>
                <c:pt idx="2">
                  <c:v>318990</c:v>
                </c:pt>
                <c:pt idx="3">
                  <c:v>381785</c:v>
                </c:pt>
                <c:pt idx="4">
                  <c:v>428246</c:v>
                </c:pt>
                <c:pt idx="5">
                  <c:v>321615</c:v>
                </c:pt>
                <c:pt idx="6">
                  <c:v>414018</c:v>
                </c:pt>
                <c:pt idx="7">
                  <c:v>485693</c:v>
                </c:pt>
                <c:pt idx="8">
                  <c:v>277023</c:v>
                </c:pt>
                <c:pt idx="9">
                  <c:v>382945</c:v>
                </c:pt>
                <c:pt idx="10">
                  <c:v>219514</c:v>
                </c:pt>
                <c:pt idx="11">
                  <c:v>256450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B7-6E48-A531-29C69CA3437D}"/>
            </c:ext>
          </c:extLst>
        </c:ser>
        <c:ser>
          <c:idx val="1"/>
          <c:order val="1"/>
          <c:spPr>
            <a:solidFill>
              <a:srgbClr val="EA4335"/>
            </a:solidFill>
            <a:ln cmpd="sng">
              <a:solidFill>
                <a:srgbClr val="000000"/>
              </a:solidFill>
            </a:ln>
          </c:spPr>
          <c:invertIfNegative val="1"/>
          <c:val>
            <c:numRef>
              <c:f>Summary!$C$16:$N$16</c:f>
              <c:numCache>
                <c:formatCode>0</c:formatCode>
                <c:ptCount val="12"/>
                <c:pt idx="0">
                  <c:v>446078.99999999977</c:v>
                </c:pt>
                <c:pt idx="1">
                  <c:v>332508.00000000012</c:v>
                </c:pt>
                <c:pt idx="2">
                  <c:v>360442.99999999988</c:v>
                </c:pt>
                <c:pt idx="3">
                  <c:v>375007.99999999983</c:v>
                </c:pt>
                <c:pt idx="4">
                  <c:v>423435.00000000029</c:v>
                </c:pt>
                <c:pt idx="5">
                  <c:v>318770.99999999994</c:v>
                </c:pt>
                <c:pt idx="6">
                  <c:v>418397.99999999983</c:v>
                </c:pt>
                <c:pt idx="7">
                  <c:v>532619.00000000035</c:v>
                </c:pt>
                <c:pt idx="8">
                  <c:v>352770</c:v>
                </c:pt>
                <c:pt idx="9">
                  <c:v>363746.99999999988</c:v>
                </c:pt>
                <c:pt idx="10">
                  <c:v>241059.99999999994</c:v>
                </c:pt>
                <c:pt idx="11">
                  <c:v>301689.00000000006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B7-6E48-A531-29C69CA3437D}"/>
            </c:ext>
          </c:extLst>
        </c:ser>
        <c:dLbls>
          <c:showLegendKey val="0"/>
          <c:showVal val="0"/>
          <c:showCatName val="0"/>
          <c:showSerName val="0"/>
          <c:showPercent val="0"/>
          <c:showBubbleSize val="0"/>
        </c:dLbls>
        <c:gapWidth val="150"/>
        <c:axId val="1278753258"/>
        <c:axId val="442743890"/>
      </c:barChart>
      <c:catAx>
        <c:axId val="127875325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42743890"/>
        <c:crosses val="autoZero"/>
        <c:auto val="1"/>
        <c:lblAlgn val="ctr"/>
        <c:lblOffset val="100"/>
        <c:noMultiLvlLbl val="1"/>
      </c:catAx>
      <c:valAx>
        <c:axId val="4427438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27875325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Analytics!$H$26:$H$32</c:f>
              <c:numCache>
                <c:formatCode>0</c:formatCode>
                <c:ptCount val="7"/>
                <c:pt idx="0">
                  <c:v>7384</c:v>
                </c:pt>
                <c:pt idx="1">
                  <c:v>7361.25</c:v>
                </c:pt>
                <c:pt idx="2">
                  <c:v>8136.25</c:v>
                </c:pt>
                <c:pt idx="3">
                  <c:v>8155</c:v>
                </c:pt>
                <c:pt idx="4">
                  <c:v>10901.25</c:v>
                </c:pt>
                <c:pt idx="5">
                  <c:v>11493.4</c:v>
                </c:pt>
                <c:pt idx="6">
                  <c:v>12762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FB4-084C-8EF4-91F8261F05FA}"/>
            </c:ext>
          </c:extLst>
        </c:ser>
        <c:dLbls>
          <c:showLegendKey val="0"/>
          <c:showVal val="0"/>
          <c:showCatName val="0"/>
          <c:showSerName val="0"/>
          <c:showPercent val="0"/>
          <c:showBubbleSize val="0"/>
        </c:dLbls>
        <c:gapWidth val="150"/>
        <c:axId val="1509754512"/>
        <c:axId val="1646660900"/>
      </c:barChart>
      <c:catAx>
        <c:axId val="150975451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46660900"/>
        <c:crosses val="autoZero"/>
        <c:auto val="1"/>
        <c:lblAlgn val="ctr"/>
        <c:lblOffset val="100"/>
        <c:noMultiLvlLbl val="1"/>
      </c:catAx>
      <c:valAx>
        <c:axId val="16466609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509754512"/>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Analytics!$H$37:$H$43</c:f>
              <c:numCache>
                <c:formatCode>0</c:formatCode>
                <c:ptCount val="7"/>
                <c:pt idx="0">
                  <c:v>9168.75</c:v>
                </c:pt>
                <c:pt idx="1">
                  <c:v>13905</c:v>
                </c:pt>
                <c:pt idx="2">
                  <c:v>10616</c:v>
                </c:pt>
                <c:pt idx="3">
                  <c:v>9536.75</c:v>
                </c:pt>
                <c:pt idx="4">
                  <c:v>15529.25</c:v>
                </c:pt>
                <c:pt idx="5">
                  <c:v>13501.25</c:v>
                </c:pt>
                <c:pt idx="6">
                  <c:v>10090.75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FAD-6542-8EB3-DFE7DBDBDCF7}"/>
            </c:ext>
          </c:extLst>
        </c:ser>
        <c:dLbls>
          <c:showLegendKey val="0"/>
          <c:showVal val="0"/>
          <c:showCatName val="0"/>
          <c:showSerName val="0"/>
          <c:showPercent val="0"/>
          <c:showBubbleSize val="0"/>
        </c:dLbls>
        <c:gapWidth val="150"/>
        <c:axId val="711590420"/>
        <c:axId val="148492472"/>
      </c:barChart>
      <c:catAx>
        <c:axId val="71159042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8492472"/>
        <c:crosses val="autoZero"/>
        <c:auto val="1"/>
        <c:lblAlgn val="ctr"/>
        <c:lblOffset val="100"/>
        <c:noMultiLvlLbl val="1"/>
      </c:catAx>
      <c:valAx>
        <c:axId val="148492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711590420"/>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Analytics!$H$48:$H$54</c:f>
              <c:numCache>
                <c:formatCode>0</c:formatCode>
                <c:ptCount val="7"/>
                <c:pt idx="0">
                  <c:v>8075</c:v>
                </c:pt>
                <c:pt idx="1">
                  <c:v>13153.75</c:v>
                </c:pt>
                <c:pt idx="2">
                  <c:v>13313.75</c:v>
                </c:pt>
                <c:pt idx="3">
                  <c:v>11631</c:v>
                </c:pt>
                <c:pt idx="4">
                  <c:v>15212.4</c:v>
                </c:pt>
                <c:pt idx="5">
                  <c:v>12611.4</c:v>
                </c:pt>
                <c:pt idx="6">
                  <c:v>13957.5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F7D-B84B-9348-460E2E510E08}"/>
            </c:ext>
          </c:extLst>
        </c:ser>
        <c:dLbls>
          <c:showLegendKey val="0"/>
          <c:showVal val="0"/>
          <c:showCatName val="0"/>
          <c:showSerName val="0"/>
          <c:showPercent val="0"/>
          <c:showBubbleSize val="0"/>
        </c:dLbls>
        <c:gapWidth val="150"/>
        <c:axId val="219700594"/>
        <c:axId val="16417097"/>
      </c:barChart>
      <c:catAx>
        <c:axId val="21970059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417097"/>
        <c:crosses val="autoZero"/>
        <c:auto val="1"/>
        <c:lblAlgn val="ctr"/>
        <c:lblOffset val="100"/>
        <c:noMultiLvlLbl val="1"/>
      </c:catAx>
      <c:valAx>
        <c:axId val="16417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19700594"/>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Analytics!$H$59:$H$65</c:f>
              <c:numCache>
                <c:formatCode>0</c:formatCode>
                <c:ptCount val="7"/>
                <c:pt idx="0">
                  <c:v>6342</c:v>
                </c:pt>
                <c:pt idx="1">
                  <c:v>10123.75</c:v>
                </c:pt>
                <c:pt idx="2">
                  <c:v>11142.5</c:v>
                </c:pt>
                <c:pt idx="3">
                  <c:v>9147.5</c:v>
                </c:pt>
                <c:pt idx="4">
                  <c:v>11661.25</c:v>
                </c:pt>
                <c:pt idx="5">
                  <c:v>9091.25</c:v>
                </c:pt>
                <c:pt idx="6">
                  <c:v>11999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170-904A-86A7-B6BF72C388EE}"/>
            </c:ext>
          </c:extLst>
        </c:ser>
        <c:dLbls>
          <c:showLegendKey val="0"/>
          <c:showVal val="0"/>
          <c:showCatName val="0"/>
          <c:showSerName val="0"/>
          <c:showPercent val="0"/>
          <c:showBubbleSize val="0"/>
        </c:dLbls>
        <c:gapWidth val="150"/>
        <c:axId val="155025444"/>
        <c:axId val="1623608615"/>
      </c:barChart>
      <c:catAx>
        <c:axId val="15502544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23608615"/>
        <c:crosses val="autoZero"/>
        <c:auto val="1"/>
        <c:lblAlgn val="ctr"/>
        <c:lblOffset val="100"/>
        <c:noMultiLvlLbl val="1"/>
      </c:catAx>
      <c:valAx>
        <c:axId val="16236086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55025444"/>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Analytics!$H$70:$H$76</c:f>
              <c:numCache>
                <c:formatCode>0</c:formatCode>
                <c:ptCount val="7"/>
                <c:pt idx="0">
                  <c:v>5895</c:v>
                </c:pt>
                <c:pt idx="1">
                  <c:v>7431</c:v>
                </c:pt>
                <c:pt idx="2">
                  <c:v>9078</c:v>
                </c:pt>
                <c:pt idx="3">
                  <c:v>6772.2</c:v>
                </c:pt>
                <c:pt idx="4">
                  <c:v>10031.25</c:v>
                </c:pt>
                <c:pt idx="5">
                  <c:v>11876.25</c:v>
                </c:pt>
                <c:pt idx="6">
                  <c:v>12406.25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D8-5C48-A8F3-9E31822422B8}"/>
            </c:ext>
          </c:extLst>
        </c:ser>
        <c:dLbls>
          <c:showLegendKey val="0"/>
          <c:showVal val="0"/>
          <c:showCatName val="0"/>
          <c:showSerName val="0"/>
          <c:showPercent val="0"/>
          <c:showBubbleSize val="0"/>
        </c:dLbls>
        <c:gapWidth val="150"/>
        <c:axId val="1491904118"/>
        <c:axId val="499904896"/>
      </c:barChart>
      <c:catAx>
        <c:axId val="149190411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99904896"/>
        <c:crosses val="autoZero"/>
        <c:auto val="1"/>
        <c:lblAlgn val="ctr"/>
        <c:lblOffset val="100"/>
        <c:noMultiLvlLbl val="1"/>
      </c:catAx>
      <c:valAx>
        <c:axId val="4999048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491904118"/>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Analytics!$H$81:$H$87</c:f>
              <c:numCache>
                <c:formatCode>0</c:formatCode>
                <c:ptCount val="7"/>
                <c:pt idx="0">
                  <c:v>7815</c:v>
                </c:pt>
                <c:pt idx="1">
                  <c:v>7463.75</c:v>
                </c:pt>
                <c:pt idx="2">
                  <c:v>5407.5</c:v>
                </c:pt>
                <c:pt idx="3">
                  <c:v>6098.75</c:v>
                </c:pt>
                <c:pt idx="4">
                  <c:v>9091.7999999999993</c:v>
                </c:pt>
                <c:pt idx="5">
                  <c:v>9389</c:v>
                </c:pt>
                <c:pt idx="6">
                  <c:v>15177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69-F041-9406-9B22CBC50DE7}"/>
            </c:ext>
          </c:extLst>
        </c:ser>
        <c:dLbls>
          <c:showLegendKey val="0"/>
          <c:showVal val="0"/>
          <c:showCatName val="0"/>
          <c:showSerName val="0"/>
          <c:showPercent val="0"/>
          <c:showBubbleSize val="0"/>
        </c:dLbls>
        <c:gapWidth val="150"/>
        <c:axId val="144157627"/>
        <c:axId val="1992276816"/>
      </c:barChart>
      <c:catAx>
        <c:axId val="14415762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92276816"/>
        <c:crosses val="autoZero"/>
        <c:auto val="1"/>
        <c:lblAlgn val="ctr"/>
        <c:lblOffset val="100"/>
        <c:noMultiLvlLbl val="1"/>
      </c:catAx>
      <c:valAx>
        <c:axId val="19922768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44157627"/>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Analytics!$H$92:$H$98</c:f>
              <c:numCache>
                <c:formatCode>0</c:formatCode>
                <c:ptCount val="7"/>
                <c:pt idx="0">
                  <c:v>5363</c:v>
                </c:pt>
                <c:pt idx="1">
                  <c:v>10117</c:v>
                </c:pt>
                <c:pt idx="2">
                  <c:v>7455</c:v>
                </c:pt>
                <c:pt idx="3">
                  <c:v>4326.25</c:v>
                </c:pt>
                <c:pt idx="4">
                  <c:v>7402.5</c:v>
                </c:pt>
                <c:pt idx="5">
                  <c:v>7907.5</c:v>
                </c:pt>
                <c:pt idx="6">
                  <c:v>10468.75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7E7-5A44-B489-9FFB3B2C1B16}"/>
            </c:ext>
          </c:extLst>
        </c:ser>
        <c:dLbls>
          <c:showLegendKey val="0"/>
          <c:showVal val="0"/>
          <c:showCatName val="0"/>
          <c:showSerName val="0"/>
          <c:showPercent val="0"/>
          <c:showBubbleSize val="0"/>
        </c:dLbls>
        <c:gapWidth val="150"/>
        <c:axId val="1276112595"/>
        <c:axId val="1223719891"/>
      </c:barChart>
      <c:catAx>
        <c:axId val="127611259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23719891"/>
        <c:crosses val="autoZero"/>
        <c:auto val="1"/>
        <c:lblAlgn val="ctr"/>
        <c:lblOffset val="100"/>
        <c:noMultiLvlLbl val="1"/>
      </c:catAx>
      <c:valAx>
        <c:axId val="12237198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276112595"/>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Analytics!$H$103:$H$109</c:f>
              <c:numCache>
                <c:formatCode>0</c:formatCode>
                <c:ptCount val="7"/>
                <c:pt idx="0">
                  <c:v>3622.5</c:v>
                </c:pt>
                <c:pt idx="1">
                  <c:v>6583.75</c:v>
                </c:pt>
                <c:pt idx="2">
                  <c:v>8468</c:v>
                </c:pt>
                <c:pt idx="3">
                  <c:v>17806</c:v>
                </c:pt>
                <c:pt idx="4">
                  <c:v>13335</c:v>
                </c:pt>
                <c:pt idx="5">
                  <c:v>10065</c:v>
                </c:pt>
                <c:pt idx="6">
                  <c:v>14430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AB-8842-BC57-118F59BDA845}"/>
            </c:ext>
          </c:extLst>
        </c:ser>
        <c:dLbls>
          <c:showLegendKey val="0"/>
          <c:showVal val="0"/>
          <c:showCatName val="0"/>
          <c:showSerName val="0"/>
          <c:showPercent val="0"/>
          <c:showBubbleSize val="0"/>
        </c:dLbls>
        <c:gapWidth val="150"/>
        <c:axId val="1791283783"/>
        <c:axId val="828527948"/>
      </c:barChart>
      <c:catAx>
        <c:axId val="179128378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28527948"/>
        <c:crosses val="autoZero"/>
        <c:auto val="1"/>
        <c:lblAlgn val="ctr"/>
        <c:lblOffset val="100"/>
        <c:noMultiLvlLbl val="1"/>
      </c:catAx>
      <c:valAx>
        <c:axId val="828527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791283783"/>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Analytics!$H$114:$H$120</c:f>
              <c:numCache>
                <c:formatCode>0</c:formatCode>
                <c:ptCount val="7"/>
                <c:pt idx="0">
                  <c:v>5610</c:v>
                </c:pt>
                <c:pt idx="1">
                  <c:v>5425</c:v>
                </c:pt>
                <c:pt idx="2">
                  <c:v>4073</c:v>
                </c:pt>
                <c:pt idx="3">
                  <c:v>5322.5</c:v>
                </c:pt>
                <c:pt idx="4">
                  <c:v>5448.75</c:v>
                </c:pt>
                <c:pt idx="5">
                  <c:v>4466</c:v>
                </c:pt>
                <c:pt idx="6">
                  <c:v>10015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C2-6540-8FC8-27BE760C34D0}"/>
            </c:ext>
          </c:extLst>
        </c:ser>
        <c:dLbls>
          <c:showLegendKey val="0"/>
          <c:showVal val="0"/>
          <c:showCatName val="0"/>
          <c:showSerName val="0"/>
          <c:showPercent val="0"/>
          <c:showBubbleSize val="0"/>
        </c:dLbls>
        <c:gapWidth val="150"/>
        <c:axId val="1608405439"/>
        <c:axId val="103519107"/>
      </c:barChart>
      <c:catAx>
        <c:axId val="160840543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3519107"/>
        <c:crosses val="autoZero"/>
        <c:auto val="1"/>
        <c:lblAlgn val="ctr"/>
        <c:lblOffset val="100"/>
        <c:noMultiLvlLbl val="1"/>
      </c:catAx>
      <c:valAx>
        <c:axId val="1035191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608405439"/>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Analytics!$H$125:$H$131</c:f>
              <c:numCache>
                <c:formatCode>0</c:formatCode>
                <c:ptCount val="7"/>
                <c:pt idx="0">
                  <c:v>3427</c:v>
                </c:pt>
                <c:pt idx="1">
                  <c:v>4998</c:v>
                </c:pt>
                <c:pt idx="2">
                  <c:v>6697</c:v>
                </c:pt>
                <c:pt idx="3">
                  <c:v>5607.5</c:v>
                </c:pt>
                <c:pt idx="4">
                  <c:v>6111.25</c:v>
                </c:pt>
                <c:pt idx="5">
                  <c:v>7611.25</c:v>
                </c:pt>
                <c:pt idx="6">
                  <c:v>12481.25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19-0B4A-A65F-B0CC6A8F73AF}"/>
            </c:ext>
          </c:extLst>
        </c:ser>
        <c:dLbls>
          <c:showLegendKey val="0"/>
          <c:showVal val="0"/>
          <c:showCatName val="0"/>
          <c:showSerName val="0"/>
          <c:showPercent val="0"/>
          <c:showBubbleSize val="0"/>
        </c:dLbls>
        <c:gapWidth val="150"/>
        <c:axId val="653350632"/>
        <c:axId val="277570962"/>
      </c:barChart>
      <c:catAx>
        <c:axId val="65335063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7570962"/>
        <c:crosses val="autoZero"/>
        <c:auto val="1"/>
        <c:lblAlgn val="ctr"/>
        <c:lblOffset val="100"/>
        <c:noMultiLvlLbl val="1"/>
      </c:catAx>
      <c:valAx>
        <c:axId val="2775709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653350632"/>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Analytics!$H$15:$H$21</c:f>
              <c:numCache>
                <c:formatCode>0</c:formatCode>
                <c:ptCount val="7"/>
                <c:pt idx="0">
                  <c:v>6023.75</c:v>
                </c:pt>
                <c:pt idx="1">
                  <c:v>4408.75</c:v>
                </c:pt>
                <c:pt idx="2">
                  <c:v>3467.5</c:v>
                </c:pt>
                <c:pt idx="3">
                  <c:v>6790</c:v>
                </c:pt>
                <c:pt idx="4">
                  <c:v>8066.25</c:v>
                </c:pt>
                <c:pt idx="5">
                  <c:v>8491.25</c:v>
                </c:pt>
                <c:pt idx="6">
                  <c:v>15345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21-1C4E-8820-87C1F7CD749E}"/>
            </c:ext>
          </c:extLst>
        </c:ser>
        <c:dLbls>
          <c:showLegendKey val="0"/>
          <c:showVal val="0"/>
          <c:showCatName val="0"/>
          <c:showSerName val="0"/>
          <c:showPercent val="0"/>
          <c:showBubbleSize val="0"/>
        </c:dLbls>
        <c:gapWidth val="150"/>
        <c:axId val="2116315656"/>
        <c:axId val="460076342"/>
      </c:barChart>
      <c:catAx>
        <c:axId val="211631565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60076342"/>
        <c:crosses val="autoZero"/>
        <c:auto val="1"/>
        <c:lblAlgn val="ctr"/>
        <c:lblOffset val="100"/>
        <c:noMultiLvlLbl val="1"/>
      </c:catAx>
      <c:valAx>
        <c:axId val="4600763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116315656"/>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val>
            <c:numRef>
              <c:f>Analytics!$H$4:$H$10</c:f>
              <c:numCache>
                <c:formatCode>0</c:formatCode>
                <c:ptCount val="7"/>
                <c:pt idx="0">
                  <c:v>11258.333333333334</c:v>
                </c:pt>
                <c:pt idx="1">
                  <c:v>5758.333333333333</c:v>
                </c:pt>
                <c:pt idx="2">
                  <c:v>21162</c:v>
                </c:pt>
                <c:pt idx="3">
                  <c:v>10615</c:v>
                </c:pt>
                <c:pt idx="4">
                  <c:v>10931.75</c:v>
                </c:pt>
                <c:pt idx="5">
                  <c:v>10431</c:v>
                </c:pt>
                <c:pt idx="6">
                  <c:v>18712.5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B72-7B41-8EC1-6F83E5D3584E}"/>
            </c:ext>
          </c:extLst>
        </c:ser>
        <c:dLbls>
          <c:showLegendKey val="0"/>
          <c:showVal val="0"/>
          <c:showCatName val="0"/>
          <c:showSerName val="0"/>
          <c:showPercent val="0"/>
          <c:showBubbleSize val="0"/>
        </c:dLbls>
        <c:gapWidth val="150"/>
        <c:axId val="697071316"/>
        <c:axId val="272016877"/>
      </c:barChart>
      <c:catAx>
        <c:axId val="69707131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2016877"/>
        <c:crosses val="autoZero"/>
        <c:auto val="1"/>
        <c:lblAlgn val="ctr"/>
        <c:lblOffset val="100"/>
        <c:noMultiLvlLbl val="1"/>
      </c:catAx>
      <c:valAx>
        <c:axId val="272016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697071316"/>
        <c:crosses val="autoZero"/>
        <c:crossBetween val="between"/>
      </c:valAx>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1105932</xdr:colOff>
      <xdr:row>10</xdr:row>
      <xdr:rowOff>150076</xdr:rowOff>
    </xdr:from>
    <xdr:to>
      <xdr:col>13</xdr:col>
      <xdr:colOff>41301</xdr:colOff>
      <xdr:row>47</xdr:row>
      <xdr:rowOff>30976</xdr:rowOff>
    </xdr:to>
    <xdr:graphicFrame macro="">
      <xdr:nvGraphicFramePr>
        <xdr:cNvPr id="2" name="Chart 1">
          <a:extLst>
            <a:ext uri="{FF2B5EF4-FFF2-40B4-BE49-F238E27FC236}">
              <a16:creationId xmlns:a16="http://schemas.microsoft.com/office/drawing/2014/main" id="{8F873B40-761A-9E71-A099-34D5B0D5F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392358</xdr:colOff>
      <xdr:row>11</xdr:row>
      <xdr:rowOff>58194</xdr:rowOff>
    </xdr:from>
    <xdr:to>
      <xdr:col>15</xdr:col>
      <xdr:colOff>144553</xdr:colOff>
      <xdr:row>29</xdr:row>
      <xdr:rowOff>82602</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22AA86E9-79A5-219A-DD4C-359D4925B9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116098" y="1989007"/>
              <a:ext cx="1383577" cy="31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122918</xdr:colOff>
      <xdr:row>17</xdr:row>
      <xdr:rowOff>23132</xdr:rowOff>
    </xdr:from>
    <xdr:ext cx="8286750" cy="316230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571500</xdr:colOff>
      <xdr:row>22</xdr:row>
      <xdr:rowOff>190500</xdr:rowOff>
    </xdr:from>
    <xdr:ext cx="4219575" cy="1981200"/>
    <xdr:graphicFrame macro="">
      <xdr:nvGraphicFramePr>
        <xdr:cNvPr id="2" name="Chart 2"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571500</xdr:colOff>
      <xdr:row>33</xdr:row>
      <xdr:rowOff>200025</xdr:rowOff>
    </xdr:from>
    <xdr:ext cx="4219575" cy="1981200"/>
    <xdr:graphicFrame macro="">
      <xdr:nvGraphicFramePr>
        <xdr:cNvPr id="3" name="Chart 3"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571500</xdr:colOff>
      <xdr:row>45</xdr:row>
      <xdr:rowOff>9525</xdr:rowOff>
    </xdr:from>
    <xdr:ext cx="4219575" cy="1981200"/>
    <xdr:graphicFrame macro="">
      <xdr:nvGraphicFramePr>
        <xdr:cNvPr id="4" name="Chart 4"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571500</xdr:colOff>
      <xdr:row>56</xdr:row>
      <xdr:rowOff>19050</xdr:rowOff>
    </xdr:from>
    <xdr:ext cx="4219575" cy="1981200"/>
    <xdr:graphicFrame macro="">
      <xdr:nvGraphicFramePr>
        <xdr:cNvPr id="5" name="Chart 5" titl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571500</xdr:colOff>
      <xdr:row>67</xdr:row>
      <xdr:rowOff>28575</xdr:rowOff>
    </xdr:from>
    <xdr:ext cx="4219575" cy="1981200"/>
    <xdr:graphicFrame macro="">
      <xdr:nvGraphicFramePr>
        <xdr:cNvPr id="6" name="Chart 6" titl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8</xdr:col>
      <xdr:colOff>571500</xdr:colOff>
      <xdr:row>78</xdr:row>
      <xdr:rowOff>0</xdr:rowOff>
    </xdr:from>
    <xdr:ext cx="4219575" cy="1981200"/>
    <xdr:graphicFrame macro="">
      <xdr:nvGraphicFramePr>
        <xdr:cNvPr id="7" name="Chart 7" titl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xdr:col>
      <xdr:colOff>571500</xdr:colOff>
      <xdr:row>89</xdr:row>
      <xdr:rowOff>9525</xdr:rowOff>
    </xdr:from>
    <xdr:ext cx="4219575" cy="1981200"/>
    <xdr:graphicFrame macro="">
      <xdr:nvGraphicFramePr>
        <xdr:cNvPr id="8" name="Chart 8" title="Chart">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571500</xdr:colOff>
      <xdr:row>100</xdr:row>
      <xdr:rowOff>28575</xdr:rowOff>
    </xdr:from>
    <xdr:ext cx="4219575" cy="1981200"/>
    <xdr:graphicFrame macro="">
      <xdr:nvGraphicFramePr>
        <xdr:cNvPr id="9" name="Chart 9" title="Chart">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8</xdr:col>
      <xdr:colOff>571500</xdr:colOff>
      <xdr:row>111</xdr:row>
      <xdr:rowOff>28575</xdr:rowOff>
    </xdr:from>
    <xdr:ext cx="4219575" cy="1981200"/>
    <xdr:graphicFrame macro="">
      <xdr:nvGraphicFramePr>
        <xdr:cNvPr id="10" name="Chart 10" title="Chart">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8</xdr:col>
      <xdr:colOff>571500</xdr:colOff>
      <xdr:row>121</xdr:row>
      <xdr:rowOff>161925</xdr:rowOff>
    </xdr:from>
    <xdr:ext cx="4219575" cy="1981200"/>
    <xdr:graphicFrame macro="">
      <xdr:nvGraphicFramePr>
        <xdr:cNvPr id="11" name="Chart 11" title="Chart">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8</xdr:col>
      <xdr:colOff>571500</xdr:colOff>
      <xdr:row>12</xdr:row>
      <xdr:rowOff>19050</xdr:rowOff>
    </xdr:from>
    <xdr:ext cx="4219575" cy="1981200"/>
    <xdr:graphicFrame macro="">
      <xdr:nvGraphicFramePr>
        <xdr:cNvPr id="12" name="Chart 12" title="Chart">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8</xdr:col>
      <xdr:colOff>571500</xdr:colOff>
      <xdr:row>0</xdr:row>
      <xdr:rowOff>171450</xdr:rowOff>
    </xdr:from>
    <xdr:ext cx="4219575" cy="1981200"/>
    <xdr:graphicFrame macro="">
      <xdr:nvGraphicFramePr>
        <xdr:cNvPr id="13" name="Chart 13" title="Chart">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Hussain Syed" refreshedDate="46132.54734409722" createdVersion="8" refreshedVersion="8" minRefreshableVersion="3" recordCount="12" xr:uid="{B16DF35E-E7BB-A249-ABA0-ABE05E2439C8}">
  <cacheSource type="worksheet">
    <worksheetSource ref="A2:M14" sheet="Sheet1"/>
  </cacheSource>
  <cacheFields count="13">
    <cacheField name="Month" numFmtId="0">
      <sharedItems count="12">
        <s v="January"/>
        <s v="February"/>
        <s v="March"/>
        <s v="April"/>
        <s v="May"/>
        <s v="June"/>
        <s v="July"/>
        <s v="August"/>
        <s v="September"/>
        <s v="October"/>
        <s v="November"/>
        <s v="December"/>
      </sharedItems>
    </cacheField>
    <cacheField name="Monthy Expenses" numFmtId="0">
      <sharedItems containsSemiMixedTypes="0" containsString="0" containsNumber="1" minValue="241059.99999999994" maxValue="532619.00000000035"/>
    </cacheField>
    <cacheField name="Monthly UPI" numFmtId="0">
      <sharedItems containsSemiMixedTypes="0" containsString="0" containsNumber="1" containsInteger="1" minValue="89420" maxValue="202711"/>
    </cacheField>
    <cacheField name="Monthly Cash" numFmtId="0">
      <sharedItems containsSemiMixedTypes="0" containsString="0" containsNumber="1" containsInteger="1" minValue="86502" maxValue="193388"/>
    </cacheField>
    <cacheField name="Monthly Sales" numFmtId="0">
      <sharedItems containsSemiMixedTypes="0" containsString="0" containsNumber="1" containsInteger="1" minValue="175922" maxValue="391274"/>
    </cacheField>
    <cacheField name="Rent, Salaries &amp; others" numFmtId="0">
      <sharedItems containsSemiMixedTypes="0" containsString="0" containsNumber="1" containsInteger="1" minValue="67627" maxValue="105619"/>
    </cacheField>
    <cacheField name="Swiggy" numFmtId="0">
      <sharedItems containsSemiMixedTypes="0" containsString="0" containsNumber="1" containsInteger="1" minValue="12085" maxValue="190054"/>
    </cacheField>
    <cacheField name="Zomato" numFmtId="0">
      <sharedItems containsSemiMixedTypes="0" containsString="0" containsNumber="1" containsInteger="1" minValue="9804" maxValue="25032"/>
    </cacheField>
    <cacheField name="Stock" numFmtId="0">
      <sharedItems containsSemiMixedTypes="0" containsString="0" containsNumber="1" containsInteger="1" minValue="27074" maxValue="127049"/>
    </cacheField>
    <cacheField name="Actual P/L" numFmtId="0">
      <sharedItems containsSemiMixedTypes="0" containsString="0" containsNumber="1" minValue="-96129.000000000102" maxValue="19198.000000000116"/>
    </cacheField>
    <cacheField name="Total In" numFmtId="0">
      <sharedItems containsSemiMixedTypes="0" containsString="0" containsNumber="1" containsInteger="1" minValue="219514" maxValue="485693"/>
    </cacheField>
    <cacheField name="Total Out" numFmtId="0">
      <sharedItems containsSemiMixedTypes="0" containsString="0" containsNumber="1" minValue="241059.99999999994" maxValue="532619.00000000035"/>
    </cacheField>
    <cacheField name="Profit Margin" numFmtId="0">
      <sharedItems containsSemiMixedTypes="0" containsString="0" containsNumber="1" minValue="-0.28910281857880132" maxValue="5.2778442158973468E-2"/>
    </cacheField>
  </cacheFields>
  <extLst>
    <ext xmlns:x14="http://schemas.microsoft.com/office/spreadsheetml/2009/9/main" uri="{725AE2AE-9491-48be-B2B4-4EB974FC3084}">
      <x14:pivotCacheDefinition pivotCacheId="1051871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446078.99999999977"/>
    <n v="202711"/>
    <n v="172325"/>
    <n v="375036"/>
    <n v="88972"/>
    <n v="23670"/>
    <n v="13667"/>
    <n v="95268"/>
    <n v="-33705.999999999767"/>
    <n v="412373"/>
    <n v="446078.99999999977"/>
    <n v="-7.5560606977687322E-2"/>
  </r>
  <r>
    <x v="1"/>
    <n v="332508.00000000012"/>
    <n v="103017"/>
    <n v="107353"/>
    <n v="210370"/>
    <n v="90891"/>
    <n v="13455"/>
    <n v="12554"/>
    <n v="67553"/>
    <n v="-96129.000000000102"/>
    <n v="236379"/>
    <n v="332508.00000000012"/>
    <n v="-0.28910281857880132"/>
  </r>
  <r>
    <x v="2"/>
    <n v="360442.99999999988"/>
    <n v="161780"/>
    <n v="130212"/>
    <n v="291992"/>
    <n v="94022"/>
    <n v="14648"/>
    <n v="12350"/>
    <n v="54083"/>
    <n v="-41452.999999999884"/>
    <n v="318990"/>
    <n v="360442.99999999988"/>
    <n v="-0.11500570131754506"/>
  </r>
  <r>
    <x v="3"/>
    <n v="375007.99999999983"/>
    <n v="179193"/>
    <n v="174719"/>
    <n v="353912"/>
    <n v="90016"/>
    <n v="12085"/>
    <n v="15788"/>
    <n v="70682"/>
    <n v="6777.0000000001746"/>
    <n v="381785"/>
    <n v="375007.99999999983"/>
    <n v="1.8071614472225068E-2"/>
  </r>
  <r>
    <x v="4"/>
    <n v="423435.00000000029"/>
    <n v="198977"/>
    <n v="192297"/>
    <n v="391274"/>
    <n v="98102"/>
    <n v="13612"/>
    <n v="23360"/>
    <n v="95827"/>
    <n v="4810.999999999709"/>
    <n v="428246"/>
    <n v="423435.00000000029"/>
    <n v="1.1361838298675608E-2"/>
  </r>
  <r>
    <x v="5"/>
    <n v="318770.99999999994"/>
    <n v="138259"/>
    <n v="158111"/>
    <n v="296370"/>
    <n v="95741"/>
    <n v="15441"/>
    <n v="9804"/>
    <n v="54328"/>
    <n v="2844.0000000000582"/>
    <n v="321615"/>
    <n v="318770.99999999994"/>
    <n v="8.9217651542959006E-3"/>
  </r>
  <r>
    <x v="6"/>
    <n v="418397.99999999983"/>
    <n v="137405"/>
    <n v="139836"/>
    <n v="277241"/>
    <n v="104969"/>
    <n v="119593"/>
    <n v="17184"/>
    <n v="85485"/>
    <n v="-4379.9999999998254"/>
    <n v="414018"/>
    <n v="418397.99999999983"/>
    <n v="-1.0468501283466524E-2"/>
  </r>
  <r>
    <x v="7"/>
    <n v="532619.00000000035"/>
    <n v="136248"/>
    <n v="139181"/>
    <n v="275429"/>
    <n v="105619"/>
    <n v="190054"/>
    <n v="20210"/>
    <n v="127049"/>
    <n v="-46926.000000000349"/>
    <n v="485693"/>
    <n v="532619.00000000035"/>
    <n v="-8.8104254636053758E-2"/>
  </r>
  <r>
    <x v="8"/>
    <n v="352770"/>
    <n v="125267"/>
    <n v="102373"/>
    <n v="227640"/>
    <n v="96955"/>
    <n v="33874"/>
    <n v="15509"/>
    <n v="81167"/>
    <n v="-75747"/>
    <n v="277023"/>
    <n v="352770"/>
    <n v="-0.21472063951016243"/>
  </r>
  <r>
    <x v="9"/>
    <n v="363746.99999999988"/>
    <n v="143462"/>
    <n v="193388"/>
    <n v="336850"/>
    <n v="90824"/>
    <n v="28853"/>
    <n v="17242"/>
    <n v="90599"/>
    <n v="19198.000000000116"/>
    <n v="382945"/>
    <n v="363746.99999999988"/>
    <n v="5.2778442158973468E-2"/>
  </r>
  <r>
    <x v="10"/>
    <n v="241059.99999999994"/>
    <n v="89420"/>
    <n v="86502"/>
    <n v="175922"/>
    <n v="71556"/>
    <n v="22814"/>
    <n v="20778"/>
    <n v="27074"/>
    <n v="-21545.999999999942"/>
    <n v="219514"/>
    <n v="241059.99999999994"/>
    <n v="-8.9380237285322933E-2"/>
  </r>
  <r>
    <x v="11"/>
    <n v="301689.00000000006"/>
    <n v="103408"/>
    <n v="99447"/>
    <n v="202855"/>
    <n v="67627"/>
    <n v="28563"/>
    <n v="25032"/>
    <n v="60180"/>
    <n v="-45239.000000000058"/>
    <n v="256450"/>
    <n v="301689.00000000006"/>
    <n v="-0.149952434460653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93AEC9-98D7-8C4F-9FBE-B75F27B6BA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13">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Out" fld="11" baseField="0" baseItem="0"/>
    <dataField name="Sum of Total In" fld="10" baseField="0" baseItem="0"/>
  </dataFields>
  <chartFormats count="3">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7A387F-722E-7942-8C2F-F31E0A04C9DC}" autoFormatId="16" applyNumberFormats="0" applyBorderFormats="0" applyFontFormats="0" applyPatternFormats="0" applyAlignmentFormats="0" applyWidthHeightFormats="0">
  <queryTableRefresh nextId="4">
    <queryTableFields count="3">
      <queryTableField id="1" name="Month" tableColumnId="1"/>
      <queryTableField id="2" name="Item Name" tableColumnId="2"/>
      <queryTableField id="3" name="Quantit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5B83CE-A722-C341-BF0F-38A9668115C7}" sourceName="Month">
  <pivotTables>
    <pivotTable tabId="20" name="PivotTable1"/>
  </pivotTables>
  <data>
    <tabular pivotCacheId="105187131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EF26C1A-674E-1746-B68D-B0AB043A2238}" cache="Slicer_Month" caption="Month"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38AD18-081E-0C46-9B4D-C7CB6A53A2F9}" name="Query__2" displayName="Query__2" ref="A1:C3025" tableType="queryTable" totalsRowShown="0" dataDxfId="0">
  <autoFilter ref="A1:C3025" xr:uid="{7A38AD18-081E-0C46-9B4D-C7CB6A53A2F9}"/>
  <tableColumns count="3">
    <tableColumn id="1" xr3:uid="{844FC801-D696-3A44-AD83-62D6EB6FD335}" uniqueName="1" name="Month" queryTableFieldId="1" dataDxfId="3"/>
    <tableColumn id="2" xr3:uid="{E98AD01A-98C2-C94E-B563-E4F6EF90B88B}" uniqueName="2" name="Item Name" queryTableFieldId="2" dataDxfId="2"/>
    <tableColumn id="3" xr3:uid="{C53A0C58-4019-B74A-8494-3BA17E307C24}" uniqueName="3" name="Quantity" queryTableFieldId="3"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B13AF0B-E268-AA43-A392-B0A67D1D48BB}" name="Stock_Item" displayName="Stock_Item" ref="A1:BM49" totalsRowShown="0" headerRowDxfId="182" dataDxfId="181">
  <autoFilter ref="A1:BM49" xr:uid="{1B13AF0B-E268-AA43-A392-B0A67D1D48BB}"/>
  <tableColumns count="65">
    <tableColumn id="1" xr3:uid="{4367D7C4-D07E-CC47-AAAF-B57C90B7A120}" name="Month+" dataDxfId="180"/>
    <tableColumn id="2" xr3:uid="{6D53D04A-6F2E-9C4A-9335-F0AE5EA8BC1E}" name="Month" dataDxfId="179"/>
    <tableColumn id="3" xr3:uid="{B96EAC7A-3D31-6546-8619-89C7ECB24C12}" name="  " dataDxfId="178"/>
    <tableColumn id="4" xr3:uid="{87E109BB-0CF3-5B4B-8476-EF843E462644}" name="Green Chilli Sauce" dataDxfId="177"/>
    <tableColumn id="5" xr3:uid="{B12A9507-2519-FF45-8B31-51F4870689FE}" name="Red Chilli Sauce" dataDxfId="176"/>
    <tableColumn id="6" xr3:uid="{EA5CBBF2-5EA1-4345-8311-B5BE3FFB0318}" name="Capsicum Sauce" dataDxfId="175"/>
    <tableColumn id="7" xr3:uid="{6A02D24D-D352-A848-B249-183249799EDA}" name="Tomato Sauce" dataDxfId="174"/>
    <tableColumn id="8" xr3:uid="{843D103D-7BB3-0D47-A7F8-5E9D8AB42FD9}" name="8to8 Sauce" dataDxfId="173"/>
    <tableColumn id="9" xr3:uid="{AE2E3426-736E-A94B-946B-A07D872E7370}" name="Soya Sauce" dataDxfId="172"/>
    <tableColumn id="10" xr3:uid="{D6D875EC-62E4-F044-A8C4-276300BD09E5}" name="Vinegar" dataDxfId="171"/>
    <tableColumn id="11" xr3:uid="{06B29A8E-4F70-F449-A31F-68BD00174DA4}" name="Schezwan Sauce" dataDxfId="170"/>
    <tableColumn id="12" xr3:uid="{989C190D-F4AA-C245-AB49-34B79FD4CD62}" name="Rose Water" dataDxfId="169"/>
    <tableColumn id="13" xr3:uid="{D5A74A34-14F3-6C48-A467-75B275D0182D}" name="Kewada water" dataDxfId="168"/>
    <tableColumn id="14" xr3:uid="{65D77FFB-1BA2-8A40-8B81-C1C6C6E8DD9C}" name="Garam Masala (kg)" dataDxfId="167"/>
    <tableColumn id="15" xr3:uid="{2E9E0AC9-2C4E-F240-A950-6FFDD2716466}" name="White pepper (kg)" dataDxfId="166"/>
    <tableColumn id="16" xr3:uid="{47A2F68F-EE66-0044-A546-145928E4DFDF}" name="Chicken Masala (kg)" dataDxfId="165"/>
    <tableColumn id="17" xr3:uid="{D9358BE3-6769-6E4C-960A-76F60956B465}" name="Mutton Masala (kg)" dataDxfId="164"/>
    <tableColumn id="18" xr3:uid="{7FAFDF25-0D18-E84C-B2DD-D8D482BBA406}" name="Tandoori Chicken Masala (kg)" dataDxfId="163"/>
    <tableColumn id="19" xr3:uid="{B5DA9AC8-0CD2-F941-BA91-807902F234E1}" name="Chat Masala (kg)" dataDxfId="162"/>
    <tableColumn id="20" xr3:uid="{2FC048FA-F7B0-124A-90AF-49DC3BE6D58E}" name="Corn Powder (kg)" dataDxfId="161"/>
    <tableColumn id="21" xr3:uid="{F7FD8BED-CF96-2745-81C9-0F8E8E973E3E}" name="Tasting salt (kg)" dataDxfId="160"/>
    <tableColumn id="22" xr3:uid="{5A4AC349-1B52-6745-A87F-23130937DE7D}" name="Red Color (box)" dataDxfId="159"/>
    <tableColumn id="23" xr3:uid="{07BB938E-21AC-8240-8932-6FBC630FBA82}" name="Yellow Color (box)" dataDxfId="158"/>
    <tableColumn id="24" xr3:uid="{6953D7EF-78C1-5541-A09E-0B0C363E1969}" name="Biryani Rice (kg)" dataDxfId="157"/>
    <tableColumn id="25" xr3:uid="{851896D7-5122-1647-9F5D-A8492B8E3D77}" name="Oil (L)" dataDxfId="156"/>
    <tableColumn id="26" xr3:uid="{A3B45726-04B0-A642-8B08-046F6892A808}" name="Maida (kg)" dataDxfId="155"/>
    <tableColumn id="27" xr3:uid="{54E8ABD3-4F62-904C-AEF0-C5991342C200}" name="Aata (kg)" dataDxfId="154"/>
    <tableColumn id="28" xr3:uid="{256327DF-1BF1-464F-8674-FDEEA88C97BD}" name="Cold Drinks (cases)" dataDxfId="153"/>
    <tableColumn id="29" xr3:uid="{CC3E8A9B-2381-5B40-B51A-928D88152E3E}" name="Cold Drinks (bottles)" dataDxfId="152"/>
    <tableColumn id="30" xr3:uid="{F771F2A4-088A-B249-A5B8-B0BFCF2D0AD1}" name="Cold Drinks (cans)" dataDxfId="151"/>
    <tableColumn id="31" xr3:uid="{4E219581-7750-0F4D-8C37-E38AABF5B350}" name="Water Bottles (cases)" dataDxfId="150"/>
    <tableColumn id="32" xr3:uid="{C06844E7-4DA0-CB44-B3A1-5C578EFA5443}" name="Baby Kaju (kg)" dataDxfId="149"/>
    <tableColumn id="33" xr3:uid="{CA9CAAA9-3657-594A-B82D-A9E4870E29C7}" name="Kaju 4 pieces (kg)" dataDxfId="148"/>
    <tableColumn id="34" xr3:uid="{3FF7D21B-FF9E-2848-9AB3-855E2479D624}" name="Haldi (kg)" dataDxfId="147"/>
    <tableColumn id="35" xr3:uid="{CFB7174A-4499-A24D-8455-345EDE01B583}" name="Jeera  (kg)" dataDxfId="146"/>
    <tableColumn id="36" xr3:uid="{97A09849-B4AB-ED4E-8413-9217058494E6}" name="Til (kg)" dataDxfId="145"/>
    <tableColumn id="37" xr3:uid="{9351E688-C2FB-BD46-9F52-A0827360D34A}" name="Charmagash (kg)" dataDxfId="144"/>
    <tableColumn id="38" xr3:uid="{B6266D93-7DD4-F847-8A1B-4FCF4D26BD7F}" name="Kash Kash (kg)" dataDxfId="143"/>
    <tableColumn id="39" xr3:uid="{76717871-9178-A940-859C-8DFA0B233087}" name="Salt (kg)" dataDxfId="142"/>
    <tableColumn id="40" xr3:uid="{0B6D91E5-7171-6347-91A0-E3F685B6730B}" name="Big salt (kg)" dataDxfId="141"/>
    <tableColumn id="41" xr3:uid="{DDA94C71-4442-684F-82B4-B9F62FE88E42}" name="Elaichi (kg)" dataDxfId="140"/>
    <tableColumn id="42" xr3:uid="{5DA0AC5C-9111-D648-B826-62A95383D04F}" name="Loung (kg)" dataDxfId="139"/>
    <tableColumn id="43" xr3:uid="{BE407F94-81A9-D04B-B9FB-14FC21EB6882}" name="Dalchini (kg)" dataDxfId="138"/>
    <tableColumn id="44" xr3:uid="{EE5BFD39-A7E0-1D40-BA0F-01C3C7FAB926}" name="Star Phool (kg)" dataDxfId="137"/>
    <tableColumn id="45" xr3:uid="{D5AB519D-734A-7B44-BC96-D2E97EA2D419}" name="Jai Phool (kg)" dataDxfId="136"/>
    <tableColumn id="46" xr3:uid="{0A10DC8D-8D49-6347-88AB-D2433F418928}" name="Shazira (kg)" dataDxfId="135"/>
    <tableColumn id="47" xr3:uid="{E4154E32-FD9A-EC4F-A20B-6A00165E48FC}" name="Biryani patta (kg)" dataDxfId="134"/>
    <tableColumn id="48" xr3:uid="{84EE9774-5FEA-9843-AFAE-9E95639433FE}" name="Kastur methi (kg)" dataDxfId="133"/>
    <tableColumn id="49" xr3:uid="{589CDCDF-FD67-4E4E-BAAC-AD41756511A3}" name="Japhal (kg)" dataDxfId="132"/>
    <tableColumn id="50" xr3:uid="{2D4CEE0C-9F1D-C84D-ABC8-450F668B2FE6}" name="Japatri" dataDxfId="131"/>
    <tableColumn id="51" xr3:uid="{DC73807E-6CDB-394F-A69D-CE03622C0BDB}" name="Kabab Chini" dataDxfId="130"/>
    <tableColumn id="52" xr3:uid="{00E43AD4-C640-5548-AFA7-AB41E3C10962}" name="Kali Mirch/Miryalu" dataDxfId="129"/>
    <tableColumn id="53" xr3:uid="{91B43701-2491-1A4A-88BD-607C06269470}" name="Big Elaichi" dataDxfId="128"/>
    <tableColumn id="54" xr3:uid="{811AE453-CCCE-DE4B-A7BB-94EBDFBB8C34}" name="Phatar ka Phool (kg)" dataDxfId="127"/>
    <tableColumn id="55" xr3:uid="{8A8C1956-6797-4646-B057-AB95A59181C4}" name="Gulab Ka phool" dataDxfId="126"/>
    <tableColumn id="56" xr3:uid="{1BA3706E-8F9F-9E4E-83DD-AB170B5F1A90}" name="Bread Crumbs (kg)" dataDxfId="125"/>
    <tableColumn id="57" xr3:uid="{9A1A3279-82E6-E04C-8E42-3E218064E70F}" name="Kismis" dataDxfId="124"/>
    <tableColumn id="58" xr3:uid="{6B0B51B0-46F6-964B-9BDE-5128970A9774}" name="Maggi Cube" dataDxfId="123"/>
    <tableColumn id="59" xr3:uid="{DC108D59-E1FA-2846-B60B-247177DFD51F}" name="Dhaniya (kg)" dataDxfId="122"/>
    <tableColumn id="60" xr3:uid="{7F22872A-883D-F44D-816F-2CAD1849CD0B}" name="Sugar (kg)" dataDxfId="121"/>
    <tableColumn id="61" xr3:uid="{0131B6F6-CE0B-4D4F-BC7D-F3EE80DD3294}" name="Dalda (kg)" dataDxfId="120"/>
    <tableColumn id="62" xr3:uid="{6C51D139-F641-6642-827B-88D34C296D67}" name="Red Chilli Powder (kg)" dataDxfId="119"/>
    <tableColumn id="63" xr3:uid="{68DCCBEA-294C-E24F-A80E-500AD087EE99}" name="Dhaniya Powder (kg)" dataDxfId="118"/>
    <tableColumn id="64" xr3:uid="{45E498B6-55E8-6C46-B0D5-B4AF181943FA}" name="Coal (bags)" dataDxfId="117"/>
    <tableColumn id="65" xr3:uid="{3B95263C-9E24-1F4F-A5B6-538112D15032}" name="Boxes" dataDxfId="1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1DD3B6-0369-354D-91FB-596E7052EC11}" name="Inventory" displayName="Inventory" ref="A2:AE302" totalsRowShown="0" headerRowDxfId="115" dataDxfId="114">
  <autoFilter ref="A2:AE302" xr:uid="{F01DD3B6-0369-354D-91FB-596E7052EC11}"/>
  <tableColumns count="31">
    <tableColumn id="1" xr3:uid="{BE1D9A8F-E0C8-FB4E-A576-199DB262ACD6}" name="Column1" dataDxfId="113"/>
    <tableColumn id="2" xr3:uid="{C759633E-45FB-C146-B137-AA9A5A3A8852}" name="Cooked KG" dataDxfId="112"/>
    <tableColumn id="3" xr3:uid="{3CF5A0AA-5F50-6742-9E43-E643AC701836}" name="Plates Sold" dataDxfId="111"/>
    <tableColumn id="4" xr3:uid="{40B11784-95FF-F045-B212-0A01DEE58281}" name="Plates Left" dataDxfId="110"/>
    <tableColumn id="5" xr3:uid="{D5CD08AF-4BE0-DE40-AAB4-DC366A20F503}" name="Column2"/>
    <tableColumn id="6" xr3:uid="{A13FE5ED-E69D-AC4A-AAB1-B07FB34AFD6B}" name="Cooked KG3" dataDxfId="109"/>
    <tableColumn id="7" xr3:uid="{BD529619-3C3D-F147-AFAE-D08424958ACC}" name="Plates Sold4" dataDxfId="108"/>
    <tableColumn id="8" xr3:uid="{853B05D4-2AA8-424E-80D8-54AE8B02D3A5}" name="Plates Left5" dataDxfId="107"/>
    <tableColumn id="9" xr3:uid="{8DE8A072-E709-8149-9FE4-765FD516E7D5}" name="Column6"/>
    <tableColumn id="10" xr3:uid="{E96553D8-FC0C-3142-BA4A-9B7A58AE3AF3}" name="Ordered" dataDxfId="106"/>
    <tableColumn id="11" xr3:uid="{737A77E0-4997-DB4F-B6E5-1C6500B59988}" name="Used" dataDxfId="105"/>
    <tableColumn id="12" xr3:uid="{90A0892D-5581-D04D-86E8-12BF6E8CC449}" name="Left" dataDxfId="104"/>
    <tableColumn id="13" xr3:uid="{B5A53D51-E08E-D445-8733-7C4C655730A8}" name="Column7"/>
    <tableColumn id="14" xr3:uid="{7A164120-3ADA-A74D-8160-B7C903B65054}" name="Ordered KG" dataDxfId="103"/>
    <tableColumn id="15" xr3:uid="{A414A302-BA4E-924C-89AB-CB46D5F68486}" name="Plates Sold8" dataDxfId="102"/>
    <tableColumn id="16" xr3:uid="{54E1B831-5C5D-6C46-B110-7D09C736E1FC}" name="Left KG" dataDxfId="101"/>
    <tableColumn id="17" xr3:uid="{55DB886D-DB6E-5346-8083-10BF4804F08C}" name="Column9"/>
    <tableColumn id="18" xr3:uid="{A200FE5A-8EAB-2F4C-A391-CCB15B87837B}" name="Ordered KG10" dataDxfId="100"/>
    <tableColumn id="19" xr3:uid="{39063695-376F-C848-B737-B8E13F23F38D}" name="Plates Sold11" dataDxfId="99"/>
    <tableColumn id="20" xr3:uid="{A3D12E0F-AB88-2947-998A-CE563DCC8AB2}" name="Left KG12" dataDxfId="98"/>
    <tableColumn id="21" xr3:uid="{98F98CD2-201F-CB49-BD53-E1B98DCC1505}" name="Column13"/>
    <tableColumn id="22" xr3:uid="{2F126504-8134-7145-9680-1AB25E851BDD}" name="Thumbsup" dataDxfId="97"/>
    <tableColumn id="23" xr3:uid="{1F63208C-79FF-D44A-A20E-265B657540FC}" name="Sprite" dataDxfId="96"/>
    <tableColumn id="24" xr3:uid="{EC0AE4EA-D8FD-CC4C-BAC9-B64BDB92A829}" name="Coco cola" dataDxfId="95"/>
    <tableColumn id="25" xr3:uid="{694D70C4-6AA5-DA4B-9959-F0A87F29E1BE}" name="Column14"/>
    <tableColumn id="26" xr3:uid="{583E6908-E859-134C-BEB7-D4B7AB0E1B20}" name="Thumbsup15" dataDxfId="94"/>
    <tableColumn id="27" xr3:uid="{17FA065B-16C3-024A-9F23-74F3B925174D}" name="Sprite16" dataDxfId="93"/>
    <tableColumn id="28" xr3:uid="{57DC39E8-1FAD-E545-A1AA-DE4303D14D59}" name="Fanta" dataDxfId="92"/>
    <tableColumn id="29" xr3:uid="{268E2AFA-0953-F547-86C5-D3EE354DF530}" name="Coco cola17" dataDxfId="91"/>
    <tableColumn id="30" xr3:uid="{EDD30B21-AFE1-5043-B071-7BAFF47F3A68}" name="Column18"/>
    <tableColumn id="31" xr3:uid="{9C6D4C0D-3F4A-6C4B-83D3-64C480167AB0}" name="Column19" dataDxfId="9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C4811-A0D2-D046-80B1-A7BE19B84337}">
  <sheetPr codeName="Sheet1"/>
  <dimension ref="A3:C16"/>
  <sheetViews>
    <sheetView showGridLines="0" tabSelected="1" zoomScale="123" zoomScaleNormal="123" workbookViewId="0">
      <selection activeCell="D20" sqref="D20"/>
    </sheetView>
  </sheetViews>
  <sheetFormatPr baseColWidth="10" defaultRowHeight="14" x14ac:dyDescent="0.2"/>
  <cols>
    <col min="1" max="1" width="13.3984375" customWidth="1"/>
    <col min="2" max="2" width="14.796875" customWidth="1"/>
    <col min="3" max="3" width="13.3984375" bestFit="1" customWidth="1"/>
    <col min="4" max="4" width="19.19921875" customWidth="1"/>
    <col min="5" max="13" width="19" bestFit="1" customWidth="1"/>
    <col min="14" max="15" width="12.796875" bestFit="1" customWidth="1"/>
    <col min="16" max="16" width="10.796875" bestFit="1" customWidth="1"/>
    <col min="17" max="17" width="14" bestFit="1" customWidth="1"/>
    <col min="18" max="18" width="10.796875" bestFit="1" customWidth="1"/>
    <col min="19" max="19" width="14" bestFit="1" customWidth="1"/>
    <col min="20" max="20" width="10.796875" bestFit="1" customWidth="1"/>
    <col min="21" max="21" width="14" bestFit="1" customWidth="1"/>
    <col min="22" max="22" width="10.796875" bestFit="1" customWidth="1"/>
    <col min="23" max="23" width="14" bestFit="1" customWidth="1"/>
    <col min="24" max="24" width="10.796875" bestFit="1" customWidth="1"/>
    <col min="25" max="25" width="14" bestFit="1" customWidth="1"/>
    <col min="26" max="26" width="12" bestFit="1" customWidth="1"/>
    <col min="27" max="27" width="15.19921875" bestFit="1" customWidth="1"/>
    <col min="28" max="28" width="12.796875" bestFit="1" customWidth="1"/>
  </cols>
  <sheetData>
    <row r="3" spans="1:3" x14ac:dyDescent="0.2">
      <c r="A3" s="92" t="s">
        <v>308</v>
      </c>
      <c r="B3" t="s">
        <v>311</v>
      </c>
      <c r="C3" t="s">
        <v>310</v>
      </c>
    </row>
    <row r="4" spans="1:3" x14ac:dyDescent="0.2">
      <c r="A4" s="93" t="s">
        <v>1</v>
      </c>
      <c r="B4" s="110">
        <v>446078.99999999977</v>
      </c>
      <c r="C4" s="110">
        <v>412373</v>
      </c>
    </row>
    <row r="5" spans="1:3" x14ac:dyDescent="0.2">
      <c r="A5" s="93" t="s">
        <v>2</v>
      </c>
      <c r="B5" s="110">
        <v>332508.00000000012</v>
      </c>
      <c r="C5" s="110">
        <v>236379</v>
      </c>
    </row>
    <row r="6" spans="1:3" x14ac:dyDescent="0.2">
      <c r="A6" s="93" t="s">
        <v>3</v>
      </c>
      <c r="B6" s="110">
        <v>360442.99999999988</v>
      </c>
      <c r="C6" s="110">
        <v>318990</v>
      </c>
    </row>
    <row r="7" spans="1:3" x14ac:dyDescent="0.2">
      <c r="A7" s="93" t="s">
        <v>4</v>
      </c>
      <c r="B7" s="110">
        <v>375007.99999999983</v>
      </c>
      <c r="C7" s="110">
        <v>381785</v>
      </c>
    </row>
    <row r="8" spans="1:3" x14ac:dyDescent="0.2">
      <c r="A8" s="93" t="s">
        <v>5</v>
      </c>
      <c r="B8" s="110">
        <v>423435.00000000029</v>
      </c>
      <c r="C8" s="110">
        <v>428246</v>
      </c>
    </row>
    <row r="9" spans="1:3" x14ac:dyDescent="0.2">
      <c r="A9" s="93" t="s">
        <v>6</v>
      </c>
      <c r="B9" s="110">
        <v>318770.99999999994</v>
      </c>
      <c r="C9" s="110">
        <v>321615</v>
      </c>
    </row>
    <row r="10" spans="1:3" x14ac:dyDescent="0.2">
      <c r="A10" s="93" t="s">
        <v>7</v>
      </c>
      <c r="B10" s="110">
        <v>418397.99999999983</v>
      </c>
      <c r="C10" s="110">
        <v>414018</v>
      </c>
    </row>
    <row r="11" spans="1:3" x14ac:dyDescent="0.2">
      <c r="A11" s="93" t="s">
        <v>8</v>
      </c>
      <c r="B11" s="110">
        <v>532619.00000000035</v>
      </c>
      <c r="C11" s="110">
        <v>485693</v>
      </c>
    </row>
    <row r="12" spans="1:3" x14ac:dyDescent="0.2">
      <c r="A12" s="93" t="s">
        <v>9</v>
      </c>
      <c r="B12" s="110">
        <v>352770</v>
      </c>
      <c r="C12" s="110">
        <v>277023</v>
      </c>
    </row>
    <row r="13" spans="1:3" x14ac:dyDescent="0.2">
      <c r="A13" s="93" t="s">
        <v>10</v>
      </c>
      <c r="B13" s="110">
        <v>363746.99999999988</v>
      </c>
      <c r="C13" s="110">
        <v>382945</v>
      </c>
    </row>
    <row r="14" spans="1:3" x14ac:dyDescent="0.2">
      <c r="A14" s="93" t="s">
        <v>11</v>
      </c>
      <c r="B14" s="110">
        <v>241059.99999999994</v>
      </c>
      <c r="C14" s="110">
        <v>219514</v>
      </c>
    </row>
    <row r="15" spans="1:3" x14ac:dyDescent="0.2">
      <c r="A15" s="93" t="s">
        <v>12</v>
      </c>
      <c r="B15" s="110">
        <v>301689.00000000006</v>
      </c>
      <c r="C15" s="110">
        <v>256450</v>
      </c>
    </row>
    <row r="16" spans="1:3" x14ac:dyDescent="0.2">
      <c r="A16" s="93" t="s">
        <v>309</v>
      </c>
      <c r="B16" s="110">
        <v>4466527</v>
      </c>
      <c r="C16" s="110">
        <v>4135031</v>
      </c>
    </row>
  </sheetData>
  <phoneticPr fontId="7"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outlinePr summaryBelow="0" summaryRight="0"/>
  </sheetPr>
  <dimension ref="A1:AJ1003"/>
  <sheetViews>
    <sheetView zoomScale="140" zoomScaleNormal="140" workbookViewId="0">
      <pane xSplit="2" topLeftCell="C1" activePane="topRight" state="frozen"/>
      <selection pane="topRight" activeCell="Q22" sqref="Q22"/>
    </sheetView>
  </sheetViews>
  <sheetFormatPr baseColWidth="10" defaultColWidth="12.796875" defaultRowHeight="15.75" customHeight="1" x14ac:dyDescent="0.2"/>
  <cols>
    <col min="1" max="1" width="19.796875" customWidth="1"/>
    <col min="2" max="23" width="10.3984375" customWidth="1"/>
  </cols>
  <sheetData>
    <row r="1" spans="1:14" ht="15.75" customHeight="1" x14ac:dyDescent="0.2">
      <c r="B1" s="1"/>
      <c r="C1" s="1"/>
      <c r="D1" s="1"/>
      <c r="E1" s="1"/>
      <c r="F1" s="1"/>
    </row>
    <row r="2" spans="1:14" ht="15.75" customHeight="1" x14ac:dyDescent="0.2">
      <c r="B2" s="1"/>
      <c r="C2" s="1"/>
      <c r="D2" s="1"/>
      <c r="E2" s="1"/>
      <c r="F2" s="1"/>
    </row>
    <row r="3" spans="1:14" ht="15.75" customHeight="1" x14ac:dyDescent="0.2">
      <c r="B3" s="1"/>
      <c r="C3" s="1"/>
      <c r="D3" s="1"/>
      <c r="E3" s="1"/>
      <c r="F3" s="1"/>
    </row>
    <row r="4" spans="1:14" ht="15.75" customHeight="1" x14ac:dyDescent="0.2">
      <c r="B4" s="2" t="s">
        <v>0</v>
      </c>
      <c r="C4" s="3" t="s">
        <v>1</v>
      </c>
      <c r="D4" s="3" t="s">
        <v>2</v>
      </c>
      <c r="E4" s="3" t="s">
        <v>3</v>
      </c>
      <c r="F4" s="3" t="s">
        <v>4</v>
      </c>
      <c r="G4" s="3" t="s">
        <v>5</v>
      </c>
      <c r="H4" s="3" t="s">
        <v>6</v>
      </c>
      <c r="I4" s="3" t="s">
        <v>7</v>
      </c>
      <c r="J4" s="3" t="s">
        <v>8</v>
      </c>
      <c r="K4" s="3" t="s">
        <v>9</v>
      </c>
      <c r="L4" s="3" t="s">
        <v>10</v>
      </c>
      <c r="M4" s="3" t="s">
        <v>11</v>
      </c>
      <c r="N4" s="3" t="s">
        <v>12</v>
      </c>
    </row>
    <row r="5" spans="1:14" ht="15.75" customHeight="1" x14ac:dyDescent="0.2">
      <c r="A5" s="4" t="s">
        <v>13</v>
      </c>
      <c r="B5" s="5">
        <f t="shared" ref="B5:B12" si="0">SUM(C5:Z5)</f>
        <v>4466527</v>
      </c>
      <c r="C5" s="5">
        <f>January!B35</f>
        <v>446078.99999999977</v>
      </c>
      <c r="D5" s="5">
        <f>Febraury!B35</f>
        <v>332508.00000000012</v>
      </c>
      <c r="E5" s="5">
        <f>March!B35</f>
        <v>360442.99999999988</v>
      </c>
      <c r="F5" s="5">
        <f>April!B35</f>
        <v>375007.99999999983</v>
      </c>
      <c r="G5" s="5">
        <f>May!B35</f>
        <v>423435.00000000029</v>
      </c>
      <c r="H5" s="5">
        <f>June!B35</f>
        <v>318770.99999999994</v>
      </c>
      <c r="I5" s="5">
        <f>July!B35</f>
        <v>418397.99999999983</v>
      </c>
      <c r="J5" s="5">
        <f>August!B35</f>
        <v>532619.00000000035</v>
      </c>
      <c r="K5" s="5">
        <f>September!B35</f>
        <v>352770</v>
      </c>
      <c r="L5" s="5">
        <f>October!B35</f>
        <v>363746.99999999988</v>
      </c>
      <c r="M5" s="5">
        <f>November!B35</f>
        <v>241059.99999999994</v>
      </c>
      <c r="N5" s="5">
        <f>December!B35</f>
        <v>301689.00000000006</v>
      </c>
    </row>
    <row r="6" spans="1:14" ht="15.75" customHeight="1" x14ac:dyDescent="0.2">
      <c r="A6" s="4" t="s">
        <v>14</v>
      </c>
      <c r="B6" s="5">
        <f t="shared" si="0"/>
        <v>1719147</v>
      </c>
      <c r="C6" s="5">
        <f>January!B36</f>
        <v>202711</v>
      </c>
      <c r="D6" s="5">
        <f>Febraury!B36</f>
        <v>103017</v>
      </c>
      <c r="E6" s="5">
        <f>March!B36</f>
        <v>161780</v>
      </c>
      <c r="F6" s="5">
        <f>April!B36</f>
        <v>179193</v>
      </c>
      <c r="G6" s="5">
        <f>May!B36</f>
        <v>198977</v>
      </c>
      <c r="H6" s="5">
        <f>June!B36</f>
        <v>138259</v>
      </c>
      <c r="I6" s="5">
        <f>July!B36</f>
        <v>137405</v>
      </c>
      <c r="J6" s="5">
        <f>August!B36</f>
        <v>136248</v>
      </c>
      <c r="K6" s="5">
        <f>September!B36</f>
        <v>125267</v>
      </c>
      <c r="L6" s="5">
        <f>October!B36</f>
        <v>143462</v>
      </c>
      <c r="M6" s="5">
        <f>November!B36</f>
        <v>89420</v>
      </c>
      <c r="N6" s="5">
        <f>December!B36</f>
        <v>103408</v>
      </c>
    </row>
    <row r="7" spans="1:14" ht="15.75" customHeight="1" x14ac:dyDescent="0.2">
      <c r="A7" s="4" t="s">
        <v>15</v>
      </c>
      <c r="B7" s="5">
        <f t="shared" si="0"/>
        <v>1695744</v>
      </c>
      <c r="C7" s="5">
        <f>January!B37</f>
        <v>172325</v>
      </c>
      <c r="D7" s="5">
        <f>Febraury!B37</f>
        <v>107353</v>
      </c>
      <c r="E7" s="5">
        <f>March!B37</f>
        <v>130212</v>
      </c>
      <c r="F7" s="5">
        <f>April!B37</f>
        <v>174719</v>
      </c>
      <c r="G7" s="5">
        <f>May!B37</f>
        <v>192297</v>
      </c>
      <c r="H7" s="5">
        <f>June!B37</f>
        <v>158111</v>
      </c>
      <c r="I7" s="5">
        <f>July!B37</f>
        <v>139836</v>
      </c>
      <c r="J7" s="5">
        <f>August!B37</f>
        <v>139181</v>
      </c>
      <c r="K7" s="5">
        <f>September!B37</f>
        <v>102373</v>
      </c>
      <c r="L7" s="5">
        <f>October!B37</f>
        <v>193388</v>
      </c>
      <c r="M7" s="5">
        <f>November!B37</f>
        <v>86502</v>
      </c>
      <c r="N7" s="5">
        <f>December!B37</f>
        <v>99447</v>
      </c>
    </row>
    <row r="8" spans="1:14" ht="15.75" customHeight="1" x14ac:dyDescent="0.2">
      <c r="A8" s="4" t="s">
        <v>16</v>
      </c>
      <c r="B8" s="5">
        <f t="shared" si="0"/>
        <v>3414891</v>
      </c>
      <c r="C8" s="5">
        <f>January!B38</f>
        <v>375036</v>
      </c>
      <c r="D8" s="5">
        <f>Febraury!B38</f>
        <v>210370</v>
      </c>
      <c r="E8" s="5">
        <f>March!B38</f>
        <v>291992</v>
      </c>
      <c r="F8" s="5">
        <f>April!B38</f>
        <v>353912</v>
      </c>
      <c r="G8" s="5">
        <f>May!B38</f>
        <v>391274</v>
      </c>
      <c r="H8" s="5">
        <f>June!B38</f>
        <v>296370</v>
      </c>
      <c r="I8" s="5">
        <f>July!B38</f>
        <v>277241</v>
      </c>
      <c r="J8" s="5">
        <f>August!B38</f>
        <v>275429</v>
      </c>
      <c r="K8" s="5">
        <f>September!B38</f>
        <v>227640</v>
      </c>
      <c r="L8" s="5">
        <f>October!B38</f>
        <v>336850</v>
      </c>
      <c r="M8" s="5">
        <f>November!B38</f>
        <v>175922</v>
      </c>
      <c r="N8" s="5">
        <f>December!B38</f>
        <v>202855</v>
      </c>
    </row>
    <row r="9" spans="1:14" ht="15.75" customHeight="1" x14ac:dyDescent="0.2">
      <c r="A9" s="4" t="s">
        <v>17</v>
      </c>
      <c r="B9" s="5">
        <f t="shared" si="0"/>
        <v>1095294</v>
      </c>
      <c r="C9" s="5">
        <f>January!B39</f>
        <v>88972</v>
      </c>
      <c r="D9" s="5">
        <f>Febraury!B39</f>
        <v>90891</v>
      </c>
      <c r="E9" s="5">
        <f>March!B39</f>
        <v>94022</v>
      </c>
      <c r="F9" s="5">
        <f>April!B39</f>
        <v>90016</v>
      </c>
      <c r="G9" s="5">
        <f>May!B39</f>
        <v>98102</v>
      </c>
      <c r="H9" s="5">
        <f>June!B39</f>
        <v>95741</v>
      </c>
      <c r="I9" s="5">
        <f>July!B39</f>
        <v>104969</v>
      </c>
      <c r="J9" s="5">
        <f>August!B39</f>
        <v>105619</v>
      </c>
      <c r="K9" s="5">
        <f>September!B39</f>
        <v>96955</v>
      </c>
      <c r="L9" s="5">
        <f>October!B39</f>
        <v>90824</v>
      </c>
      <c r="M9" s="5">
        <f>November!B39</f>
        <v>71556</v>
      </c>
      <c r="N9" s="5">
        <f>December!B39</f>
        <v>67627</v>
      </c>
    </row>
    <row r="10" spans="1:14" ht="15.75" customHeight="1" x14ac:dyDescent="0.2">
      <c r="A10" s="4" t="s">
        <v>18</v>
      </c>
      <c r="B10" s="5">
        <f t="shared" si="0"/>
        <v>516662</v>
      </c>
      <c r="C10" s="5">
        <f>January!B40</f>
        <v>23670</v>
      </c>
      <c r="D10" s="5">
        <f>Febraury!B40</f>
        <v>13455</v>
      </c>
      <c r="E10" s="5">
        <f>March!B40</f>
        <v>14648</v>
      </c>
      <c r="F10" s="5">
        <f>April!B40</f>
        <v>12085</v>
      </c>
      <c r="G10" s="5">
        <f>May!B40</f>
        <v>13612</v>
      </c>
      <c r="H10" s="5">
        <f>June!B40</f>
        <v>15441</v>
      </c>
      <c r="I10" s="5">
        <f>July!B40</f>
        <v>119593</v>
      </c>
      <c r="J10" s="5">
        <f>August!B40</f>
        <v>190054</v>
      </c>
      <c r="K10" s="5">
        <f>September!B40</f>
        <v>33874</v>
      </c>
      <c r="L10" s="5">
        <f>October!B40</f>
        <v>28853</v>
      </c>
      <c r="M10" s="5">
        <f>November!B40</f>
        <v>22814</v>
      </c>
      <c r="N10" s="5">
        <f>December!B40</f>
        <v>28563</v>
      </c>
    </row>
    <row r="11" spans="1:14" ht="15.75" customHeight="1" x14ac:dyDescent="0.2">
      <c r="A11" s="4" t="s">
        <v>19</v>
      </c>
      <c r="B11" s="5">
        <f t="shared" si="0"/>
        <v>203478</v>
      </c>
      <c r="C11" s="5">
        <f>January!B41</f>
        <v>13667</v>
      </c>
      <c r="D11" s="5">
        <f>Febraury!B41</f>
        <v>12554</v>
      </c>
      <c r="E11" s="5">
        <f>March!B41</f>
        <v>12350</v>
      </c>
      <c r="F11" s="5">
        <f>April!B41</f>
        <v>15788</v>
      </c>
      <c r="G11" s="5">
        <f>May!B41</f>
        <v>23360</v>
      </c>
      <c r="H11" s="5">
        <f>June!B41</f>
        <v>9804</v>
      </c>
      <c r="I11" s="5">
        <f>July!B41</f>
        <v>17184</v>
      </c>
      <c r="J11" s="5">
        <f>August!B41</f>
        <v>20210</v>
      </c>
      <c r="K11" s="5">
        <f>September!B41</f>
        <v>15509</v>
      </c>
      <c r="L11" s="5">
        <f>October!B41</f>
        <v>17242</v>
      </c>
      <c r="M11" s="5">
        <f>November!B41</f>
        <v>20778</v>
      </c>
      <c r="N11" s="5">
        <f>December!B41</f>
        <v>25032</v>
      </c>
    </row>
    <row r="12" spans="1:14" ht="15.75" customHeight="1" x14ac:dyDescent="0.2">
      <c r="A12" s="4" t="s">
        <v>20</v>
      </c>
      <c r="B12" s="5">
        <f t="shared" si="0"/>
        <v>909295</v>
      </c>
      <c r="C12" s="5">
        <f>January!B42</f>
        <v>95268</v>
      </c>
      <c r="D12" s="5">
        <f>Febraury!B42</f>
        <v>67553</v>
      </c>
      <c r="E12" s="5">
        <f>March!B42</f>
        <v>54083</v>
      </c>
      <c r="F12" s="5">
        <f>Stock!R72</f>
        <v>70682</v>
      </c>
      <c r="G12" s="5">
        <f>May!B42</f>
        <v>95827</v>
      </c>
      <c r="H12" s="5">
        <f>June!B42</f>
        <v>54328</v>
      </c>
      <c r="I12" s="5">
        <f>July!B42</f>
        <v>85485</v>
      </c>
      <c r="J12" s="5">
        <f>August!B42</f>
        <v>127049</v>
      </c>
      <c r="K12" s="5">
        <f>September!B42</f>
        <v>81167</v>
      </c>
      <c r="L12" s="5">
        <f>October!B42</f>
        <v>90599</v>
      </c>
      <c r="M12" s="5">
        <f>November!B42</f>
        <v>27074</v>
      </c>
      <c r="N12" s="5">
        <f>December!B42</f>
        <v>60180</v>
      </c>
    </row>
    <row r="13" spans="1:14" ht="15.75" customHeight="1" x14ac:dyDescent="0.2">
      <c r="A13" s="4" t="s">
        <v>21</v>
      </c>
      <c r="B13" s="5">
        <f>SUM(C13:Z13)</f>
        <v>-331495.99999999988</v>
      </c>
      <c r="C13" s="5">
        <f t="shared" ref="C13:N13" si="1">C8-C5+C10+C11</f>
        <v>-33705.999999999767</v>
      </c>
      <c r="D13" s="5">
        <f t="shared" si="1"/>
        <v>-96129.000000000116</v>
      </c>
      <c r="E13" s="5">
        <f t="shared" si="1"/>
        <v>-41452.999999999884</v>
      </c>
      <c r="F13" s="5">
        <f t="shared" si="1"/>
        <v>6777.0000000001746</v>
      </c>
      <c r="G13" s="5">
        <f t="shared" si="1"/>
        <v>4810.999999999709</v>
      </c>
      <c r="H13" s="5">
        <f t="shared" si="1"/>
        <v>2844.0000000000582</v>
      </c>
      <c r="I13" s="5">
        <f t="shared" si="1"/>
        <v>-4379.9999999998254</v>
      </c>
      <c r="J13" s="5">
        <f t="shared" si="1"/>
        <v>-46926.000000000349</v>
      </c>
      <c r="K13" s="5">
        <f t="shared" si="1"/>
        <v>-75747</v>
      </c>
      <c r="L13" s="5">
        <f t="shared" si="1"/>
        <v>19198.000000000116</v>
      </c>
      <c r="M13" s="5">
        <f t="shared" si="1"/>
        <v>-21545.999999999942</v>
      </c>
      <c r="N13" s="5">
        <f t="shared" si="1"/>
        <v>-45239.000000000058</v>
      </c>
    </row>
    <row r="14" spans="1:14" ht="15.75" customHeight="1" x14ac:dyDescent="0.2">
      <c r="B14" s="1"/>
      <c r="C14" s="1"/>
      <c r="D14" s="1"/>
      <c r="E14" s="1"/>
      <c r="F14" s="1"/>
      <c r="I14" s="6"/>
    </row>
    <row r="15" spans="1:14" ht="15.75" customHeight="1" x14ac:dyDescent="0.2">
      <c r="A15" s="4" t="s">
        <v>22</v>
      </c>
      <c r="B15" s="5">
        <f t="shared" ref="B15:B16" si="2">SUM(C15:Z15)</f>
        <v>4135031</v>
      </c>
      <c r="C15" s="5">
        <f t="shared" ref="C15:N15" si="3">C8+C10+C11</f>
        <v>412373</v>
      </c>
      <c r="D15" s="5">
        <f t="shared" si="3"/>
        <v>236379</v>
      </c>
      <c r="E15" s="5">
        <f t="shared" si="3"/>
        <v>318990</v>
      </c>
      <c r="F15" s="5">
        <f t="shared" si="3"/>
        <v>381785</v>
      </c>
      <c r="G15" s="5">
        <f t="shared" si="3"/>
        <v>428246</v>
      </c>
      <c r="H15" s="5">
        <f t="shared" si="3"/>
        <v>321615</v>
      </c>
      <c r="I15" s="5">
        <f t="shared" si="3"/>
        <v>414018</v>
      </c>
      <c r="J15" s="5">
        <f t="shared" si="3"/>
        <v>485693</v>
      </c>
      <c r="K15" s="5">
        <f t="shared" si="3"/>
        <v>277023</v>
      </c>
      <c r="L15" s="5">
        <f t="shared" si="3"/>
        <v>382945</v>
      </c>
      <c r="M15" s="5">
        <f t="shared" si="3"/>
        <v>219514</v>
      </c>
      <c r="N15" s="5">
        <f t="shared" si="3"/>
        <v>256450</v>
      </c>
    </row>
    <row r="16" spans="1:14" ht="15.75" customHeight="1" x14ac:dyDescent="0.2">
      <c r="A16" s="4" t="s">
        <v>23</v>
      </c>
      <c r="B16" s="5">
        <f t="shared" si="2"/>
        <v>4466527</v>
      </c>
      <c r="C16" s="5">
        <f t="shared" ref="C16:N16" si="4">C5</f>
        <v>446078.99999999977</v>
      </c>
      <c r="D16" s="5">
        <f t="shared" si="4"/>
        <v>332508.00000000012</v>
      </c>
      <c r="E16" s="5">
        <f t="shared" si="4"/>
        <v>360442.99999999988</v>
      </c>
      <c r="F16" s="5">
        <f t="shared" si="4"/>
        <v>375007.99999999983</v>
      </c>
      <c r="G16" s="5">
        <f t="shared" si="4"/>
        <v>423435.00000000029</v>
      </c>
      <c r="H16" s="5">
        <f t="shared" si="4"/>
        <v>318770.99999999994</v>
      </c>
      <c r="I16" s="5">
        <f t="shared" si="4"/>
        <v>418397.99999999983</v>
      </c>
      <c r="J16" s="5">
        <f t="shared" si="4"/>
        <v>532619.00000000035</v>
      </c>
      <c r="K16" s="5">
        <f t="shared" si="4"/>
        <v>352770</v>
      </c>
      <c r="L16" s="5">
        <f t="shared" si="4"/>
        <v>363746.99999999988</v>
      </c>
      <c r="M16" s="5">
        <f t="shared" si="4"/>
        <v>241059.99999999994</v>
      </c>
      <c r="N16" s="5">
        <f t="shared" si="4"/>
        <v>301689.00000000006</v>
      </c>
    </row>
    <row r="17" spans="2:36" ht="15.75" customHeight="1" x14ac:dyDescent="0.2">
      <c r="B17" s="1"/>
      <c r="C17" s="1"/>
      <c r="D17" s="1"/>
      <c r="E17" s="1"/>
      <c r="F17" s="1"/>
    </row>
    <row r="18" spans="2:36" ht="15.75" customHeight="1" x14ac:dyDescent="0.2">
      <c r="B18" s="7"/>
      <c r="C18" s="7"/>
      <c r="D18" s="7"/>
      <c r="E18" s="7"/>
      <c r="F18" s="7"/>
      <c r="G18" s="6"/>
      <c r="H18" s="6"/>
      <c r="I18" s="6"/>
    </row>
    <row r="32" spans="2:36" ht="15.75" customHeight="1" x14ac:dyDescent="0.2">
      <c r="W32" s="6"/>
      <c r="X32" s="6"/>
      <c r="Y32" s="6"/>
      <c r="Z32" s="6"/>
      <c r="AA32" s="6"/>
      <c r="AB32" s="6"/>
      <c r="AC32" s="6"/>
      <c r="AD32" s="6"/>
      <c r="AE32" s="6"/>
      <c r="AF32" s="6"/>
      <c r="AG32" s="6"/>
      <c r="AH32" s="6"/>
      <c r="AI32" s="6"/>
      <c r="AJ32" s="6"/>
    </row>
    <row r="42" spans="23:36" ht="15.75" customHeight="1" x14ac:dyDescent="0.2">
      <c r="W42" s="1"/>
      <c r="X42" s="1"/>
      <c r="Y42" s="1"/>
      <c r="Z42" s="1"/>
      <c r="AA42" s="1"/>
      <c r="AB42" s="1"/>
      <c r="AC42" s="1"/>
      <c r="AD42" s="1"/>
      <c r="AE42" s="1"/>
      <c r="AF42" s="1"/>
      <c r="AG42" s="1"/>
      <c r="AH42" s="1"/>
      <c r="AI42" s="1"/>
      <c r="AJ42" s="1"/>
    </row>
    <row r="43" spans="23:36" ht="15.75" customHeight="1" x14ac:dyDescent="0.2">
      <c r="Y43" s="1"/>
      <c r="Z43" s="1"/>
      <c r="AA43" s="1"/>
      <c r="AB43" s="1"/>
      <c r="AC43" s="1"/>
      <c r="AD43" s="1"/>
      <c r="AE43" s="1"/>
      <c r="AF43" s="1"/>
      <c r="AG43" s="1"/>
      <c r="AH43" s="1"/>
      <c r="AI43" s="1"/>
      <c r="AJ43" s="1"/>
    </row>
    <row r="44" spans="23:36" ht="15.75" customHeight="1" x14ac:dyDescent="0.2">
      <c r="W44" s="1"/>
      <c r="X44" s="1"/>
      <c r="Y44" s="1"/>
      <c r="Z44" s="1"/>
      <c r="AA44" s="1"/>
      <c r="AB44" s="1"/>
      <c r="AC44" s="1"/>
      <c r="AD44" s="1"/>
      <c r="AE44" s="1"/>
      <c r="AF44" s="1"/>
      <c r="AG44" s="1"/>
      <c r="AH44" s="1"/>
      <c r="AI44" s="1"/>
      <c r="AJ44" s="1"/>
    </row>
    <row r="45" spans="23:36" ht="15.75" customHeight="1" x14ac:dyDescent="0.2">
      <c r="W45" s="1"/>
      <c r="X45" s="1"/>
      <c r="Y45" s="1"/>
      <c r="Z45" s="1"/>
      <c r="AA45" s="1"/>
      <c r="AB45" s="1"/>
      <c r="AC45" s="1"/>
      <c r="AD45" s="1"/>
      <c r="AE45" s="1"/>
      <c r="AF45" s="1"/>
      <c r="AG45" s="1"/>
      <c r="AH45" s="1"/>
      <c r="AI45" s="1"/>
      <c r="AJ45" s="1"/>
    </row>
    <row r="46" spans="23:36" ht="15.75" customHeight="1" x14ac:dyDescent="0.2">
      <c r="W46" s="1"/>
      <c r="X46" s="1"/>
      <c r="Y46" s="1"/>
      <c r="Z46" s="1"/>
      <c r="AA46" s="1"/>
      <c r="AB46" s="1"/>
      <c r="AC46" s="1"/>
      <c r="AD46" s="1"/>
      <c r="AE46" s="1"/>
      <c r="AF46" s="1"/>
      <c r="AG46" s="1"/>
      <c r="AH46" s="1"/>
      <c r="AI46" s="1"/>
      <c r="AJ46" s="1"/>
    </row>
    <row r="47" spans="23:36" ht="15.75" customHeight="1" x14ac:dyDescent="0.2">
      <c r="W47" s="1"/>
      <c r="X47" s="1"/>
      <c r="Y47" s="1"/>
      <c r="Z47" s="1"/>
      <c r="AA47" s="1"/>
      <c r="AB47" s="1"/>
      <c r="AC47" s="1"/>
      <c r="AD47" s="1"/>
      <c r="AE47" s="1"/>
      <c r="AF47" s="1"/>
      <c r="AG47" s="1"/>
      <c r="AH47" s="1"/>
      <c r="AI47" s="1"/>
      <c r="AJ47" s="1"/>
    </row>
    <row r="48" spans="23:36" ht="15.75" customHeight="1" x14ac:dyDescent="0.2">
      <c r="W48" s="1"/>
      <c r="X48" s="1"/>
      <c r="Y48" s="1"/>
      <c r="Z48" s="1"/>
      <c r="AA48" s="1"/>
      <c r="AB48" s="1"/>
      <c r="AC48" s="1"/>
      <c r="AD48" s="1"/>
      <c r="AE48" s="1"/>
      <c r="AF48" s="1"/>
      <c r="AG48" s="1"/>
      <c r="AH48" s="1"/>
      <c r="AI48" s="1"/>
      <c r="AJ48" s="1"/>
    </row>
    <row r="49" spans="2:36" ht="15.75" customHeight="1" x14ac:dyDescent="0.2">
      <c r="W49" s="1"/>
      <c r="X49" s="1"/>
      <c r="Y49" s="1"/>
      <c r="Z49" s="1"/>
      <c r="AA49" s="1"/>
      <c r="AB49" s="1"/>
      <c r="AC49" s="1"/>
      <c r="AD49" s="1"/>
      <c r="AE49" s="1"/>
      <c r="AF49" s="1"/>
      <c r="AG49" s="1"/>
      <c r="AH49" s="1"/>
      <c r="AI49" s="1"/>
      <c r="AJ49" s="1"/>
    </row>
    <row r="50" spans="2:36" ht="15.75" customHeight="1" x14ac:dyDescent="0.2">
      <c r="W50" s="1"/>
      <c r="X50" s="1"/>
      <c r="Y50" s="1"/>
      <c r="Z50" s="1"/>
      <c r="AA50" s="1"/>
      <c r="AB50" s="1"/>
      <c r="AC50" s="1"/>
      <c r="AD50" s="1"/>
      <c r="AE50" s="1"/>
      <c r="AF50" s="1"/>
      <c r="AG50" s="1"/>
      <c r="AH50" s="1"/>
      <c r="AI50" s="1"/>
      <c r="AJ50" s="1"/>
    </row>
    <row r="51" spans="2:36" ht="15.75" customHeight="1" x14ac:dyDescent="0.2">
      <c r="B51" s="1"/>
      <c r="C51" s="1"/>
      <c r="D51" s="1"/>
      <c r="E51" s="1"/>
      <c r="F51" s="1"/>
      <c r="G51" s="1"/>
      <c r="H51" s="1"/>
      <c r="I51" s="1"/>
      <c r="J51" s="1"/>
      <c r="K51" s="1"/>
      <c r="L51" s="1"/>
      <c r="M51" s="1"/>
      <c r="N51" s="1"/>
      <c r="O51" s="1"/>
      <c r="P51" s="1"/>
      <c r="W51" s="1"/>
      <c r="X51" s="1"/>
      <c r="Y51" s="1"/>
      <c r="Z51" s="1"/>
      <c r="AA51" s="1"/>
      <c r="AB51" s="1"/>
      <c r="AC51" s="1"/>
      <c r="AD51" s="1"/>
      <c r="AE51" s="1"/>
      <c r="AF51" s="1"/>
      <c r="AG51" s="1"/>
      <c r="AH51" s="1"/>
      <c r="AI51" s="1"/>
      <c r="AJ51" s="1"/>
    </row>
    <row r="52" spans="2:36" ht="15.75" customHeight="1" x14ac:dyDescent="0.2">
      <c r="B52" s="1"/>
      <c r="C52" s="1"/>
      <c r="D52" s="1"/>
      <c r="E52" s="1"/>
      <c r="F52" s="1"/>
    </row>
    <row r="53" spans="2:36" ht="15.75" customHeight="1" x14ac:dyDescent="0.2">
      <c r="B53" s="1"/>
      <c r="C53" s="1"/>
    </row>
    <row r="54" spans="2:36" ht="15.75" customHeight="1" x14ac:dyDescent="0.2">
      <c r="B54" s="1"/>
      <c r="C54" s="1"/>
      <c r="D54" s="1"/>
      <c r="E54" s="1"/>
      <c r="F54" s="1"/>
    </row>
    <row r="55" spans="2:36" ht="15.75" customHeight="1" x14ac:dyDescent="0.2">
      <c r="B55" s="1"/>
      <c r="C55" s="1"/>
      <c r="D55" s="1"/>
      <c r="E55" s="1"/>
      <c r="F55" s="1"/>
    </row>
    <row r="56" spans="2:36" ht="15.75" customHeight="1" x14ac:dyDescent="0.2">
      <c r="B56" s="1"/>
      <c r="C56" s="1"/>
      <c r="D56" s="1"/>
      <c r="E56" s="1"/>
      <c r="F56" s="1"/>
    </row>
    <row r="57" spans="2:36" ht="15.75" customHeight="1" x14ac:dyDescent="0.2">
      <c r="B57" s="1"/>
      <c r="C57" s="1"/>
      <c r="D57" s="1"/>
      <c r="E57" s="1"/>
      <c r="F57" s="1"/>
    </row>
    <row r="58" spans="2:36" ht="15.75" customHeight="1" x14ac:dyDescent="0.2">
      <c r="B58" s="1"/>
      <c r="C58" s="1"/>
      <c r="D58" s="1"/>
      <c r="E58" s="1"/>
      <c r="F58" s="1"/>
    </row>
    <row r="59" spans="2:36" ht="15.75" customHeight="1" x14ac:dyDescent="0.2">
      <c r="B59" s="1"/>
      <c r="C59" s="1"/>
      <c r="D59" s="1"/>
      <c r="E59" s="1"/>
      <c r="F59" s="1"/>
    </row>
    <row r="60" spans="2:36" ht="15.75" customHeight="1" x14ac:dyDescent="0.2">
      <c r="B60" s="1"/>
      <c r="C60" s="1"/>
      <c r="D60" s="1"/>
      <c r="E60" s="1"/>
      <c r="F60" s="1"/>
    </row>
    <row r="61" spans="2:36" ht="15.75" customHeight="1" x14ac:dyDescent="0.2">
      <c r="B61" s="1"/>
      <c r="C61" s="1"/>
      <c r="D61" s="1"/>
      <c r="E61" s="1"/>
      <c r="F61" s="1"/>
    </row>
    <row r="62" spans="2:36" ht="15.75" customHeight="1" x14ac:dyDescent="0.2">
      <c r="B62" s="1"/>
      <c r="C62" s="1"/>
      <c r="D62" s="1"/>
      <c r="E62" s="1"/>
      <c r="F62" s="1"/>
    </row>
    <row r="63" spans="2:36" ht="14" x14ac:dyDescent="0.2">
      <c r="B63" s="1"/>
      <c r="C63" s="1"/>
      <c r="D63" s="1"/>
      <c r="E63" s="1"/>
      <c r="F63" s="1"/>
    </row>
    <row r="64" spans="2:36" ht="14" x14ac:dyDescent="0.2">
      <c r="B64" s="1"/>
      <c r="C64" s="1"/>
      <c r="D64" s="1"/>
      <c r="E64" s="1"/>
      <c r="F64" s="1"/>
    </row>
    <row r="65" spans="2:6" ht="14" x14ac:dyDescent="0.2">
      <c r="B65" s="1"/>
      <c r="C65" s="1"/>
      <c r="D65" s="1"/>
      <c r="E65" s="1"/>
      <c r="F65" s="1"/>
    </row>
    <row r="66" spans="2:6" ht="14" x14ac:dyDescent="0.2">
      <c r="B66" s="1"/>
      <c r="C66" s="1"/>
      <c r="D66" s="1"/>
      <c r="E66" s="1"/>
      <c r="F66" s="1"/>
    </row>
    <row r="67" spans="2:6" ht="14" x14ac:dyDescent="0.2">
      <c r="B67" s="1"/>
      <c r="C67" s="1"/>
      <c r="D67" s="1"/>
      <c r="E67" s="1"/>
      <c r="F67" s="1"/>
    </row>
    <row r="68" spans="2:6" ht="14" x14ac:dyDescent="0.2">
      <c r="B68" s="1"/>
      <c r="C68" s="1"/>
      <c r="D68" s="1"/>
      <c r="E68" s="1"/>
      <c r="F68" s="1"/>
    </row>
    <row r="69" spans="2:6" ht="14" x14ac:dyDescent="0.2">
      <c r="B69" s="1"/>
      <c r="C69" s="1"/>
      <c r="D69" s="1"/>
      <c r="E69" s="1"/>
      <c r="F69" s="1"/>
    </row>
    <row r="70" spans="2:6" ht="14" x14ac:dyDescent="0.2">
      <c r="B70" s="1"/>
      <c r="C70" s="1"/>
      <c r="D70" s="1"/>
      <c r="E70" s="1"/>
      <c r="F70" s="1"/>
    </row>
    <row r="71" spans="2:6" ht="14" x14ac:dyDescent="0.2">
      <c r="B71" s="1"/>
      <c r="C71" s="1"/>
      <c r="D71" s="1"/>
      <c r="E71" s="1"/>
      <c r="F71" s="1"/>
    </row>
    <row r="72" spans="2:6" ht="14" x14ac:dyDescent="0.2">
      <c r="B72" s="1"/>
      <c r="C72" s="1"/>
      <c r="D72" s="1"/>
      <c r="E72" s="1"/>
      <c r="F72" s="1"/>
    </row>
    <row r="73" spans="2:6" ht="14" x14ac:dyDescent="0.2">
      <c r="B73" s="1"/>
      <c r="C73" s="1"/>
      <c r="D73" s="1"/>
      <c r="E73" s="1"/>
      <c r="F73" s="1"/>
    </row>
    <row r="74" spans="2:6" ht="14" x14ac:dyDescent="0.2">
      <c r="B74" s="1"/>
      <c r="C74" s="1"/>
      <c r="D74" s="1"/>
      <c r="E74" s="1"/>
      <c r="F74" s="1"/>
    </row>
    <row r="75" spans="2:6" ht="14" x14ac:dyDescent="0.2">
      <c r="B75" s="1"/>
      <c r="C75" s="1"/>
      <c r="D75" s="1"/>
      <c r="E75" s="1"/>
      <c r="F75" s="1"/>
    </row>
    <row r="76" spans="2:6" ht="14" x14ac:dyDescent="0.2">
      <c r="B76" s="1"/>
      <c r="C76" s="1"/>
      <c r="D76" s="1"/>
      <c r="E76" s="1"/>
      <c r="F76" s="1"/>
    </row>
    <row r="77" spans="2:6" ht="14" x14ac:dyDescent="0.2">
      <c r="B77" s="1"/>
      <c r="C77" s="1"/>
      <c r="D77" s="1"/>
      <c r="E77" s="1"/>
      <c r="F77" s="1"/>
    </row>
    <row r="78" spans="2:6" ht="14" x14ac:dyDescent="0.2">
      <c r="B78" s="1"/>
      <c r="C78" s="1"/>
      <c r="D78" s="1"/>
      <c r="E78" s="1"/>
      <c r="F78" s="1"/>
    </row>
    <row r="79" spans="2:6" ht="14" x14ac:dyDescent="0.2">
      <c r="B79" s="1"/>
      <c r="C79" s="1"/>
      <c r="D79" s="1"/>
      <c r="E79" s="1"/>
      <c r="F79" s="1"/>
    </row>
    <row r="80" spans="2:6" ht="14" x14ac:dyDescent="0.2">
      <c r="B80" s="1"/>
      <c r="C80" s="1"/>
      <c r="D80" s="1"/>
      <c r="E80" s="1"/>
      <c r="F80" s="1"/>
    </row>
    <row r="81" spans="2:6" ht="14" x14ac:dyDescent="0.2">
      <c r="B81" s="1"/>
      <c r="C81" s="1"/>
      <c r="D81" s="1"/>
      <c r="E81" s="1"/>
      <c r="F81" s="1"/>
    </row>
    <row r="82" spans="2:6" ht="14" x14ac:dyDescent="0.2">
      <c r="B82" s="1"/>
      <c r="C82" s="1"/>
      <c r="D82" s="1"/>
      <c r="E82" s="1"/>
      <c r="F82" s="1"/>
    </row>
    <row r="83" spans="2:6" ht="14" x14ac:dyDescent="0.2">
      <c r="B83" s="1"/>
      <c r="C83" s="1"/>
      <c r="D83" s="1"/>
      <c r="E83" s="1"/>
      <c r="F83" s="1"/>
    </row>
    <row r="84" spans="2:6" ht="14" x14ac:dyDescent="0.2">
      <c r="B84" s="1"/>
      <c r="C84" s="1"/>
      <c r="D84" s="1"/>
      <c r="E84" s="1"/>
      <c r="F84" s="1"/>
    </row>
    <row r="85" spans="2:6" ht="14" x14ac:dyDescent="0.2">
      <c r="B85" s="1"/>
      <c r="C85" s="1"/>
      <c r="D85" s="1"/>
      <c r="E85" s="1"/>
      <c r="F85" s="1"/>
    </row>
    <row r="86" spans="2:6" ht="14" x14ac:dyDescent="0.2">
      <c r="B86" s="1"/>
      <c r="C86" s="1"/>
      <c r="D86" s="1"/>
      <c r="E86" s="1"/>
      <c r="F86" s="1"/>
    </row>
    <row r="87" spans="2:6" ht="14" x14ac:dyDescent="0.2">
      <c r="B87" s="1"/>
      <c r="C87" s="1"/>
      <c r="D87" s="1"/>
      <c r="E87" s="1"/>
      <c r="F87" s="1"/>
    </row>
    <row r="88" spans="2:6" ht="14" x14ac:dyDescent="0.2">
      <c r="B88" s="1"/>
      <c r="C88" s="1"/>
      <c r="D88" s="1"/>
      <c r="E88" s="1"/>
      <c r="F88" s="1"/>
    </row>
    <row r="89" spans="2:6" ht="14" x14ac:dyDescent="0.2">
      <c r="B89" s="1"/>
      <c r="C89" s="1"/>
      <c r="D89" s="1"/>
      <c r="E89" s="1"/>
      <c r="F89" s="1"/>
    </row>
    <row r="90" spans="2:6" ht="14" x14ac:dyDescent="0.2">
      <c r="B90" s="1"/>
      <c r="C90" s="1"/>
      <c r="D90" s="1"/>
      <c r="E90" s="1"/>
      <c r="F90" s="1"/>
    </row>
    <row r="91" spans="2:6" ht="14" x14ac:dyDescent="0.2">
      <c r="B91" s="1"/>
      <c r="C91" s="1"/>
      <c r="D91" s="1"/>
      <c r="E91" s="1"/>
      <c r="F91" s="1"/>
    </row>
    <row r="92" spans="2:6" ht="14" x14ac:dyDescent="0.2">
      <c r="B92" s="1"/>
      <c r="C92" s="1"/>
      <c r="D92" s="1"/>
      <c r="E92" s="1"/>
      <c r="F92" s="1"/>
    </row>
    <row r="93" spans="2:6" ht="14" x14ac:dyDescent="0.2">
      <c r="B93" s="1"/>
      <c r="C93" s="1"/>
      <c r="D93" s="1"/>
      <c r="E93" s="1"/>
      <c r="F93" s="1"/>
    </row>
    <row r="94" spans="2:6" ht="14" x14ac:dyDescent="0.2">
      <c r="B94" s="1"/>
      <c r="C94" s="1"/>
      <c r="D94" s="1"/>
      <c r="E94" s="1"/>
      <c r="F94" s="1"/>
    </row>
    <row r="95" spans="2:6" ht="14" x14ac:dyDescent="0.2">
      <c r="B95" s="1"/>
      <c r="C95" s="1"/>
      <c r="D95" s="1"/>
      <c r="E95" s="1"/>
      <c r="F95" s="1"/>
    </row>
    <row r="96" spans="2:6" ht="14" x14ac:dyDescent="0.2">
      <c r="B96" s="1"/>
      <c r="C96" s="1"/>
      <c r="D96" s="1"/>
      <c r="E96" s="1"/>
      <c r="F96" s="1"/>
    </row>
    <row r="97" spans="2:6" ht="14" x14ac:dyDescent="0.2">
      <c r="B97" s="1"/>
      <c r="C97" s="1"/>
      <c r="D97" s="1"/>
      <c r="E97" s="1"/>
      <c r="F97" s="1"/>
    </row>
    <row r="98" spans="2:6" ht="14" x14ac:dyDescent="0.2">
      <c r="B98" s="1"/>
      <c r="C98" s="1"/>
      <c r="D98" s="1"/>
      <c r="E98" s="1"/>
      <c r="F98" s="1"/>
    </row>
    <row r="99" spans="2:6" ht="14" x14ac:dyDescent="0.2">
      <c r="B99" s="1"/>
      <c r="C99" s="1"/>
      <c r="D99" s="1"/>
      <c r="E99" s="1"/>
      <c r="F99" s="1"/>
    </row>
    <row r="100" spans="2:6" ht="14" x14ac:dyDescent="0.2">
      <c r="B100" s="1"/>
      <c r="C100" s="1"/>
      <c r="D100" s="1"/>
      <c r="E100" s="1"/>
      <c r="F100" s="1"/>
    </row>
    <row r="101" spans="2:6" ht="14" x14ac:dyDescent="0.2">
      <c r="B101" s="1"/>
      <c r="C101" s="1"/>
      <c r="D101" s="1"/>
      <c r="E101" s="1"/>
      <c r="F101" s="1"/>
    </row>
    <row r="102" spans="2:6" ht="14" x14ac:dyDescent="0.2">
      <c r="B102" s="1"/>
      <c r="C102" s="1"/>
      <c r="D102" s="1"/>
      <c r="E102" s="1"/>
      <c r="F102" s="1"/>
    </row>
    <row r="103" spans="2:6" ht="14" x14ac:dyDescent="0.2">
      <c r="B103" s="1"/>
      <c r="C103" s="1"/>
      <c r="D103" s="1"/>
      <c r="E103" s="1"/>
      <c r="F103" s="1"/>
    </row>
    <row r="104" spans="2:6" ht="14" x14ac:dyDescent="0.2">
      <c r="B104" s="1"/>
      <c r="C104" s="1"/>
      <c r="D104" s="1"/>
      <c r="E104" s="1"/>
      <c r="F104" s="1"/>
    </row>
    <row r="105" spans="2:6" ht="14" x14ac:dyDescent="0.2">
      <c r="B105" s="1"/>
      <c r="C105" s="1"/>
      <c r="D105" s="1"/>
      <c r="E105" s="1"/>
      <c r="F105" s="1"/>
    </row>
    <row r="106" spans="2:6" ht="14" x14ac:dyDescent="0.2">
      <c r="B106" s="1"/>
      <c r="C106" s="1"/>
      <c r="D106" s="1"/>
      <c r="E106" s="1"/>
      <c r="F106" s="1"/>
    </row>
    <row r="107" spans="2:6" ht="14" x14ac:dyDescent="0.2">
      <c r="B107" s="1"/>
      <c r="C107" s="1"/>
      <c r="D107" s="1"/>
      <c r="E107" s="1"/>
      <c r="F107" s="1"/>
    </row>
    <row r="108" spans="2:6" ht="14" x14ac:dyDescent="0.2">
      <c r="B108" s="1"/>
      <c r="C108" s="1"/>
      <c r="D108" s="1"/>
      <c r="E108" s="1"/>
      <c r="F108" s="1"/>
    </row>
    <row r="109" spans="2:6" ht="14" x14ac:dyDescent="0.2">
      <c r="B109" s="1"/>
      <c r="C109" s="1"/>
      <c r="D109" s="1"/>
      <c r="E109" s="1"/>
      <c r="F109" s="1"/>
    </row>
    <row r="110" spans="2:6" ht="14" x14ac:dyDescent="0.2">
      <c r="B110" s="1"/>
      <c r="C110" s="1"/>
      <c r="D110" s="1"/>
      <c r="E110" s="1"/>
      <c r="F110" s="1"/>
    </row>
    <row r="111" spans="2:6" ht="14" x14ac:dyDescent="0.2">
      <c r="B111" s="1"/>
      <c r="C111" s="1"/>
      <c r="D111" s="1"/>
      <c r="E111" s="1"/>
      <c r="F111" s="1"/>
    </row>
    <row r="112" spans="2:6" ht="14" x14ac:dyDescent="0.2">
      <c r="B112" s="1"/>
      <c r="C112" s="1"/>
      <c r="D112" s="1"/>
      <c r="E112" s="1"/>
      <c r="F112" s="1"/>
    </row>
    <row r="113" spans="2:6" ht="14" x14ac:dyDescent="0.2">
      <c r="B113" s="1"/>
      <c r="C113" s="1"/>
      <c r="D113" s="1"/>
      <c r="E113" s="1"/>
      <c r="F113" s="1"/>
    </row>
    <row r="114" spans="2:6" ht="14" x14ac:dyDescent="0.2">
      <c r="B114" s="1"/>
      <c r="C114" s="1"/>
      <c r="D114" s="1"/>
      <c r="E114" s="1"/>
      <c r="F114" s="1"/>
    </row>
    <row r="115" spans="2:6" ht="14" x14ac:dyDescent="0.2">
      <c r="B115" s="1"/>
      <c r="C115" s="1"/>
      <c r="D115" s="1"/>
      <c r="E115" s="1"/>
      <c r="F115" s="1"/>
    </row>
    <row r="116" spans="2:6" ht="14" x14ac:dyDescent="0.2">
      <c r="B116" s="1"/>
      <c r="C116" s="1"/>
      <c r="D116" s="1"/>
      <c r="E116" s="1"/>
      <c r="F116" s="1"/>
    </row>
    <row r="117" spans="2:6" ht="14" x14ac:dyDescent="0.2">
      <c r="B117" s="1"/>
      <c r="C117" s="1"/>
      <c r="D117" s="1"/>
      <c r="E117" s="1"/>
      <c r="F117" s="1"/>
    </row>
    <row r="118" spans="2:6" ht="14" x14ac:dyDescent="0.2">
      <c r="B118" s="1"/>
      <c r="C118" s="1"/>
      <c r="D118" s="1"/>
      <c r="E118" s="1"/>
      <c r="F118" s="1"/>
    </row>
    <row r="119" spans="2:6" ht="14" x14ac:dyDescent="0.2">
      <c r="B119" s="1"/>
      <c r="C119" s="1"/>
      <c r="D119" s="1"/>
      <c r="E119" s="1"/>
      <c r="F119" s="1"/>
    </row>
    <row r="120" spans="2:6" ht="14" x14ac:dyDescent="0.2">
      <c r="B120" s="1"/>
      <c r="C120" s="1"/>
      <c r="D120" s="1"/>
      <c r="E120" s="1"/>
      <c r="F120" s="1"/>
    </row>
    <row r="121" spans="2:6" ht="14" x14ac:dyDescent="0.2">
      <c r="B121" s="1"/>
      <c r="C121" s="1"/>
      <c r="D121" s="1"/>
      <c r="E121" s="1"/>
      <c r="F121" s="1"/>
    </row>
    <row r="122" spans="2:6" ht="14" x14ac:dyDescent="0.2">
      <c r="B122" s="1"/>
      <c r="C122" s="1"/>
      <c r="D122" s="1"/>
      <c r="E122" s="1"/>
      <c r="F122" s="1"/>
    </row>
    <row r="123" spans="2:6" ht="14" x14ac:dyDescent="0.2">
      <c r="B123" s="1"/>
      <c r="C123" s="1"/>
      <c r="D123" s="1"/>
      <c r="E123" s="1"/>
      <c r="F123" s="1"/>
    </row>
    <row r="124" spans="2:6" ht="14" x14ac:dyDescent="0.2">
      <c r="B124" s="1"/>
      <c r="C124" s="1"/>
      <c r="D124" s="1"/>
      <c r="E124" s="1"/>
      <c r="F124" s="1"/>
    </row>
    <row r="125" spans="2:6" ht="14" x14ac:dyDescent="0.2">
      <c r="B125" s="1"/>
      <c r="C125" s="1"/>
      <c r="D125" s="1"/>
      <c r="E125" s="1"/>
      <c r="F125" s="1"/>
    </row>
    <row r="126" spans="2:6" ht="14" x14ac:dyDescent="0.2">
      <c r="B126" s="1"/>
      <c r="C126" s="1"/>
      <c r="D126" s="1"/>
      <c r="E126" s="1"/>
      <c r="F126" s="1"/>
    </row>
    <row r="127" spans="2:6" ht="14" x14ac:dyDescent="0.2">
      <c r="B127" s="1"/>
      <c r="C127" s="1"/>
      <c r="D127" s="1"/>
      <c r="E127" s="1"/>
      <c r="F127" s="1"/>
    </row>
    <row r="128" spans="2:6" ht="14" x14ac:dyDescent="0.2">
      <c r="B128" s="1"/>
      <c r="C128" s="1"/>
      <c r="D128" s="1"/>
      <c r="E128" s="1"/>
      <c r="F128" s="1"/>
    </row>
    <row r="129" spans="2:6" ht="14" x14ac:dyDescent="0.2">
      <c r="B129" s="1"/>
      <c r="C129" s="1"/>
      <c r="D129" s="1"/>
      <c r="E129" s="1"/>
      <c r="F129" s="1"/>
    </row>
    <row r="130" spans="2:6" ht="14" x14ac:dyDescent="0.2">
      <c r="B130" s="1"/>
      <c r="C130" s="1"/>
      <c r="D130" s="1"/>
      <c r="E130" s="1"/>
      <c r="F130" s="1"/>
    </row>
    <row r="131" spans="2:6" ht="14" x14ac:dyDescent="0.2">
      <c r="B131" s="1"/>
      <c r="C131" s="1"/>
      <c r="D131" s="1"/>
      <c r="E131" s="1"/>
      <c r="F131" s="1"/>
    </row>
    <row r="132" spans="2:6" ht="14" x14ac:dyDescent="0.2">
      <c r="B132" s="1"/>
      <c r="C132" s="1"/>
      <c r="D132" s="1"/>
      <c r="E132" s="1"/>
      <c r="F132" s="1"/>
    </row>
    <row r="133" spans="2:6" ht="14" x14ac:dyDescent="0.2">
      <c r="B133" s="1"/>
      <c r="C133" s="1"/>
      <c r="D133" s="1"/>
      <c r="E133" s="1"/>
      <c r="F133" s="1"/>
    </row>
    <row r="134" spans="2:6" ht="14" x14ac:dyDescent="0.2">
      <c r="B134" s="1"/>
      <c r="C134" s="1"/>
      <c r="D134" s="1"/>
      <c r="E134" s="1"/>
      <c r="F134" s="1"/>
    </row>
    <row r="135" spans="2:6" ht="14" x14ac:dyDescent="0.2">
      <c r="B135" s="1"/>
      <c r="C135" s="1"/>
      <c r="D135" s="1"/>
      <c r="E135" s="1"/>
      <c r="F135" s="1"/>
    </row>
    <row r="136" spans="2:6" ht="14" x14ac:dyDescent="0.2">
      <c r="B136" s="1"/>
      <c r="C136" s="1"/>
      <c r="D136" s="1"/>
      <c r="E136" s="1"/>
      <c r="F136" s="1"/>
    </row>
    <row r="137" spans="2:6" ht="14" x14ac:dyDescent="0.2">
      <c r="B137" s="1"/>
      <c r="C137" s="1"/>
      <c r="D137" s="1"/>
      <c r="E137" s="1"/>
      <c r="F137" s="1"/>
    </row>
    <row r="138" spans="2:6" ht="14" x14ac:dyDescent="0.2">
      <c r="B138" s="1"/>
      <c r="C138" s="1"/>
      <c r="D138" s="1"/>
      <c r="E138" s="1"/>
      <c r="F138" s="1"/>
    </row>
    <row r="139" spans="2:6" ht="14" x14ac:dyDescent="0.2">
      <c r="B139" s="1"/>
      <c r="C139" s="1"/>
      <c r="D139" s="1"/>
      <c r="E139" s="1"/>
      <c r="F139" s="1"/>
    </row>
    <row r="140" spans="2:6" ht="14" x14ac:dyDescent="0.2">
      <c r="B140" s="1"/>
      <c r="C140" s="1"/>
      <c r="D140" s="1"/>
      <c r="E140" s="1"/>
      <c r="F140" s="1"/>
    </row>
    <row r="141" spans="2:6" ht="14" x14ac:dyDescent="0.2">
      <c r="B141" s="1"/>
      <c r="C141" s="1"/>
      <c r="D141" s="1"/>
      <c r="E141" s="1"/>
      <c r="F141" s="1"/>
    </row>
    <row r="142" spans="2:6" ht="14" x14ac:dyDescent="0.2">
      <c r="B142" s="1"/>
      <c r="C142" s="1"/>
      <c r="D142" s="1"/>
      <c r="E142" s="1"/>
      <c r="F142" s="1"/>
    </row>
    <row r="143" spans="2:6" ht="14" x14ac:dyDescent="0.2">
      <c r="B143" s="1"/>
      <c r="C143" s="1"/>
      <c r="D143" s="1"/>
      <c r="E143" s="1"/>
      <c r="F143" s="1"/>
    </row>
    <row r="144" spans="2:6" ht="14" x14ac:dyDescent="0.2">
      <c r="B144" s="1"/>
      <c r="C144" s="1"/>
      <c r="D144" s="1"/>
      <c r="E144" s="1"/>
      <c r="F144" s="1"/>
    </row>
    <row r="145" spans="2:6" ht="14" x14ac:dyDescent="0.2">
      <c r="B145" s="1"/>
      <c r="C145" s="1"/>
      <c r="D145" s="1"/>
      <c r="E145" s="1"/>
      <c r="F145" s="1"/>
    </row>
    <row r="146" spans="2:6" ht="14" x14ac:dyDescent="0.2">
      <c r="B146" s="1"/>
      <c r="C146" s="1"/>
      <c r="D146" s="1"/>
      <c r="E146" s="1"/>
      <c r="F146" s="1"/>
    </row>
    <row r="147" spans="2:6" ht="14" x14ac:dyDescent="0.2">
      <c r="B147" s="1"/>
      <c r="C147" s="1"/>
      <c r="D147" s="1"/>
      <c r="E147" s="1"/>
      <c r="F147" s="1"/>
    </row>
    <row r="148" spans="2:6" ht="14" x14ac:dyDescent="0.2">
      <c r="B148" s="1"/>
      <c r="C148" s="1"/>
      <c r="D148" s="1"/>
      <c r="E148" s="1"/>
      <c r="F148" s="1"/>
    </row>
    <row r="149" spans="2:6" ht="14" x14ac:dyDescent="0.2">
      <c r="B149" s="1"/>
      <c r="C149" s="1"/>
      <c r="D149" s="1"/>
      <c r="E149" s="1"/>
      <c r="F149" s="1"/>
    </row>
    <row r="150" spans="2:6" ht="14" x14ac:dyDescent="0.2">
      <c r="B150" s="1"/>
      <c r="C150" s="1"/>
      <c r="D150" s="1"/>
      <c r="E150" s="1"/>
      <c r="F150" s="1"/>
    </row>
    <row r="151" spans="2:6" ht="14" x14ac:dyDescent="0.2">
      <c r="B151" s="1"/>
      <c r="C151" s="1"/>
      <c r="D151" s="1"/>
      <c r="E151" s="1"/>
      <c r="F151" s="1"/>
    </row>
    <row r="152" spans="2:6" ht="14" x14ac:dyDescent="0.2">
      <c r="B152" s="1"/>
      <c r="C152" s="1"/>
      <c r="D152" s="1"/>
      <c r="E152" s="1"/>
      <c r="F152" s="1"/>
    </row>
    <row r="153" spans="2:6" ht="14" x14ac:dyDescent="0.2">
      <c r="B153" s="1"/>
      <c r="C153" s="1"/>
      <c r="D153" s="1"/>
      <c r="E153" s="1"/>
      <c r="F153" s="1"/>
    </row>
    <row r="154" spans="2:6" ht="14" x14ac:dyDescent="0.2">
      <c r="B154" s="1"/>
      <c r="C154" s="1"/>
      <c r="D154" s="1"/>
      <c r="E154" s="1"/>
      <c r="F154" s="1"/>
    </row>
    <row r="155" spans="2:6" ht="14" x14ac:dyDescent="0.2">
      <c r="B155" s="1"/>
      <c r="C155" s="1"/>
      <c r="D155" s="1"/>
      <c r="E155" s="1"/>
      <c r="F155" s="1"/>
    </row>
    <row r="156" spans="2:6" ht="14" x14ac:dyDescent="0.2">
      <c r="B156" s="1"/>
      <c r="C156" s="1"/>
      <c r="D156" s="1"/>
      <c r="E156" s="1"/>
      <c r="F156" s="1"/>
    </row>
    <row r="157" spans="2:6" ht="14" x14ac:dyDescent="0.2">
      <c r="B157" s="1"/>
      <c r="C157" s="1"/>
      <c r="D157" s="1"/>
      <c r="E157" s="1"/>
      <c r="F157" s="1"/>
    </row>
    <row r="158" spans="2:6" ht="14" x14ac:dyDescent="0.2">
      <c r="B158" s="1"/>
      <c r="C158" s="1"/>
      <c r="D158" s="1"/>
      <c r="E158" s="1"/>
      <c r="F158" s="1"/>
    </row>
    <row r="159" spans="2:6" ht="14" x14ac:dyDescent="0.2">
      <c r="B159" s="1"/>
      <c r="C159" s="1"/>
      <c r="D159" s="1"/>
      <c r="E159" s="1"/>
      <c r="F159" s="1"/>
    </row>
    <row r="160" spans="2:6" ht="14" x14ac:dyDescent="0.2">
      <c r="B160" s="1"/>
      <c r="C160" s="1"/>
      <c r="D160" s="1"/>
      <c r="E160" s="1"/>
      <c r="F160" s="1"/>
    </row>
    <row r="161" spans="2:6" ht="14" x14ac:dyDescent="0.2">
      <c r="B161" s="1"/>
      <c r="C161" s="1"/>
      <c r="D161" s="1"/>
      <c r="E161" s="1"/>
      <c r="F161" s="1"/>
    </row>
    <row r="162" spans="2:6" ht="14" x14ac:dyDescent="0.2">
      <c r="B162" s="1"/>
      <c r="C162" s="1"/>
      <c r="D162" s="1"/>
      <c r="E162" s="1"/>
      <c r="F162" s="1"/>
    </row>
    <row r="163" spans="2:6" ht="14" x14ac:dyDescent="0.2">
      <c r="B163" s="1"/>
      <c r="C163" s="1"/>
      <c r="D163" s="1"/>
      <c r="E163" s="1"/>
      <c r="F163" s="1"/>
    </row>
    <row r="164" spans="2:6" ht="14" x14ac:dyDescent="0.2">
      <c r="B164" s="1"/>
      <c r="C164" s="1"/>
      <c r="D164" s="1"/>
      <c r="E164" s="1"/>
      <c r="F164" s="1"/>
    </row>
    <row r="165" spans="2:6" ht="14" x14ac:dyDescent="0.2">
      <c r="B165" s="1"/>
      <c r="C165" s="1"/>
      <c r="D165" s="1"/>
      <c r="E165" s="1"/>
      <c r="F165" s="1"/>
    </row>
    <row r="166" spans="2:6" ht="14" x14ac:dyDescent="0.2">
      <c r="B166" s="1"/>
      <c r="C166" s="1"/>
      <c r="D166" s="1"/>
      <c r="E166" s="1"/>
      <c r="F166" s="1"/>
    </row>
    <row r="167" spans="2:6" ht="14" x14ac:dyDescent="0.2">
      <c r="B167" s="1"/>
      <c r="C167" s="1"/>
      <c r="D167" s="1"/>
      <c r="E167" s="1"/>
      <c r="F167" s="1"/>
    </row>
    <row r="168" spans="2:6" ht="14" x14ac:dyDescent="0.2">
      <c r="B168" s="1"/>
      <c r="C168" s="1"/>
      <c r="D168" s="1"/>
      <c r="E168" s="1"/>
      <c r="F168" s="1"/>
    </row>
    <row r="169" spans="2:6" ht="14" x14ac:dyDescent="0.2">
      <c r="B169" s="1"/>
      <c r="C169" s="1"/>
      <c r="D169" s="1"/>
      <c r="E169" s="1"/>
      <c r="F169" s="1"/>
    </row>
    <row r="170" spans="2:6" ht="14" x14ac:dyDescent="0.2">
      <c r="B170" s="1"/>
      <c r="C170" s="1"/>
      <c r="D170" s="1"/>
      <c r="E170" s="1"/>
      <c r="F170" s="1"/>
    </row>
    <row r="171" spans="2:6" ht="14" x14ac:dyDescent="0.2">
      <c r="B171" s="1"/>
      <c r="C171" s="1"/>
      <c r="D171" s="1"/>
      <c r="E171" s="1"/>
      <c r="F171" s="1"/>
    </row>
    <row r="172" spans="2:6" ht="14" x14ac:dyDescent="0.2">
      <c r="B172" s="1"/>
      <c r="C172" s="1"/>
      <c r="D172" s="1"/>
      <c r="E172" s="1"/>
      <c r="F172" s="1"/>
    </row>
    <row r="173" spans="2:6" ht="14" x14ac:dyDescent="0.2">
      <c r="B173" s="1"/>
      <c r="C173" s="1"/>
      <c r="D173" s="1"/>
      <c r="E173" s="1"/>
      <c r="F173" s="1"/>
    </row>
    <row r="174" spans="2:6" ht="14" x14ac:dyDescent="0.2">
      <c r="B174" s="1"/>
      <c r="C174" s="1"/>
      <c r="D174" s="1"/>
      <c r="E174" s="1"/>
      <c r="F174" s="1"/>
    </row>
    <row r="175" spans="2:6" ht="14" x14ac:dyDescent="0.2">
      <c r="B175" s="1"/>
      <c r="C175" s="1"/>
      <c r="D175" s="1"/>
      <c r="E175" s="1"/>
      <c r="F175" s="1"/>
    </row>
    <row r="176" spans="2:6" ht="14" x14ac:dyDescent="0.2">
      <c r="B176" s="1"/>
      <c r="C176" s="1"/>
      <c r="D176" s="1"/>
      <c r="E176" s="1"/>
      <c r="F176" s="1"/>
    </row>
    <row r="177" spans="2:6" ht="14" x14ac:dyDescent="0.2">
      <c r="B177" s="1"/>
      <c r="C177" s="1"/>
      <c r="D177" s="1"/>
      <c r="E177" s="1"/>
      <c r="F177" s="1"/>
    </row>
    <row r="178" spans="2:6" ht="14" x14ac:dyDescent="0.2">
      <c r="B178" s="1"/>
      <c r="C178" s="1"/>
      <c r="D178" s="1"/>
      <c r="E178" s="1"/>
      <c r="F178" s="1"/>
    </row>
    <row r="179" spans="2:6" ht="14" x14ac:dyDescent="0.2">
      <c r="B179" s="1"/>
      <c r="C179" s="1"/>
      <c r="D179" s="1"/>
      <c r="E179" s="1"/>
      <c r="F179" s="1"/>
    </row>
    <row r="180" spans="2:6" ht="14" x14ac:dyDescent="0.2">
      <c r="B180" s="1"/>
      <c r="C180" s="1"/>
      <c r="D180" s="1"/>
      <c r="E180" s="1"/>
      <c r="F180" s="1"/>
    </row>
    <row r="181" spans="2:6" ht="14" x14ac:dyDescent="0.2">
      <c r="B181" s="1"/>
      <c r="C181" s="1"/>
      <c r="D181" s="1"/>
      <c r="E181" s="1"/>
      <c r="F181" s="1"/>
    </row>
    <row r="182" spans="2:6" ht="14" x14ac:dyDescent="0.2">
      <c r="B182" s="1"/>
      <c r="C182" s="1"/>
      <c r="D182" s="1"/>
      <c r="E182" s="1"/>
      <c r="F182" s="1"/>
    </row>
    <row r="183" spans="2:6" ht="14" x14ac:dyDescent="0.2">
      <c r="B183" s="1"/>
      <c r="C183" s="1"/>
      <c r="D183" s="1"/>
      <c r="E183" s="1"/>
      <c r="F183" s="1"/>
    </row>
    <row r="184" spans="2:6" ht="14" x14ac:dyDescent="0.2">
      <c r="B184" s="1"/>
      <c r="C184" s="1"/>
      <c r="D184" s="1"/>
      <c r="E184" s="1"/>
      <c r="F184" s="1"/>
    </row>
    <row r="185" spans="2:6" ht="14" x14ac:dyDescent="0.2">
      <c r="B185" s="1"/>
      <c r="C185" s="1"/>
      <c r="D185" s="1"/>
      <c r="E185" s="1"/>
      <c r="F185" s="1"/>
    </row>
    <row r="186" spans="2:6" ht="14" x14ac:dyDescent="0.2">
      <c r="B186" s="1"/>
      <c r="C186" s="1"/>
      <c r="D186" s="1"/>
      <c r="E186" s="1"/>
      <c r="F186" s="1"/>
    </row>
    <row r="187" spans="2:6" ht="14" x14ac:dyDescent="0.2">
      <c r="B187" s="1"/>
      <c r="C187" s="1"/>
      <c r="D187" s="1"/>
      <c r="E187" s="1"/>
      <c r="F187" s="1"/>
    </row>
    <row r="188" spans="2:6" ht="14" x14ac:dyDescent="0.2">
      <c r="B188" s="1"/>
      <c r="C188" s="1"/>
      <c r="D188" s="1"/>
      <c r="E188" s="1"/>
      <c r="F188" s="1"/>
    </row>
    <row r="189" spans="2:6" ht="14" x14ac:dyDescent="0.2">
      <c r="B189" s="1"/>
      <c r="C189" s="1"/>
      <c r="D189" s="1"/>
      <c r="E189" s="1"/>
      <c r="F189" s="1"/>
    </row>
    <row r="190" spans="2:6" ht="14" x14ac:dyDescent="0.2">
      <c r="B190" s="1"/>
      <c r="C190" s="1"/>
      <c r="D190" s="1"/>
      <c r="E190" s="1"/>
      <c r="F190" s="1"/>
    </row>
    <row r="191" spans="2:6" ht="14" x14ac:dyDescent="0.2">
      <c r="B191" s="1"/>
      <c r="C191" s="1"/>
      <c r="D191" s="1"/>
      <c r="E191" s="1"/>
      <c r="F191" s="1"/>
    </row>
    <row r="192" spans="2:6" ht="14" x14ac:dyDescent="0.2">
      <c r="B192" s="1"/>
      <c r="C192" s="1"/>
      <c r="D192" s="1"/>
      <c r="E192" s="1"/>
      <c r="F192" s="1"/>
    </row>
    <row r="193" spans="2:6" ht="14" x14ac:dyDescent="0.2">
      <c r="B193" s="1"/>
      <c r="C193" s="1"/>
      <c r="D193" s="1"/>
      <c r="E193" s="1"/>
      <c r="F193" s="1"/>
    </row>
    <row r="194" spans="2:6" ht="14" x14ac:dyDescent="0.2">
      <c r="B194" s="1"/>
      <c r="C194" s="1"/>
      <c r="D194" s="1"/>
      <c r="E194" s="1"/>
      <c r="F194" s="1"/>
    </row>
    <row r="195" spans="2:6" ht="14" x14ac:dyDescent="0.2">
      <c r="B195" s="1"/>
      <c r="C195" s="1"/>
      <c r="D195" s="1"/>
      <c r="E195" s="1"/>
      <c r="F195" s="1"/>
    </row>
    <row r="196" spans="2:6" ht="14" x14ac:dyDescent="0.2">
      <c r="B196" s="1"/>
      <c r="C196" s="1"/>
      <c r="D196" s="1"/>
      <c r="E196" s="1"/>
      <c r="F196" s="1"/>
    </row>
    <row r="197" spans="2:6" ht="14" x14ac:dyDescent="0.2">
      <c r="B197" s="1"/>
      <c r="C197" s="1"/>
      <c r="D197" s="1"/>
      <c r="E197" s="1"/>
      <c r="F197" s="1"/>
    </row>
    <row r="198" spans="2:6" ht="14" x14ac:dyDescent="0.2">
      <c r="B198" s="1"/>
      <c r="C198" s="1"/>
      <c r="D198" s="1"/>
      <c r="E198" s="1"/>
      <c r="F198" s="1"/>
    </row>
    <row r="199" spans="2:6" ht="14" x14ac:dyDescent="0.2">
      <c r="B199" s="1"/>
      <c r="C199" s="1"/>
      <c r="D199" s="1"/>
      <c r="E199" s="1"/>
      <c r="F199" s="1"/>
    </row>
    <row r="200" spans="2:6" ht="14" x14ac:dyDescent="0.2">
      <c r="B200" s="1"/>
      <c r="C200" s="1"/>
      <c r="D200" s="1"/>
      <c r="E200" s="1"/>
      <c r="F200" s="1"/>
    </row>
    <row r="201" spans="2:6" ht="14" x14ac:dyDescent="0.2">
      <c r="B201" s="1"/>
      <c r="C201" s="1"/>
      <c r="D201" s="1"/>
      <c r="E201" s="1"/>
      <c r="F201" s="1"/>
    </row>
    <row r="202" spans="2:6" ht="14" x14ac:dyDescent="0.2">
      <c r="B202" s="1"/>
      <c r="C202" s="1"/>
      <c r="D202" s="1"/>
      <c r="E202" s="1"/>
      <c r="F202" s="1"/>
    </row>
    <row r="203" spans="2:6" ht="14" x14ac:dyDescent="0.2">
      <c r="B203" s="1"/>
      <c r="C203" s="1"/>
      <c r="D203" s="1"/>
      <c r="E203" s="1"/>
      <c r="F203" s="1"/>
    </row>
    <row r="204" spans="2:6" ht="14" x14ac:dyDescent="0.2">
      <c r="B204" s="1"/>
      <c r="C204" s="1"/>
      <c r="D204" s="1"/>
      <c r="E204" s="1"/>
      <c r="F204" s="1"/>
    </row>
    <row r="205" spans="2:6" ht="14" x14ac:dyDescent="0.2">
      <c r="B205" s="1"/>
      <c r="C205" s="1"/>
      <c r="D205" s="1"/>
      <c r="E205" s="1"/>
      <c r="F205" s="1"/>
    </row>
    <row r="206" spans="2:6" ht="14" x14ac:dyDescent="0.2">
      <c r="B206" s="1"/>
      <c r="C206" s="1"/>
      <c r="D206" s="1"/>
      <c r="E206" s="1"/>
      <c r="F206" s="1"/>
    </row>
    <row r="207" spans="2:6" ht="14" x14ac:dyDescent="0.2">
      <c r="B207" s="1"/>
      <c r="C207" s="1"/>
      <c r="D207" s="1"/>
      <c r="E207" s="1"/>
      <c r="F207" s="1"/>
    </row>
    <row r="208" spans="2:6" ht="14" x14ac:dyDescent="0.2">
      <c r="B208" s="1"/>
      <c r="C208" s="1"/>
      <c r="D208" s="1"/>
      <c r="E208" s="1"/>
      <c r="F208" s="1"/>
    </row>
    <row r="209" spans="2:6" ht="14" x14ac:dyDescent="0.2">
      <c r="B209" s="1"/>
      <c r="C209" s="1"/>
      <c r="D209" s="1"/>
      <c r="E209" s="1"/>
      <c r="F209" s="1"/>
    </row>
    <row r="210" spans="2:6" ht="14" x14ac:dyDescent="0.2">
      <c r="B210" s="1"/>
      <c r="C210" s="1"/>
      <c r="D210" s="1"/>
      <c r="E210" s="1"/>
      <c r="F210" s="1"/>
    </row>
    <row r="211" spans="2:6" ht="14" x14ac:dyDescent="0.2">
      <c r="B211" s="1"/>
      <c r="C211" s="1"/>
      <c r="D211" s="1"/>
      <c r="E211" s="1"/>
      <c r="F211" s="1"/>
    </row>
    <row r="212" spans="2:6" ht="14" x14ac:dyDescent="0.2">
      <c r="B212" s="1"/>
      <c r="C212" s="1"/>
      <c r="D212" s="1"/>
      <c r="E212" s="1"/>
      <c r="F212" s="1"/>
    </row>
    <row r="213" spans="2:6" ht="14" x14ac:dyDescent="0.2">
      <c r="B213" s="1"/>
      <c r="C213" s="1"/>
      <c r="D213" s="1"/>
      <c r="E213" s="1"/>
      <c r="F213" s="1"/>
    </row>
    <row r="214" spans="2:6" ht="14" x14ac:dyDescent="0.2">
      <c r="B214" s="1"/>
      <c r="C214" s="1"/>
      <c r="D214" s="1"/>
      <c r="E214" s="1"/>
      <c r="F214" s="1"/>
    </row>
    <row r="215" spans="2:6" ht="14" x14ac:dyDescent="0.2">
      <c r="B215" s="1"/>
      <c r="C215" s="1"/>
      <c r="D215" s="1"/>
      <c r="E215" s="1"/>
      <c r="F215" s="1"/>
    </row>
    <row r="216" spans="2:6" ht="14" x14ac:dyDescent="0.2">
      <c r="B216" s="1"/>
      <c r="C216" s="1"/>
      <c r="D216" s="1"/>
      <c r="E216" s="1"/>
      <c r="F216" s="1"/>
    </row>
    <row r="217" spans="2:6" ht="14" x14ac:dyDescent="0.2">
      <c r="B217" s="1"/>
      <c r="C217" s="1"/>
      <c r="D217" s="1"/>
      <c r="E217" s="1"/>
      <c r="F217" s="1"/>
    </row>
    <row r="218" spans="2:6" ht="14" x14ac:dyDescent="0.2">
      <c r="B218" s="1"/>
      <c r="C218" s="1"/>
      <c r="D218" s="1"/>
      <c r="E218" s="1"/>
      <c r="F218" s="1"/>
    </row>
    <row r="219" spans="2:6" ht="14" x14ac:dyDescent="0.2">
      <c r="B219" s="1"/>
      <c r="C219" s="1"/>
      <c r="D219" s="1"/>
      <c r="E219" s="1"/>
      <c r="F219" s="1"/>
    </row>
    <row r="220" spans="2:6" ht="14" x14ac:dyDescent="0.2">
      <c r="B220" s="1"/>
      <c r="C220" s="1"/>
      <c r="D220" s="1"/>
      <c r="E220" s="1"/>
      <c r="F220" s="1"/>
    </row>
    <row r="221" spans="2:6" ht="14" x14ac:dyDescent="0.2">
      <c r="B221" s="1"/>
      <c r="C221" s="1"/>
      <c r="D221" s="1"/>
      <c r="E221" s="1"/>
      <c r="F221" s="1"/>
    </row>
    <row r="222" spans="2:6" ht="14" x14ac:dyDescent="0.2">
      <c r="B222" s="1"/>
      <c r="C222" s="1"/>
      <c r="D222" s="1"/>
      <c r="E222" s="1"/>
      <c r="F222" s="1"/>
    </row>
    <row r="223" spans="2:6" ht="14" x14ac:dyDescent="0.2">
      <c r="B223" s="1"/>
      <c r="C223" s="1"/>
      <c r="D223" s="1"/>
      <c r="E223" s="1"/>
      <c r="F223" s="1"/>
    </row>
    <row r="224" spans="2:6" ht="14" x14ac:dyDescent="0.2">
      <c r="B224" s="1"/>
      <c r="C224" s="1"/>
      <c r="D224" s="1"/>
      <c r="E224" s="1"/>
      <c r="F224" s="1"/>
    </row>
    <row r="225" spans="2:6" ht="14" x14ac:dyDescent="0.2">
      <c r="B225" s="1"/>
      <c r="C225" s="1"/>
      <c r="D225" s="1"/>
      <c r="E225" s="1"/>
      <c r="F225" s="1"/>
    </row>
    <row r="226" spans="2:6" ht="14" x14ac:dyDescent="0.2">
      <c r="B226" s="1"/>
      <c r="C226" s="1"/>
      <c r="D226" s="1"/>
      <c r="E226" s="1"/>
      <c r="F226" s="1"/>
    </row>
    <row r="227" spans="2:6" ht="14" x14ac:dyDescent="0.2">
      <c r="B227" s="1"/>
      <c r="C227" s="1"/>
      <c r="D227" s="1"/>
      <c r="E227" s="1"/>
      <c r="F227" s="1"/>
    </row>
    <row r="228" spans="2:6" ht="14" x14ac:dyDescent="0.2">
      <c r="B228" s="1"/>
      <c r="C228" s="1"/>
      <c r="D228" s="1"/>
      <c r="E228" s="1"/>
      <c r="F228" s="1"/>
    </row>
    <row r="229" spans="2:6" ht="14" x14ac:dyDescent="0.2">
      <c r="B229" s="1"/>
      <c r="C229" s="1"/>
      <c r="D229" s="1"/>
      <c r="E229" s="1"/>
      <c r="F229" s="1"/>
    </row>
    <row r="230" spans="2:6" ht="14" x14ac:dyDescent="0.2">
      <c r="B230" s="1"/>
      <c r="C230" s="1"/>
      <c r="D230" s="1"/>
      <c r="E230" s="1"/>
      <c r="F230" s="1"/>
    </row>
    <row r="231" spans="2:6" ht="14" x14ac:dyDescent="0.2">
      <c r="B231" s="1"/>
      <c r="C231" s="1"/>
      <c r="D231" s="1"/>
      <c r="E231" s="1"/>
      <c r="F231" s="1"/>
    </row>
    <row r="232" spans="2:6" ht="14" x14ac:dyDescent="0.2">
      <c r="B232" s="1"/>
      <c r="C232" s="1"/>
      <c r="D232" s="1"/>
      <c r="E232" s="1"/>
      <c r="F232" s="1"/>
    </row>
    <row r="233" spans="2:6" ht="14" x14ac:dyDescent="0.2">
      <c r="B233" s="1"/>
      <c r="C233" s="1"/>
      <c r="D233" s="1"/>
      <c r="E233" s="1"/>
      <c r="F233" s="1"/>
    </row>
    <row r="234" spans="2:6" ht="14" x14ac:dyDescent="0.2">
      <c r="B234" s="1"/>
      <c r="C234" s="1"/>
      <c r="D234" s="1"/>
      <c r="E234" s="1"/>
      <c r="F234" s="1"/>
    </row>
    <row r="235" spans="2:6" ht="14" x14ac:dyDescent="0.2">
      <c r="B235" s="1"/>
      <c r="C235" s="1"/>
      <c r="D235" s="1"/>
      <c r="E235" s="1"/>
      <c r="F235" s="1"/>
    </row>
    <row r="236" spans="2:6" ht="14" x14ac:dyDescent="0.2">
      <c r="B236" s="1"/>
      <c r="C236" s="1"/>
      <c r="D236" s="1"/>
      <c r="E236" s="1"/>
      <c r="F236" s="1"/>
    </row>
    <row r="237" spans="2:6" ht="14" x14ac:dyDescent="0.2">
      <c r="B237" s="1"/>
      <c r="C237" s="1"/>
      <c r="D237" s="1"/>
      <c r="E237" s="1"/>
      <c r="F237" s="1"/>
    </row>
    <row r="238" spans="2:6" ht="14" x14ac:dyDescent="0.2">
      <c r="B238" s="1"/>
      <c r="C238" s="1"/>
      <c r="D238" s="1"/>
      <c r="E238" s="1"/>
      <c r="F238" s="1"/>
    </row>
    <row r="239" spans="2:6" ht="14" x14ac:dyDescent="0.2">
      <c r="B239" s="1"/>
      <c r="C239" s="1"/>
      <c r="D239" s="1"/>
      <c r="E239" s="1"/>
      <c r="F239" s="1"/>
    </row>
    <row r="240" spans="2:6" ht="14" x14ac:dyDescent="0.2">
      <c r="B240" s="1"/>
      <c r="C240" s="1"/>
      <c r="D240" s="1"/>
      <c r="E240" s="1"/>
      <c r="F240" s="1"/>
    </row>
    <row r="241" spans="2:6" ht="14" x14ac:dyDescent="0.2">
      <c r="B241" s="1"/>
      <c r="C241" s="1"/>
      <c r="D241" s="1"/>
      <c r="E241" s="1"/>
      <c r="F241" s="1"/>
    </row>
    <row r="242" spans="2:6" ht="14" x14ac:dyDescent="0.2">
      <c r="B242" s="1"/>
      <c r="C242" s="1"/>
      <c r="D242" s="1"/>
      <c r="E242" s="1"/>
      <c r="F242" s="1"/>
    </row>
    <row r="243" spans="2:6" ht="14" x14ac:dyDescent="0.2">
      <c r="B243" s="1"/>
      <c r="C243" s="1"/>
      <c r="D243" s="1"/>
      <c r="E243" s="1"/>
      <c r="F243" s="1"/>
    </row>
    <row r="244" spans="2:6" ht="14" x14ac:dyDescent="0.2">
      <c r="B244" s="1"/>
      <c r="C244" s="1"/>
      <c r="D244" s="1"/>
      <c r="E244" s="1"/>
      <c r="F244" s="1"/>
    </row>
    <row r="245" spans="2:6" ht="14" x14ac:dyDescent="0.2">
      <c r="B245" s="1"/>
      <c r="C245" s="1"/>
      <c r="D245" s="1"/>
      <c r="E245" s="1"/>
      <c r="F245" s="1"/>
    </row>
    <row r="246" spans="2:6" ht="14" x14ac:dyDescent="0.2">
      <c r="B246" s="1"/>
      <c r="C246" s="1"/>
      <c r="D246" s="1"/>
      <c r="E246" s="1"/>
      <c r="F246" s="1"/>
    </row>
    <row r="247" spans="2:6" ht="14" x14ac:dyDescent="0.2">
      <c r="B247" s="1"/>
      <c r="C247" s="1"/>
      <c r="D247" s="1"/>
      <c r="E247" s="1"/>
      <c r="F247" s="1"/>
    </row>
    <row r="248" spans="2:6" ht="14" x14ac:dyDescent="0.2">
      <c r="B248" s="1"/>
      <c r="C248" s="1"/>
      <c r="D248" s="1"/>
      <c r="E248" s="1"/>
      <c r="F248" s="1"/>
    </row>
    <row r="249" spans="2:6" ht="14" x14ac:dyDescent="0.2">
      <c r="B249" s="1"/>
      <c r="C249" s="1"/>
      <c r="D249" s="1"/>
      <c r="E249" s="1"/>
      <c r="F249" s="1"/>
    </row>
    <row r="250" spans="2:6" ht="14" x14ac:dyDescent="0.2">
      <c r="B250" s="1"/>
      <c r="C250" s="1"/>
      <c r="D250" s="1"/>
      <c r="E250" s="1"/>
      <c r="F250" s="1"/>
    </row>
    <row r="251" spans="2:6" ht="14" x14ac:dyDescent="0.2">
      <c r="B251" s="1"/>
      <c r="C251" s="1"/>
      <c r="D251" s="1"/>
      <c r="E251" s="1"/>
      <c r="F251" s="1"/>
    </row>
    <row r="252" spans="2:6" ht="14" x14ac:dyDescent="0.2">
      <c r="B252" s="1"/>
      <c r="C252" s="1"/>
      <c r="D252" s="1"/>
      <c r="E252" s="1"/>
      <c r="F252" s="1"/>
    </row>
    <row r="253" spans="2:6" ht="14" x14ac:dyDescent="0.2">
      <c r="B253" s="1"/>
      <c r="C253" s="1"/>
      <c r="D253" s="1"/>
      <c r="E253" s="1"/>
      <c r="F253" s="1"/>
    </row>
    <row r="254" spans="2:6" ht="14" x14ac:dyDescent="0.2">
      <c r="B254" s="1"/>
      <c r="C254" s="1"/>
      <c r="D254" s="1"/>
      <c r="E254" s="1"/>
      <c r="F254" s="1"/>
    </row>
    <row r="255" spans="2:6" ht="14" x14ac:dyDescent="0.2">
      <c r="B255" s="1"/>
      <c r="C255" s="1"/>
      <c r="D255" s="1"/>
      <c r="E255" s="1"/>
      <c r="F255" s="1"/>
    </row>
    <row r="256" spans="2:6" ht="14" x14ac:dyDescent="0.2">
      <c r="B256" s="1"/>
      <c r="C256" s="1"/>
      <c r="D256" s="1"/>
      <c r="E256" s="1"/>
      <c r="F256" s="1"/>
    </row>
    <row r="257" spans="2:6" ht="14" x14ac:dyDescent="0.2">
      <c r="B257" s="1"/>
      <c r="C257" s="1"/>
      <c r="D257" s="1"/>
      <c r="E257" s="1"/>
      <c r="F257" s="1"/>
    </row>
    <row r="258" spans="2:6" ht="14" x14ac:dyDescent="0.2">
      <c r="B258" s="1"/>
      <c r="C258" s="1"/>
      <c r="D258" s="1"/>
      <c r="E258" s="1"/>
      <c r="F258" s="1"/>
    </row>
    <row r="259" spans="2:6" ht="14" x14ac:dyDescent="0.2">
      <c r="B259" s="1"/>
      <c r="C259" s="1"/>
      <c r="D259" s="1"/>
      <c r="E259" s="1"/>
      <c r="F259" s="1"/>
    </row>
    <row r="260" spans="2:6" ht="14" x14ac:dyDescent="0.2">
      <c r="B260" s="1"/>
      <c r="C260" s="1"/>
      <c r="D260" s="1"/>
      <c r="E260" s="1"/>
      <c r="F260" s="1"/>
    </row>
    <row r="261" spans="2:6" ht="14" x14ac:dyDescent="0.2">
      <c r="B261" s="1"/>
      <c r="C261" s="1"/>
      <c r="D261" s="1"/>
      <c r="E261" s="1"/>
      <c r="F261" s="1"/>
    </row>
    <row r="262" spans="2:6" ht="14" x14ac:dyDescent="0.2">
      <c r="B262" s="1"/>
      <c r="C262" s="1"/>
      <c r="D262" s="1"/>
      <c r="E262" s="1"/>
      <c r="F262" s="1"/>
    </row>
    <row r="263" spans="2:6" ht="14" x14ac:dyDescent="0.2">
      <c r="B263" s="1"/>
      <c r="C263" s="1"/>
      <c r="D263" s="1"/>
      <c r="E263" s="1"/>
      <c r="F263" s="1"/>
    </row>
    <row r="264" spans="2:6" ht="14" x14ac:dyDescent="0.2">
      <c r="B264" s="1"/>
      <c r="C264" s="1"/>
      <c r="D264" s="1"/>
      <c r="E264" s="1"/>
      <c r="F264" s="1"/>
    </row>
    <row r="265" spans="2:6" ht="14" x14ac:dyDescent="0.2">
      <c r="B265" s="1"/>
      <c r="C265" s="1"/>
      <c r="D265" s="1"/>
      <c r="E265" s="1"/>
      <c r="F265" s="1"/>
    </row>
    <row r="266" spans="2:6" ht="14" x14ac:dyDescent="0.2">
      <c r="B266" s="1"/>
      <c r="C266" s="1"/>
      <c r="D266" s="1"/>
      <c r="E266" s="1"/>
      <c r="F266" s="1"/>
    </row>
    <row r="267" spans="2:6" ht="14" x14ac:dyDescent="0.2">
      <c r="B267" s="1"/>
      <c r="C267" s="1"/>
      <c r="D267" s="1"/>
      <c r="E267" s="1"/>
      <c r="F267" s="1"/>
    </row>
    <row r="268" spans="2:6" ht="14" x14ac:dyDescent="0.2">
      <c r="B268" s="1"/>
      <c r="C268" s="1"/>
      <c r="D268" s="1"/>
      <c r="E268" s="1"/>
      <c r="F268" s="1"/>
    </row>
    <row r="269" spans="2:6" ht="14" x14ac:dyDescent="0.2">
      <c r="B269" s="1"/>
      <c r="C269" s="1"/>
      <c r="D269" s="1"/>
      <c r="E269" s="1"/>
      <c r="F269" s="1"/>
    </row>
    <row r="270" spans="2:6" ht="14" x14ac:dyDescent="0.2">
      <c r="B270" s="1"/>
      <c r="C270" s="1"/>
      <c r="D270" s="1"/>
      <c r="E270" s="1"/>
      <c r="F270" s="1"/>
    </row>
    <row r="271" spans="2:6" ht="14" x14ac:dyDescent="0.2">
      <c r="B271" s="1"/>
      <c r="C271" s="1"/>
      <c r="D271" s="1"/>
      <c r="E271" s="1"/>
      <c r="F271" s="1"/>
    </row>
    <row r="272" spans="2:6" ht="14" x14ac:dyDescent="0.2">
      <c r="B272" s="1"/>
      <c r="C272" s="1"/>
      <c r="D272" s="1"/>
      <c r="E272" s="1"/>
      <c r="F272" s="1"/>
    </row>
    <row r="273" spans="2:6" ht="14" x14ac:dyDescent="0.2">
      <c r="B273" s="1"/>
      <c r="C273" s="1"/>
      <c r="D273" s="1"/>
      <c r="E273" s="1"/>
      <c r="F273" s="1"/>
    </row>
    <row r="274" spans="2:6" ht="14" x14ac:dyDescent="0.2">
      <c r="B274" s="1"/>
      <c r="C274" s="1"/>
      <c r="D274" s="1"/>
      <c r="E274" s="1"/>
      <c r="F274" s="1"/>
    </row>
    <row r="275" spans="2:6" ht="14" x14ac:dyDescent="0.2">
      <c r="B275" s="1"/>
      <c r="C275" s="1"/>
      <c r="D275" s="1"/>
      <c r="E275" s="1"/>
      <c r="F275" s="1"/>
    </row>
    <row r="276" spans="2:6" ht="14" x14ac:dyDescent="0.2">
      <c r="B276" s="1"/>
      <c r="C276" s="1"/>
      <c r="D276" s="1"/>
      <c r="E276" s="1"/>
      <c r="F276" s="1"/>
    </row>
    <row r="277" spans="2:6" ht="14" x14ac:dyDescent="0.2">
      <c r="B277" s="1"/>
      <c r="C277" s="1"/>
      <c r="D277" s="1"/>
      <c r="E277" s="1"/>
      <c r="F277" s="1"/>
    </row>
    <row r="278" spans="2:6" ht="14" x14ac:dyDescent="0.2">
      <c r="B278" s="1"/>
      <c r="C278" s="1"/>
      <c r="D278" s="1"/>
      <c r="E278" s="1"/>
      <c r="F278" s="1"/>
    </row>
    <row r="279" spans="2:6" ht="14" x14ac:dyDescent="0.2">
      <c r="B279" s="1"/>
      <c r="C279" s="1"/>
      <c r="D279" s="1"/>
      <c r="E279" s="1"/>
      <c r="F279" s="1"/>
    </row>
    <row r="280" spans="2:6" ht="14" x14ac:dyDescent="0.2">
      <c r="B280" s="1"/>
      <c r="C280" s="1"/>
      <c r="D280" s="1"/>
      <c r="E280" s="1"/>
      <c r="F280" s="1"/>
    </row>
    <row r="281" spans="2:6" ht="14" x14ac:dyDescent="0.2">
      <c r="B281" s="1"/>
      <c r="C281" s="1"/>
      <c r="D281" s="1"/>
      <c r="E281" s="1"/>
      <c r="F281" s="1"/>
    </row>
    <row r="282" spans="2:6" ht="14" x14ac:dyDescent="0.2">
      <c r="B282" s="1"/>
      <c r="C282" s="1"/>
      <c r="D282" s="1"/>
      <c r="E282" s="1"/>
      <c r="F282" s="1"/>
    </row>
    <row r="283" spans="2:6" ht="14" x14ac:dyDescent="0.2">
      <c r="B283" s="1"/>
      <c r="C283" s="1"/>
      <c r="D283" s="1"/>
      <c r="E283" s="1"/>
      <c r="F283" s="1"/>
    </row>
    <row r="284" spans="2:6" ht="14" x14ac:dyDescent="0.2">
      <c r="B284" s="1"/>
      <c r="C284" s="1"/>
      <c r="D284" s="1"/>
      <c r="E284" s="1"/>
      <c r="F284" s="1"/>
    </row>
    <row r="285" spans="2:6" ht="14" x14ac:dyDescent="0.2">
      <c r="B285" s="1"/>
      <c r="C285" s="1"/>
      <c r="D285" s="1"/>
      <c r="E285" s="1"/>
      <c r="F285" s="1"/>
    </row>
    <row r="286" spans="2:6" ht="14" x14ac:dyDescent="0.2">
      <c r="B286" s="1"/>
      <c r="C286" s="1"/>
      <c r="D286" s="1"/>
      <c r="E286" s="1"/>
      <c r="F286" s="1"/>
    </row>
    <row r="287" spans="2:6" ht="14" x14ac:dyDescent="0.2">
      <c r="B287" s="1"/>
      <c r="C287" s="1"/>
      <c r="D287" s="1"/>
      <c r="E287" s="1"/>
      <c r="F287" s="1"/>
    </row>
    <row r="288" spans="2:6" ht="14" x14ac:dyDescent="0.2">
      <c r="B288" s="1"/>
      <c r="C288" s="1"/>
      <c r="D288" s="1"/>
      <c r="E288" s="1"/>
      <c r="F288" s="1"/>
    </row>
    <row r="289" spans="2:6" ht="14" x14ac:dyDescent="0.2">
      <c r="B289" s="1"/>
      <c r="C289" s="1"/>
      <c r="D289" s="1"/>
      <c r="E289" s="1"/>
      <c r="F289" s="1"/>
    </row>
    <row r="290" spans="2:6" ht="14" x14ac:dyDescent="0.2">
      <c r="B290" s="1"/>
      <c r="C290" s="1"/>
      <c r="D290" s="1"/>
      <c r="E290" s="1"/>
      <c r="F290" s="1"/>
    </row>
    <row r="291" spans="2:6" ht="14" x14ac:dyDescent="0.2">
      <c r="B291" s="1"/>
      <c r="C291" s="1"/>
      <c r="D291" s="1"/>
      <c r="E291" s="1"/>
      <c r="F291" s="1"/>
    </row>
    <row r="292" spans="2:6" ht="14" x14ac:dyDescent="0.2">
      <c r="B292" s="1"/>
      <c r="C292" s="1"/>
      <c r="D292" s="1"/>
      <c r="E292" s="1"/>
      <c r="F292" s="1"/>
    </row>
    <row r="293" spans="2:6" ht="14" x14ac:dyDescent="0.2">
      <c r="B293" s="1"/>
      <c r="C293" s="1"/>
      <c r="D293" s="1"/>
      <c r="E293" s="1"/>
      <c r="F293" s="1"/>
    </row>
    <row r="294" spans="2:6" ht="14" x14ac:dyDescent="0.2">
      <c r="B294" s="1"/>
      <c r="C294" s="1"/>
      <c r="D294" s="1"/>
      <c r="E294" s="1"/>
      <c r="F294" s="1"/>
    </row>
    <row r="295" spans="2:6" ht="14" x14ac:dyDescent="0.2">
      <c r="B295" s="1"/>
      <c r="C295" s="1"/>
      <c r="D295" s="1"/>
      <c r="E295" s="1"/>
      <c r="F295" s="1"/>
    </row>
    <row r="296" spans="2:6" ht="14" x14ac:dyDescent="0.2">
      <c r="B296" s="1"/>
      <c r="C296" s="1"/>
      <c r="D296" s="1"/>
      <c r="E296" s="1"/>
      <c r="F296" s="1"/>
    </row>
    <row r="297" spans="2:6" ht="14" x14ac:dyDescent="0.2">
      <c r="B297" s="1"/>
      <c r="C297" s="1"/>
      <c r="D297" s="1"/>
      <c r="E297" s="1"/>
      <c r="F297" s="1"/>
    </row>
    <row r="298" spans="2:6" ht="14" x14ac:dyDescent="0.2">
      <c r="B298" s="1"/>
      <c r="C298" s="1"/>
      <c r="D298" s="1"/>
      <c r="E298" s="1"/>
      <c r="F298" s="1"/>
    </row>
    <row r="299" spans="2:6" ht="14" x14ac:dyDescent="0.2">
      <c r="B299" s="1"/>
      <c r="C299" s="1"/>
      <c r="D299" s="1"/>
      <c r="E299" s="1"/>
      <c r="F299" s="1"/>
    </row>
    <row r="300" spans="2:6" ht="14" x14ac:dyDescent="0.2">
      <c r="B300" s="1"/>
      <c r="C300" s="1"/>
      <c r="D300" s="1"/>
      <c r="E300" s="1"/>
      <c r="F300" s="1"/>
    </row>
    <row r="301" spans="2:6" ht="14" x14ac:dyDescent="0.2">
      <c r="B301" s="1"/>
      <c r="C301" s="1"/>
      <c r="D301" s="1"/>
      <c r="E301" s="1"/>
      <c r="F301" s="1"/>
    </row>
    <row r="302" spans="2:6" ht="14" x14ac:dyDescent="0.2">
      <c r="B302" s="1"/>
      <c r="C302" s="1"/>
      <c r="D302" s="1"/>
      <c r="E302" s="1"/>
      <c r="F302" s="1"/>
    </row>
    <row r="303" spans="2:6" ht="14" x14ac:dyDescent="0.2">
      <c r="B303" s="1"/>
      <c r="C303" s="1"/>
      <c r="D303" s="1"/>
      <c r="E303" s="1"/>
      <c r="F303" s="1"/>
    </row>
    <row r="304" spans="2:6" ht="14" x14ac:dyDescent="0.2">
      <c r="B304" s="1"/>
      <c r="C304" s="1"/>
      <c r="D304" s="1"/>
      <c r="E304" s="1"/>
      <c r="F304" s="1"/>
    </row>
    <row r="305" spans="2:6" ht="14" x14ac:dyDescent="0.2">
      <c r="B305" s="1"/>
      <c r="C305" s="1"/>
      <c r="D305" s="1"/>
      <c r="E305" s="1"/>
      <c r="F305" s="1"/>
    </row>
    <row r="306" spans="2:6" ht="14" x14ac:dyDescent="0.2">
      <c r="B306" s="1"/>
      <c r="C306" s="1"/>
      <c r="D306" s="1"/>
      <c r="E306" s="1"/>
      <c r="F306" s="1"/>
    </row>
    <row r="307" spans="2:6" ht="14" x14ac:dyDescent="0.2">
      <c r="B307" s="1"/>
      <c r="C307" s="1"/>
      <c r="D307" s="1"/>
      <c r="E307" s="1"/>
      <c r="F307" s="1"/>
    </row>
    <row r="308" spans="2:6" ht="14" x14ac:dyDescent="0.2">
      <c r="B308" s="1"/>
      <c r="C308" s="1"/>
      <c r="D308" s="1"/>
      <c r="E308" s="1"/>
      <c r="F308" s="1"/>
    </row>
    <row r="309" spans="2:6" ht="14" x14ac:dyDescent="0.2">
      <c r="B309" s="1"/>
      <c r="C309" s="1"/>
      <c r="D309" s="1"/>
      <c r="E309" s="1"/>
      <c r="F309" s="1"/>
    </row>
    <row r="310" spans="2:6" ht="14" x14ac:dyDescent="0.2">
      <c r="B310" s="1"/>
      <c r="C310" s="1"/>
      <c r="D310" s="1"/>
      <c r="E310" s="1"/>
      <c r="F310" s="1"/>
    </row>
    <row r="311" spans="2:6" ht="14" x14ac:dyDescent="0.2">
      <c r="B311" s="1"/>
      <c r="C311" s="1"/>
      <c r="D311" s="1"/>
      <c r="E311" s="1"/>
      <c r="F311" s="1"/>
    </row>
    <row r="312" spans="2:6" ht="14" x14ac:dyDescent="0.2">
      <c r="B312" s="1"/>
      <c r="C312" s="1"/>
      <c r="D312" s="1"/>
      <c r="E312" s="1"/>
      <c r="F312" s="1"/>
    </row>
    <row r="313" spans="2:6" ht="14" x14ac:dyDescent="0.2">
      <c r="B313" s="1"/>
      <c r="C313" s="1"/>
      <c r="D313" s="1"/>
      <c r="E313" s="1"/>
      <c r="F313" s="1"/>
    </row>
    <row r="314" spans="2:6" ht="14" x14ac:dyDescent="0.2">
      <c r="B314" s="1"/>
      <c r="C314" s="1"/>
      <c r="D314" s="1"/>
      <c r="E314" s="1"/>
      <c r="F314" s="1"/>
    </row>
    <row r="315" spans="2:6" ht="14" x14ac:dyDescent="0.2">
      <c r="B315" s="1"/>
      <c r="C315" s="1"/>
      <c r="D315" s="1"/>
      <c r="E315" s="1"/>
      <c r="F315" s="1"/>
    </row>
    <row r="316" spans="2:6" ht="14" x14ac:dyDescent="0.2">
      <c r="B316" s="1"/>
      <c r="C316" s="1"/>
      <c r="D316" s="1"/>
      <c r="E316" s="1"/>
      <c r="F316" s="1"/>
    </row>
    <row r="317" spans="2:6" ht="14" x14ac:dyDescent="0.2">
      <c r="B317" s="1"/>
      <c r="C317" s="1"/>
      <c r="D317" s="1"/>
      <c r="E317" s="1"/>
      <c r="F317" s="1"/>
    </row>
    <row r="318" spans="2:6" ht="14" x14ac:dyDescent="0.2">
      <c r="B318" s="1"/>
      <c r="C318" s="1"/>
      <c r="D318" s="1"/>
      <c r="E318" s="1"/>
      <c r="F318" s="1"/>
    </row>
    <row r="319" spans="2:6" ht="14" x14ac:dyDescent="0.2">
      <c r="B319" s="1"/>
      <c r="C319" s="1"/>
      <c r="D319" s="1"/>
      <c r="E319" s="1"/>
      <c r="F319" s="1"/>
    </row>
    <row r="320" spans="2:6" ht="14" x14ac:dyDescent="0.2">
      <c r="B320" s="1"/>
      <c r="C320" s="1"/>
      <c r="D320" s="1"/>
      <c r="E320" s="1"/>
      <c r="F320" s="1"/>
    </row>
    <row r="321" spans="2:6" ht="14" x14ac:dyDescent="0.2">
      <c r="B321" s="1"/>
      <c r="C321" s="1"/>
      <c r="D321" s="1"/>
      <c r="E321" s="1"/>
      <c r="F321" s="1"/>
    </row>
    <row r="322" spans="2:6" ht="14" x14ac:dyDescent="0.2">
      <c r="B322" s="1"/>
      <c r="C322" s="1"/>
      <c r="D322" s="1"/>
      <c r="E322" s="1"/>
      <c r="F322" s="1"/>
    </row>
    <row r="323" spans="2:6" ht="14" x14ac:dyDescent="0.2">
      <c r="B323" s="1"/>
      <c r="C323" s="1"/>
      <c r="D323" s="1"/>
      <c r="E323" s="1"/>
      <c r="F323" s="1"/>
    </row>
    <row r="324" spans="2:6" ht="14" x14ac:dyDescent="0.2">
      <c r="B324" s="1"/>
      <c r="C324" s="1"/>
      <c r="D324" s="1"/>
      <c r="E324" s="1"/>
      <c r="F324" s="1"/>
    </row>
    <row r="325" spans="2:6" ht="14" x14ac:dyDescent="0.2">
      <c r="B325" s="1"/>
      <c r="C325" s="1"/>
      <c r="D325" s="1"/>
      <c r="E325" s="1"/>
      <c r="F325" s="1"/>
    </row>
    <row r="326" spans="2:6" ht="14" x14ac:dyDescent="0.2">
      <c r="B326" s="1"/>
      <c r="C326" s="1"/>
      <c r="D326" s="1"/>
      <c r="E326" s="1"/>
      <c r="F326" s="1"/>
    </row>
    <row r="327" spans="2:6" ht="14" x14ac:dyDescent="0.2">
      <c r="B327" s="1"/>
      <c r="C327" s="1"/>
      <c r="D327" s="1"/>
      <c r="E327" s="1"/>
      <c r="F327" s="1"/>
    </row>
    <row r="328" spans="2:6" ht="14" x14ac:dyDescent="0.2">
      <c r="B328" s="1"/>
      <c r="C328" s="1"/>
      <c r="D328" s="1"/>
      <c r="E328" s="1"/>
      <c r="F328" s="1"/>
    </row>
    <row r="329" spans="2:6" ht="14" x14ac:dyDescent="0.2">
      <c r="B329" s="1"/>
      <c r="C329" s="1"/>
      <c r="D329" s="1"/>
      <c r="E329" s="1"/>
      <c r="F329" s="1"/>
    </row>
    <row r="330" spans="2:6" ht="14" x14ac:dyDescent="0.2">
      <c r="B330" s="1"/>
      <c r="C330" s="1"/>
      <c r="D330" s="1"/>
      <c r="E330" s="1"/>
      <c r="F330" s="1"/>
    </row>
    <row r="331" spans="2:6" ht="14" x14ac:dyDescent="0.2">
      <c r="B331" s="1"/>
      <c r="C331" s="1"/>
      <c r="D331" s="1"/>
      <c r="E331" s="1"/>
      <c r="F331" s="1"/>
    </row>
    <row r="332" spans="2:6" ht="14" x14ac:dyDescent="0.2">
      <c r="B332" s="1"/>
      <c r="C332" s="1"/>
      <c r="D332" s="1"/>
      <c r="E332" s="1"/>
      <c r="F332" s="1"/>
    </row>
    <row r="333" spans="2:6" ht="14" x14ac:dyDescent="0.2">
      <c r="B333" s="1"/>
      <c r="C333" s="1"/>
      <c r="D333" s="1"/>
      <c r="E333" s="1"/>
      <c r="F333" s="1"/>
    </row>
    <row r="334" spans="2:6" ht="14" x14ac:dyDescent="0.2">
      <c r="B334" s="1"/>
      <c r="C334" s="1"/>
      <c r="D334" s="1"/>
      <c r="E334" s="1"/>
      <c r="F334" s="1"/>
    </row>
    <row r="335" spans="2:6" ht="14" x14ac:dyDescent="0.2">
      <c r="B335" s="1"/>
      <c r="C335" s="1"/>
      <c r="D335" s="1"/>
      <c r="E335" s="1"/>
      <c r="F335" s="1"/>
    </row>
    <row r="336" spans="2:6" ht="14" x14ac:dyDescent="0.2">
      <c r="B336" s="1"/>
      <c r="C336" s="1"/>
      <c r="D336" s="1"/>
      <c r="E336" s="1"/>
      <c r="F336" s="1"/>
    </row>
    <row r="337" spans="2:6" ht="14" x14ac:dyDescent="0.2">
      <c r="B337" s="1"/>
      <c r="C337" s="1"/>
      <c r="D337" s="1"/>
      <c r="E337" s="1"/>
      <c r="F337" s="1"/>
    </row>
    <row r="338" spans="2:6" ht="14" x14ac:dyDescent="0.2">
      <c r="B338" s="1"/>
      <c r="C338" s="1"/>
      <c r="D338" s="1"/>
      <c r="E338" s="1"/>
      <c r="F338" s="1"/>
    </row>
    <row r="339" spans="2:6" ht="14" x14ac:dyDescent="0.2">
      <c r="B339" s="1"/>
      <c r="C339" s="1"/>
      <c r="D339" s="1"/>
      <c r="E339" s="1"/>
      <c r="F339" s="1"/>
    </row>
    <row r="340" spans="2:6" ht="14" x14ac:dyDescent="0.2">
      <c r="B340" s="1"/>
      <c r="C340" s="1"/>
      <c r="D340" s="1"/>
      <c r="E340" s="1"/>
      <c r="F340" s="1"/>
    </row>
    <row r="341" spans="2:6" ht="14" x14ac:dyDescent="0.2">
      <c r="B341" s="1"/>
      <c r="C341" s="1"/>
      <c r="D341" s="1"/>
      <c r="E341" s="1"/>
      <c r="F341" s="1"/>
    </row>
    <row r="342" spans="2:6" ht="14" x14ac:dyDescent="0.2">
      <c r="B342" s="1"/>
      <c r="C342" s="1"/>
      <c r="D342" s="1"/>
      <c r="E342" s="1"/>
      <c r="F342" s="1"/>
    </row>
    <row r="343" spans="2:6" ht="14" x14ac:dyDescent="0.2">
      <c r="B343" s="1"/>
      <c r="C343" s="1"/>
      <c r="D343" s="1"/>
      <c r="E343" s="1"/>
      <c r="F343" s="1"/>
    </row>
    <row r="344" spans="2:6" ht="14" x14ac:dyDescent="0.2">
      <c r="B344" s="1"/>
      <c r="C344" s="1"/>
      <c r="D344" s="1"/>
      <c r="E344" s="1"/>
      <c r="F344" s="1"/>
    </row>
    <row r="345" spans="2:6" ht="14" x14ac:dyDescent="0.2">
      <c r="B345" s="1"/>
      <c r="C345" s="1"/>
      <c r="D345" s="1"/>
      <c r="E345" s="1"/>
      <c r="F345" s="1"/>
    </row>
    <row r="346" spans="2:6" ht="14" x14ac:dyDescent="0.2">
      <c r="B346" s="1"/>
      <c r="C346" s="1"/>
      <c r="D346" s="1"/>
      <c r="E346" s="1"/>
      <c r="F346" s="1"/>
    </row>
    <row r="347" spans="2:6" ht="14" x14ac:dyDescent="0.2">
      <c r="B347" s="1"/>
      <c r="C347" s="1"/>
      <c r="D347" s="1"/>
      <c r="E347" s="1"/>
      <c r="F347" s="1"/>
    </row>
    <row r="348" spans="2:6" ht="14" x14ac:dyDescent="0.2">
      <c r="B348" s="1"/>
      <c r="C348" s="1"/>
      <c r="D348" s="1"/>
      <c r="E348" s="1"/>
      <c r="F348" s="1"/>
    </row>
    <row r="349" spans="2:6" ht="14" x14ac:dyDescent="0.2">
      <c r="B349" s="1"/>
      <c r="C349" s="1"/>
      <c r="D349" s="1"/>
      <c r="E349" s="1"/>
      <c r="F349" s="1"/>
    </row>
    <row r="350" spans="2:6" ht="14" x14ac:dyDescent="0.2">
      <c r="B350" s="1"/>
      <c r="C350" s="1"/>
      <c r="D350" s="1"/>
      <c r="E350" s="1"/>
      <c r="F350" s="1"/>
    </row>
    <row r="351" spans="2:6" ht="14" x14ac:dyDescent="0.2">
      <c r="B351" s="1"/>
      <c r="C351" s="1"/>
      <c r="D351" s="1"/>
      <c r="E351" s="1"/>
      <c r="F351" s="1"/>
    </row>
    <row r="352" spans="2:6" ht="14" x14ac:dyDescent="0.2">
      <c r="B352" s="1"/>
      <c r="C352" s="1"/>
      <c r="D352" s="1"/>
      <c r="E352" s="1"/>
      <c r="F352" s="1"/>
    </row>
    <row r="353" spans="2:6" ht="14" x14ac:dyDescent="0.2">
      <c r="B353" s="1"/>
      <c r="C353" s="1"/>
      <c r="D353" s="1"/>
      <c r="E353" s="1"/>
      <c r="F353" s="1"/>
    </row>
    <row r="354" spans="2:6" ht="14" x14ac:dyDescent="0.2">
      <c r="B354" s="1"/>
      <c r="C354" s="1"/>
      <c r="D354" s="1"/>
      <c r="E354" s="1"/>
      <c r="F354" s="1"/>
    </row>
    <row r="355" spans="2:6" ht="14" x14ac:dyDescent="0.2">
      <c r="B355" s="1"/>
      <c r="C355" s="1"/>
      <c r="D355" s="1"/>
      <c r="E355" s="1"/>
      <c r="F355" s="1"/>
    </row>
    <row r="356" spans="2:6" ht="14" x14ac:dyDescent="0.2">
      <c r="B356" s="1"/>
      <c r="C356" s="1"/>
      <c r="D356" s="1"/>
      <c r="E356" s="1"/>
      <c r="F356" s="1"/>
    </row>
    <row r="357" spans="2:6" ht="14" x14ac:dyDescent="0.2">
      <c r="B357" s="1"/>
      <c r="C357" s="1"/>
      <c r="D357" s="1"/>
      <c r="E357" s="1"/>
      <c r="F357" s="1"/>
    </row>
    <row r="358" spans="2:6" ht="14" x14ac:dyDescent="0.2">
      <c r="B358" s="1"/>
      <c r="C358" s="1"/>
      <c r="D358" s="1"/>
      <c r="E358" s="1"/>
      <c r="F358" s="1"/>
    </row>
    <row r="359" spans="2:6" ht="14" x14ac:dyDescent="0.2">
      <c r="B359" s="1"/>
      <c r="C359" s="1"/>
      <c r="D359" s="1"/>
      <c r="E359" s="1"/>
      <c r="F359" s="1"/>
    </row>
    <row r="360" spans="2:6" ht="14" x14ac:dyDescent="0.2">
      <c r="B360" s="1"/>
      <c r="C360" s="1"/>
      <c r="D360" s="1"/>
      <c r="E360" s="1"/>
      <c r="F360" s="1"/>
    </row>
    <row r="361" spans="2:6" ht="14" x14ac:dyDescent="0.2">
      <c r="B361" s="1"/>
      <c r="C361" s="1"/>
      <c r="D361" s="1"/>
      <c r="E361" s="1"/>
      <c r="F361" s="1"/>
    </row>
    <row r="362" spans="2:6" ht="14" x14ac:dyDescent="0.2">
      <c r="B362" s="1"/>
      <c r="C362" s="1"/>
      <c r="D362" s="1"/>
      <c r="E362" s="1"/>
      <c r="F362" s="1"/>
    </row>
    <row r="363" spans="2:6" ht="14" x14ac:dyDescent="0.2">
      <c r="B363" s="1"/>
      <c r="C363" s="1"/>
      <c r="D363" s="1"/>
      <c r="E363" s="1"/>
      <c r="F363" s="1"/>
    </row>
    <row r="364" spans="2:6" ht="14" x14ac:dyDescent="0.2">
      <c r="B364" s="1"/>
      <c r="C364" s="1"/>
      <c r="D364" s="1"/>
      <c r="E364" s="1"/>
      <c r="F364" s="1"/>
    </row>
    <row r="365" spans="2:6" ht="14" x14ac:dyDescent="0.2">
      <c r="B365" s="1"/>
      <c r="C365" s="1"/>
      <c r="D365" s="1"/>
      <c r="E365" s="1"/>
      <c r="F365" s="1"/>
    </row>
    <row r="366" spans="2:6" ht="14" x14ac:dyDescent="0.2">
      <c r="B366" s="1"/>
      <c r="C366" s="1"/>
      <c r="D366" s="1"/>
      <c r="E366" s="1"/>
      <c r="F366" s="1"/>
    </row>
    <row r="367" spans="2:6" ht="14" x14ac:dyDescent="0.2">
      <c r="B367" s="1"/>
      <c r="C367" s="1"/>
      <c r="D367" s="1"/>
      <c r="E367" s="1"/>
      <c r="F367" s="1"/>
    </row>
    <row r="368" spans="2:6" ht="14" x14ac:dyDescent="0.2">
      <c r="B368" s="1"/>
      <c r="C368" s="1"/>
      <c r="D368" s="1"/>
      <c r="E368" s="1"/>
      <c r="F368" s="1"/>
    </row>
    <row r="369" spans="2:6" ht="14" x14ac:dyDescent="0.2">
      <c r="B369" s="1"/>
      <c r="C369" s="1"/>
      <c r="D369" s="1"/>
      <c r="E369" s="1"/>
      <c r="F369" s="1"/>
    </row>
    <row r="370" spans="2:6" ht="14" x14ac:dyDescent="0.2">
      <c r="B370" s="1"/>
      <c r="C370" s="1"/>
      <c r="D370" s="1"/>
      <c r="E370" s="1"/>
      <c r="F370" s="1"/>
    </row>
    <row r="371" spans="2:6" ht="14" x14ac:dyDescent="0.2">
      <c r="B371" s="1"/>
      <c r="C371" s="1"/>
      <c r="D371" s="1"/>
      <c r="E371" s="1"/>
      <c r="F371" s="1"/>
    </row>
    <row r="372" spans="2:6" ht="14" x14ac:dyDescent="0.2">
      <c r="B372" s="1"/>
      <c r="C372" s="1"/>
      <c r="D372" s="1"/>
      <c r="E372" s="1"/>
      <c r="F372" s="1"/>
    </row>
    <row r="373" spans="2:6" ht="14" x14ac:dyDescent="0.2">
      <c r="B373" s="1"/>
      <c r="C373" s="1"/>
      <c r="D373" s="1"/>
      <c r="E373" s="1"/>
      <c r="F373" s="1"/>
    </row>
    <row r="374" spans="2:6" ht="14" x14ac:dyDescent="0.2">
      <c r="B374" s="1"/>
      <c r="C374" s="1"/>
      <c r="D374" s="1"/>
      <c r="E374" s="1"/>
      <c r="F374" s="1"/>
    </row>
    <row r="375" spans="2:6" ht="14" x14ac:dyDescent="0.2">
      <c r="B375" s="1"/>
      <c r="C375" s="1"/>
      <c r="D375" s="1"/>
      <c r="E375" s="1"/>
      <c r="F375" s="1"/>
    </row>
    <row r="376" spans="2:6" ht="14" x14ac:dyDescent="0.2">
      <c r="B376" s="1"/>
      <c r="C376" s="1"/>
      <c r="D376" s="1"/>
      <c r="E376" s="1"/>
      <c r="F376" s="1"/>
    </row>
    <row r="377" spans="2:6" ht="14" x14ac:dyDescent="0.2">
      <c r="B377" s="1"/>
      <c r="C377" s="1"/>
      <c r="D377" s="1"/>
      <c r="E377" s="1"/>
      <c r="F377" s="1"/>
    </row>
    <row r="378" spans="2:6" ht="14" x14ac:dyDescent="0.2">
      <c r="B378" s="1"/>
      <c r="C378" s="1"/>
      <c r="D378" s="1"/>
      <c r="E378" s="1"/>
      <c r="F378" s="1"/>
    </row>
    <row r="379" spans="2:6" ht="14" x14ac:dyDescent="0.2">
      <c r="B379" s="1"/>
      <c r="C379" s="1"/>
      <c r="D379" s="1"/>
      <c r="E379" s="1"/>
      <c r="F379" s="1"/>
    </row>
    <row r="380" spans="2:6" ht="14" x14ac:dyDescent="0.2">
      <c r="B380" s="1"/>
      <c r="C380" s="1"/>
      <c r="D380" s="1"/>
      <c r="E380" s="1"/>
      <c r="F380" s="1"/>
    </row>
    <row r="381" spans="2:6" ht="14" x14ac:dyDescent="0.2">
      <c r="B381" s="1"/>
      <c r="C381" s="1"/>
      <c r="D381" s="1"/>
      <c r="E381" s="1"/>
      <c r="F381" s="1"/>
    </row>
    <row r="382" spans="2:6" ht="14" x14ac:dyDescent="0.2">
      <c r="B382" s="1"/>
      <c r="C382" s="1"/>
      <c r="D382" s="1"/>
      <c r="E382" s="1"/>
      <c r="F382" s="1"/>
    </row>
    <row r="383" spans="2:6" ht="14" x14ac:dyDescent="0.2">
      <c r="B383" s="1"/>
      <c r="C383" s="1"/>
      <c r="D383" s="1"/>
      <c r="E383" s="1"/>
      <c r="F383" s="1"/>
    </row>
    <row r="384" spans="2:6" ht="14" x14ac:dyDescent="0.2">
      <c r="B384" s="1"/>
      <c r="C384" s="1"/>
      <c r="D384" s="1"/>
      <c r="E384" s="1"/>
      <c r="F384" s="1"/>
    </row>
    <row r="385" spans="2:6" ht="14" x14ac:dyDescent="0.2">
      <c r="B385" s="1"/>
      <c r="C385" s="1"/>
      <c r="D385" s="1"/>
      <c r="E385" s="1"/>
      <c r="F385" s="1"/>
    </row>
    <row r="386" spans="2:6" ht="14" x14ac:dyDescent="0.2">
      <c r="B386" s="1"/>
      <c r="C386" s="1"/>
      <c r="D386" s="1"/>
      <c r="E386" s="1"/>
      <c r="F386" s="1"/>
    </row>
    <row r="387" spans="2:6" ht="14" x14ac:dyDescent="0.2">
      <c r="B387" s="1"/>
      <c r="C387" s="1"/>
      <c r="D387" s="1"/>
      <c r="E387" s="1"/>
      <c r="F387" s="1"/>
    </row>
    <row r="388" spans="2:6" ht="14" x14ac:dyDescent="0.2">
      <c r="B388" s="1"/>
      <c r="C388" s="1"/>
      <c r="D388" s="1"/>
      <c r="E388" s="1"/>
      <c r="F388" s="1"/>
    </row>
    <row r="389" spans="2:6" ht="14" x14ac:dyDescent="0.2">
      <c r="B389" s="1"/>
      <c r="C389" s="1"/>
      <c r="D389" s="1"/>
      <c r="E389" s="1"/>
      <c r="F389" s="1"/>
    </row>
    <row r="390" spans="2:6" ht="14" x14ac:dyDescent="0.2">
      <c r="B390" s="1"/>
      <c r="C390" s="1"/>
      <c r="D390" s="1"/>
      <c r="E390" s="1"/>
      <c r="F390" s="1"/>
    </row>
    <row r="391" spans="2:6" ht="14" x14ac:dyDescent="0.2">
      <c r="B391" s="1"/>
      <c r="C391" s="1"/>
      <c r="D391" s="1"/>
      <c r="E391" s="1"/>
      <c r="F391" s="1"/>
    </row>
    <row r="392" spans="2:6" ht="14" x14ac:dyDescent="0.2">
      <c r="B392" s="1"/>
      <c r="C392" s="1"/>
      <c r="D392" s="1"/>
      <c r="E392" s="1"/>
      <c r="F392" s="1"/>
    </row>
    <row r="393" spans="2:6" ht="14" x14ac:dyDescent="0.2">
      <c r="B393" s="1"/>
      <c r="C393" s="1"/>
      <c r="D393" s="1"/>
      <c r="E393" s="1"/>
      <c r="F393" s="1"/>
    </row>
    <row r="394" spans="2:6" ht="14" x14ac:dyDescent="0.2">
      <c r="B394" s="1"/>
      <c r="C394" s="1"/>
      <c r="D394" s="1"/>
      <c r="E394" s="1"/>
      <c r="F394" s="1"/>
    </row>
    <row r="395" spans="2:6" ht="14" x14ac:dyDescent="0.2">
      <c r="B395" s="1"/>
      <c r="C395" s="1"/>
      <c r="D395" s="1"/>
      <c r="E395" s="1"/>
      <c r="F395" s="1"/>
    </row>
    <row r="396" spans="2:6" ht="14" x14ac:dyDescent="0.2">
      <c r="B396" s="1"/>
      <c r="C396" s="1"/>
      <c r="D396" s="1"/>
      <c r="E396" s="1"/>
      <c r="F396" s="1"/>
    </row>
    <row r="397" spans="2:6" ht="14" x14ac:dyDescent="0.2">
      <c r="B397" s="1"/>
      <c r="C397" s="1"/>
      <c r="D397" s="1"/>
      <c r="E397" s="1"/>
      <c r="F397" s="1"/>
    </row>
    <row r="398" spans="2:6" ht="14" x14ac:dyDescent="0.2">
      <c r="B398" s="1"/>
      <c r="C398" s="1"/>
      <c r="D398" s="1"/>
      <c r="E398" s="1"/>
      <c r="F398" s="1"/>
    </row>
    <row r="399" spans="2:6" ht="14" x14ac:dyDescent="0.2">
      <c r="B399" s="1"/>
      <c r="C399" s="1"/>
      <c r="D399" s="1"/>
      <c r="E399" s="1"/>
      <c r="F399" s="1"/>
    </row>
    <row r="400" spans="2:6" ht="14" x14ac:dyDescent="0.2">
      <c r="B400" s="1"/>
      <c r="C400" s="1"/>
      <c r="D400" s="1"/>
      <c r="E400" s="1"/>
      <c r="F400" s="1"/>
    </row>
    <row r="401" spans="2:6" ht="14" x14ac:dyDescent="0.2">
      <c r="B401" s="1"/>
      <c r="C401" s="1"/>
      <c r="D401" s="1"/>
      <c r="E401" s="1"/>
      <c r="F401" s="1"/>
    </row>
    <row r="402" spans="2:6" ht="14" x14ac:dyDescent="0.2">
      <c r="B402" s="1"/>
      <c r="C402" s="1"/>
      <c r="D402" s="1"/>
      <c r="E402" s="1"/>
      <c r="F402" s="1"/>
    </row>
    <row r="403" spans="2:6" ht="14" x14ac:dyDescent="0.2">
      <c r="B403" s="1"/>
      <c r="C403" s="1"/>
      <c r="D403" s="1"/>
      <c r="E403" s="1"/>
      <c r="F403" s="1"/>
    </row>
    <row r="404" spans="2:6" ht="14" x14ac:dyDescent="0.2">
      <c r="B404" s="1"/>
      <c r="C404" s="1"/>
      <c r="D404" s="1"/>
      <c r="E404" s="1"/>
      <c r="F404" s="1"/>
    </row>
    <row r="405" spans="2:6" ht="14" x14ac:dyDescent="0.2">
      <c r="B405" s="1"/>
      <c r="C405" s="1"/>
      <c r="D405" s="1"/>
      <c r="E405" s="1"/>
      <c r="F405" s="1"/>
    </row>
    <row r="406" spans="2:6" ht="14" x14ac:dyDescent="0.2">
      <c r="B406" s="1"/>
      <c r="C406" s="1"/>
      <c r="D406" s="1"/>
      <c r="E406" s="1"/>
      <c r="F406" s="1"/>
    </row>
    <row r="407" spans="2:6" ht="14" x14ac:dyDescent="0.2">
      <c r="B407" s="1"/>
      <c r="C407" s="1"/>
      <c r="D407" s="1"/>
      <c r="E407" s="1"/>
      <c r="F407" s="1"/>
    </row>
    <row r="408" spans="2:6" ht="14" x14ac:dyDescent="0.2">
      <c r="B408" s="1"/>
      <c r="C408" s="1"/>
      <c r="D408" s="1"/>
      <c r="E408" s="1"/>
      <c r="F408" s="1"/>
    </row>
    <row r="409" spans="2:6" ht="14" x14ac:dyDescent="0.2">
      <c r="B409" s="1"/>
      <c r="C409" s="1"/>
      <c r="D409" s="1"/>
      <c r="E409" s="1"/>
      <c r="F409" s="1"/>
    </row>
    <row r="410" spans="2:6" ht="14" x14ac:dyDescent="0.2">
      <c r="B410" s="1"/>
      <c r="C410" s="1"/>
      <c r="D410" s="1"/>
      <c r="E410" s="1"/>
      <c r="F410" s="1"/>
    </row>
    <row r="411" spans="2:6" ht="14" x14ac:dyDescent="0.2">
      <c r="B411" s="1"/>
      <c r="C411" s="1"/>
      <c r="D411" s="1"/>
      <c r="E411" s="1"/>
      <c r="F411" s="1"/>
    </row>
    <row r="412" spans="2:6" ht="14" x14ac:dyDescent="0.2">
      <c r="B412" s="1"/>
      <c r="C412" s="1"/>
      <c r="D412" s="1"/>
      <c r="E412" s="1"/>
      <c r="F412" s="1"/>
    </row>
    <row r="413" spans="2:6" ht="14" x14ac:dyDescent="0.2">
      <c r="B413" s="1"/>
      <c r="C413" s="1"/>
      <c r="D413" s="1"/>
      <c r="E413" s="1"/>
      <c r="F413" s="1"/>
    </row>
    <row r="414" spans="2:6" ht="14" x14ac:dyDescent="0.2">
      <c r="B414" s="1"/>
      <c r="C414" s="1"/>
      <c r="D414" s="1"/>
      <c r="E414" s="1"/>
      <c r="F414" s="1"/>
    </row>
    <row r="415" spans="2:6" ht="14" x14ac:dyDescent="0.2">
      <c r="B415" s="1"/>
      <c r="C415" s="1"/>
      <c r="D415" s="1"/>
      <c r="E415" s="1"/>
      <c r="F415" s="1"/>
    </row>
    <row r="416" spans="2:6" ht="14" x14ac:dyDescent="0.2">
      <c r="B416" s="1"/>
      <c r="C416" s="1"/>
      <c r="D416" s="1"/>
      <c r="E416" s="1"/>
      <c r="F416" s="1"/>
    </row>
    <row r="417" spans="2:6" ht="14" x14ac:dyDescent="0.2">
      <c r="B417" s="1"/>
      <c r="C417" s="1"/>
      <c r="D417" s="1"/>
      <c r="E417" s="1"/>
      <c r="F417" s="1"/>
    </row>
    <row r="418" spans="2:6" ht="14" x14ac:dyDescent="0.2">
      <c r="B418" s="1"/>
      <c r="C418" s="1"/>
      <c r="D418" s="1"/>
      <c r="E418" s="1"/>
      <c r="F418" s="1"/>
    </row>
    <row r="419" spans="2:6" ht="14" x14ac:dyDescent="0.2">
      <c r="B419" s="1"/>
      <c r="C419" s="1"/>
      <c r="D419" s="1"/>
      <c r="E419" s="1"/>
      <c r="F419" s="1"/>
    </row>
    <row r="420" spans="2:6" ht="14" x14ac:dyDescent="0.2">
      <c r="B420" s="1"/>
      <c r="C420" s="1"/>
      <c r="D420" s="1"/>
      <c r="E420" s="1"/>
      <c r="F420" s="1"/>
    </row>
    <row r="421" spans="2:6" ht="14" x14ac:dyDescent="0.2">
      <c r="B421" s="1"/>
      <c r="C421" s="1"/>
      <c r="D421" s="1"/>
      <c r="E421" s="1"/>
      <c r="F421" s="1"/>
    </row>
    <row r="422" spans="2:6" ht="14" x14ac:dyDescent="0.2">
      <c r="B422" s="1"/>
      <c r="C422" s="1"/>
      <c r="D422" s="1"/>
      <c r="E422" s="1"/>
      <c r="F422" s="1"/>
    </row>
    <row r="423" spans="2:6" ht="14" x14ac:dyDescent="0.2">
      <c r="B423" s="1"/>
      <c r="C423" s="1"/>
      <c r="D423" s="1"/>
      <c r="E423" s="1"/>
      <c r="F423" s="1"/>
    </row>
    <row r="424" spans="2:6" ht="14" x14ac:dyDescent="0.2">
      <c r="B424" s="1"/>
      <c r="C424" s="1"/>
      <c r="D424" s="1"/>
      <c r="E424" s="1"/>
      <c r="F424" s="1"/>
    </row>
    <row r="425" spans="2:6" ht="14" x14ac:dyDescent="0.2">
      <c r="B425" s="1"/>
      <c r="C425" s="1"/>
      <c r="D425" s="1"/>
      <c r="E425" s="1"/>
      <c r="F425" s="1"/>
    </row>
    <row r="426" spans="2:6" ht="14" x14ac:dyDescent="0.2">
      <c r="B426" s="1"/>
      <c r="C426" s="1"/>
      <c r="D426" s="1"/>
      <c r="E426" s="1"/>
      <c r="F426" s="1"/>
    </row>
    <row r="427" spans="2:6" ht="14" x14ac:dyDescent="0.2">
      <c r="B427" s="1"/>
      <c r="C427" s="1"/>
      <c r="D427" s="1"/>
      <c r="E427" s="1"/>
      <c r="F427" s="1"/>
    </row>
    <row r="428" spans="2:6" ht="14" x14ac:dyDescent="0.2">
      <c r="B428" s="1"/>
      <c r="C428" s="1"/>
      <c r="D428" s="1"/>
      <c r="E428" s="1"/>
      <c r="F428" s="1"/>
    </row>
    <row r="429" spans="2:6" ht="14" x14ac:dyDescent="0.2">
      <c r="B429" s="1"/>
      <c r="C429" s="1"/>
      <c r="D429" s="1"/>
      <c r="E429" s="1"/>
      <c r="F429" s="1"/>
    </row>
    <row r="430" spans="2:6" ht="14" x14ac:dyDescent="0.2">
      <c r="B430" s="1"/>
      <c r="C430" s="1"/>
      <c r="D430" s="1"/>
      <c r="E430" s="1"/>
      <c r="F430" s="1"/>
    </row>
    <row r="431" spans="2:6" ht="14" x14ac:dyDescent="0.2">
      <c r="B431" s="1"/>
      <c r="C431" s="1"/>
      <c r="D431" s="1"/>
      <c r="E431" s="1"/>
      <c r="F431" s="1"/>
    </row>
    <row r="432" spans="2:6" ht="14" x14ac:dyDescent="0.2">
      <c r="B432" s="1"/>
      <c r="C432" s="1"/>
      <c r="D432" s="1"/>
      <c r="E432" s="1"/>
      <c r="F432" s="1"/>
    </row>
    <row r="433" spans="2:6" ht="14" x14ac:dyDescent="0.2">
      <c r="B433" s="1"/>
      <c r="C433" s="1"/>
      <c r="D433" s="1"/>
      <c r="E433" s="1"/>
      <c r="F433" s="1"/>
    </row>
    <row r="434" spans="2:6" ht="14" x14ac:dyDescent="0.2">
      <c r="B434" s="1"/>
      <c r="C434" s="1"/>
      <c r="D434" s="1"/>
      <c r="E434" s="1"/>
      <c r="F434" s="1"/>
    </row>
    <row r="435" spans="2:6" ht="14" x14ac:dyDescent="0.2">
      <c r="B435" s="1"/>
      <c r="C435" s="1"/>
      <c r="D435" s="1"/>
      <c r="E435" s="1"/>
      <c r="F435" s="1"/>
    </row>
    <row r="436" spans="2:6" ht="14" x14ac:dyDescent="0.2">
      <c r="B436" s="1"/>
      <c r="C436" s="1"/>
      <c r="D436" s="1"/>
      <c r="E436" s="1"/>
      <c r="F436" s="1"/>
    </row>
    <row r="437" spans="2:6" ht="14" x14ac:dyDescent="0.2">
      <c r="B437" s="1"/>
      <c r="C437" s="1"/>
      <c r="D437" s="1"/>
      <c r="E437" s="1"/>
      <c r="F437" s="1"/>
    </row>
    <row r="438" spans="2:6" ht="14" x14ac:dyDescent="0.2">
      <c r="B438" s="1"/>
      <c r="C438" s="1"/>
      <c r="D438" s="1"/>
      <c r="E438" s="1"/>
      <c r="F438" s="1"/>
    </row>
    <row r="439" spans="2:6" ht="14" x14ac:dyDescent="0.2">
      <c r="B439" s="1"/>
      <c r="C439" s="1"/>
      <c r="D439" s="1"/>
      <c r="E439" s="1"/>
      <c r="F439" s="1"/>
    </row>
    <row r="440" spans="2:6" ht="14" x14ac:dyDescent="0.2">
      <c r="B440" s="1"/>
      <c r="C440" s="1"/>
      <c r="D440" s="1"/>
      <c r="E440" s="1"/>
      <c r="F440" s="1"/>
    </row>
    <row r="441" spans="2:6" ht="14" x14ac:dyDescent="0.2">
      <c r="B441" s="1"/>
      <c r="C441" s="1"/>
      <c r="D441" s="1"/>
      <c r="E441" s="1"/>
      <c r="F441" s="1"/>
    </row>
    <row r="442" spans="2:6" ht="14" x14ac:dyDescent="0.2">
      <c r="B442" s="1"/>
      <c r="C442" s="1"/>
      <c r="D442" s="1"/>
      <c r="E442" s="1"/>
      <c r="F442" s="1"/>
    </row>
    <row r="443" spans="2:6" ht="14" x14ac:dyDescent="0.2">
      <c r="B443" s="1"/>
      <c r="C443" s="1"/>
      <c r="D443" s="1"/>
      <c r="E443" s="1"/>
      <c r="F443" s="1"/>
    </row>
    <row r="444" spans="2:6" ht="14" x14ac:dyDescent="0.2">
      <c r="B444" s="1"/>
      <c r="C444" s="1"/>
      <c r="D444" s="1"/>
      <c r="E444" s="1"/>
      <c r="F444" s="1"/>
    </row>
    <row r="445" spans="2:6" ht="14" x14ac:dyDescent="0.2">
      <c r="B445" s="1"/>
      <c r="C445" s="1"/>
      <c r="D445" s="1"/>
      <c r="E445" s="1"/>
      <c r="F445" s="1"/>
    </row>
    <row r="446" spans="2:6" ht="14" x14ac:dyDescent="0.2">
      <c r="B446" s="1"/>
      <c r="C446" s="1"/>
      <c r="D446" s="1"/>
      <c r="E446" s="1"/>
      <c r="F446" s="1"/>
    </row>
    <row r="447" spans="2:6" ht="14" x14ac:dyDescent="0.2">
      <c r="B447" s="1"/>
      <c r="C447" s="1"/>
      <c r="D447" s="1"/>
      <c r="E447" s="1"/>
      <c r="F447" s="1"/>
    </row>
    <row r="448" spans="2:6" ht="14" x14ac:dyDescent="0.2">
      <c r="B448" s="1"/>
      <c r="C448" s="1"/>
      <c r="D448" s="1"/>
      <c r="E448" s="1"/>
      <c r="F448" s="1"/>
    </row>
    <row r="449" spans="2:6" ht="14" x14ac:dyDescent="0.2">
      <c r="B449" s="1"/>
      <c r="C449" s="1"/>
      <c r="D449" s="1"/>
      <c r="E449" s="1"/>
      <c r="F449" s="1"/>
    </row>
    <row r="450" spans="2:6" ht="14" x14ac:dyDescent="0.2">
      <c r="B450" s="1"/>
      <c r="C450" s="1"/>
      <c r="D450" s="1"/>
      <c r="E450" s="1"/>
      <c r="F450" s="1"/>
    </row>
    <row r="451" spans="2:6" ht="14" x14ac:dyDescent="0.2">
      <c r="B451" s="1"/>
      <c r="C451" s="1"/>
      <c r="D451" s="1"/>
      <c r="E451" s="1"/>
      <c r="F451" s="1"/>
    </row>
    <row r="452" spans="2:6" ht="14" x14ac:dyDescent="0.2">
      <c r="B452" s="1"/>
      <c r="C452" s="1"/>
      <c r="D452" s="1"/>
      <c r="E452" s="1"/>
      <c r="F452" s="1"/>
    </row>
    <row r="453" spans="2:6" ht="14" x14ac:dyDescent="0.2">
      <c r="B453" s="1"/>
      <c r="C453" s="1"/>
      <c r="D453" s="1"/>
      <c r="E453" s="1"/>
      <c r="F453" s="1"/>
    </row>
    <row r="454" spans="2:6" ht="14" x14ac:dyDescent="0.2">
      <c r="B454" s="1"/>
      <c r="C454" s="1"/>
      <c r="D454" s="1"/>
      <c r="E454" s="1"/>
      <c r="F454" s="1"/>
    </row>
    <row r="455" spans="2:6" ht="14" x14ac:dyDescent="0.2">
      <c r="B455" s="1"/>
      <c r="C455" s="1"/>
      <c r="D455" s="1"/>
      <c r="E455" s="1"/>
      <c r="F455" s="1"/>
    </row>
    <row r="456" spans="2:6" ht="14" x14ac:dyDescent="0.2">
      <c r="B456" s="1"/>
      <c r="C456" s="1"/>
      <c r="D456" s="1"/>
      <c r="E456" s="1"/>
      <c r="F456" s="1"/>
    </row>
    <row r="457" spans="2:6" ht="14" x14ac:dyDescent="0.2">
      <c r="B457" s="1"/>
      <c r="C457" s="1"/>
      <c r="D457" s="1"/>
      <c r="E457" s="1"/>
      <c r="F457" s="1"/>
    </row>
    <row r="458" spans="2:6" ht="14" x14ac:dyDescent="0.2">
      <c r="B458" s="1"/>
      <c r="C458" s="1"/>
      <c r="D458" s="1"/>
      <c r="E458" s="1"/>
      <c r="F458" s="1"/>
    </row>
    <row r="459" spans="2:6" ht="14" x14ac:dyDescent="0.2">
      <c r="B459" s="1"/>
      <c r="C459" s="1"/>
      <c r="D459" s="1"/>
      <c r="E459" s="1"/>
      <c r="F459" s="1"/>
    </row>
    <row r="460" spans="2:6" ht="14" x14ac:dyDescent="0.2">
      <c r="B460" s="1"/>
      <c r="C460" s="1"/>
      <c r="D460" s="1"/>
      <c r="E460" s="1"/>
      <c r="F460" s="1"/>
    </row>
    <row r="461" spans="2:6" ht="14" x14ac:dyDescent="0.2">
      <c r="B461" s="1"/>
      <c r="C461" s="1"/>
      <c r="D461" s="1"/>
      <c r="E461" s="1"/>
      <c r="F461" s="1"/>
    </row>
    <row r="462" spans="2:6" ht="14" x14ac:dyDescent="0.2">
      <c r="B462" s="1"/>
      <c r="C462" s="1"/>
      <c r="D462" s="1"/>
      <c r="E462" s="1"/>
      <c r="F462" s="1"/>
    </row>
    <row r="463" spans="2:6" ht="14" x14ac:dyDescent="0.2">
      <c r="B463" s="1"/>
      <c r="C463" s="1"/>
      <c r="D463" s="1"/>
      <c r="E463" s="1"/>
      <c r="F463" s="1"/>
    </row>
    <row r="464" spans="2:6" ht="14" x14ac:dyDescent="0.2">
      <c r="B464" s="1"/>
      <c r="C464" s="1"/>
      <c r="D464" s="1"/>
      <c r="E464" s="1"/>
      <c r="F464" s="1"/>
    </row>
    <row r="465" spans="2:6" ht="14" x14ac:dyDescent="0.2">
      <c r="B465" s="1"/>
      <c r="C465" s="1"/>
      <c r="D465" s="1"/>
      <c r="E465" s="1"/>
      <c r="F465" s="1"/>
    </row>
    <row r="466" spans="2:6" ht="14" x14ac:dyDescent="0.2">
      <c r="B466" s="1"/>
      <c r="C466" s="1"/>
      <c r="D466" s="1"/>
      <c r="E466" s="1"/>
      <c r="F466" s="1"/>
    </row>
    <row r="467" spans="2:6" ht="14" x14ac:dyDescent="0.2">
      <c r="B467" s="1"/>
      <c r="C467" s="1"/>
      <c r="D467" s="1"/>
      <c r="E467" s="1"/>
      <c r="F467" s="1"/>
    </row>
    <row r="468" spans="2:6" ht="14" x14ac:dyDescent="0.2">
      <c r="B468" s="1"/>
      <c r="C468" s="1"/>
      <c r="D468" s="1"/>
      <c r="E468" s="1"/>
      <c r="F468" s="1"/>
    </row>
    <row r="469" spans="2:6" ht="14" x14ac:dyDescent="0.2">
      <c r="B469" s="1"/>
      <c r="C469" s="1"/>
      <c r="D469" s="1"/>
      <c r="E469" s="1"/>
      <c r="F469" s="1"/>
    </row>
    <row r="470" spans="2:6" ht="14" x14ac:dyDescent="0.2">
      <c r="B470" s="1"/>
      <c r="C470" s="1"/>
      <c r="D470" s="1"/>
      <c r="E470" s="1"/>
      <c r="F470" s="1"/>
    </row>
    <row r="471" spans="2:6" ht="14" x14ac:dyDescent="0.2">
      <c r="B471" s="1"/>
      <c r="C471" s="1"/>
      <c r="D471" s="1"/>
      <c r="E471" s="1"/>
      <c r="F471" s="1"/>
    </row>
    <row r="472" spans="2:6" ht="14" x14ac:dyDescent="0.2">
      <c r="B472" s="1"/>
      <c r="C472" s="1"/>
      <c r="D472" s="1"/>
      <c r="E472" s="1"/>
      <c r="F472" s="1"/>
    </row>
    <row r="473" spans="2:6" ht="14" x14ac:dyDescent="0.2">
      <c r="B473" s="1"/>
      <c r="C473" s="1"/>
      <c r="D473" s="1"/>
      <c r="E473" s="1"/>
      <c r="F473" s="1"/>
    </row>
    <row r="474" spans="2:6" ht="14" x14ac:dyDescent="0.2">
      <c r="B474" s="1"/>
      <c r="C474" s="1"/>
      <c r="D474" s="1"/>
      <c r="E474" s="1"/>
      <c r="F474" s="1"/>
    </row>
    <row r="475" spans="2:6" ht="14" x14ac:dyDescent="0.2">
      <c r="B475" s="1"/>
      <c r="C475" s="1"/>
      <c r="D475" s="1"/>
      <c r="E475" s="1"/>
      <c r="F475" s="1"/>
    </row>
    <row r="476" spans="2:6" ht="14" x14ac:dyDescent="0.2">
      <c r="B476" s="1"/>
      <c r="C476" s="1"/>
      <c r="D476" s="1"/>
      <c r="E476" s="1"/>
      <c r="F476" s="1"/>
    </row>
    <row r="477" spans="2:6" ht="14" x14ac:dyDescent="0.2">
      <c r="B477" s="1"/>
      <c r="C477" s="1"/>
      <c r="D477" s="1"/>
      <c r="E477" s="1"/>
      <c r="F477" s="1"/>
    </row>
    <row r="478" spans="2:6" ht="14" x14ac:dyDescent="0.2">
      <c r="B478" s="1"/>
      <c r="C478" s="1"/>
      <c r="D478" s="1"/>
      <c r="E478" s="1"/>
      <c r="F478" s="1"/>
    </row>
    <row r="479" spans="2:6" ht="14" x14ac:dyDescent="0.2">
      <c r="B479" s="1"/>
      <c r="C479" s="1"/>
      <c r="D479" s="1"/>
      <c r="E479" s="1"/>
      <c r="F479" s="1"/>
    </row>
    <row r="480" spans="2:6" ht="14" x14ac:dyDescent="0.2">
      <c r="B480" s="1"/>
      <c r="C480" s="1"/>
      <c r="D480" s="1"/>
      <c r="E480" s="1"/>
      <c r="F480" s="1"/>
    </row>
    <row r="481" spans="2:6" ht="14" x14ac:dyDescent="0.2">
      <c r="B481" s="1"/>
      <c r="C481" s="1"/>
      <c r="D481" s="1"/>
      <c r="E481" s="1"/>
      <c r="F481" s="1"/>
    </row>
    <row r="482" spans="2:6" ht="14" x14ac:dyDescent="0.2">
      <c r="B482" s="1"/>
      <c r="C482" s="1"/>
      <c r="D482" s="1"/>
      <c r="E482" s="1"/>
      <c r="F482" s="1"/>
    </row>
    <row r="483" spans="2:6" ht="14" x14ac:dyDescent="0.2">
      <c r="B483" s="1"/>
      <c r="C483" s="1"/>
      <c r="D483" s="1"/>
      <c r="E483" s="1"/>
      <c r="F483" s="1"/>
    </row>
    <row r="484" spans="2:6" ht="14" x14ac:dyDescent="0.2">
      <c r="B484" s="1"/>
      <c r="C484" s="1"/>
      <c r="D484" s="1"/>
      <c r="E484" s="1"/>
      <c r="F484" s="1"/>
    </row>
    <row r="485" spans="2:6" ht="14" x14ac:dyDescent="0.2">
      <c r="B485" s="1"/>
      <c r="C485" s="1"/>
      <c r="D485" s="1"/>
      <c r="E485" s="1"/>
      <c r="F485" s="1"/>
    </row>
    <row r="486" spans="2:6" ht="14" x14ac:dyDescent="0.2">
      <c r="B486" s="1"/>
      <c r="C486" s="1"/>
      <c r="D486" s="1"/>
      <c r="E486" s="1"/>
      <c r="F486" s="1"/>
    </row>
    <row r="487" spans="2:6" ht="14" x14ac:dyDescent="0.2">
      <c r="B487" s="1"/>
      <c r="C487" s="1"/>
      <c r="D487" s="1"/>
      <c r="E487" s="1"/>
      <c r="F487" s="1"/>
    </row>
    <row r="488" spans="2:6" ht="14" x14ac:dyDescent="0.2">
      <c r="B488" s="1"/>
      <c r="C488" s="1"/>
      <c r="D488" s="1"/>
      <c r="E488" s="1"/>
      <c r="F488" s="1"/>
    </row>
    <row r="489" spans="2:6" ht="14" x14ac:dyDescent="0.2">
      <c r="B489" s="1"/>
      <c r="C489" s="1"/>
      <c r="D489" s="1"/>
      <c r="E489" s="1"/>
      <c r="F489" s="1"/>
    </row>
    <row r="490" spans="2:6" ht="14" x14ac:dyDescent="0.2">
      <c r="B490" s="1"/>
      <c r="C490" s="1"/>
      <c r="D490" s="1"/>
      <c r="E490" s="1"/>
      <c r="F490" s="1"/>
    </row>
    <row r="491" spans="2:6" ht="14" x14ac:dyDescent="0.2">
      <c r="B491" s="1"/>
      <c r="C491" s="1"/>
      <c r="D491" s="1"/>
      <c r="E491" s="1"/>
      <c r="F491" s="1"/>
    </row>
    <row r="492" spans="2:6" ht="14" x14ac:dyDescent="0.2">
      <c r="B492" s="1"/>
      <c r="C492" s="1"/>
      <c r="D492" s="1"/>
      <c r="E492" s="1"/>
      <c r="F492" s="1"/>
    </row>
    <row r="493" spans="2:6" ht="14" x14ac:dyDescent="0.2">
      <c r="B493" s="1"/>
      <c r="C493" s="1"/>
      <c r="D493" s="1"/>
      <c r="E493" s="1"/>
      <c r="F493" s="1"/>
    </row>
    <row r="494" spans="2:6" ht="14" x14ac:dyDescent="0.2">
      <c r="B494" s="1"/>
      <c r="C494" s="1"/>
      <c r="D494" s="1"/>
      <c r="E494" s="1"/>
      <c r="F494" s="1"/>
    </row>
    <row r="495" spans="2:6" ht="14" x14ac:dyDescent="0.2">
      <c r="B495" s="1"/>
      <c r="C495" s="1"/>
      <c r="D495" s="1"/>
      <c r="E495" s="1"/>
      <c r="F495" s="1"/>
    </row>
    <row r="496" spans="2:6" ht="14" x14ac:dyDescent="0.2">
      <c r="B496" s="1"/>
      <c r="C496" s="1"/>
      <c r="D496" s="1"/>
      <c r="E496" s="1"/>
      <c r="F496" s="1"/>
    </row>
    <row r="497" spans="2:6" ht="14" x14ac:dyDescent="0.2">
      <c r="B497" s="1"/>
      <c r="C497" s="1"/>
      <c r="D497" s="1"/>
      <c r="E497" s="1"/>
      <c r="F497" s="1"/>
    </row>
    <row r="498" spans="2:6" ht="14" x14ac:dyDescent="0.2">
      <c r="B498" s="1"/>
      <c r="C498" s="1"/>
      <c r="D498" s="1"/>
      <c r="E498" s="1"/>
      <c r="F498" s="1"/>
    </row>
    <row r="499" spans="2:6" ht="14" x14ac:dyDescent="0.2">
      <c r="B499" s="1"/>
      <c r="C499" s="1"/>
      <c r="D499" s="1"/>
      <c r="E499" s="1"/>
      <c r="F499" s="1"/>
    </row>
    <row r="500" spans="2:6" ht="14" x14ac:dyDescent="0.2">
      <c r="B500" s="1"/>
      <c r="C500" s="1"/>
      <c r="D500" s="1"/>
      <c r="E500" s="1"/>
      <c r="F500" s="1"/>
    </row>
    <row r="501" spans="2:6" ht="14" x14ac:dyDescent="0.2">
      <c r="B501" s="1"/>
      <c r="C501" s="1"/>
      <c r="D501" s="1"/>
      <c r="E501" s="1"/>
      <c r="F501" s="1"/>
    </row>
    <row r="502" spans="2:6" ht="14" x14ac:dyDescent="0.2">
      <c r="B502" s="1"/>
      <c r="C502" s="1"/>
      <c r="D502" s="1"/>
      <c r="E502" s="1"/>
      <c r="F502" s="1"/>
    </row>
    <row r="503" spans="2:6" ht="14" x14ac:dyDescent="0.2">
      <c r="B503" s="1"/>
      <c r="C503" s="1"/>
      <c r="D503" s="1"/>
      <c r="E503" s="1"/>
      <c r="F503" s="1"/>
    </row>
    <row r="504" spans="2:6" ht="14" x14ac:dyDescent="0.2">
      <c r="B504" s="1"/>
      <c r="C504" s="1"/>
      <c r="D504" s="1"/>
      <c r="E504" s="1"/>
      <c r="F504" s="1"/>
    </row>
    <row r="505" spans="2:6" ht="14" x14ac:dyDescent="0.2">
      <c r="B505" s="1"/>
      <c r="C505" s="1"/>
      <c r="D505" s="1"/>
      <c r="E505" s="1"/>
      <c r="F505" s="1"/>
    </row>
    <row r="506" spans="2:6" ht="14" x14ac:dyDescent="0.2">
      <c r="B506" s="1"/>
      <c r="C506" s="1"/>
      <c r="D506" s="1"/>
      <c r="E506" s="1"/>
      <c r="F506" s="1"/>
    </row>
    <row r="507" spans="2:6" ht="14" x14ac:dyDescent="0.2">
      <c r="B507" s="1"/>
      <c r="C507" s="1"/>
      <c r="D507" s="1"/>
      <c r="E507" s="1"/>
      <c r="F507" s="1"/>
    </row>
    <row r="508" spans="2:6" ht="14" x14ac:dyDescent="0.2">
      <c r="B508" s="1"/>
      <c r="C508" s="1"/>
      <c r="D508" s="1"/>
      <c r="E508" s="1"/>
      <c r="F508" s="1"/>
    </row>
    <row r="509" spans="2:6" ht="14" x14ac:dyDescent="0.2">
      <c r="B509" s="1"/>
      <c r="C509" s="1"/>
      <c r="D509" s="1"/>
      <c r="E509" s="1"/>
      <c r="F509" s="1"/>
    </row>
    <row r="510" spans="2:6" ht="14" x14ac:dyDescent="0.2">
      <c r="B510" s="1"/>
      <c r="C510" s="1"/>
      <c r="D510" s="1"/>
      <c r="E510" s="1"/>
      <c r="F510" s="1"/>
    </row>
    <row r="511" spans="2:6" ht="14" x14ac:dyDescent="0.2">
      <c r="B511" s="1"/>
      <c r="C511" s="1"/>
      <c r="D511" s="1"/>
      <c r="E511" s="1"/>
      <c r="F511" s="1"/>
    </row>
    <row r="512" spans="2:6" ht="14" x14ac:dyDescent="0.2">
      <c r="B512" s="1"/>
      <c r="C512" s="1"/>
      <c r="D512" s="1"/>
      <c r="E512" s="1"/>
      <c r="F512" s="1"/>
    </row>
    <row r="513" spans="2:6" ht="14" x14ac:dyDescent="0.2">
      <c r="B513" s="1"/>
      <c r="C513" s="1"/>
      <c r="D513" s="1"/>
      <c r="E513" s="1"/>
      <c r="F513" s="1"/>
    </row>
    <row r="514" spans="2:6" ht="14" x14ac:dyDescent="0.2">
      <c r="B514" s="1"/>
      <c r="C514" s="1"/>
      <c r="D514" s="1"/>
      <c r="E514" s="1"/>
      <c r="F514" s="1"/>
    </row>
    <row r="515" spans="2:6" ht="14" x14ac:dyDescent="0.2">
      <c r="B515" s="1"/>
      <c r="C515" s="1"/>
      <c r="D515" s="1"/>
      <c r="E515" s="1"/>
      <c r="F515" s="1"/>
    </row>
    <row r="516" spans="2:6" ht="14" x14ac:dyDescent="0.2">
      <c r="B516" s="1"/>
      <c r="C516" s="1"/>
      <c r="D516" s="1"/>
      <c r="E516" s="1"/>
      <c r="F516" s="1"/>
    </row>
    <row r="517" spans="2:6" ht="14" x14ac:dyDescent="0.2">
      <c r="B517" s="1"/>
      <c r="C517" s="1"/>
      <c r="D517" s="1"/>
      <c r="E517" s="1"/>
      <c r="F517" s="1"/>
    </row>
    <row r="518" spans="2:6" ht="14" x14ac:dyDescent="0.2">
      <c r="B518" s="1"/>
      <c r="C518" s="1"/>
      <c r="D518" s="1"/>
      <c r="E518" s="1"/>
      <c r="F518" s="1"/>
    </row>
    <row r="519" spans="2:6" ht="14" x14ac:dyDescent="0.2">
      <c r="B519" s="1"/>
      <c r="C519" s="1"/>
      <c r="D519" s="1"/>
      <c r="E519" s="1"/>
      <c r="F519" s="1"/>
    </row>
    <row r="520" spans="2:6" ht="14" x14ac:dyDescent="0.2">
      <c r="B520" s="1"/>
      <c r="C520" s="1"/>
      <c r="D520" s="1"/>
      <c r="E520" s="1"/>
      <c r="F520" s="1"/>
    </row>
    <row r="521" spans="2:6" ht="14" x14ac:dyDescent="0.2">
      <c r="B521" s="1"/>
      <c r="C521" s="1"/>
      <c r="D521" s="1"/>
      <c r="E521" s="1"/>
      <c r="F521" s="1"/>
    </row>
    <row r="522" spans="2:6" ht="14" x14ac:dyDescent="0.2">
      <c r="B522" s="1"/>
      <c r="C522" s="1"/>
      <c r="D522" s="1"/>
      <c r="E522" s="1"/>
      <c r="F522" s="1"/>
    </row>
    <row r="523" spans="2:6" ht="14" x14ac:dyDescent="0.2">
      <c r="B523" s="1"/>
      <c r="C523" s="1"/>
      <c r="D523" s="1"/>
      <c r="E523" s="1"/>
      <c r="F523" s="1"/>
    </row>
    <row r="524" spans="2:6" ht="14" x14ac:dyDescent="0.2">
      <c r="B524" s="1"/>
      <c r="C524" s="1"/>
      <c r="D524" s="1"/>
      <c r="E524" s="1"/>
      <c r="F524" s="1"/>
    </row>
    <row r="525" spans="2:6" ht="14" x14ac:dyDescent="0.2">
      <c r="B525" s="1"/>
      <c r="C525" s="1"/>
      <c r="D525" s="1"/>
      <c r="E525" s="1"/>
      <c r="F525" s="1"/>
    </row>
    <row r="526" spans="2:6" ht="14" x14ac:dyDescent="0.2">
      <c r="B526" s="1"/>
      <c r="C526" s="1"/>
      <c r="D526" s="1"/>
      <c r="E526" s="1"/>
      <c r="F526" s="1"/>
    </row>
    <row r="527" spans="2:6" ht="14" x14ac:dyDescent="0.2">
      <c r="B527" s="1"/>
      <c r="C527" s="1"/>
      <c r="D527" s="1"/>
      <c r="E527" s="1"/>
      <c r="F527" s="1"/>
    </row>
    <row r="528" spans="2:6" ht="14" x14ac:dyDescent="0.2">
      <c r="B528" s="1"/>
      <c r="C528" s="1"/>
      <c r="D528" s="1"/>
      <c r="E528" s="1"/>
      <c r="F528" s="1"/>
    </row>
    <row r="529" spans="2:6" ht="14" x14ac:dyDescent="0.2">
      <c r="B529" s="1"/>
      <c r="C529" s="1"/>
      <c r="D529" s="1"/>
      <c r="E529" s="1"/>
      <c r="F529" s="1"/>
    </row>
    <row r="530" spans="2:6" ht="14" x14ac:dyDescent="0.2">
      <c r="B530" s="1"/>
      <c r="C530" s="1"/>
      <c r="D530" s="1"/>
      <c r="E530" s="1"/>
      <c r="F530" s="1"/>
    </row>
    <row r="531" spans="2:6" ht="14" x14ac:dyDescent="0.2">
      <c r="B531" s="1"/>
      <c r="C531" s="1"/>
      <c r="D531" s="1"/>
      <c r="E531" s="1"/>
      <c r="F531" s="1"/>
    </row>
    <row r="532" spans="2:6" ht="14" x14ac:dyDescent="0.2">
      <c r="B532" s="1"/>
      <c r="C532" s="1"/>
      <c r="D532" s="1"/>
      <c r="E532" s="1"/>
      <c r="F532" s="1"/>
    </row>
    <row r="533" spans="2:6" ht="14" x14ac:dyDescent="0.2">
      <c r="B533" s="1"/>
      <c r="C533" s="1"/>
      <c r="D533" s="1"/>
      <c r="E533" s="1"/>
      <c r="F533" s="1"/>
    </row>
    <row r="534" spans="2:6" ht="14" x14ac:dyDescent="0.2">
      <c r="B534" s="1"/>
      <c r="C534" s="1"/>
      <c r="D534" s="1"/>
      <c r="E534" s="1"/>
      <c r="F534" s="1"/>
    </row>
    <row r="535" spans="2:6" ht="14" x14ac:dyDescent="0.2">
      <c r="B535" s="1"/>
      <c r="C535" s="1"/>
      <c r="D535" s="1"/>
      <c r="E535" s="1"/>
      <c r="F535" s="1"/>
    </row>
    <row r="536" spans="2:6" ht="14" x14ac:dyDescent="0.2">
      <c r="B536" s="1"/>
      <c r="C536" s="1"/>
      <c r="D536" s="1"/>
      <c r="E536" s="1"/>
      <c r="F536" s="1"/>
    </row>
    <row r="537" spans="2:6" ht="14" x14ac:dyDescent="0.2">
      <c r="B537" s="1"/>
      <c r="C537" s="1"/>
      <c r="D537" s="1"/>
      <c r="E537" s="1"/>
      <c r="F537" s="1"/>
    </row>
    <row r="538" spans="2:6" ht="14" x14ac:dyDescent="0.2">
      <c r="B538" s="1"/>
      <c r="C538" s="1"/>
      <c r="D538" s="1"/>
      <c r="E538" s="1"/>
      <c r="F538" s="1"/>
    </row>
    <row r="539" spans="2:6" ht="14" x14ac:dyDescent="0.2">
      <c r="B539" s="1"/>
      <c r="C539" s="1"/>
      <c r="D539" s="1"/>
      <c r="E539" s="1"/>
      <c r="F539" s="1"/>
    </row>
    <row r="540" spans="2:6" ht="14" x14ac:dyDescent="0.2">
      <c r="B540" s="1"/>
      <c r="C540" s="1"/>
      <c r="D540" s="1"/>
      <c r="E540" s="1"/>
      <c r="F540" s="1"/>
    </row>
    <row r="541" spans="2:6" ht="14" x14ac:dyDescent="0.2">
      <c r="B541" s="1"/>
      <c r="C541" s="1"/>
      <c r="D541" s="1"/>
      <c r="E541" s="1"/>
      <c r="F541" s="1"/>
    </row>
    <row r="542" spans="2:6" ht="14" x14ac:dyDescent="0.2">
      <c r="B542" s="1"/>
      <c r="C542" s="1"/>
      <c r="D542" s="1"/>
      <c r="E542" s="1"/>
      <c r="F542" s="1"/>
    </row>
    <row r="543" spans="2:6" ht="14" x14ac:dyDescent="0.2">
      <c r="B543" s="1"/>
      <c r="C543" s="1"/>
      <c r="D543" s="1"/>
      <c r="E543" s="1"/>
      <c r="F543" s="1"/>
    </row>
    <row r="544" spans="2:6" ht="14" x14ac:dyDescent="0.2">
      <c r="B544" s="1"/>
      <c r="C544" s="1"/>
      <c r="D544" s="1"/>
      <c r="E544" s="1"/>
      <c r="F544" s="1"/>
    </row>
    <row r="545" spans="2:6" ht="14" x14ac:dyDescent="0.2">
      <c r="B545" s="1"/>
      <c r="C545" s="1"/>
      <c r="D545" s="1"/>
      <c r="E545" s="1"/>
      <c r="F545" s="1"/>
    </row>
    <row r="546" spans="2:6" ht="14" x14ac:dyDescent="0.2">
      <c r="B546" s="1"/>
      <c r="C546" s="1"/>
      <c r="D546" s="1"/>
      <c r="E546" s="1"/>
      <c r="F546" s="1"/>
    </row>
    <row r="547" spans="2:6" ht="14" x14ac:dyDescent="0.2">
      <c r="B547" s="1"/>
      <c r="C547" s="1"/>
      <c r="D547" s="1"/>
      <c r="E547" s="1"/>
      <c r="F547" s="1"/>
    </row>
    <row r="548" spans="2:6" ht="14" x14ac:dyDescent="0.2">
      <c r="B548" s="1"/>
      <c r="C548" s="1"/>
      <c r="D548" s="1"/>
      <c r="E548" s="1"/>
      <c r="F548" s="1"/>
    </row>
    <row r="549" spans="2:6" ht="14" x14ac:dyDescent="0.2">
      <c r="B549" s="1"/>
      <c r="C549" s="1"/>
      <c r="D549" s="1"/>
      <c r="E549" s="1"/>
      <c r="F549" s="1"/>
    </row>
    <row r="550" spans="2:6" ht="14" x14ac:dyDescent="0.2">
      <c r="B550" s="1"/>
      <c r="C550" s="1"/>
      <c r="D550" s="1"/>
      <c r="E550" s="1"/>
      <c r="F550" s="1"/>
    </row>
    <row r="551" spans="2:6" ht="14" x14ac:dyDescent="0.2">
      <c r="B551" s="1"/>
      <c r="C551" s="1"/>
      <c r="D551" s="1"/>
      <c r="E551" s="1"/>
      <c r="F551" s="1"/>
    </row>
    <row r="552" spans="2:6" ht="14" x14ac:dyDescent="0.2">
      <c r="B552" s="1"/>
      <c r="C552" s="1"/>
      <c r="D552" s="1"/>
      <c r="E552" s="1"/>
      <c r="F552" s="1"/>
    </row>
    <row r="553" spans="2:6" ht="14" x14ac:dyDescent="0.2">
      <c r="B553" s="1"/>
      <c r="C553" s="1"/>
      <c r="D553" s="1"/>
      <c r="E553" s="1"/>
      <c r="F553" s="1"/>
    </row>
    <row r="554" spans="2:6" ht="14" x14ac:dyDescent="0.2">
      <c r="B554" s="1"/>
      <c r="C554" s="1"/>
      <c r="D554" s="1"/>
      <c r="E554" s="1"/>
      <c r="F554" s="1"/>
    </row>
    <row r="555" spans="2:6" ht="14" x14ac:dyDescent="0.2">
      <c r="B555" s="1"/>
      <c r="C555" s="1"/>
      <c r="D555" s="1"/>
      <c r="E555" s="1"/>
      <c r="F555" s="1"/>
    </row>
    <row r="556" spans="2:6" ht="14" x14ac:dyDescent="0.2">
      <c r="B556" s="1"/>
      <c r="C556" s="1"/>
      <c r="D556" s="1"/>
      <c r="E556" s="1"/>
      <c r="F556" s="1"/>
    </row>
    <row r="557" spans="2:6" ht="14" x14ac:dyDescent="0.2">
      <c r="B557" s="1"/>
      <c r="C557" s="1"/>
      <c r="D557" s="1"/>
      <c r="E557" s="1"/>
      <c r="F557" s="1"/>
    </row>
    <row r="558" spans="2:6" ht="14" x14ac:dyDescent="0.2">
      <c r="B558" s="1"/>
      <c r="C558" s="1"/>
      <c r="D558" s="1"/>
      <c r="E558" s="1"/>
      <c r="F558" s="1"/>
    </row>
    <row r="559" spans="2:6" ht="14" x14ac:dyDescent="0.2">
      <c r="B559" s="1"/>
      <c r="C559" s="1"/>
      <c r="D559" s="1"/>
      <c r="E559" s="1"/>
      <c r="F559" s="1"/>
    </row>
    <row r="560" spans="2:6" ht="14" x14ac:dyDescent="0.2">
      <c r="B560" s="1"/>
      <c r="C560" s="1"/>
      <c r="D560" s="1"/>
      <c r="E560" s="1"/>
      <c r="F560" s="1"/>
    </row>
    <row r="561" spans="2:6" ht="14" x14ac:dyDescent="0.2">
      <c r="B561" s="1"/>
      <c r="C561" s="1"/>
      <c r="D561" s="1"/>
      <c r="E561" s="1"/>
      <c r="F561" s="1"/>
    </row>
    <row r="562" spans="2:6" ht="14" x14ac:dyDescent="0.2">
      <c r="B562" s="1"/>
      <c r="C562" s="1"/>
      <c r="D562" s="1"/>
      <c r="E562" s="1"/>
      <c r="F562" s="1"/>
    </row>
    <row r="563" spans="2:6" ht="14" x14ac:dyDescent="0.2">
      <c r="B563" s="1"/>
      <c r="C563" s="1"/>
      <c r="D563" s="1"/>
      <c r="E563" s="1"/>
      <c r="F563" s="1"/>
    </row>
    <row r="564" spans="2:6" ht="14" x14ac:dyDescent="0.2">
      <c r="B564" s="1"/>
      <c r="C564" s="1"/>
      <c r="D564" s="1"/>
      <c r="E564" s="1"/>
      <c r="F564" s="1"/>
    </row>
    <row r="565" spans="2:6" ht="14" x14ac:dyDescent="0.2">
      <c r="B565" s="1"/>
      <c r="C565" s="1"/>
      <c r="D565" s="1"/>
      <c r="E565" s="1"/>
      <c r="F565" s="1"/>
    </row>
    <row r="566" spans="2:6" ht="14" x14ac:dyDescent="0.2">
      <c r="B566" s="1"/>
      <c r="C566" s="1"/>
      <c r="D566" s="1"/>
      <c r="E566" s="1"/>
      <c r="F566" s="1"/>
    </row>
    <row r="567" spans="2:6" ht="14" x14ac:dyDescent="0.2">
      <c r="B567" s="1"/>
      <c r="C567" s="1"/>
      <c r="D567" s="1"/>
      <c r="E567" s="1"/>
      <c r="F567" s="1"/>
    </row>
    <row r="568" spans="2:6" ht="14" x14ac:dyDescent="0.2">
      <c r="B568" s="1"/>
      <c r="C568" s="1"/>
      <c r="D568" s="1"/>
      <c r="E568" s="1"/>
      <c r="F568" s="1"/>
    </row>
    <row r="569" spans="2:6" ht="14" x14ac:dyDescent="0.2">
      <c r="B569" s="1"/>
      <c r="C569" s="1"/>
      <c r="D569" s="1"/>
      <c r="E569" s="1"/>
      <c r="F569" s="1"/>
    </row>
    <row r="570" spans="2:6" ht="14" x14ac:dyDescent="0.2">
      <c r="B570" s="1"/>
      <c r="C570" s="1"/>
      <c r="D570" s="1"/>
      <c r="E570" s="1"/>
      <c r="F570" s="1"/>
    </row>
    <row r="571" spans="2:6" ht="14" x14ac:dyDescent="0.2">
      <c r="B571" s="1"/>
      <c r="C571" s="1"/>
      <c r="D571" s="1"/>
      <c r="E571" s="1"/>
      <c r="F571" s="1"/>
    </row>
    <row r="572" spans="2:6" ht="14" x14ac:dyDescent="0.2">
      <c r="B572" s="1"/>
      <c r="C572" s="1"/>
      <c r="D572" s="1"/>
      <c r="E572" s="1"/>
      <c r="F572" s="1"/>
    </row>
    <row r="573" spans="2:6" ht="14" x14ac:dyDescent="0.2">
      <c r="B573" s="1"/>
      <c r="C573" s="1"/>
      <c r="D573" s="1"/>
      <c r="E573" s="1"/>
      <c r="F573" s="1"/>
    </row>
    <row r="574" spans="2:6" ht="14" x14ac:dyDescent="0.2">
      <c r="B574" s="1"/>
      <c r="C574" s="1"/>
      <c r="D574" s="1"/>
      <c r="E574" s="1"/>
      <c r="F574" s="1"/>
    </row>
    <row r="575" spans="2:6" ht="14" x14ac:dyDescent="0.2">
      <c r="B575" s="1"/>
      <c r="C575" s="1"/>
      <c r="D575" s="1"/>
      <c r="E575" s="1"/>
      <c r="F575" s="1"/>
    </row>
    <row r="576" spans="2:6" ht="14" x14ac:dyDescent="0.2">
      <c r="B576" s="1"/>
      <c r="C576" s="1"/>
      <c r="D576" s="1"/>
      <c r="E576" s="1"/>
      <c r="F576" s="1"/>
    </row>
    <row r="577" spans="2:6" ht="14" x14ac:dyDescent="0.2">
      <c r="B577" s="1"/>
      <c r="C577" s="1"/>
      <c r="D577" s="1"/>
      <c r="E577" s="1"/>
      <c r="F577" s="1"/>
    </row>
    <row r="578" spans="2:6" ht="14" x14ac:dyDescent="0.2">
      <c r="B578" s="1"/>
      <c r="C578" s="1"/>
      <c r="D578" s="1"/>
      <c r="E578" s="1"/>
      <c r="F578" s="1"/>
    </row>
    <row r="579" spans="2:6" ht="14" x14ac:dyDescent="0.2">
      <c r="B579" s="1"/>
      <c r="C579" s="1"/>
      <c r="D579" s="1"/>
      <c r="E579" s="1"/>
      <c r="F579" s="1"/>
    </row>
    <row r="580" spans="2:6" ht="14" x14ac:dyDescent="0.2">
      <c r="B580" s="1"/>
      <c r="C580" s="1"/>
      <c r="D580" s="1"/>
      <c r="E580" s="1"/>
      <c r="F580" s="1"/>
    </row>
    <row r="581" spans="2:6" ht="14" x14ac:dyDescent="0.2">
      <c r="B581" s="1"/>
      <c r="C581" s="1"/>
      <c r="D581" s="1"/>
      <c r="E581" s="1"/>
      <c r="F581" s="1"/>
    </row>
    <row r="582" spans="2:6" ht="14" x14ac:dyDescent="0.2">
      <c r="B582" s="1"/>
      <c r="C582" s="1"/>
      <c r="D582" s="1"/>
      <c r="E582" s="1"/>
      <c r="F582" s="1"/>
    </row>
    <row r="583" spans="2:6" ht="14" x14ac:dyDescent="0.2">
      <c r="B583" s="1"/>
      <c r="C583" s="1"/>
      <c r="D583" s="1"/>
      <c r="E583" s="1"/>
      <c r="F583" s="1"/>
    </row>
    <row r="584" spans="2:6" ht="14" x14ac:dyDescent="0.2">
      <c r="B584" s="1"/>
      <c r="C584" s="1"/>
      <c r="D584" s="1"/>
      <c r="E584" s="1"/>
      <c r="F584" s="1"/>
    </row>
    <row r="585" spans="2:6" ht="14" x14ac:dyDescent="0.2">
      <c r="B585" s="1"/>
      <c r="C585" s="1"/>
      <c r="D585" s="1"/>
      <c r="E585" s="1"/>
      <c r="F585" s="1"/>
    </row>
    <row r="586" spans="2:6" ht="14" x14ac:dyDescent="0.2">
      <c r="B586" s="1"/>
      <c r="C586" s="1"/>
      <c r="D586" s="1"/>
      <c r="E586" s="1"/>
      <c r="F586" s="1"/>
    </row>
    <row r="587" spans="2:6" ht="14" x14ac:dyDescent="0.2">
      <c r="B587" s="1"/>
      <c r="C587" s="1"/>
      <c r="D587" s="1"/>
      <c r="E587" s="1"/>
      <c r="F587" s="1"/>
    </row>
    <row r="588" spans="2:6" ht="14" x14ac:dyDescent="0.2">
      <c r="B588" s="1"/>
      <c r="C588" s="1"/>
      <c r="D588" s="1"/>
      <c r="E588" s="1"/>
      <c r="F588" s="1"/>
    </row>
    <row r="589" spans="2:6" ht="14" x14ac:dyDescent="0.2">
      <c r="B589" s="1"/>
      <c r="C589" s="1"/>
      <c r="D589" s="1"/>
      <c r="E589" s="1"/>
      <c r="F589" s="1"/>
    </row>
    <row r="590" spans="2:6" ht="14" x14ac:dyDescent="0.2">
      <c r="B590" s="1"/>
      <c r="C590" s="1"/>
      <c r="D590" s="1"/>
      <c r="E590" s="1"/>
      <c r="F590" s="1"/>
    </row>
    <row r="591" spans="2:6" ht="14" x14ac:dyDescent="0.2">
      <c r="B591" s="1"/>
      <c r="C591" s="1"/>
      <c r="D591" s="1"/>
      <c r="E591" s="1"/>
      <c r="F591" s="1"/>
    </row>
    <row r="592" spans="2:6" ht="14" x14ac:dyDescent="0.2">
      <c r="B592" s="1"/>
      <c r="C592" s="1"/>
      <c r="D592" s="1"/>
      <c r="E592" s="1"/>
      <c r="F592" s="1"/>
    </row>
    <row r="593" spans="2:6" ht="14" x14ac:dyDescent="0.2">
      <c r="B593" s="1"/>
      <c r="C593" s="1"/>
      <c r="D593" s="1"/>
      <c r="E593" s="1"/>
      <c r="F593" s="1"/>
    </row>
    <row r="594" spans="2:6" ht="14" x14ac:dyDescent="0.2">
      <c r="B594" s="1"/>
      <c r="C594" s="1"/>
      <c r="D594" s="1"/>
      <c r="E594" s="1"/>
      <c r="F594" s="1"/>
    </row>
    <row r="595" spans="2:6" ht="14" x14ac:dyDescent="0.2">
      <c r="B595" s="1"/>
      <c r="C595" s="1"/>
      <c r="D595" s="1"/>
      <c r="E595" s="1"/>
      <c r="F595" s="1"/>
    </row>
    <row r="596" spans="2:6" ht="14" x14ac:dyDescent="0.2">
      <c r="B596" s="1"/>
      <c r="C596" s="1"/>
      <c r="D596" s="1"/>
      <c r="E596" s="1"/>
      <c r="F596" s="1"/>
    </row>
    <row r="597" spans="2:6" ht="14" x14ac:dyDescent="0.2">
      <c r="B597" s="1"/>
      <c r="C597" s="1"/>
      <c r="D597" s="1"/>
      <c r="E597" s="1"/>
      <c r="F597" s="1"/>
    </row>
    <row r="598" spans="2:6" ht="14" x14ac:dyDescent="0.2">
      <c r="B598" s="1"/>
      <c r="C598" s="1"/>
      <c r="D598" s="1"/>
      <c r="E598" s="1"/>
      <c r="F598" s="1"/>
    </row>
    <row r="599" spans="2:6" ht="14" x14ac:dyDescent="0.2">
      <c r="B599" s="1"/>
      <c r="C599" s="1"/>
      <c r="D599" s="1"/>
      <c r="E599" s="1"/>
      <c r="F599" s="1"/>
    </row>
    <row r="600" spans="2:6" ht="14" x14ac:dyDescent="0.2">
      <c r="B600" s="1"/>
      <c r="C600" s="1"/>
      <c r="D600" s="1"/>
      <c r="E600" s="1"/>
      <c r="F600" s="1"/>
    </row>
    <row r="601" spans="2:6" ht="14" x14ac:dyDescent="0.2">
      <c r="B601" s="1"/>
      <c r="C601" s="1"/>
      <c r="D601" s="1"/>
      <c r="E601" s="1"/>
      <c r="F601" s="1"/>
    </row>
    <row r="602" spans="2:6" ht="14" x14ac:dyDescent="0.2">
      <c r="B602" s="1"/>
      <c r="C602" s="1"/>
      <c r="D602" s="1"/>
      <c r="E602" s="1"/>
      <c r="F602" s="1"/>
    </row>
    <row r="603" spans="2:6" ht="14" x14ac:dyDescent="0.2">
      <c r="B603" s="1"/>
      <c r="C603" s="1"/>
      <c r="D603" s="1"/>
      <c r="E603" s="1"/>
      <c r="F603" s="1"/>
    </row>
    <row r="604" spans="2:6" ht="14" x14ac:dyDescent="0.2">
      <c r="B604" s="1"/>
      <c r="C604" s="1"/>
      <c r="D604" s="1"/>
      <c r="E604" s="1"/>
      <c r="F604" s="1"/>
    </row>
    <row r="605" spans="2:6" ht="14" x14ac:dyDescent="0.2">
      <c r="B605" s="1"/>
      <c r="C605" s="1"/>
      <c r="D605" s="1"/>
      <c r="E605" s="1"/>
      <c r="F605" s="1"/>
    </row>
    <row r="606" spans="2:6" ht="14" x14ac:dyDescent="0.2">
      <c r="B606" s="1"/>
      <c r="C606" s="1"/>
      <c r="D606" s="1"/>
      <c r="E606" s="1"/>
      <c r="F606" s="1"/>
    </row>
    <row r="607" spans="2:6" ht="14" x14ac:dyDescent="0.2">
      <c r="B607" s="1"/>
      <c r="C607" s="1"/>
      <c r="D607" s="1"/>
      <c r="E607" s="1"/>
      <c r="F607" s="1"/>
    </row>
    <row r="608" spans="2:6" ht="14" x14ac:dyDescent="0.2">
      <c r="B608" s="1"/>
      <c r="C608" s="1"/>
      <c r="D608" s="1"/>
      <c r="E608" s="1"/>
      <c r="F608" s="1"/>
    </row>
    <row r="609" spans="2:6" ht="14" x14ac:dyDescent="0.2">
      <c r="B609" s="1"/>
      <c r="C609" s="1"/>
      <c r="D609" s="1"/>
      <c r="E609" s="1"/>
      <c r="F609" s="1"/>
    </row>
    <row r="610" spans="2:6" ht="14" x14ac:dyDescent="0.2">
      <c r="B610" s="1"/>
      <c r="C610" s="1"/>
      <c r="D610" s="1"/>
      <c r="E610" s="1"/>
      <c r="F610" s="1"/>
    </row>
    <row r="611" spans="2:6" ht="14" x14ac:dyDescent="0.2">
      <c r="B611" s="1"/>
      <c r="C611" s="1"/>
      <c r="D611" s="1"/>
      <c r="E611" s="1"/>
      <c r="F611" s="1"/>
    </row>
    <row r="612" spans="2:6" ht="14" x14ac:dyDescent="0.2">
      <c r="B612" s="1"/>
      <c r="C612" s="1"/>
      <c r="D612" s="1"/>
      <c r="E612" s="1"/>
      <c r="F612" s="1"/>
    </row>
    <row r="613" spans="2:6" ht="14" x14ac:dyDescent="0.2">
      <c r="B613" s="1"/>
      <c r="C613" s="1"/>
      <c r="D613" s="1"/>
      <c r="E613" s="1"/>
      <c r="F613" s="1"/>
    </row>
    <row r="614" spans="2:6" ht="14" x14ac:dyDescent="0.2">
      <c r="B614" s="1"/>
      <c r="C614" s="1"/>
      <c r="D614" s="1"/>
      <c r="E614" s="1"/>
      <c r="F614" s="1"/>
    </row>
    <row r="615" spans="2:6" ht="14" x14ac:dyDescent="0.2">
      <c r="B615" s="1"/>
      <c r="C615" s="1"/>
      <c r="D615" s="1"/>
      <c r="E615" s="1"/>
      <c r="F615" s="1"/>
    </row>
    <row r="616" spans="2:6" ht="14" x14ac:dyDescent="0.2">
      <c r="B616" s="1"/>
      <c r="C616" s="1"/>
      <c r="D616" s="1"/>
      <c r="E616" s="1"/>
      <c r="F616" s="1"/>
    </row>
    <row r="617" spans="2:6" ht="14" x14ac:dyDescent="0.2">
      <c r="B617" s="1"/>
      <c r="C617" s="1"/>
      <c r="D617" s="1"/>
      <c r="E617" s="1"/>
      <c r="F617" s="1"/>
    </row>
    <row r="618" spans="2:6" ht="14" x14ac:dyDescent="0.2">
      <c r="B618" s="1"/>
      <c r="C618" s="1"/>
      <c r="D618" s="1"/>
      <c r="E618" s="1"/>
      <c r="F618" s="1"/>
    </row>
    <row r="619" spans="2:6" ht="14" x14ac:dyDescent="0.2">
      <c r="B619" s="1"/>
      <c r="C619" s="1"/>
      <c r="D619" s="1"/>
      <c r="E619" s="1"/>
      <c r="F619" s="1"/>
    </row>
    <row r="620" spans="2:6" ht="14" x14ac:dyDescent="0.2">
      <c r="B620" s="1"/>
      <c r="C620" s="1"/>
      <c r="D620" s="1"/>
      <c r="E620" s="1"/>
      <c r="F620" s="1"/>
    </row>
    <row r="621" spans="2:6" ht="14" x14ac:dyDescent="0.2">
      <c r="B621" s="1"/>
      <c r="C621" s="1"/>
      <c r="D621" s="1"/>
      <c r="E621" s="1"/>
      <c r="F621" s="1"/>
    </row>
    <row r="622" spans="2:6" ht="14" x14ac:dyDescent="0.2">
      <c r="B622" s="1"/>
      <c r="C622" s="1"/>
      <c r="D622" s="1"/>
      <c r="E622" s="1"/>
      <c r="F622" s="1"/>
    </row>
    <row r="623" spans="2:6" ht="14" x14ac:dyDescent="0.2">
      <c r="B623" s="1"/>
      <c r="C623" s="1"/>
      <c r="D623" s="1"/>
      <c r="E623" s="1"/>
      <c r="F623" s="1"/>
    </row>
    <row r="624" spans="2:6" ht="14" x14ac:dyDescent="0.2">
      <c r="B624" s="1"/>
      <c r="C624" s="1"/>
      <c r="D624" s="1"/>
      <c r="E624" s="1"/>
      <c r="F624" s="1"/>
    </row>
    <row r="625" spans="2:6" ht="14" x14ac:dyDescent="0.2">
      <c r="B625" s="1"/>
      <c r="C625" s="1"/>
      <c r="D625" s="1"/>
      <c r="E625" s="1"/>
      <c r="F625" s="1"/>
    </row>
    <row r="626" spans="2:6" ht="14" x14ac:dyDescent="0.2">
      <c r="B626" s="1"/>
      <c r="C626" s="1"/>
      <c r="D626" s="1"/>
      <c r="E626" s="1"/>
      <c r="F626" s="1"/>
    </row>
    <row r="627" spans="2:6" ht="14" x14ac:dyDescent="0.2">
      <c r="B627" s="1"/>
      <c r="C627" s="1"/>
      <c r="D627" s="1"/>
      <c r="E627" s="1"/>
      <c r="F627" s="1"/>
    </row>
    <row r="628" spans="2:6" ht="14" x14ac:dyDescent="0.2">
      <c r="B628" s="1"/>
      <c r="C628" s="1"/>
      <c r="D628" s="1"/>
      <c r="E628" s="1"/>
      <c r="F628" s="1"/>
    </row>
    <row r="629" spans="2:6" ht="14" x14ac:dyDescent="0.2">
      <c r="B629" s="1"/>
      <c r="C629" s="1"/>
      <c r="D629" s="1"/>
      <c r="E629" s="1"/>
      <c r="F629" s="1"/>
    </row>
    <row r="630" spans="2:6" ht="14" x14ac:dyDescent="0.2">
      <c r="B630" s="1"/>
      <c r="C630" s="1"/>
      <c r="D630" s="1"/>
      <c r="E630" s="1"/>
      <c r="F630" s="1"/>
    </row>
    <row r="631" spans="2:6" ht="14" x14ac:dyDescent="0.2">
      <c r="B631" s="1"/>
      <c r="C631" s="1"/>
      <c r="D631" s="1"/>
      <c r="E631" s="1"/>
      <c r="F631" s="1"/>
    </row>
    <row r="632" spans="2:6" ht="14" x14ac:dyDescent="0.2">
      <c r="B632" s="1"/>
      <c r="C632" s="1"/>
      <c r="D632" s="1"/>
      <c r="E632" s="1"/>
      <c r="F632" s="1"/>
    </row>
    <row r="633" spans="2:6" ht="14" x14ac:dyDescent="0.2">
      <c r="B633" s="1"/>
      <c r="C633" s="1"/>
      <c r="D633" s="1"/>
      <c r="E633" s="1"/>
      <c r="F633" s="1"/>
    </row>
    <row r="634" spans="2:6" ht="14" x14ac:dyDescent="0.2">
      <c r="B634" s="1"/>
      <c r="C634" s="1"/>
      <c r="D634" s="1"/>
      <c r="E634" s="1"/>
      <c r="F634" s="1"/>
    </row>
    <row r="635" spans="2:6" ht="14" x14ac:dyDescent="0.2">
      <c r="B635" s="1"/>
      <c r="C635" s="1"/>
      <c r="D635" s="1"/>
      <c r="E635" s="1"/>
      <c r="F635" s="1"/>
    </row>
    <row r="636" spans="2:6" ht="14" x14ac:dyDescent="0.2">
      <c r="B636" s="1"/>
      <c r="C636" s="1"/>
      <c r="D636" s="1"/>
      <c r="E636" s="1"/>
      <c r="F636" s="1"/>
    </row>
    <row r="637" spans="2:6" ht="14" x14ac:dyDescent="0.2">
      <c r="B637" s="1"/>
      <c r="C637" s="1"/>
      <c r="D637" s="1"/>
      <c r="E637" s="1"/>
      <c r="F637" s="1"/>
    </row>
    <row r="638" spans="2:6" ht="14" x14ac:dyDescent="0.2">
      <c r="B638" s="1"/>
      <c r="C638" s="1"/>
      <c r="D638" s="1"/>
      <c r="E638" s="1"/>
      <c r="F638" s="1"/>
    </row>
    <row r="639" spans="2:6" ht="14" x14ac:dyDescent="0.2">
      <c r="B639" s="1"/>
      <c r="C639" s="1"/>
      <c r="D639" s="1"/>
      <c r="E639" s="1"/>
      <c r="F639" s="1"/>
    </row>
    <row r="640" spans="2:6" ht="14" x14ac:dyDescent="0.2">
      <c r="B640" s="1"/>
      <c r="C640" s="1"/>
      <c r="D640" s="1"/>
      <c r="E640" s="1"/>
      <c r="F640" s="1"/>
    </row>
    <row r="641" spans="2:6" ht="14" x14ac:dyDescent="0.2">
      <c r="B641" s="1"/>
      <c r="C641" s="1"/>
      <c r="D641" s="1"/>
      <c r="E641" s="1"/>
      <c r="F641" s="1"/>
    </row>
    <row r="642" spans="2:6" ht="14" x14ac:dyDescent="0.2">
      <c r="B642" s="1"/>
      <c r="C642" s="1"/>
      <c r="D642" s="1"/>
      <c r="E642" s="1"/>
      <c r="F642" s="1"/>
    </row>
    <row r="643" spans="2:6" ht="14" x14ac:dyDescent="0.2">
      <c r="B643" s="1"/>
      <c r="C643" s="1"/>
      <c r="D643" s="1"/>
      <c r="E643" s="1"/>
      <c r="F643" s="1"/>
    </row>
    <row r="644" spans="2:6" ht="14" x14ac:dyDescent="0.2">
      <c r="B644" s="1"/>
      <c r="C644" s="1"/>
      <c r="D644" s="1"/>
      <c r="E644" s="1"/>
      <c r="F644" s="1"/>
    </row>
    <row r="645" spans="2:6" ht="14" x14ac:dyDescent="0.2">
      <c r="B645" s="1"/>
      <c r="C645" s="1"/>
      <c r="D645" s="1"/>
      <c r="E645" s="1"/>
      <c r="F645" s="1"/>
    </row>
    <row r="646" spans="2:6" ht="14" x14ac:dyDescent="0.2">
      <c r="B646" s="1"/>
      <c r="C646" s="1"/>
      <c r="D646" s="1"/>
      <c r="E646" s="1"/>
      <c r="F646" s="1"/>
    </row>
    <row r="647" spans="2:6" ht="14" x14ac:dyDescent="0.2">
      <c r="B647" s="1"/>
      <c r="C647" s="1"/>
      <c r="D647" s="1"/>
      <c r="E647" s="1"/>
      <c r="F647" s="1"/>
    </row>
    <row r="648" spans="2:6" ht="14" x14ac:dyDescent="0.2">
      <c r="B648" s="1"/>
      <c r="C648" s="1"/>
      <c r="D648" s="1"/>
      <c r="E648" s="1"/>
      <c r="F648" s="1"/>
    </row>
    <row r="649" spans="2:6" ht="14" x14ac:dyDescent="0.2">
      <c r="B649" s="1"/>
      <c r="C649" s="1"/>
      <c r="D649" s="1"/>
      <c r="E649" s="1"/>
      <c r="F649" s="1"/>
    </row>
    <row r="650" spans="2:6" ht="14" x14ac:dyDescent="0.2">
      <c r="B650" s="1"/>
      <c r="C650" s="1"/>
      <c r="D650" s="1"/>
      <c r="E650" s="1"/>
      <c r="F650" s="1"/>
    </row>
    <row r="651" spans="2:6" ht="14" x14ac:dyDescent="0.2">
      <c r="B651" s="1"/>
      <c r="C651" s="1"/>
      <c r="D651" s="1"/>
      <c r="E651" s="1"/>
      <c r="F651" s="1"/>
    </row>
    <row r="652" spans="2:6" ht="14" x14ac:dyDescent="0.2">
      <c r="B652" s="1"/>
      <c r="C652" s="1"/>
      <c r="D652" s="1"/>
      <c r="E652" s="1"/>
      <c r="F652" s="1"/>
    </row>
    <row r="653" spans="2:6" ht="14" x14ac:dyDescent="0.2">
      <c r="B653" s="1"/>
      <c r="C653" s="1"/>
      <c r="D653" s="1"/>
      <c r="E653" s="1"/>
      <c r="F653" s="1"/>
    </row>
    <row r="654" spans="2:6" ht="14" x14ac:dyDescent="0.2">
      <c r="B654" s="1"/>
      <c r="C654" s="1"/>
      <c r="D654" s="1"/>
      <c r="E654" s="1"/>
      <c r="F654" s="1"/>
    </row>
    <row r="655" spans="2:6" ht="14" x14ac:dyDescent="0.2">
      <c r="B655" s="1"/>
      <c r="C655" s="1"/>
      <c r="D655" s="1"/>
      <c r="E655" s="1"/>
      <c r="F655" s="1"/>
    </row>
    <row r="656" spans="2:6" ht="14" x14ac:dyDescent="0.2">
      <c r="B656" s="1"/>
      <c r="C656" s="1"/>
      <c r="D656" s="1"/>
      <c r="E656" s="1"/>
      <c r="F656" s="1"/>
    </row>
    <row r="657" spans="2:6" ht="14" x14ac:dyDescent="0.2">
      <c r="B657" s="1"/>
      <c r="C657" s="1"/>
      <c r="D657" s="1"/>
      <c r="E657" s="1"/>
      <c r="F657" s="1"/>
    </row>
    <row r="658" spans="2:6" ht="14" x14ac:dyDescent="0.2">
      <c r="B658" s="1"/>
      <c r="C658" s="1"/>
      <c r="D658" s="1"/>
      <c r="E658" s="1"/>
      <c r="F658" s="1"/>
    </row>
    <row r="659" spans="2:6" ht="14" x14ac:dyDescent="0.2">
      <c r="B659" s="1"/>
      <c r="C659" s="1"/>
      <c r="D659" s="1"/>
      <c r="E659" s="1"/>
      <c r="F659" s="1"/>
    </row>
    <row r="660" spans="2:6" ht="14" x14ac:dyDescent="0.2">
      <c r="B660" s="1"/>
      <c r="C660" s="1"/>
      <c r="D660" s="1"/>
      <c r="E660" s="1"/>
      <c r="F660" s="1"/>
    </row>
    <row r="661" spans="2:6" ht="14" x14ac:dyDescent="0.2">
      <c r="B661" s="1"/>
      <c r="C661" s="1"/>
      <c r="D661" s="1"/>
      <c r="E661" s="1"/>
      <c r="F661" s="1"/>
    </row>
    <row r="662" spans="2:6" ht="14" x14ac:dyDescent="0.2">
      <c r="B662" s="1"/>
      <c r="C662" s="1"/>
      <c r="D662" s="1"/>
      <c r="E662" s="1"/>
      <c r="F662" s="1"/>
    </row>
    <row r="663" spans="2:6" ht="14" x14ac:dyDescent="0.2">
      <c r="B663" s="1"/>
      <c r="C663" s="1"/>
      <c r="D663" s="1"/>
      <c r="E663" s="1"/>
      <c r="F663" s="1"/>
    </row>
    <row r="664" spans="2:6" ht="14" x14ac:dyDescent="0.2">
      <c r="B664" s="1"/>
      <c r="C664" s="1"/>
      <c r="D664" s="1"/>
      <c r="E664" s="1"/>
      <c r="F664" s="1"/>
    </row>
    <row r="665" spans="2:6" ht="14" x14ac:dyDescent="0.2">
      <c r="B665" s="1"/>
      <c r="C665" s="1"/>
      <c r="D665" s="1"/>
      <c r="E665" s="1"/>
      <c r="F665" s="1"/>
    </row>
    <row r="666" spans="2:6" ht="14" x14ac:dyDescent="0.2">
      <c r="B666" s="1"/>
      <c r="C666" s="1"/>
      <c r="D666" s="1"/>
      <c r="E666" s="1"/>
      <c r="F666" s="1"/>
    </row>
    <row r="667" spans="2:6" ht="14" x14ac:dyDescent="0.2">
      <c r="B667" s="1"/>
      <c r="C667" s="1"/>
      <c r="D667" s="1"/>
      <c r="E667" s="1"/>
      <c r="F667" s="1"/>
    </row>
    <row r="668" spans="2:6" ht="14" x14ac:dyDescent="0.2">
      <c r="B668" s="1"/>
      <c r="C668" s="1"/>
      <c r="D668" s="1"/>
      <c r="E668" s="1"/>
      <c r="F668" s="1"/>
    </row>
    <row r="669" spans="2:6" ht="14" x14ac:dyDescent="0.2">
      <c r="B669" s="1"/>
      <c r="C669" s="1"/>
      <c r="D669" s="1"/>
      <c r="E669" s="1"/>
      <c r="F669" s="1"/>
    </row>
    <row r="670" spans="2:6" ht="14" x14ac:dyDescent="0.2">
      <c r="B670" s="1"/>
      <c r="C670" s="1"/>
      <c r="D670" s="1"/>
      <c r="E670" s="1"/>
      <c r="F670" s="1"/>
    </row>
    <row r="671" spans="2:6" ht="14" x14ac:dyDescent="0.2">
      <c r="B671" s="1"/>
      <c r="C671" s="1"/>
      <c r="D671" s="1"/>
      <c r="E671" s="1"/>
      <c r="F671" s="1"/>
    </row>
    <row r="672" spans="2:6" ht="14" x14ac:dyDescent="0.2">
      <c r="B672" s="1"/>
      <c r="C672" s="1"/>
      <c r="D672" s="1"/>
      <c r="E672" s="1"/>
      <c r="F672" s="1"/>
    </row>
    <row r="673" spans="2:6" ht="14" x14ac:dyDescent="0.2">
      <c r="B673" s="1"/>
      <c r="C673" s="1"/>
      <c r="D673" s="1"/>
      <c r="E673" s="1"/>
      <c r="F673" s="1"/>
    </row>
    <row r="674" spans="2:6" ht="14" x14ac:dyDescent="0.2">
      <c r="B674" s="1"/>
      <c r="C674" s="1"/>
      <c r="D674" s="1"/>
      <c r="E674" s="1"/>
      <c r="F674" s="1"/>
    </row>
    <row r="675" spans="2:6" ht="14" x14ac:dyDescent="0.2">
      <c r="B675" s="1"/>
      <c r="C675" s="1"/>
      <c r="D675" s="1"/>
      <c r="E675" s="1"/>
      <c r="F675" s="1"/>
    </row>
    <row r="676" spans="2:6" ht="14" x14ac:dyDescent="0.2">
      <c r="B676" s="1"/>
      <c r="C676" s="1"/>
      <c r="D676" s="1"/>
      <c r="E676" s="1"/>
      <c r="F676" s="1"/>
    </row>
    <row r="677" spans="2:6" ht="14" x14ac:dyDescent="0.2">
      <c r="B677" s="1"/>
      <c r="C677" s="1"/>
      <c r="D677" s="1"/>
      <c r="E677" s="1"/>
      <c r="F677" s="1"/>
    </row>
    <row r="678" spans="2:6" ht="14" x14ac:dyDescent="0.2">
      <c r="B678" s="1"/>
      <c r="C678" s="1"/>
      <c r="D678" s="1"/>
      <c r="E678" s="1"/>
      <c r="F678" s="1"/>
    </row>
    <row r="679" spans="2:6" ht="14" x14ac:dyDescent="0.2">
      <c r="B679" s="1"/>
      <c r="C679" s="1"/>
      <c r="D679" s="1"/>
      <c r="E679" s="1"/>
      <c r="F679" s="1"/>
    </row>
    <row r="680" spans="2:6" ht="14" x14ac:dyDescent="0.2">
      <c r="B680" s="1"/>
      <c r="C680" s="1"/>
      <c r="D680" s="1"/>
      <c r="E680" s="1"/>
      <c r="F680" s="1"/>
    </row>
    <row r="681" spans="2:6" ht="14" x14ac:dyDescent="0.2">
      <c r="B681" s="1"/>
      <c r="C681" s="1"/>
      <c r="D681" s="1"/>
      <c r="E681" s="1"/>
      <c r="F681" s="1"/>
    </row>
    <row r="682" spans="2:6" ht="14" x14ac:dyDescent="0.2">
      <c r="B682" s="1"/>
      <c r="C682" s="1"/>
      <c r="D682" s="1"/>
      <c r="E682" s="1"/>
      <c r="F682" s="1"/>
    </row>
    <row r="683" spans="2:6" ht="14" x14ac:dyDescent="0.2">
      <c r="B683" s="1"/>
      <c r="C683" s="1"/>
      <c r="D683" s="1"/>
      <c r="E683" s="1"/>
      <c r="F683" s="1"/>
    </row>
    <row r="684" spans="2:6" ht="14" x14ac:dyDescent="0.2">
      <c r="B684" s="1"/>
      <c r="C684" s="1"/>
      <c r="D684" s="1"/>
      <c r="E684" s="1"/>
      <c r="F684" s="1"/>
    </row>
    <row r="685" spans="2:6" ht="14" x14ac:dyDescent="0.2">
      <c r="B685" s="1"/>
      <c r="C685" s="1"/>
      <c r="D685" s="1"/>
      <c r="E685" s="1"/>
      <c r="F685" s="1"/>
    </row>
    <row r="686" spans="2:6" ht="14" x14ac:dyDescent="0.2">
      <c r="B686" s="1"/>
      <c r="C686" s="1"/>
      <c r="D686" s="1"/>
      <c r="E686" s="1"/>
      <c r="F686" s="1"/>
    </row>
    <row r="687" spans="2:6" ht="14" x14ac:dyDescent="0.2">
      <c r="B687" s="1"/>
      <c r="C687" s="1"/>
      <c r="D687" s="1"/>
      <c r="E687" s="1"/>
      <c r="F687" s="1"/>
    </row>
    <row r="688" spans="2:6" ht="14" x14ac:dyDescent="0.2">
      <c r="B688" s="1"/>
      <c r="C688" s="1"/>
      <c r="D688" s="1"/>
      <c r="E688" s="1"/>
      <c r="F688" s="1"/>
    </row>
    <row r="689" spans="2:6" ht="14" x14ac:dyDescent="0.2">
      <c r="B689" s="1"/>
      <c r="C689" s="1"/>
      <c r="D689" s="1"/>
      <c r="E689" s="1"/>
      <c r="F689" s="1"/>
    </row>
    <row r="690" spans="2:6" ht="14" x14ac:dyDescent="0.2">
      <c r="B690" s="1"/>
      <c r="C690" s="1"/>
      <c r="D690" s="1"/>
      <c r="E690" s="1"/>
      <c r="F690" s="1"/>
    </row>
    <row r="691" spans="2:6" ht="14" x14ac:dyDescent="0.2">
      <c r="B691" s="1"/>
      <c r="C691" s="1"/>
      <c r="D691" s="1"/>
      <c r="E691" s="1"/>
      <c r="F691" s="1"/>
    </row>
    <row r="692" spans="2:6" ht="14" x14ac:dyDescent="0.2">
      <c r="B692" s="1"/>
      <c r="C692" s="1"/>
      <c r="D692" s="1"/>
      <c r="E692" s="1"/>
      <c r="F692" s="1"/>
    </row>
    <row r="693" spans="2:6" ht="14" x14ac:dyDescent="0.2">
      <c r="B693" s="1"/>
      <c r="C693" s="1"/>
      <c r="D693" s="1"/>
      <c r="E693" s="1"/>
      <c r="F693" s="1"/>
    </row>
    <row r="694" spans="2:6" ht="14" x14ac:dyDescent="0.2">
      <c r="B694" s="1"/>
      <c r="C694" s="1"/>
      <c r="D694" s="1"/>
      <c r="E694" s="1"/>
      <c r="F694" s="1"/>
    </row>
    <row r="695" spans="2:6" ht="14" x14ac:dyDescent="0.2">
      <c r="B695" s="1"/>
      <c r="C695" s="1"/>
      <c r="D695" s="1"/>
      <c r="E695" s="1"/>
      <c r="F695" s="1"/>
    </row>
    <row r="696" spans="2:6" ht="14" x14ac:dyDescent="0.2">
      <c r="B696" s="1"/>
      <c r="C696" s="1"/>
      <c r="D696" s="1"/>
      <c r="E696" s="1"/>
      <c r="F696" s="1"/>
    </row>
    <row r="697" spans="2:6" ht="14" x14ac:dyDescent="0.2">
      <c r="B697" s="1"/>
      <c r="C697" s="1"/>
      <c r="D697" s="1"/>
      <c r="E697" s="1"/>
      <c r="F697" s="1"/>
    </row>
    <row r="698" spans="2:6" ht="14" x14ac:dyDescent="0.2">
      <c r="B698" s="1"/>
      <c r="C698" s="1"/>
      <c r="D698" s="1"/>
      <c r="E698" s="1"/>
      <c r="F698" s="1"/>
    </row>
    <row r="699" spans="2:6" ht="14" x14ac:dyDescent="0.2">
      <c r="B699" s="1"/>
      <c r="C699" s="1"/>
      <c r="D699" s="1"/>
      <c r="E699" s="1"/>
      <c r="F699" s="1"/>
    </row>
    <row r="700" spans="2:6" ht="14" x14ac:dyDescent="0.2">
      <c r="B700" s="1"/>
      <c r="C700" s="1"/>
      <c r="D700" s="1"/>
      <c r="E700" s="1"/>
      <c r="F700" s="1"/>
    </row>
    <row r="701" spans="2:6" ht="14" x14ac:dyDescent="0.2">
      <c r="B701" s="1"/>
      <c r="C701" s="1"/>
      <c r="D701" s="1"/>
      <c r="E701" s="1"/>
      <c r="F701" s="1"/>
    </row>
    <row r="702" spans="2:6" ht="14" x14ac:dyDescent="0.2">
      <c r="B702" s="1"/>
      <c r="C702" s="1"/>
      <c r="D702" s="1"/>
      <c r="E702" s="1"/>
      <c r="F702" s="1"/>
    </row>
    <row r="703" spans="2:6" ht="14" x14ac:dyDescent="0.2">
      <c r="B703" s="1"/>
      <c r="C703" s="1"/>
      <c r="D703" s="1"/>
      <c r="E703" s="1"/>
      <c r="F703" s="1"/>
    </row>
    <row r="704" spans="2:6" ht="14" x14ac:dyDescent="0.2">
      <c r="B704" s="1"/>
      <c r="C704" s="1"/>
      <c r="D704" s="1"/>
      <c r="E704" s="1"/>
      <c r="F704" s="1"/>
    </row>
    <row r="705" spans="2:6" ht="14" x14ac:dyDescent="0.2">
      <c r="B705" s="1"/>
      <c r="C705" s="1"/>
      <c r="D705" s="1"/>
      <c r="E705" s="1"/>
      <c r="F705" s="1"/>
    </row>
    <row r="706" spans="2:6" ht="14" x14ac:dyDescent="0.2">
      <c r="B706" s="1"/>
      <c r="C706" s="1"/>
      <c r="D706" s="1"/>
      <c r="E706" s="1"/>
      <c r="F706" s="1"/>
    </row>
    <row r="707" spans="2:6" ht="14" x14ac:dyDescent="0.2">
      <c r="B707" s="1"/>
      <c r="C707" s="1"/>
      <c r="D707" s="1"/>
      <c r="E707" s="1"/>
      <c r="F707" s="1"/>
    </row>
    <row r="708" spans="2:6" ht="14" x14ac:dyDescent="0.2">
      <c r="B708" s="1"/>
      <c r="C708" s="1"/>
      <c r="D708" s="1"/>
      <c r="E708" s="1"/>
      <c r="F708" s="1"/>
    </row>
    <row r="709" spans="2:6" ht="14" x14ac:dyDescent="0.2">
      <c r="B709" s="1"/>
      <c r="C709" s="1"/>
      <c r="D709" s="1"/>
      <c r="E709" s="1"/>
      <c r="F709" s="1"/>
    </row>
    <row r="710" spans="2:6" ht="14" x14ac:dyDescent="0.2">
      <c r="B710" s="1"/>
      <c r="C710" s="1"/>
      <c r="D710" s="1"/>
      <c r="E710" s="1"/>
      <c r="F710" s="1"/>
    </row>
    <row r="711" spans="2:6" ht="14" x14ac:dyDescent="0.2">
      <c r="B711" s="1"/>
      <c r="C711" s="1"/>
      <c r="D711" s="1"/>
      <c r="E711" s="1"/>
      <c r="F711" s="1"/>
    </row>
    <row r="712" spans="2:6" ht="14" x14ac:dyDescent="0.2">
      <c r="B712" s="1"/>
      <c r="C712" s="1"/>
      <c r="D712" s="1"/>
      <c r="E712" s="1"/>
      <c r="F712" s="1"/>
    </row>
    <row r="713" spans="2:6" ht="14" x14ac:dyDescent="0.2">
      <c r="B713" s="1"/>
      <c r="C713" s="1"/>
      <c r="D713" s="1"/>
      <c r="E713" s="1"/>
      <c r="F713" s="1"/>
    </row>
    <row r="714" spans="2:6" ht="14" x14ac:dyDescent="0.2">
      <c r="B714" s="1"/>
      <c r="C714" s="1"/>
      <c r="D714" s="1"/>
      <c r="E714" s="1"/>
      <c r="F714" s="1"/>
    </row>
    <row r="715" spans="2:6" ht="14" x14ac:dyDescent="0.2">
      <c r="B715" s="1"/>
      <c r="C715" s="1"/>
      <c r="D715" s="1"/>
      <c r="E715" s="1"/>
      <c r="F715" s="1"/>
    </row>
    <row r="716" spans="2:6" ht="14" x14ac:dyDescent="0.2">
      <c r="B716" s="1"/>
      <c r="C716" s="1"/>
      <c r="D716" s="1"/>
      <c r="E716" s="1"/>
      <c r="F716" s="1"/>
    </row>
    <row r="717" spans="2:6" ht="14" x14ac:dyDescent="0.2">
      <c r="B717" s="1"/>
      <c r="C717" s="1"/>
      <c r="D717" s="1"/>
      <c r="E717" s="1"/>
      <c r="F717" s="1"/>
    </row>
    <row r="718" spans="2:6" ht="14" x14ac:dyDescent="0.2">
      <c r="B718" s="1"/>
      <c r="C718" s="1"/>
      <c r="D718" s="1"/>
      <c r="E718" s="1"/>
      <c r="F718" s="1"/>
    </row>
    <row r="719" spans="2:6" ht="14" x14ac:dyDescent="0.2">
      <c r="B719" s="1"/>
      <c r="C719" s="1"/>
      <c r="D719" s="1"/>
      <c r="E719" s="1"/>
      <c r="F719" s="1"/>
    </row>
    <row r="720" spans="2:6" ht="14" x14ac:dyDescent="0.2">
      <c r="B720" s="1"/>
      <c r="C720" s="1"/>
      <c r="D720" s="1"/>
      <c r="E720" s="1"/>
      <c r="F720" s="1"/>
    </row>
    <row r="721" spans="2:6" ht="14" x14ac:dyDescent="0.2">
      <c r="B721" s="1"/>
      <c r="C721" s="1"/>
      <c r="D721" s="1"/>
      <c r="E721" s="1"/>
      <c r="F721" s="1"/>
    </row>
    <row r="722" spans="2:6" ht="14" x14ac:dyDescent="0.2">
      <c r="B722" s="1"/>
      <c r="C722" s="1"/>
      <c r="D722" s="1"/>
      <c r="E722" s="1"/>
      <c r="F722" s="1"/>
    </row>
    <row r="723" spans="2:6" ht="14" x14ac:dyDescent="0.2">
      <c r="B723" s="1"/>
      <c r="C723" s="1"/>
      <c r="D723" s="1"/>
      <c r="E723" s="1"/>
      <c r="F723" s="1"/>
    </row>
    <row r="724" spans="2:6" ht="14" x14ac:dyDescent="0.2">
      <c r="B724" s="1"/>
      <c r="C724" s="1"/>
      <c r="D724" s="1"/>
      <c r="E724" s="1"/>
      <c r="F724" s="1"/>
    </row>
    <row r="725" spans="2:6" ht="14" x14ac:dyDescent="0.2">
      <c r="B725" s="1"/>
      <c r="C725" s="1"/>
      <c r="D725" s="1"/>
      <c r="E725" s="1"/>
      <c r="F725" s="1"/>
    </row>
    <row r="726" spans="2:6" ht="14" x14ac:dyDescent="0.2">
      <c r="B726" s="1"/>
      <c r="C726" s="1"/>
      <c r="D726" s="1"/>
      <c r="E726" s="1"/>
      <c r="F726" s="1"/>
    </row>
    <row r="727" spans="2:6" ht="14" x14ac:dyDescent="0.2">
      <c r="B727" s="1"/>
      <c r="C727" s="1"/>
      <c r="D727" s="1"/>
      <c r="E727" s="1"/>
      <c r="F727" s="1"/>
    </row>
    <row r="728" spans="2:6" ht="14" x14ac:dyDescent="0.2">
      <c r="B728" s="1"/>
      <c r="C728" s="1"/>
      <c r="D728" s="1"/>
      <c r="E728" s="1"/>
      <c r="F728" s="1"/>
    </row>
    <row r="729" spans="2:6" ht="14" x14ac:dyDescent="0.2">
      <c r="B729" s="1"/>
      <c r="C729" s="1"/>
      <c r="D729" s="1"/>
      <c r="E729" s="1"/>
      <c r="F729" s="1"/>
    </row>
    <row r="730" spans="2:6" ht="14" x14ac:dyDescent="0.2">
      <c r="B730" s="1"/>
      <c r="C730" s="1"/>
      <c r="D730" s="1"/>
      <c r="E730" s="1"/>
      <c r="F730" s="1"/>
    </row>
    <row r="731" spans="2:6" ht="14" x14ac:dyDescent="0.2">
      <c r="B731" s="1"/>
      <c r="C731" s="1"/>
      <c r="D731" s="1"/>
      <c r="E731" s="1"/>
      <c r="F731" s="1"/>
    </row>
    <row r="732" spans="2:6" ht="14" x14ac:dyDescent="0.2">
      <c r="B732" s="1"/>
      <c r="C732" s="1"/>
      <c r="D732" s="1"/>
      <c r="E732" s="1"/>
      <c r="F732" s="1"/>
    </row>
    <row r="733" spans="2:6" ht="14" x14ac:dyDescent="0.2">
      <c r="B733" s="1"/>
      <c r="C733" s="1"/>
      <c r="D733" s="1"/>
      <c r="E733" s="1"/>
      <c r="F733" s="1"/>
    </row>
    <row r="734" spans="2:6" ht="14" x14ac:dyDescent="0.2">
      <c r="B734" s="1"/>
      <c r="C734" s="1"/>
      <c r="D734" s="1"/>
      <c r="E734" s="1"/>
      <c r="F734" s="1"/>
    </row>
    <row r="735" spans="2:6" ht="14" x14ac:dyDescent="0.2">
      <c r="B735" s="1"/>
      <c r="C735" s="1"/>
      <c r="D735" s="1"/>
      <c r="E735" s="1"/>
      <c r="F735" s="1"/>
    </row>
    <row r="736" spans="2:6" ht="14" x14ac:dyDescent="0.2">
      <c r="B736" s="1"/>
      <c r="C736" s="1"/>
      <c r="D736" s="1"/>
      <c r="E736" s="1"/>
      <c r="F736" s="1"/>
    </row>
    <row r="737" spans="2:6" ht="14" x14ac:dyDescent="0.2">
      <c r="B737" s="1"/>
      <c r="C737" s="1"/>
      <c r="D737" s="1"/>
      <c r="E737" s="1"/>
      <c r="F737" s="1"/>
    </row>
    <row r="738" spans="2:6" ht="14" x14ac:dyDescent="0.2">
      <c r="B738" s="1"/>
      <c r="C738" s="1"/>
      <c r="D738" s="1"/>
      <c r="E738" s="1"/>
      <c r="F738" s="1"/>
    </row>
    <row r="739" spans="2:6" ht="14" x14ac:dyDescent="0.2">
      <c r="B739" s="1"/>
      <c r="C739" s="1"/>
      <c r="D739" s="1"/>
      <c r="E739" s="1"/>
      <c r="F739" s="1"/>
    </row>
    <row r="740" spans="2:6" ht="14" x14ac:dyDescent="0.2">
      <c r="B740" s="1"/>
      <c r="C740" s="1"/>
      <c r="D740" s="1"/>
      <c r="E740" s="1"/>
      <c r="F740" s="1"/>
    </row>
    <row r="741" spans="2:6" ht="14" x14ac:dyDescent="0.2">
      <c r="B741" s="1"/>
      <c r="C741" s="1"/>
      <c r="D741" s="1"/>
      <c r="E741" s="1"/>
      <c r="F741" s="1"/>
    </row>
    <row r="742" spans="2:6" ht="14" x14ac:dyDescent="0.2">
      <c r="B742" s="1"/>
      <c r="C742" s="1"/>
      <c r="D742" s="1"/>
      <c r="E742" s="1"/>
      <c r="F742" s="1"/>
    </row>
    <row r="743" spans="2:6" ht="14" x14ac:dyDescent="0.2">
      <c r="B743" s="1"/>
      <c r="C743" s="1"/>
      <c r="D743" s="1"/>
      <c r="E743" s="1"/>
      <c r="F743" s="1"/>
    </row>
    <row r="744" spans="2:6" ht="14" x14ac:dyDescent="0.2">
      <c r="B744" s="1"/>
      <c r="C744" s="1"/>
      <c r="D744" s="1"/>
      <c r="E744" s="1"/>
      <c r="F744" s="1"/>
    </row>
    <row r="745" spans="2:6" ht="14" x14ac:dyDescent="0.2">
      <c r="B745" s="1"/>
      <c r="C745" s="1"/>
      <c r="D745" s="1"/>
      <c r="E745" s="1"/>
      <c r="F745" s="1"/>
    </row>
    <row r="746" spans="2:6" ht="14" x14ac:dyDescent="0.2">
      <c r="B746" s="1"/>
      <c r="C746" s="1"/>
      <c r="D746" s="1"/>
      <c r="E746" s="1"/>
      <c r="F746" s="1"/>
    </row>
    <row r="747" spans="2:6" ht="14" x14ac:dyDescent="0.2">
      <c r="B747" s="1"/>
      <c r="C747" s="1"/>
      <c r="D747" s="1"/>
      <c r="E747" s="1"/>
      <c r="F747" s="1"/>
    </row>
    <row r="748" spans="2:6" ht="14" x14ac:dyDescent="0.2">
      <c r="B748" s="1"/>
      <c r="C748" s="1"/>
      <c r="D748" s="1"/>
      <c r="E748" s="1"/>
      <c r="F748" s="1"/>
    </row>
    <row r="749" spans="2:6" ht="14" x14ac:dyDescent="0.2">
      <c r="B749" s="1"/>
      <c r="C749" s="1"/>
      <c r="D749" s="1"/>
      <c r="E749" s="1"/>
      <c r="F749" s="1"/>
    </row>
    <row r="750" spans="2:6" ht="14" x14ac:dyDescent="0.2">
      <c r="B750" s="1"/>
      <c r="C750" s="1"/>
      <c r="D750" s="1"/>
      <c r="E750" s="1"/>
      <c r="F750" s="1"/>
    </row>
    <row r="751" spans="2:6" ht="14" x14ac:dyDescent="0.2">
      <c r="B751" s="1"/>
      <c r="C751" s="1"/>
      <c r="D751" s="1"/>
      <c r="E751" s="1"/>
      <c r="F751" s="1"/>
    </row>
    <row r="752" spans="2:6" ht="14" x14ac:dyDescent="0.2">
      <c r="B752" s="1"/>
      <c r="C752" s="1"/>
      <c r="D752" s="1"/>
      <c r="E752" s="1"/>
      <c r="F752" s="1"/>
    </row>
    <row r="753" spans="2:6" ht="14" x14ac:dyDescent="0.2">
      <c r="B753" s="1"/>
      <c r="C753" s="1"/>
      <c r="D753" s="1"/>
      <c r="E753" s="1"/>
      <c r="F753" s="1"/>
    </row>
    <row r="754" spans="2:6" ht="14" x14ac:dyDescent="0.2">
      <c r="B754" s="1"/>
      <c r="C754" s="1"/>
      <c r="D754" s="1"/>
      <c r="E754" s="1"/>
      <c r="F754" s="1"/>
    </row>
    <row r="755" spans="2:6" ht="14" x14ac:dyDescent="0.2">
      <c r="B755" s="1"/>
      <c r="C755" s="1"/>
      <c r="D755" s="1"/>
      <c r="E755" s="1"/>
      <c r="F755" s="1"/>
    </row>
    <row r="756" spans="2:6" ht="14" x14ac:dyDescent="0.2">
      <c r="B756" s="1"/>
      <c r="C756" s="1"/>
      <c r="D756" s="1"/>
      <c r="E756" s="1"/>
      <c r="F756" s="1"/>
    </row>
    <row r="757" spans="2:6" ht="14" x14ac:dyDescent="0.2">
      <c r="B757" s="1"/>
      <c r="C757" s="1"/>
      <c r="D757" s="1"/>
      <c r="E757" s="1"/>
      <c r="F757" s="1"/>
    </row>
    <row r="758" spans="2:6" ht="14" x14ac:dyDescent="0.2">
      <c r="B758" s="1"/>
      <c r="C758" s="1"/>
      <c r="D758" s="1"/>
      <c r="E758" s="1"/>
      <c r="F758" s="1"/>
    </row>
    <row r="759" spans="2:6" ht="14" x14ac:dyDescent="0.2">
      <c r="B759" s="1"/>
      <c r="C759" s="1"/>
      <c r="D759" s="1"/>
      <c r="E759" s="1"/>
      <c r="F759" s="1"/>
    </row>
    <row r="760" spans="2:6" ht="14" x14ac:dyDescent="0.2">
      <c r="B760" s="1"/>
      <c r="C760" s="1"/>
      <c r="D760" s="1"/>
      <c r="E760" s="1"/>
      <c r="F760" s="1"/>
    </row>
    <row r="761" spans="2:6" ht="14" x14ac:dyDescent="0.2">
      <c r="B761" s="1"/>
      <c r="C761" s="1"/>
      <c r="D761" s="1"/>
      <c r="E761" s="1"/>
      <c r="F761" s="1"/>
    </row>
    <row r="762" spans="2:6" ht="14" x14ac:dyDescent="0.2">
      <c r="B762" s="1"/>
      <c r="C762" s="1"/>
      <c r="D762" s="1"/>
      <c r="E762" s="1"/>
      <c r="F762" s="1"/>
    </row>
    <row r="763" spans="2:6" ht="14" x14ac:dyDescent="0.2">
      <c r="B763" s="1"/>
      <c r="C763" s="1"/>
      <c r="D763" s="1"/>
      <c r="E763" s="1"/>
      <c r="F763" s="1"/>
    </row>
    <row r="764" spans="2:6" ht="14" x14ac:dyDescent="0.2">
      <c r="B764" s="1"/>
      <c r="C764" s="1"/>
      <c r="D764" s="1"/>
      <c r="E764" s="1"/>
      <c r="F764" s="1"/>
    </row>
    <row r="765" spans="2:6" ht="14" x14ac:dyDescent="0.2">
      <c r="B765" s="1"/>
      <c r="C765" s="1"/>
      <c r="D765" s="1"/>
      <c r="E765" s="1"/>
      <c r="F765" s="1"/>
    </row>
    <row r="766" spans="2:6" ht="14" x14ac:dyDescent="0.2">
      <c r="B766" s="1"/>
      <c r="C766" s="1"/>
      <c r="D766" s="1"/>
      <c r="E766" s="1"/>
      <c r="F766" s="1"/>
    </row>
    <row r="767" spans="2:6" ht="14" x14ac:dyDescent="0.2">
      <c r="B767" s="1"/>
      <c r="C767" s="1"/>
      <c r="D767" s="1"/>
      <c r="E767" s="1"/>
      <c r="F767" s="1"/>
    </row>
    <row r="768" spans="2:6" ht="14" x14ac:dyDescent="0.2">
      <c r="B768" s="1"/>
      <c r="C768" s="1"/>
      <c r="D768" s="1"/>
      <c r="E768" s="1"/>
      <c r="F768" s="1"/>
    </row>
    <row r="769" spans="2:6" ht="14" x14ac:dyDescent="0.2">
      <c r="B769" s="1"/>
      <c r="C769" s="1"/>
      <c r="D769" s="1"/>
      <c r="E769" s="1"/>
      <c r="F769" s="1"/>
    </row>
    <row r="770" spans="2:6" ht="14" x14ac:dyDescent="0.2">
      <c r="B770" s="1"/>
      <c r="C770" s="1"/>
      <c r="D770" s="1"/>
      <c r="E770" s="1"/>
      <c r="F770" s="1"/>
    </row>
    <row r="771" spans="2:6" ht="14" x14ac:dyDescent="0.2">
      <c r="B771" s="1"/>
      <c r="C771" s="1"/>
      <c r="D771" s="1"/>
      <c r="E771" s="1"/>
      <c r="F771" s="1"/>
    </row>
    <row r="772" spans="2:6" ht="14" x14ac:dyDescent="0.2">
      <c r="B772" s="1"/>
      <c r="C772" s="1"/>
      <c r="D772" s="1"/>
      <c r="E772" s="1"/>
      <c r="F772" s="1"/>
    </row>
    <row r="773" spans="2:6" ht="14" x14ac:dyDescent="0.2">
      <c r="B773" s="1"/>
      <c r="C773" s="1"/>
      <c r="D773" s="1"/>
      <c r="E773" s="1"/>
      <c r="F773" s="1"/>
    </row>
    <row r="774" spans="2:6" ht="14" x14ac:dyDescent="0.2">
      <c r="B774" s="1"/>
      <c r="C774" s="1"/>
      <c r="D774" s="1"/>
      <c r="E774" s="1"/>
      <c r="F774" s="1"/>
    </row>
    <row r="775" spans="2:6" ht="14" x14ac:dyDescent="0.2">
      <c r="B775" s="1"/>
      <c r="C775" s="1"/>
      <c r="D775" s="1"/>
      <c r="E775" s="1"/>
      <c r="F775" s="1"/>
    </row>
    <row r="776" spans="2:6" ht="14" x14ac:dyDescent="0.2">
      <c r="B776" s="1"/>
      <c r="C776" s="1"/>
      <c r="D776" s="1"/>
      <c r="E776" s="1"/>
      <c r="F776" s="1"/>
    </row>
    <row r="777" spans="2:6" ht="14" x14ac:dyDescent="0.2">
      <c r="B777" s="1"/>
      <c r="C777" s="1"/>
      <c r="D777" s="1"/>
      <c r="E777" s="1"/>
      <c r="F777" s="1"/>
    </row>
    <row r="778" spans="2:6" ht="14" x14ac:dyDescent="0.2">
      <c r="B778" s="1"/>
      <c r="C778" s="1"/>
      <c r="D778" s="1"/>
      <c r="E778" s="1"/>
      <c r="F778" s="1"/>
    </row>
    <row r="779" spans="2:6" ht="14" x14ac:dyDescent="0.2">
      <c r="B779" s="1"/>
      <c r="C779" s="1"/>
      <c r="D779" s="1"/>
      <c r="E779" s="1"/>
      <c r="F779" s="1"/>
    </row>
    <row r="780" spans="2:6" ht="14" x14ac:dyDescent="0.2">
      <c r="B780" s="1"/>
      <c r="C780" s="1"/>
      <c r="D780" s="1"/>
      <c r="E780" s="1"/>
      <c r="F780" s="1"/>
    </row>
    <row r="781" spans="2:6" ht="14" x14ac:dyDescent="0.2">
      <c r="B781" s="1"/>
      <c r="C781" s="1"/>
      <c r="D781" s="1"/>
      <c r="E781" s="1"/>
      <c r="F781" s="1"/>
    </row>
    <row r="782" spans="2:6" ht="14" x14ac:dyDescent="0.2">
      <c r="B782" s="1"/>
      <c r="C782" s="1"/>
      <c r="D782" s="1"/>
      <c r="E782" s="1"/>
      <c r="F782" s="1"/>
    </row>
    <row r="783" spans="2:6" ht="14" x14ac:dyDescent="0.2">
      <c r="B783" s="1"/>
      <c r="C783" s="1"/>
      <c r="D783" s="1"/>
      <c r="E783" s="1"/>
      <c r="F783" s="1"/>
    </row>
    <row r="784" spans="2:6" ht="14" x14ac:dyDescent="0.2">
      <c r="B784" s="1"/>
      <c r="C784" s="1"/>
      <c r="D784" s="1"/>
      <c r="E784" s="1"/>
      <c r="F784" s="1"/>
    </row>
    <row r="785" spans="2:6" ht="14" x14ac:dyDescent="0.2">
      <c r="B785" s="1"/>
      <c r="C785" s="1"/>
      <c r="D785" s="1"/>
      <c r="E785" s="1"/>
      <c r="F785" s="1"/>
    </row>
    <row r="786" spans="2:6" ht="14" x14ac:dyDescent="0.2">
      <c r="B786" s="1"/>
      <c r="C786" s="1"/>
      <c r="D786" s="1"/>
      <c r="E786" s="1"/>
      <c r="F786" s="1"/>
    </row>
    <row r="787" spans="2:6" ht="14" x14ac:dyDescent="0.2">
      <c r="B787" s="1"/>
      <c r="C787" s="1"/>
      <c r="D787" s="1"/>
      <c r="E787" s="1"/>
      <c r="F787" s="1"/>
    </row>
    <row r="788" spans="2:6" ht="14" x14ac:dyDescent="0.2">
      <c r="B788" s="1"/>
      <c r="C788" s="1"/>
      <c r="D788" s="1"/>
      <c r="E788" s="1"/>
      <c r="F788" s="1"/>
    </row>
    <row r="789" spans="2:6" ht="14" x14ac:dyDescent="0.2">
      <c r="B789" s="1"/>
      <c r="C789" s="1"/>
      <c r="D789" s="1"/>
      <c r="E789" s="1"/>
      <c r="F789" s="1"/>
    </row>
    <row r="790" spans="2:6" ht="14" x14ac:dyDescent="0.2">
      <c r="B790" s="1"/>
      <c r="C790" s="1"/>
      <c r="D790" s="1"/>
      <c r="E790" s="1"/>
      <c r="F790" s="1"/>
    </row>
    <row r="791" spans="2:6" ht="14" x14ac:dyDescent="0.2">
      <c r="B791" s="1"/>
      <c r="C791" s="1"/>
      <c r="D791" s="1"/>
      <c r="E791" s="1"/>
      <c r="F791" s="1"/>
    </row>
    <row r="792" spans="2:6" ht="14" x14ac:dyDescent="0.2">
      <c r="B792" s="1"/>
      <c r="C792" s="1"/>
      <c r="D792" s="1"/>
      <c r="E792" s="1"/>
      <c r="F792" s="1"/>
    </row>
    <row r="793" spans="2:6" ht="14" x14ac:dyDescent="0.2">
      <c r="B793" s="1"/>
      <c r="C793" s="1"/>
      <c r="D793" s="1"/>
      <c r="E793" s="1"/>
      <c r="F793" s="1"/>
    </row>
    <row r="794" spans="2:6" ht="14" x14ac:dyDescent="0.2">
      <c r="B794" s="1"/>
      <c r="C794" s="1"/>
      <c r="D794" s="1"/>
      <c r="E794" s="1"/>
      <c r="F794" s="1"/>
    </row>
    <row r="795" spans="2:6" ht="14" x14ac:dyDescent="0.2">
      <c r="B795" s="1"/>
      <c r="C795" s="1"/>
      <c r="D795" s="1"/>
      <c r="E795" s="1"/>
      <c r="F795" s="1"/>
    </row>
    <row r="796" spans="2:6" ht="14" x14ac:dyDescent="0.2">
      <c r="B796" s="1"/>
      <c r="C796" s="1"/>
      <c r="D796" s="1"/>
      <c r="E796" s="1"/>
      <c r="F796" s="1"/>
    </row>
    <row r="797" spans="2:6" ht="14" x14ac:dyDescent="0.2">
      <c r="B797" s="1"/>
      <c r="C797" s="1"/>
      <c r="D797" s="1"/>
      <c r="E797" s="1"/>
      <c r="F797" s="1"/>
    </row>
    <row r="798" spans="2:6" ht="14" x14ac:dyDescent="0.2">
      <c r="B798" s="1"/>
      <c r="C798" s="1"/>
      <c r="D798" s="1"/>
      <c r="E798" s="1"/>
      <c r="F798" s="1"/>
    </row>
    <row r="799" spans="2:6" ht="14" x14ac:dyDescent="0.2">
      <c r="B799" s="1"/>
      <c r="C799" s="1"/>
      <c r="D799" s="1"/>
      <c r="E799" s="1"/>
      <c r="F799" s="1"/>
    </row>
    <row r="800" spans="2:6" ht="14" x14ac:dyDescent="0.2">
      <c r="B800" s="1"/>
      <c r="C800" s="1"/>
      <c r="D800" s="1"/>
      <c r="E800" s="1"/>
      <c r="F800" s="1"/>
    </row>
    <row r="801" spans="2:6" ht="14" x14ac:dyDescent="0.2">
      <c r="B801" s="1"/>
      <c r="C801" s="1"/>
      <c r="D801" s="1"/>
      <c r="E801" s="1"/>
      <c r="F801" s="1"/>
    </row>
    <row r="802" spans="2:6" ht="14" x14ac:dyDescent="0.2">
      <c r="B802" s="1"/>
      <c r="C802" s="1"/>
      <c r="D802" s="1"/>
      <c r="E802" s="1"/>
      <c r="F802" s="1"/>
    </row>
    <row r="803" spans="2:6" ht="14" x14ac:dyDescent="0.2">
      <c r="B803" s="1"/>
      <c r="C803" s="1"/>
      <c r="D803" s="1"/>
      <c r="E803" s="1"/>
      <c r="F803" s="1"/>
    </row>
    <row r="804" spans="2:6" ht="14" x14ac:dyDescent="0.2">
      <c r="B804" s="1"/>
      <c r="C804" s="1"/>
      <c r="D804" s="1"/>
      <c r="E804" s="1"/>
      <c r="F804" s="1"/>
    </row>
    <row r="805" spans="2:6" ht="14" x14ac:dyDescent="0.2">
      <c r="B805" s="1"/>
      <c r="C805" s="1"/>
      <c r="D805" s="1"/>
      <c r="E805" s="1"/>
      <c r="F805" s="1"/>
    </row>
    <row r="806" spans="2:6" ht="14" x14ac:dyDescent="0.2">
      <c r="B806" s="1"/>
      <c r="C806" s="1"/>
      <c r="D806" s="1"/>
      <c r="E806" s="1"/>
      <c r="F806" s="1"/>
    </row>
    <row r="807" spans="2:6" ht="14" x14ac:dyDescent="0.2">
      <c r="B807" s="1"/>
      <c r="C807" s="1"/>
      <c r="D807" s="1"/>
      <c r="E807" s="1"/>
      <c r="F807" s="1"/>
    </row>
    <row r="808" spans="2:6" ht="14" x14ac:dyDescent="0.2">
      <c r="B808" s="1"/>
      <c r="C808" s="1"/>
      <c r="D808" s="1"/>
      <c r="E808" s="1"/>
      <c r="F808" s="1"/>
    </row>
    <row r="809" spans="2:6" ht="14" x14ac:dyDescent="0.2">
      <c r="B809" s="1"/>
      <c r="C809" s="1"/>
      <c r="D809" s="1"/>
      <c r="E809" s="1"/>
      <c r="F809" s="1"/>
    </row>
    <row r="810" spans="2:6" ht="14" x14ac:dyDescent="0.2">
      <c r="B810" s="1"/>
      <c r="C810" s="1"/>
      <c r="D810" s="1"/>
      <c r="E810" s="1"/>
      <c r="F810" s="1"/>
    </row>
    <row r="811" spans="2:6" ht="14" x14ac:dyDescent="0.2">
      <c r="B811" s="1"/>
      <c r="C811" s="1"/>
      <c r="D811" s="1"/>
      <c r="E811" s="1"/>
      <c r="F811" s="1"/>
    </row>
    <row r="812" spans="2:6" ht="14" x14ac:dyDescent="0.2">
      <c r="B812" s="1"/>
      <c r="C812" s="1"/>
      <c r="D812" s="1"/>
      <c r="E812" s="1"/>
      <c r="F812" s="1"/>
    </row>
    <row r="813" spans="2:6" ht="14" x14ac:dyDescent="0.2">
      <c r="B813" s="1"/>
      <c r="C813" s="1"/>
      <c r="D813" s="1"/>
      <c r="E813" s="1"/>
      <c r="F813" s="1"/>
    </row>
    <row r="814" spans="2:6" ht="14" x14ac:dyDescent="0.2">
      <c r="B814" s="1"/>
      <c r="C814" s="1"/>
      <c r="D814" s="1"/>
      <c r="E814" s="1"/>
      <c r="F814" s="1"/>
    </row>
    <row r="815" spans="2:6" ht="14" x14ac:dyDescent="0.2">
      <c r="B815" s="1"/>
      <c r="C815" s="1"/>
      <c r="D815" s="1"/>
      <c r="E815" s="1"/>
      <c r="F815" s="1"/>
    </row>
    <row r="816" spans="2:6" ht="14" x14ac:dyDescent="0.2">
      <c r="B816" s="1"/>
      <c r="C816" s="1"/>
      <c r="D816" s="1"/>
      <c r="E816" s="1"/>
      <c r="F816" s="1"/>
    </row>
    <row r="817" spans="2:6" ht="14" x14ac:dyDescent="0.2">
      <c r="B817" s="1"/>
      <c r="C817" s="1"/>
      <c r="D817" s="1"/>
      <c r="E817" s="1"/>
      <c r="F817" s="1"/>
    </row>
    <row r="818" spans="2:6" ht="14" x14ac:dyDescent="0.2">
      <c r="B818" s="1"/>
      <c r="C818" s="1"/>
      <c r="D818" s="1"/>
      <c r="E818" s="1"/>
      <c r="F818" s="1"/>
    </row>
    <row r="819" spans="2:6" ht="14" x14ac:dyDescent="0.2">
      <c r="B819" s="1"/>
      <c r="C819" s="1"/>
      <c r="D819" s="1"/>
      <c r="E819" s="1"/>
      <c r="F819" s="1"/>
    </row>
    <row r="820" spans="2:6" ht="14" x14ac:dyDescent="0.2">
      <c r="B820" s="1"/>
      <c r="C820" s="1"/>
      <c r="D820" s="1"/>
      <c r="E820" s="1"/>
      <c r="F820" s="1"/>
    </row>
    <row r="821" spans="2:6" ht="14" x14ac:dyDescent="0.2">
      <c r="B821" s="1"/>
      <c r="C821" s="1"/>
      <c r="D821" s="1"/>
      <c r="E821" s="1"/>
      <c r="F821" s="1"/>
    </row>
    <row r="822" spans="2:6" ht="14" x14ac:dyDescent="0.2">
      <c r="B822" s="1"/>
      <c r="C822" s="1"/>
      <c r="D822" s="1"/>
      <c r="E822" s="1"/>
      <c r="F822" s="1"/>
    </row>
    <row r="823" spans="2:6" ht="14" x14ac:dyDescent="0.2">
      <c r="B823" s="1"/>
      <c r="C823" s="1"/>
      <c r="D823" s="1"/>
      <c r="E823" s="1"/>
      <c r="F823" s="1"/>
    </row>
    <row r="824" spans="2:6" ht="14" x14ac:dyDescent="0.2">
      <c r="B824" s="1"/>
      <c r="C824" s="1"/>
      <c r="D824" s="1"/>
      <c r="E824" s="1"/>
      <c r="F824" s="1"/>
    </row>
    <row r="825" spans="2:6" ht="14" x14ac:dyDescent="0.2">
      <c r="B825" s="1"/>
      <c r="C825" s="1"/>
      <c r="D825" s="1"/>
      <c r="E825" s="1"/>
      <c r="F825" s="1"/>
    </row>
    <row r="826" spans="2:6" ht="14" x14ac:dyDescent="0.2">
      <c r="B826" s="1"/>
      <c r="C826" s="1"/>
      <c r="D826" s="1"/>
      <c r="E826" s="1"/>
      <c r="F826" s="1"/>
    </row>
    <row r="827" spans="2:6" ht="14" x14ac:dyDescent="0.2">
      <c r="B827" s="1"/>
      <c r="C827" s="1"/>
      <c r="D827" s="1"/>
      <c r="E827" s="1"/>
      <c r="F827" s="1"/>
    </row>
    <row r="828" spans="2:6" ht="14" x14ac:dyDescent="0.2">
      <c r="B828" s="1"/>
      <c r="C828" s="1"/>
      <c r="D828" s="1"/>
      <c r="E828" s="1"/>
      <c r="F828" s="1"/>
    </row>
    <row r="829" spans="2:6" ht="14" x14ac:dyDescent="0.2">
      <c r="B829" s="1"/>
      <c r="C829" s="1"/>
      <c r="D829" s="1"/>
      <c r="E829" s="1"/>
      <c r="F829" s="1"/>
    </row>
    <row r="830" spans="2:6" ht="14" x14ac:dyDescent="0.2">
      <c r="B830" s="1"/>
      <c r="C830" s="1"/>
      <c r="D830" s="1"/>
      <c r="E830" s="1"/>
      <c r="F830" s="1"/>
    </row>
    <row r="831" spans="2:6" ht="14" x14ac:dyDescent="0.2">
      <c r="B831" s="1"/>
      <c r="C831" s="1"/>
      <c r="D831" s="1"/>
      <c r="E831" s="1"/>
      <c r="F831" s="1"/>
    </row>
    <row r="832" spans="2:6" ht="14" x14ac:dyDescent="0.2">
      <c r="B832" s="1"/>
      <c r="C832" s="1"/>
      <c r="D832" s="1"/>
      <c r="E832" s="1"/>
      <c r="F832" s="1"/>
    </row>
    <row r="833" spans="2:6" ht="14" x14ac:dyDescent="0.2">
      <c r="B833" s="1"/>
      <c r="C833" s="1"/>
      <c r="D833" s="1"/>
      <c r="E833" s="1"/>
      <c r="F833" s="1"/>
    </row>
    <row r="834" spans="2:6" ht="14" x14ac:dyDescent="0.2">
      <c r="B834" s="1"/>
      <c r="C834" s="1"/>
      <c r="D834" s="1"/>
      <c r="E834" s="1"/>
      <c r="F834" s="1"/>
    </row>
    <row r="835" spans="2:6" ht="14" x14ac:dyDescent="0.2">
      <c r="B835" s="1"/>
      <c r="C835" s="1"/>
      <c r="D835" s="1"/>
      <c r="E835" s="1"/>
      <c r="F835" s="1"/>
    </row>
    <row r="836" spans="2:6" ht="14" x14ac:dyDescent="0.2">
      <c r="B836" s="1"/>
      <c r="C836" s="1"/>
      <c r="D836" s="1"/>
      <c r="E836" s="1"/>
      <c r="F836" s="1"/>
    </row>
    <row r="837" spans="2:6" ht="14" x14ac:dyDescent="0.2">
      <c r="B837" s="1"/>
      <c r="C837" s="1"/>
      <c r="D837" s="1"/>
      <c r="E837" s="1"/>
      <c r="F837" s="1"/>
    </row>
    <row r="838" spans="2:6" ht="14" x14ac:dyDescent="0.2">
      <c r="B838" s="1"/>
      <c r="C838" s="1"/>
      <c r="D838" s="1"/>
      <c r="E838" s="1"/>
      <c r="F838" s="1"/>
    </row>
    <row r="839" spans="2:6" ht="14" x14ac:dyDescent="0.2">
      <c r="B839" s="1"/>
      <c r="C839" s="1"/>
      <c r="D839" s="1"/>
      <c r="E839" s="1"/>
      <c r="F839" s="1"/>
    </row>
    <row r="840" spans="2:6" ht="14" x14ac:dyDescent="0.2">
      <c r="B840" s="1"/>
      <c r="C840" s="1"/>
      <c r="D840" s="1"/>
      <c r="E840" s="1"/>
      <c r="F840" s="1"/>
    </row>
    <row r="841" spans="2:6" ht="14" x14ac:dyDescent="0.2">
      <c r="B841" s="1"/>
      <c r="C841" s="1"/>
      <c r="D841" s="1"/>
      <c r="E841" s="1"/>
      <c r="F841" s="1"/>
    </row>
    <row r="842" spans="2:6" ht="14" x14ac:dyDescent="0.2">
      <c r="B842" s="1"/>
      <c r="C842" s="1"/>
      <c r="D842" s="1"/>
      <c r="E842" s="1"/>
      <c r="F842" s="1"/>
    </row>
    <row r="843" spans="2:6" ht="14" x14ac:dyDescent="0.2">
      <c r="B843" s="1"/>
      <c r="C843" s="1"/>
      <c r="D843" s="1"/>
      <c r="E843" s="1"/>
      <c r="F843" s="1"/>
    </row>
    <row r="844" spans="2:6" ht="14" x14ac:dyDescent="0.2">
      <c r="B844" s="1"/>
      <c r="C844" s="1"/>
      <c r="D844" s="1"/>
      <c r="E844" s="1"/>
      <c r="F844" s="1"/>
    </row>
    <row r="845" spans="2:6" ht="14" x14ac:dyDescent="0.2">
      <c r="B845" s="1"/>
      <c r="C845" s="1"/>
      <c r="D845" s="1"/>
      <c r="E845" s="1"/>
      <c r="F845" s="1"/>
    </row>
    <row r="846" spans="2:6" ht="14" x14ac:dyDescent="0.2">
      <c r="B846" s="1"/>
      <c r="C846" s="1"/>
      <c r="D846" s="1"/>
      <c r="E846" s="1"/>
      <c r="F846" s="1"/>
    </row>
    <row r="847" spans="2:6" ht="14" x14ac:dyDescent="0.2">
      <c r="B847" s="1"/>
      <c r="C847" s="1"/>
      <c r="D847" s="1"/>
      <c r="E847" s="1"/>
      <c r="F847" s="1"/>
    </row>
    <row r="848" spans="2:6" ht="14" x14ac:dyDescent="0.2">
      <c r="B848" s="1"/>
      <c r="C848" s="1"/>
      <c r="D848" s="1"/>
      <c r="E848" s="1"/>
      <c r="F848" s="1"/>
    </row>
    <row r="849" spans="2:6" ht="14" x14ac:dyDescent="0.2">
      <c r="B849" s="1"/>
      <c r="C849" s="1"/>
      <c r="D849" s="1"/>
      <c r="E849" s="1"/>
      <c r="F849" s="1"/>
    </row>
    <row r="850" spans="2:6" ht="14" x14ac:dyDescent="0.2">
      <c r="B850" s="1"/>
      <c r="C850" s="1"/>
      <c r="D850" s="1"/>
      <c r="E850" s="1"/>
      <c r="F850" s="1"/>
    </row>
    <row r="851" spans="2:6" ht="14" x14ac:dyDescent="0.2">
      <c r="B851" s="1"/>
      <c r="C851" s="1"/>
      <c r="D851" s="1"/>
      <c r="E851" s="1"/>
      <c r="F851" s="1"/>
    </row>
    <row r="852" spans="2:6" ht="14" x14ac:dyDescent="0.2">
      <c r="B852" s="1"/>
      <c r="C852" s="1"/>
      <c r="D852" s="1"/>
      <c r="E852" s="1"/>
      <c r="F852" s="1"/>
    </row>
    <row r="853" spans="2:6" ht="14" x14ac:dyDescent="0.2">
      <c r="B853" s="1"/>
      <c r="C853" s="1"/>
      <c r="D853" s="1"/>
      <c r="E853" s="1"/>
      <c r="F853" s="1"/>
    </row>
    <row r="854" spans="2:6" ht="14" x14ac:dyDescent="0.2">
      <c r="B854" s="1"/>
      <c r="C854" s="1"/>
      <c r="D854" s="1"/>
      <c r="E854" s="1"/>
      <c r="F854" s="1"/>
    </row>
    <row r="855" spans="2:6" ht="14" x14ac:dyDescent="0.2">
      <c r="B855" s="1"/>
      <c r="C855" s="1"/>
      <c r="D855" s="1"/>
      <c r="E855" s="1"/>
      <c r="F855" s="1"/>
    </row>
    <row r="856" spans="2:6" ht="14" x14ac:dyDescent="0.2">
      <c r="B856" s="1"/>
      <c r="C856" s="1"/>
      <c r="D856" s="1"/>
      <c r="E856" s="1"/>
      <c r="F856" s="1"/>
    </row>
    <row r="857" spans="2:6" ht="14" x14ac:dyDescent="0.2">
      <c r="B857" s="1"/>
      <c r="C857" s="1"/>
      <c r="D857" s="1"/>
      <c r="E857" s="1"/>
      <c r="F857" s="1"/>
    </row>
    <row r="858" spans="2:6" ht="14" x14ac:dyDescent="0.2">
      <c r="B858" s="1"/>
      <c r="C858" s="1"/>
      <c r="D858" s="1"/>
      <c r="E858" s="1"/>
      <c r="F858" s="1"/>
    </row>
    <row r="859" spans="2:6" ht="14" x14ac:dyDescent="0.2">
      <c r="B859" s="1"/>
      <c r="C859" s="1"/>
      <c r="D859" s="1"/>
      <c r="E859" s="1"/>
      <c r="F859" s="1"/>
    </row>
    <row r="860" spans="2:6" ht="14" x14ac:dyDescent="0.2">
      <c r="B860" s="1"/>
      <c r="C860" s="1"/>
      <c r="D860" s="1"/>
      <c r="E860" s="1"/>
      <c r="F860" s="1"/>
    </row>
    <row r="861" spans="2:6" ht="14" x14ac:dyDescent="0.2">
      <c r="B861" s="1"/>
      <c r="C861" s="1"/>
      <c r="D861" s="1"/>
      <c r="E861" s="1"/>
      <c r="F861" s="1"/>
    </row>
    <row r="862" spans="2:6" ht="14" x14ac:dyDescent="0.2">
      <c r="B862" s="1"/>
      <c r="C862" s="1"/>
      <c r="D862" s="1"/>
      <c r="E862" s="1"/>
      <c r="F862" s="1"/>
    </row>
    <row r="863" spans="2:6" ht="14" x14ac:dyDescent="0.2">
      <c r="B863" s="1"/>
      <c r="C863" s="1"/>
      <c r="D863" s="1"/>
      <c r="E863" s="1"/>
      <c r="F863" s="1"/>
    </row>
    <row r="864" spans="2:6" ht="14" x14ac:dyDescent="0.2">
      <c r="B864" s="1"/>
      <c r="C864" s="1"/>
      <c r="D864" s="1"/>
      <c r="E864" s="1"/>
      <c r="F864" s="1"/>
    </row>
    <row r="865" spans="2:6" ht="14" x14ac:dyDescent="0.2">
      <c r="B865" s="1"/>
      <c r="C865" s="1"/>
      <c r="D865" s="1"/>
      <c r="E865" s="1"/>
      <c r="F865" s="1"/>
    </row>
    <row r="866" spans="2:6" ht="14" x14ac:dyDescent="0.2">
      <c r="B866" s="1"/>
      <c r="C866" s="1"/>
      <c r="D866" s="1"/>
      <c r="E866" s="1"/>
      <c r="F866" s="1"/>
    </row>
    <row r="867" spans="2:6" ht="14" x14ac:dyDescent="0.2">
      <c r="B867" s="1"/>
      <c r="C867" s="1"/>
      <c r="D867" s="1"/>
      <c r="E867" s="1"/>
      <c r="F867" s="1"/>
    </row>
    <row r="868" spans="2:6" ht="14" x14ac:dyDescent="0.2">
      <c r="B868" s="1"/>
      <c r="C868" s="1"/>
      <c r="D868" s="1"/>
      <c r="E868" s="1"/>
      <c r="F868" s="1"/>
    </row>
    <row r="869" spans="2:6" ht="14" x14ac:dyDescent="0.2">
      <c r="B869" s="1"/>
      <c r="C869" s="1"/>
      <c r="D869" s="1"/>
      <c r="E869" s="1"/>
      <c r="F869" s="1"/>
    </row>
    <row r="870" spans="2:6" ht="14" x14ac:dyDescent="0.2">
      <c r="B870" s="1"/>
      <c r="C870" s="1"/>
      <c r="D870" s="1"/>
      <c r="E870" s="1"/>
      <c r="F870" s="1"/>
    </row>
    <row r="871" spans="2:6" ht="14" x14ac:dyDescent="0.2">
      <c r="B871" s="1"/>
      <c r="C871" s="1"/>
      <c r="D871" s="1"/>
      <c r="E871" s="1"/>
      <c r="F871" s="1"/>
    </row>
    <row r="872" spans="2:6" ht="14" x14ac:dyDescent="0.2">
      <c r="B872" s="1"/>
      <c r="C872" s="1"/>
      <c r="D872" s="1"/>
      <c r="E872" s="1"/>
      <c r="F872" s="1"/>
    </row>
    <row r="873" spans="2:6" ht="14" x14ac:dyDescent="0.2">
      <c r="B873" s="1"/>
      <c r="C873" s="1"/>
      <c r="D873" s="1"/>
      <c r="E873" s="1"/>
      <c r="F873" s="1"/>
    </row>
    <row r="874" spans="2:6" ht="14" x14ac:dyDescent="0.2">
      <c r="B874" s="1"/>
      <c r="C874" s="1"/>
      <c r="D874" s="1"/>
      <c r="E874" s="1"/>
      <c r="F874" s="1"/>
    </row>
    <row r="875" spans="2:6" ht="14" x14ac:dyDescent="0.2">
      <c r="B875" s="1"/>
      <c r="C875" s="1"/>
      <c r="D875" s="1"/>
      <c r="E875" s="1"/>
      <c r="F875" s="1"/>
    </row>
    <row r="876" spans="2:6" ht="14" x14ac:dyDescent="0.2">
      <c r="B876" s="1"/>
      <c r="C876" s="1"/>
      <c r="D876" s="1"/>
      <c r="E876" s="1"/>
      <c r="F876" s="1"/>
    </row>
    <row r="877" spans="2:6" ht="14" x14ac:dyDescent="0.2">
      <c r="B877" s="1"/>
      <c r="C877" s="1"/>
      <c r="D877" s="1"/>
      <c r="E877" s="1"/>
      <c r="F877" s="1"/>
    </row>
    <row r="878" spans="2:6" ht="14" x14ac:dyDescent="0.2">
      <c r="B878" s="1"/>
      <c r="C878" s="1"/>
      <c r="D878" s="1"/>
      <c r="E878" s="1"/>
      <c r="F878" s="1"/>
    </row>
    <row r="879" spans="2:6" ht="14" x14ac:dyDescent="0.2">
      <c r="B879" s="1"/>
      <c r="C879" s="1"/>
      <c r="D879" s="1"/>
      <c r="E879" s="1"/>
      <c r="F879" s="1"/>
    </row>
    <row r="880" spans="2:6" ht="14" x14ac:dyDescent="0.2">
      <c r="B880" s="1"/>
      <c r="C880" s="1"/>
      <c r="D880" s="1"/>
      <c r="E880" s="1"/>
      <c r="F880" s="1"/>
    </row>
    <row r="881" spans="2:6" ht="14" x14ac:dyDescent="0.2">
      <c r="B881" s="1"/>
      <c r="C881" s="1"/>
      <c r="D881" s="1"/>
      <c r="E881" s="1"/>
      <c r="F881" s="1"/>
    </row>
    <row r="882" spans="2:6" ht="14" x14ac:dyDescent="0.2">
      <c r="B882" s="1"/>
      <c r="C882" s="1"/>
      <c r="D882" s="1"/>
      <c r="E882" s="1"/>
      <c r="F882" s="1"/>
    </row>
    <row r="883" spans="2:6" ht="14" x14ac:dyDescent="0.2">
      <c r="B883" s="1"/>
      <c r="C883" s="1"/>
      <c r="D883" s="1"/>
      <c r="E883" s="1"/>
      <c r="F883" s="1"/>
    </row>
    <row r="884" spans="2:6" ht="14" x14ac:dyDescent="0.2">
      <c r="B884" s="1"/>
      <c r="C884" s="1"/>
      <c r="D884" s="1"/>
      <c r="E884" s="1"/>
      <c r="F884" s="1"/>
    </row>
    <row r="885" spans="2:6" ht="14" x14ac:dyDescent="0.2">
      <c r="B885" s="1"/>
      <c r="C885" s="1"/>
      <c r="D885" s="1"/>
      <c r="E885" s="1"/>
      <c r="F885" s="1"/>
    </row>
    <row r="886" spans="2:6" ht="14" x14ac:dyDescent="0.2">
      <c r="B886" s="1"/>
      <c r="C886" s="1"/>
      <c r="D886" s="1"/>
      <c r="E886" s="1"/>
      <c r="F886" s="1"/>
    </row>
    <row r="887" spans="2:6" ht="14" x14ac:dyDescent="0.2">
      <c r="B887" s="1"/>
      <c r="C887" s="1"/>
      <c r="D887" s="1"/>
      <c r="E887" s="1"/>
      <c r="F887" s="1"/>
    </row>
    <row r="888" spans="2:6" ht="14" x14ac:dyDescent="0.2">
      <c r="B888" s="1"/>
      <c r="C888" s="1"/>
      <c r="D888" s="1"/>
      <c r="E888" s="1"/>
      <c r="F888" s="1"/>
    </row>
    <row r="889" spans="2:6" ht="14" x14ac:dyDescent="0.2">
      <c r="B889" s="1"/>
      <c r="C889" s="1"/>
      <c r="D889" s="1"/>
      <c r="E889" s="1"/>
      <c r="F889" s="1"/>
    </row>
    <row r="890" spans="2:6" ht="14" x14ac:dyDescent="0.2">
      <c r="B890" s="1"/>
      <c r="C890" s="1"/>
      <c r="D890" s="1"/>
      <c r="E890" s="1"/>
      <c r="F890" s="1"/>
    </row>
    <row r="891" spans="2:6" ht="14" x14ac:dyDescent="0.2">
      <c r="B891" s="1"/>
      <c r="C891" s="1"/>
      <c r="D891" s="1"/>
      <c r="E891" s="1"/>
      <c r="F891" s="1"/>
    </row>
    <row r="892" spans="2:6" ht="14" x14ac:dyDescent="0.2">
      <c r="B892" s="1"/>
      <c r="C892" s="1"/>
      <c r="D892" s="1"/>
      <c r="E892" s="1"/>
      <c r="F892" s="1"/>
    </row>
    <row r="893" spans="2:6" ht="14" x14ac:dyDescent="0.2">
      <c r="B893" s="1"/>
      <c r="C893" s="1"/>
      <c r="D893" s="1"/>
      <c r="E893" s="1"/>
      <c r="F893" s="1"/>
    </row>
    <row r="894" spans="2:6" ht="14" x14ac:dyDescent="0.2">
      <c r="B894" s="1"/>
      <c r="C894" s="1"/>
      <c r="D894" s="1"/>
      <c r="E894" s="1"/>
      <c r="F894" s="1"/>
    </row>
    <row r="895" spans="2:6" ht="14" x14ac:dyDescent="0.2">
      <c r="B895" s="1"/>
      <c r="C895" s="1"/>
      <c r="D895" s="1"/>
      <c r="E895" s="1"/>
      <c r="F895" s="1"/>
    </row>
    <row r="896" spans="2:6" ht="14" x14ac:dyDescent="0.2">
      <c r="B896" s="1"/>
      <c r="C896" s="1"/>
      <c r="D896" s="1"/>
      <c r="E896" s="1"/>
      <c r="F896" s="1"/>
    </row>
    <row r="897" spans="2:6" ht="14" x14ac:dyDescent="0.2">
      <c r="B897" s="1"/>
      <c r="C897" s="1"/>
      <c r="D897" s="1"/>
      <c r="E897" s="1"/>
      <c r="F897" s="1"/>
    </row>
    <row r="898" spans="2:6" ht="14" x14ac:dyDescent="0.2">
      <c r="B898" s="1"/>
      <c r="C898" s="1"/>
      <c r="D898" s="1"/>
      <c r="E898" s="1"/>
      <c r="F898" s="1"/>
    </row>
    <row r="899" spans="2:6" ht="14" x14ac:dyDescent="0.2">
      <c r="B899" s="1"/>
      <c r="C899" s="1"/>
      <c r="D899" s="1"/>
      <c r="E899" s="1"/>
      <c r="F899" s="1"/>
    </row>
    <row r="900" spans="2:6" ht="14" x14ac:dyDescent="0.2">
      <c r="B900" s="1"/>
      <c r="C900" s="1"/>
      <c r="D900" s="1"/>
      <c r="E900" s="1"/>
      <c r="F900" s="1"/>
    </row>
    <row r="901" spans="2:6" ht="14" x14ac:dyDescent="0.2">
      <c r="B901" s="1"/>
      <c r="C901" s="1"/>
      <c r="D901" s="1"/>
      <c r="E901" s="1"/>
      <c r="F901" s="1"/>
    </row>
    <row r="902" spans="2:6" ht="14" x14ac:dyDescent="0.2">
      <c r="B902" s="1"/>
      <c r="C902" s="1"/>
      <c r="D902" s="1"/>
      <c r="E902" s="1"/>
      <c r="F902" s="1"/>
    </row>
    <row r="903" spans="2:6" ht="14" x14ac:dyDescent="0.2">
      <c r="B903" s="1"/>
      <c r="C903" s="1"/>
      <c r="D903" s="1"/>
      <c r="E903" s="1"/>
      <c r="F903" s="1"/>
    </row>
    <row r="904" spans="2:6" ht="14" x14ac:dyDescent="0.2">
      <c r="B904" s="1"/>
      <c r="C904" s="1"/>
      <c r="D904" s="1"/>
      <c r="E904" s="1"/>
      <c r="F904" s="1"/>
    </row>
    <row r="905" spans="2:6" ht="14" x14ac:dyDescent="0.2">
      <c r="B905" s="1"/>
      <c r="C905" s="1"/>
      <c r="D905" s="1"/>
      <c r="E905" s="1"/>
      <c r="F905" s="1"/>
    </row>
    <row r="906" spans="2:6" ht="14" x14ac:dyDescent="0.2">
      <c r="B906" s="1"/>
      <c r="C906" s="1"/>
      <c r="D906" s="1"/>
      <c r="E906" s="1"/>
      <c r="F906" s="1"/>
    </row>
    <row r="907" spans="2:6" ht="14" x14ac:dyDescent="0.2">
      <c r="B907" s="1"/>
      <c r="C907" s="1"/>
      <c r="D907" s="1"/>
      <c r="E907" s="1"/>
      <c r="F907" s="1"/>
    </row>
    <row r="908" spans="2:6" ht="14" x14ac:dyDescent="0.2">
      <c r="B908" s="1"/>
      <c r="C908" s="1"/>
      <c r="D908" s="1"/>
      <c r="E908" s="1"/>
      <c r="F908" s="1"/>
    </row>
    <row r="909" spans="2:6" ht="14" x14ac:dyDescent="0.2">
      <c r="B909" s="1"/>
      <c r="C909" s="1"/>
      <c r="D909" s="1"/>
      <c r="E909" s="1"/>
      <c r="F909" s="1"/>
    </row>
    <row r="910" spans="2:6" ht="14" x14ac:dyDescent="0.2">
      <c r="B910" s="1"/>
      <c r="C910" s="1"/>
      <c r="D910" s="1"/>
      <c r="E910" s="1"/>
      <c r="F910" s="1"/>
    </row>
    <row r="911" spans="2:6" ht="14" x14ac:dyDescent="0.2">
      <c r="B911" s="1"/>
      <c r="C911" s="1"/>
      <c r="D911" s="1"/>
      <c r="E911" s="1"/>
      <c r="F911" s="1"/>
    </row>
    <row r="912" spans="2:6" ht="14" x14ac:dyDescent="0.2">
      <c r="B912" s="1"/>
      <c r="C912" s="1"/>
      <c r="D912" s="1"/>
      <c r="E912" s="1"/>
      <c r="F912" s="1"/>
    </row>
    <row r="913" spans="2:6" ht="14" x14ac:dyDescent="0.2">
      <c r="B913" s="1"/>
      <c r="C913" s="1"/>
      <c r="D913" s="1"/>
      <c r="E913" s="1"/>
      <c r="F913" s="1"/>
    </row>
    <row r="914" spans="2:6" ht="14" x14ac:dyDescent="0.2">
      <c r="B914" s="1"/>
      <c r="C914" s="1"/>
      <c r="D914" s="1"/>
      <c r="E914" s="1"/>
      <c r="F914" s="1"/>
    </row>
    <row r="915" spans="2:6" ht="14" x14ac:dyDescent="0.2">
      <c r="B915" s="1"/>
      <c r="C915" s="1"/>
      <c r="D915" s="1"/>
      <c r="E915" s="1"/>
      <c r="F915" s="1"/>
    </row>
    <row r="916" spans="2:6" ht="14" x14ac:dyDescent="0.2">
      <c r="B916" s="1"/>
      <c r="C916" s="1"/>
      <c r="D916" s="1"/>
      <c r="E916" s="1"/>
      <c r="F916" s="1"/>
    </row>
    <row r="917" spans="2:6" ht="14" x14ac:dyDescent="0.2">
      <c r="B917" s="1"/>
      <c r="C917" s="1"/>
      <c r="D917" s="1"/>
      <c r="E917" s="1"/>
      <c r="F917" s="1"/>
    </row>
    <row r="918" spans="2:6" ht="14" x14ac:dyDescent="0.2">
      <c r="B918" s="1"/>
      <c r="C918" s="1"/>
      <c r="D918" s="1"/>
      <c r="E918" s="1"/>
      <c r="F918" s="1"/>
    </row>
    <row r="919" spans="2:6" ht="14" x14ac:dyDescent="0.2">
      <c r="B919" s="1"/>
      <c r="C919" s="1"/>
      <c r="D919" s="1"/>
      <c r="E919" s="1"/>
      <c r="F919" s="1"/>
    </row>
    <row r="920" spans="2:6" ht="14" x14ac:dyDescent="0.2">
      <c r="B920" s="1"/>
      <c r="C920" s="1"/>
      <c r="D920" s="1"/>
      <c r="E920" s="1"/>
      <c r="F920" s="1"/>
    </row>
    <row r="921" spans="2:6" ht="14" x14ac:dyDescent="0.2">
      <c r="B921" s="1"/>
      <c r="C921" s="1"/>
      <c r="D921" s="1"/>
      <c r="E921" s="1"/>
      <c r="F921" s="1"/>
    </row>
    <row r="922" spans="2:6" ht="14" x14ac:dyDescent="0.2">
      <c r="B922" s="1"/>
      <c r="C922" s="1"/>
      <c r="D922" s="1"/>
      <c r="E922" s="1"/>
      <c r="F922" s="1"/>
    </row>
    <row r="923" spans="2:6" ht="14" x14ac:dyDescent="0.2">
      <c r="B923" s="1"/>
      <c r="C923" s="1"/>
      <c r="D923" s="1"/>
      <c r="E923" s="1"/>
      <c r="F923" s="1"/>
    </row>
    <row r="924" spans="2:6" ht="14" x14ac:dyDescent="0.2">
      <c r="B924" s="1"/>
      <c r="C924" s="1"/>
      <c r="D924" s="1"/>
      <c r="E924" s="1"/>
      <c r="F924" s="1"/>
    </row>
    <row r="925" spans="2:6" ht="14" x14ac:dyDescent="0.2">
      <c r="B925" s="1"/>
      <c r="C925" s="1"/>
      <c r="D925" s="1"/>
      <c r="E925" s="1"/>
      <c r="F925" s="1"/>
    </row>
    <row r="926" spans="2:6" ht="14" x14ac:dyDescent="0.2">
      <c r="B926" s="1"/>
      <c r="C926" s="1"/>
      <c r="D926" s="1"/>
      <c r="E926" s="1"/>
      <c r="F926" s="1"/>
    </row>
    <row r="927" spans="2:6" ht="14" x14ac:dyDescent="0.2">
      <c r="B927" s="1"/>
      <c r="C927" s="1"/>
      <c r="D927" s="1"/>
      <c r="E927" s="1"/>
      <c r="F927" s="1"/>
    </row>
    <row r="928" spans="2:6" ht="14" x14ac:dyDescent="0.2">
      <c r="B928" s="1"/>
      <c r="C928" s="1"/>
      <c r="D928" s="1"/>
      <c r="E928" s="1"/>
      <c r="F928" s="1"/>
    </row>
    <row r="929" spans="2:6" ht="14" x14ac:dyDescent="0.2">
      <c r="B929" s="1"/>
      <c r="C929" s="1"/>
      <c r="D929" s="1"/>
      <c r="E929" s="1"/>
      <c r="F929" s="1"/>
    </row>
    <row r="930" spans="2:6" ht="14" x14ac:dyDescent="0.2">
      <c r="B930" s="1"/>
      <c r="C930" s="1"/>
      <c r="D930" s="1"/>
      <c r="E930" s="1"/>
      <c r="F930" s="1"/>
    </row>
    <row r="931" spans="2:6" ht="14" x14ac:dyDescent="0.2">
      <c r="B931" s="1"/>
      <c r="C931" s="1"/>
      <c r="D931" s="1"/>
      <c r="E931" s="1"/>
      <c r="F931" s="1"/>
    </row>
    <row r="932" spans="2:6" ht="14" x14ac:dyDescent="0.2">
      <c r="B932" s="1"/>
      <c r="C932" s="1"/>
      <c r="D932" s="1"/>
      <c r="E932" s="1"/>
      <c r="F932" s="1"/>
    </row>
    <row r="933" spans="2:6" ht="14" x14ac:dyDescent="0.2">
      <c r="B933" s="1"/>
      <c r="C933" s="1"/>
      <c r="D933" s="1"/>
      <c r="E933" s="1"/>
      <c r="F933" s="1"/>
    </row>
    <row r="934" spans="2:6" ht="14" x14ac:dyDescent="0.2">
      <c r="B934" s="1"/>
      <c r="C934" s="1"/>
      <c r="D934" s="1"/>
      <c r="E934" s="1"/>
      <c r="F934" s="1"/>
    </row>
    <row r="935" spans="2:6" ht="14" x14ac:dyDescent="0.2">
      <c r="B935" s="1"/>
      <c r="C935" s="1"/>
      <c r="D935" s="1"/>
      <c r="E935" s="1"/>
      <c r="F935" s="1"/>
    </row>
    <row r="936" spans="2:6" ht="14" x14ac:dyDescent="0.2">
      <c r="B936" s="1"/>
      <c r="C936" s="1"/>
      <c r="D936" s="1"/>
      <c r="E936" s="1"/>
      <c r="F936" s="1"/>
    </row>
    <row r="937" spans="2:6" ht="14" x14ac:dyDescent="0.2">
      <c r="B937" s="1"/>
      <c r="C937" s="1"/>
      <c r="D937" s="1"/>
      <c r="E937" s="1"/>
      <c r="F937" s="1"/>
    </row>
    <row r="938" spans="2:6" ht="14" x14ac:dyDescent="0.2">
      <c r="B938" s="1"/>
      <c r="C938" s="1"/>
      <c r="D938" s="1"/>
      <c r="E938" s="1"/>
      <c r="F938" s="1"/>
    </row>
    <row r="939" spans="2:6" ht="14" x14ac:dyDescent="0.2">
      <c r="B939" s="1"/>
      <c r="C939" s="1"/>
      <c r="D939" s="1"/>
      <c r="E939" s="1"/>
      <c r="F939" s="1"/>
    </row>
    <row r="940" spans="2:6" ht="14" x14ac:dyDescent="0.2">
      <c r="B940" s="1"/>
      <c r="C940" s="1"/>
      <c r="D940" s="1"/>
      <c r="E940" s="1"/>
      <c r="F940" s="1"/>
    </row>
    <row r="941" spans="2:6" ht="14" x14ac:dyDescent="0.2">
      <c r="B941" s="1"/>
      <c r="C941" s="1"/>
      <c r="D941" s="1"/>
      <c r="E941" s="1"/>
      <c r="F941" s="1"/>
    </row>
    <row r="942" spans="2:6" ht="14" x14ac:dyDescent="0.2">
      <c r="B942" s="1"/>
      <c r="C942" s="1"/>
      <c r="D942" s="1"/>
      <c r="E942" s="1"/>
      <c r="F942" s="1"/>
    </row>
    <row r="943" spans="2:6" ht="14" x14ac:dyDescent="0.2">
      <c r="B943" s="1"/>
      <c r="C943" s="1"/>
      <c r="D943" s="1"/>
      <c r="E943" s="1"/>
      <c r="F943" s="1"/>
    </row>
    <row r="944" spans="2:6" ht="14" x14ac:dyDescent="0.2">
      <c r="B944" s="1"/>
      <c r="C944" s="1"/>
      <c r="D944" s="1"/>
      <c r="E944" s="1"/>
      <c r="F944" s="1"/>
    </row>
    <row r="945" spans="2:6" ht="14" x14ac:dyDescent="0.2">
      <c r="B945" s="1"/>
      <c r="C945" s="1"/>
      <c r="D945" s="1"/>
      <c r="E945" s="1"/>
      <c r="F945" s="1"/>
    </row>
    <row r="946" spans="2:6" ht="14" x14ac:dyDescent="0.2">
      <c r="B946" s="1"/>
      <c r="C946" s="1"/>
      <c r="D946" s="1"/>
      <c r="E946" s="1"/>
      <c r="F946" s="1"/>
    </row>
    <row r="947" spans="2:6" ht="14" x14ac:dyDescent="0.2">
      <c r="B947" s="1"/>
      <c r="C947" s="1"/>
      <c r="D947" s="1"/>
      <c r="E947" s="1"/>
      <c r="F947" s="1"/>
    </row>
    <row r="948" spans="2:6" ht="14" x14ac:dyDescent="0.2">
      <c r="B948" s="1"/>
      <c r="C948" s="1"/>
      <c r="D948" s="1"/>
      <c r="E948" s="1"/>
      <c r="F948" s="1"/>
    </row>
    <row r="949" spans="2:6" ht="14" x14ac:dyDescent="0.2">
      <c r="B949" s="1"/>
      <c r="C949" s="1"/>
      <c r="D949" s="1"/>
      <c r="E949" s="1"/>
      <c r="F949" s="1"/>
    </row>
    <row r="950" spans="2:6" ht="14" x14ac:dyDescent="0.2">
      <c r="B950" s="1"/>
      <c r="C950" s="1"/>
      <c r="D950" s="1"/>
      <c r="E950" s="1"/>
      <c r="F950" s="1"/>
    </row>
    <row r="951" spans="2:6" ht="14" x14ac:dyDescent="0.2">
      <c r="B951" s="1"/>
      <c r="C951" s="1"/>
      <c r="D951" s="1"/>
      <c r="E951" s="1"/>
      <c r="F951" s="1"/>
    </row>
    <row r="952" spans="2:6" ht="14" x14ac:dyDescent="0.2">
      <c r="B952" s="1"/>
      <c r="C952" s="1"/>
      <c r="D952" s="1"/>
      <c r="E952" s="1"/>
      <c r="F952" s="1"/>
    </row>
    <row r="953" spans="2:6" ht="14" x14ac:dyDescent="0.2">
      <c r="B953" s="1"/>
      <c r="C953" s="1"/>
      <c r="D953" s="1"/>
      <c r="E953" s="1"/>
      <c r="F953" s="1"/>
    </row>
    <row r="954" spans="2:6" ht="14" x14ac:dyDescent="0.2">
      <c r="B954" s="1"/>
      <c r="C954" s="1"/>
      <c r="D954" s="1"/>
      <c r="E954" s="1"/>
      <c r="F954" s="1"/>
    </row>
    <row r="955" spans="2:6" ht="14" x14ac:dyDescent="0.2">
      <c r="B955" s="1"/>
      <c r="C955" s="1"/>
      <c r="D955" s="1"/>
      <c r="E955" s="1"/>
      <c r="F955" s="1"/>
    </row>
    <row r="956" spans="2:6" ht="14" x14ac:dyDescent="0.2">
      <c r="B956" s="1"/>
      <c r="C956" s="1"/>
      <c r="D956" s="1"/>
      <c r="E956" s="1"/>
      <c r="F956" s="1"/>
    </row>
    <row r="957" spans="2:6" ht="14" x14ac:dyDescent="0.2">
      <c r="B957" s="1"/>
      <c r="C957" s="1"/>
      <c r="D957" s="1"/>
      <c r="E957" s="1"/>
      <c r="F957" s="1"/>
    </row>
    <row r="958" spans="2:6" ht="14" x14ac:dyDescent="0.2">
      <c r="B958" s="1"/>
      <c r="C958" s="1"/>
      <c r="D958" s="1"/>
      <c r="E958" s="1"/>
      <c r="F958" s="1"/>
    </row>
    <row r="959" spans="2:6" ht="14" x14ac:dyDescent="0.2">
      <c r="B959" s="1"/>
      <c r="C959" s="1"/>
      <c r="D959" s="1"/>
      <c r="E959" s="1"/>
      <c r="F959" s="1"/>
    </row>
    <row r="960" spans="2:6" ht="14" x14ac:dyDescent="0.2">
      <c r="B960" s="1"/>
      <c r="C960" s="1"/>
      <c r="D960" s="1"/>
      <c r="E960" s="1"/>
      <c r="F960" s="1"/>
    </row>
    <row r="961" spans="2:6" ht="14" x14ac:dyDescent="0.2">
      <c r="B961" s="1"/>
      <c r="C961" s="1"/>
      <c r="D961" s="1"/>
      <c r="E961" s="1"/>
      <c r="F961" s="1"/>
    </row>
    <row r="962" spans="2:6" ht="14" x14ac:dyDescent="0.2">
      <c r="B962" s="1"/>
      <c r="C962" s="1"/>
      <c r="D962" s="1"/>
      <c r="E962" s="1"/>
      <c r="F962" s="1"/>
    </row>
    <row r="963" spans="2:6" ht="14" x14ac:dyDescent="0.2">
      <c r="B963" s="1"/>
      <c r="C963" s="1"/>
      <c r="D963" s="1"/>
      <c r="E963" s="1"/>
      <c r="F963" s="1"/>
    </row>
    <row r="964" spans="2:6" ht="14" x14ac:dyDescent="0.2">
      <c r="B964" s="1"/>
      <c r="C964" s="1"/>
      <c r="D964" s="1"/>
      <c r="E964" s="1"/>
      <c r="F964" s="1"/>
    </row>
    <row r="965" spans="2:6" ht="14" x14ac:dyDescent="0.2">
      <c r="B965" s="1"/>
      <c r="C965" s="1"/>
      <c r="D965" s="1"/>
      <c r="E965" s="1"/>
      <c r="F965" s="1"/>
    </row>
    <row r="966" spans="2:6" ht="14" x14ac:dyDescent="0.2">
      <c r="B966" s="1"/>
      <c r="C966" s="1"/>
      <c r="D966" s="1"/>
      <c r="E966" s="1"/>
      <c r="F966" s="1"/>
    </row>
    <row r="967" spans="2:6" ht="14" x14ac:dyDescent="0.2">
      <c r="B967" s="1"/>
      <c r="C967" s="1"/>
      <c r="D967" s="1"/>
      <c r="E967" s="1"/>
      <c r="F967" s="1"/>
    </row>
    <row r="968" spans="2:6" ht="14" x14ac:dyDescent="0.2">
      <c r="B968" s="1"/>
      <c r="C968" s="1"/>
      <c r="D968" s="1"/>
      <c r="E968" s="1"/>
      <c r="F968" s="1"/>
    </row>
    <row r="969" spans="2:6" ht="14" x14ac:dyDescent="0.2">
      <c r="B969" s="1"/>
      <c r="C969" s="1"/>
      <c r="D969" s="1"/>
      <c r="E969" s="1"/>
      <c r="F969" s="1"/>
    </row>
    <row r="970" spans="2:6" ht="14" x14ac:dyDescent="0.2">
      <c r="B970" s="1"/>
      <c r="C970" s="1"/>
      <c r="D970" s="1"/>
      <c r="E970" s="1"/>
      <c r="F970" s="1"/>
    </row>
    <row r="971" spans="2:6" ht="14" x14ac:dyDescent="0.2">
      <c r="B971" s="1"/>
      <c r="C971" s="1"/>
      <c r="D971" s="1"/>
      <c r="E971" s="1"/>
      <c r="F971" s="1"/>
    </row>
    <row r="972" spans="2:6" ht="14" x14ac:dyDescent="0.2">
      <c r="B972" s="1"/>
      <c r="C972" s="1"/>
      <c r="D972" s="1"/>
      <c r="E972" s="1"/>
      <c r="F972" s="1"/>
    </row>
    <row r="973" spans="2:6" ht="14" x14ac:dyDescent="0.2">
      <c r="B973" s="1"/>
      <c r="C973" s="1"/>
      <c r="D973" s="1"/>
      <c r="E973" s="1"/>
      <c r="F973" s="1"/>
    </row>
    <row r="974" spans="2:6" ht="14" x14ac:dyDescent="0.2">
      <c r="B974" s="1"/>
      <c r="C974" s="1"/>
      <c r="D974" s="1"/>
      <c r="E974" s="1"/>
      <c r="F974" s="1"/>
    </row>
    <row r="975" spans="2:6" ht="14" x14ac:dyDescent="0.2">
      <c r="B975" s="1"/>
      <c r="C975" s="1"/>
      <c r="D975" s="1"/>
      <c r="E975" s="1"/>
      <c r="F975" s="1"/>
    </row>
    <row r="976" spans="2:6" ht="14" x14ac:dyDescent="0.2">
      <c r="B976" s="1"/>
      <c r="C976" s="1"/>
      <c r="D976" s="1"/>
      <c r="E976" s="1"/>
      <c r="F976" s="1"/>
    </row>
    <row r="977" spans="2:6" ht="14" x14ac:dyDescent="0.2">
      <c r="B977" s="1"/>
      <c r="C977" s="1"/>
      <c r="D977" s="1"/>
      <c r="E977" s="1"/>
      <c r="F977" s="1"/>
    </row>
    <row r="978" spans="2:6" ht="14" x14ac:dyDescent="0.2">
      <c r="B978" s="1"/>
      <c r="C978" s="1"/>
      <c r="D978" s="1"/>
      <c r="E978" s="1"/>
      <c r="F978" s="1"/>
    </row>
    <row r="979" spans="2:6" ht="14" x14ac:dyDescent="0.2">
      <c r="B979" s="1"/>
      <c r="C979" s="1"/>
      <c r="D979" s="1"/>
      <c r="E979" s="1"/>
      <c r="F979" s="1"/>
    </row>
    <row r="980" spans="2:6" ht="14" x14ac:dyDescent="0.2">
      <c r="B980" s="1"/>
      <c r="C980" s="1"/>
      <c r="D980" s="1"/>
      <c r="E980" s="1"/>
      <c r="F980" s="1"/>
    </row>
    <row r="981" spans="2:6" ht="14" x14ac:dyDescent="0.2">
      <c r="B981" s="1"/>
      <c r="C981" s="1"/>
      <c r="D981" s="1"/>
      <c r="E981" s="1"/>
      <c r="F981" s="1"/>
    </row>
    <row r="982" spans="2:6" ht="14" x14ac:dyDescent="0.2">
      <c r="B982" s="1"/>
      <c r="C982" s="1"/>
      <c r="D982" s="1"/>
      <c r="E982" s="1"/>
      <c r="F982" s="1"/>
    </row>
    <row r="983" spans="2:6" ht="14" x14ac:dyDescent="0.2">
      <c r="B983" s="1"/>
      <c r="C983" s="1"/>
      <c r="D983" s="1"/>
      <c r="E983" s="1"/>
      <c r="F983" s="1"/>
    </row>
    <row r="984" spans="2:6" ht="14" x14ac:dyDescent="0.2">
      <c r="B984" s="1"/>
      <c r="C984" s="1"/>
      <c r="D984" s="1"/>
      <c r="E984" s="1"/>
      <c r="F984" s="1"/>
    </row>
    <row r="985" spans="2:6" ht="14" x14ac:dyDescent="0.2">
      <c r="B985" s="1"/>
      <c r="C985" s="1"/>
      <c r="D985" s="1"/>
      <c r="E985" s="1"/>
      <c r="F985" s="1"/>
    </row>
    <row r="986" spans="2:6" ht="14" x14ac:dyDescent="0.2">
      <c r="B986" s="1"/>
      <c r="C986" s="1"/>
      <c r="D986" s="1"/>
      <c r="E986" s="1"/>
      <c r="F986" s="1"/>
    </row>
    <row r="987" spans="2:6" ht="14" x14ac:dyDescent="0.2">
      <c r="B987" s="1"/>
      <c r="C987" s="1"/>
      <c r="D987" s="1"/>
      <c r="E987" s="1"/>
      <c r="F987" s="1"/>
    </row>
    <row r="988" spans="2:6" ht="14" x14ac:dyDescent="0.2">
      <c r="B988" s="1"/>
      <c r="C988" s="1"/>
      <c r="D988" s="1"/>
      <c r="E988" s="1"/>
      <c r="F988" s="1"/>
    </row>
    <row r="989" spans="2:6" ht="14" x14ac:dyDescent="0.2">
      <c r="B989" s="1"/>
      <c r="C989" s="1"/>
      <c r="D989" s="1"/>
      <c r="E989" s="1"/>
      <c r="F989" s="1"/>
    </row>
    <row r="990" spans="2:6" ht="14" x14ac:dyDescent="0.2">
      <c r="B990" s="1"/>
      <c r="C990" s="1"/>
      <c r="D990" s="1"/>
      <c r="E990" s="1"/>
      <c r="F990" s="1"/>
    </row>
    <row r="991" spans="2:6" ht="14" x14ac:dyDescent="0.2">
      <c r="B991" s="1"/>
      <c r="C991" s="1"/>
      <c r="D991" s="1"/>
      <c r="E991" s="1"/>
      <c r="F991" s="1"/>
    </row>
    <row r="992" spans="2:6" ht="14" x14ac:dyDescent="0.2">
      <c r="B992" s="1"/>
      <c r="C992" s="1"/>
      <c r="D992" s="1"/>
      <c r="E992" s="1"/>
      <c r="F992" s="1"/>
    </row>
    <row r="993" spans="2:6" ht="14" x14ac:dyDescent="0.2">
      <c r="B993" s="1"/>
      <c r="C993" s="1"/>
      <c r="D993" s="1"/>
      <c r="E993" s="1"/>
      <c r="F993" s="1"/>
    </row>
    <row r="994" spans="2:6" ht="14" x14ac:dyDescent="0.2">
      <c r="B994" s="1"/>
      <c r="C994" s="1"/>
      <c r="D994" s="1"/>
      <c r="E994" s="1"/>
      <c r="F994" s="1"/>
    </row>
    <row r="995" spans="2:6" ht="14" x14ac:dyDescent="0.2">
      <c r="B995" s="1"/>
      <c r="C995" s="1"/>
      <c r="D995" s="1"/>
      <c r="E995" s="1"/>
      <c r="F995" s="1"/>
    </row>
    <row r="996" spans="2:6" ht="14" x14ac:dyDescent="0.2">
      <c r="B996" s="1"/>
      <c r="C996" s="1"/>
      <c r="D996" s="1"/>
      <c r="E996" s="1"/>
      <c r="F996" s="1"/>
    </row>
    <row r="997" spans="2:6" ht="14" x14ac:dyDescent="0.2">
      <c r="B997" s="1"/>
      <c r="C997" s="1"/>
      <c r="D997" s="1"/>
      <c r="E997" s="1"/>
      <c r="F997" s="1"/>
    </row>
    <row r="998" spans="2:6" ht="14" x14ac:dyDescent="0.2">
      <c r="B998" s="1"/>
      <c r="C998" s="1"/>
      <c r="D998" s="1"/>
      <c r="E998" s="1"/>
      <c r="F998" s="1"/>
    </row>
    <row r="999" spans="2:6" ht="14" x14ac:dyDescent="0.2">
      <c r="B999" s="1"/>
      <c r="C999" s="1"/>
      <c r="D999" s="1"/>
      <c r="E999" s="1"/>
      <c r="F999" s="1"/>
    </row>
    <row r="1000" spans="2:6" ht="14" x14ac:dyDescent="0.2">
      <c r="B1000" s="1"/>
      <c r="C1000" s="1"/>
      <c r="D1000" s="1"/>
      <c r="E1000" s="1"/>
      <c r="F1000" s="1"/>
    </row>
    <row r="1001" spans="2:6" ht="14" x14ac:dyDescent="0.2">
      <c r="B1001" s="1"/>
      <c r="C1001" s="1"/>
      <c r="D1001" s="1"/>
      <c r="E1001" s="1"/>
      <c r="F1001" s="1"/>
    </row>
    <row r="1002" spans="2:6" ht="14" x14ac:dyDescent="0.2">
      <c r="B1002" s="1"/>
      <c r="C1002" s="1"/>
      <c r="D1002" s="1"/>
      <c r="E1002" s="1"/>
      <c r="F1002" s="1"/>
    </row>
    <row r="1003" spans="2:6" ht="14" x14ac:dyDescent="0.2">
      <c r="B1003" s="1"/>
      <c r="C1003" s="1"/>
      <c r="D1003" s="1"/>
      <c r="E1003" s="1"/>
      <c r="F1003" s="1"/>
    </row>
  </sheetData>
  <conditionalFormatting sqref="B13:N13">
    <cfRule type="cellIs" dxfId="89" priority="1" operator="greaterThanOrEqual">
      <formula>0</formula>
    </cfRule>
    <cfRule type="cellIs" dxfId="88" priority="2" operator="lessThan">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outlinePr summaryBelow="0" summaryRight="0"/>
  </sheetPr>
  <dimension ref="B2:P55"/>
  <sheetViews>
    <sheetView workbookViewId="0"/>
  </sheetViews>
  <sheetFormatPr baseColWidth="10" defaultColWidth="12.796875" defaultRowHeight="15.75" customHeight="1" x14ac:dyDescent="0.2"/>
  <cols>
    <col min="1" max="1" width="6.19921875" customWidth="1"/>
    <col min="2" max="2" width="25.59765625" customWidth="1"/>
    <col min="4" max="4" width="4.3984375" customWidth="1"/>
    <col min="5" max="16" width="10.3984375" customWidth="1"/>
  </cols>
  <sheetData>
    <row r="2" spans="2:16" ht="15.75" customHeight="1" x14ac:dyDescent="0.2">
      <c r="B2" s="95" t="s">
        <v>24</v>
      </c>
      <c r="C2" s="96"/>
      <c r="E2" s="8" t="s">
        <v>1</v>
      </c>
      <c r="F2" s="8" t="s">
        <v>25</v>
      </c>
      <c r="G2" s="8" t="s">
        <v>3</v>
      </c>
      <c r="H2" s="8" t="s">
        <v>4</v>
      </c>
      <c r="I2" s="8" t="s">
        <v>5</v>
      </c>
      <c r="J2" s="8" t="s">
        <v>6</v>
      </c>
      <c r="K2" s="8" t="s">
        <v>7</v>
      </c>
      <c r="L2" s="8" t="s">
        <v>8</v>
      </c>
      <c r="M2" s="8" t="s">
        <v>9</v>
      </c>
      <c r="N2" s="8" t="s">
        <v>10</v>
      </c>
      <c r="O2" s="8" t="s">
        <v>11</v>
      </c>
      <c r="P2" s="8" t="s">
        <v>12</v>
      </c>
    </row>
    <row r="3" spans="2:16" ht="15.75" customHeight="1" x14ac:dyDescent="0.2">
      <c r="B3" s="9" t="s">
        <v>26</v>
      </c>
      <c r="C3" s="10">
        <f>SUM(C4:C11)</f>
        <v>49700</v>
      </c>
      <c r="E3" s="11"/>
      <c r="F3" s="4"/>
      <c r="G3" s="4"/>
      <c r="H3" s="4"/>
      <c r="I3" s="4"/>
      <c r="J3" s="4"/>
      <c r="K3" s="4"/>
      <c r="L3" s="4"/>
      <c r="M3" s="4"/>
      <c r="N3" s="4"/>
      <c r="O3" s="4"/>
      <c r="P3" s="4"/>
    </row>
    <row r="4" spans="2:16" ht="15.75" customHeight="1" x14ac:dyDescent="0.2">
      <c r="B4" s="4" t="s">
        <v>27</v>
      </c>
      <c r="C4" s="4">
        <v>27500</v>
      </c>
      <c r="E4" s="12">
        <v>20000</v>
      </c>
      <c r="F4" s="12">
        <v>27500</v>
      </c>
      <c r="G4" s="12">
        <v>27500</v>
      </c>
      <c r="H4" s="12">
        <v>27500</v>
      </c>
      <c r="I4" s="12">
        <v>27500</v>
      </c>
      <c r="J4" s="12">
        <v>27500</v>
      </c>
      <c r="K4" s="12">
        <v>27500</v>
      </c>
      <c r="L4" s="12">
        <v>27500</v>
      </c>
      <c r="M4" s="12">
        <v>27500</v>
      </c>
      <c r="N4" s="12">
        <v>27500</v>
      </c>
      <c r="O4" s="12">
        <v>27500</v>
      </c>
      <c r="P4" s="12">
        <v>27500</v>
      </c>
    </row>
    <row r="5" spans="2:16" ht="15.75" customHeight="1" x14ac:dyDescent="0.2">
      <c r="B5" s="4" t="s">
        <v>28</v>
      </c>
      <c r="C5" s="4">
        <v>0</v>
      </c>
      <c r="E5" s="11">
        <v>0</v>
      </c>
      <c r="F5" s="11">
        <v>0</v>
      </c>
      <c r="G5" s="11">
        <v>0</v>
      </c>
      <c r="H5" s="11">
        <v>0</v>
      </c>
      <c r="I5" s="11">
        <v>0</v>
      </c>
      <c r="J5" s="11">
        <v>0</v>
      </c>
      <c r="K5" s="11">
        <v>0</v>
      </c>
      <c r="L5" s="11">
        <v>0</v>
      </c>
      <c r="M5" s="11">
        <v>0</v>
      </c>
      <c r="N5" s="11">
        <v>0</v>
      </c>
      <c r="O5" s="11">
        <v>0</v>
      </c>
      <c r="P5" s="11">
        <v>0</v>
      </c>
    </row>
    <row r="6" spans="2:16" ht="15.75" customHeight="1" x14ac:dyDescent="0.2">
      <c r="B6" s="4" t="s">
        <v>29</v>
      </c>
      <c r="C6" s="4">
        <v>13000</v>
      </c>
      <c r="E6" s="12">
        <v>11662</v>
      </c>
      <c r="F6" s="12">
        <v>9296</v>
      </c>
      <c r="G6" s="12">
        <v>11001</v>
      </c>
      <c r="H6" s="12">
        <v>11516</v>
      </c>
      <c r="I6" s="12">
        <v>12288</v>
      </c>
      <c r="J6" s="12">
        <v>11469</v>
      </c>
      <c r="K6" s="12">
        <v>12218</v>
      </c>
      <c r="L6" s="12">
        <v>12590</v>
      </c>
      <c r="M6" s="12">
        <v>11419</v>
      </c>
      <c r="N6" s="12">
        <v>10050</v>
      </c>
      <c r="O6" s="12">
        <v>8949</v>
      </c>
      <c r="P6" s="12">
        <v>7207</v>
      </c>
    </row>
    <row r="7" spans="2:16" ht="15.75" customHeight="1" x14ac:dyDescent="0.2">
      <c r="B7" s="4" t="s">
        <v>30</v>
      </c>
      <c r="C7" s="4">
        <v>6000</v>
      </c>
      <c r="E7" s="12">
        <v>6000</v>
      </c>
      <c r="F7" s="12">
        <v>6000</v>
      </c>
      <c r="G7" s="12">
        <v>6000</v>
      </c>
      <c r="H7" s="12">
        <v>6000</v>
      </c>
      <c r="I7" s="12">
        <v>6000</v>
      </c>
      <c r="J7" s="12">
        <v>6000</v>
      </c>
      <c r="K7" s="12">
        <v>6000</v>
      </c>
      <c r="L7" s="12">
        <v>6000</v>
      </c>
      <c r="M7" s="12">
        <v>6000</v>
      </c>
      <c r="N7" s="12">
        <v>6000</v>
      </c>
      <c r="O7" s="12">
        <v>6000</v>
      </c>
      <c r="P7" s="12">
        <v>6000</v>
      </c>
    </row>
    <row r="8" spans="2:16" ht="15.75" customHeight="1" x14ac:dyDescent="0.2">
      <c r="B8" s="4" t="s">
        <v>31</v>
      </c>
      <c r="C8" s="4">
        <v>900</v>
      </c>
      <c r="E8" s="12">
        <v>730</v>
      </c>
      <c r="F8" s="12">
        <v>910</v>
      </c>
      <c r="G8" s="12">
        <v>1060</v>
      </c>
      <c r="H8" s="12">
        <v>900</v>
      </c>
      <c r="I8" s="12">
        <v>798</v>
      </c>
      <c r="J8" s="12">
        <v>642</v>
      </c>
      <c r="K8" s="12">
        <v>741</v>
      </c>
      <c r="L8" s="12">
        <v>603</v>
      </c>
      <c r="M8" s="12">
        <v>636</v>
      </c>
      <c r="N8" s="12">
        <v>474</v>
      </c>
      <c r="O8" s="12">
        <v>323</v>
      </c>
      <c r="P8" s="12">
        <v>314</v>
      </c>
    </row>
    <row r="9" spans="2:16" ht="15.75" customHeight="1" x14ac:dyDescent="0.2">
      <c r="B9" s="4" t="s">
        <v>32</v>
      </c>
      <c r="C9" s="4">
        <v>500</v>
      </c>
      <c r="E9" s="11">
        <v>0</v>
      </c>
      <c r="F9" s="11">
        <v>0</v>
      </c>
      <c r="G9" s="11">
        <v>0</v>
      </c>
      <c r="H9" s="11">
        <v>0</v>
      </c>
      <c r="I9" s="12">
        <v>3000</v>
      </c>
      <c r="J9" s="11">
        <v>0</v>
      </c>
      <c r="K9" s="11">
        <v>0</v>
      </c>
      <c r="L9" s="11">
        <v>0</v>
      </c>
      <c r="M9" s="11">
        <v>0</v>
      </c>
      <c r="N9" s="11">
        <v>0</v>
      </c>
      <c r="O9" s="11">
        <v>0</v>
      </c>
      <c r="P9" s="11">
        <v>0</v>
      </c>
    </row>
    <row r="10" spans="2:16" ht="15.75" customHeight="1" x14ac:dyDescent="0.2">
      <c r="B10" s="4" t="s">
        <v>33</v>
      </c>
      <c r="C10" s="4">
        <v>500</v>
      </c>
      <c r="E10" s="11">
        <v>0</v>
      </c>
      <c r="F10" s="11">
        <v>0</v>
      </c>
      <c r="G10" s="11">
        <v>0</v>
      </c>
      <c r="H10" s="11">
        <v>0</v>
      </c>
      <c r="I10" s="11">
        <v>0</v>
      </c>
      <c r="J10" s="11">
        <v>0</v>
      </c>
      <c r="K10" s="11">
        <v>0</v>
      </c>
      <c r="L10" s="12">
        <v>4500</v>
      </c>
      <c r="M10" s="11">
        <v>0</v>
      </c>
      <c r="N10" s="11">
        <v>0</v>
      </c>
      <c r="O10" s="11">
        <v>0</v>
      </c>
      <c r="P10" s="11">
        <v>0</v>
      </c>
    </row>
    <row r="11" spans="2:16" ht="15.75" customHeight="1" x14ac:dyDescent="0.2">
      <c r="B11" s="4" t="s">
        <v>34</v>
      </c>
      <c r="C11" s="4">
        <v>1300</v>
      </c>
      <c r="E11" s="12">
        <v>1300</v>
      </c>
      <c r="F11" s="12">
        <v>1300</v>
      </c>
      <c r="G11" s="12">
        <v>1300</v>
      </c>
      <c r="H11" s="12">
        <v>1300</v>
      </c>
      <c r="I11" s="11">
        <v>0</v>
      </c>
      <c r="J11" s="12">
        <v>1300</v>
      </c>
      <c r="K11" s="11">
        <v>0</v>
      </c>
      <c r="L11" s="12">
        <v>1300</v>
      </c>
      <c r="M11" s="12">
        <v>1200</v>
      </c>
      <c r="N11" s="12">
        <v>1300</v>
      </c>
      <c r="O11" s="12">
        <v>1300</v>
      </c>
      <c r="P11" s="12">
        <v>1800</v>
      </c>
    </row>
    <row r="12" spans="2:16" ht="15.75" customHeight="1" x14ac:dyDescent="0.2">
      <c r="B12" s="13" t="s">
        <v>35</v>
      </c>
      <c r="C12" s="4">
        <v>0</v>
      </c>
      <c r="E12" s="11">
        <v>0</v>
      </c>
      <c r="F12" s="11">
        <v>0</v>
      </c>
      <c r="G12" s="11">
        <v>0</v>
      </c>
      <c r="H12" s="12">
        <v>800</v>
      </c>
      <c r="I12" s="11">
        <v>0</v>
      </c>
      <c r="J12" s="11">
        <v>0</v>
      </c>
      <c r="K12" s="11">
        <v>0</v>
      </c>
      <c r="L12" s="11">
        <v>0</v>
      </c>
      <c r="M12" s="11">
        <v>0</v>
      </c>
      <c r="N12" s="11">
        <v>0</v>
      </c>
      <c r="O12" s="11">
        <v>0</v>
      </c>
      <c r="P12" s="12">
        <v>600</v>
      </c>
    </row>
    <row r="13" spans="2:16" ht="15.75" customHeight="1" x14ac:dyDescent="0.2">
      <c r="B13" s="9" t="s">
        <v>36</v>
      </c>
      <c r="C13" s="10">
        <f>SUM(C14:C18)</f>
        <v>56000</v>
      </c>
      <c r="E13" s="11"/>
      <c r="F13" s="11"/>
      <c r="G13" s="11"/>
      <c r="H13" s="11"/>
      <c r="I13" s="11"/>
      <c r="J13" s="11"/>
      <c r="K13" s="11"/>
      <c r="L13" s="11"/>
      <c r="M13" s="11"/>
      <c r="N13" s="11"/>
      <c r="O13" s="11"/>
      <c r="P13" s="11"/>
    </row>
    <row r="14" spans="2:16" ht="15.75" customHeight="1" x14ac:dyDescent="0.2">
      <c r="B14" s="4" t="s">
        <v>37</v>
      </c>
      <c r="C14" s="4">
        <v>20000</v>
      </c>
      <c r="E14" s="12">
        <v>20000</v>
      </c>
      <c r="F14" s="12">
        <v>19285</v>
      </c>
      <c r="G14" s="12">
        <v>20000</v>
      </c>
      <c r="H14" s="12">
        <v>14000</v>
      </c>
      <c r="I14" s="12">
        <v>20000</v>
      </c>
      <c r="J14" s="12">
        <v>20000</v>
      </c>
      <c r="K14" s="12">
        <v>20000</v>
      </c>
      <c r="L14" s="12">
        <v>20000</v>
      </c>
      <c r="M14" s="12">
        <v>20000</v>
      </c>
      <c r="N14" s="12">
        <v>20000</v>
      </c>
      <c r="O14" s="11">
        <v>0</v>
      </c>
      <c r="P14" s="11">
        <v>0</v>
      </c>
    </row>
    <row r="15" spans="2:16" ht="15.75" customHeight="1" x14ac:dyDescent="0.2">
      <c r="B15" s="4" t="s">
        <v>38</v>
      </c>
      <c r="C15" s="4">
        <v>13000</v>
      </c>
      <c r="E15" s="12">
        <v>12180</v>
      </c>
      <c r="F15" s="12">
        <v>11600</v>
      </c>
      <c r="G15" s="12">
        <v>12161</v>
      </c>
      <c r="H15" s="12">
        <v>13000</v>
      </c>
      <c r="I15" s="12">
        <v>14516</v>
      </c>
      <c r="J15" s="12">
        <v>13500</v>
      </c>
      <c r="K15" s="12">
        <v>14510</v>
      </c>
      <c r="L15" s="12">
        <v>11026</v>
      </c>
      <c r="M15" s="12">
        <v>5200</v>
      </c>
      <c r="N15" s="12">
        <v>11500</v>
      </c>
      <c r="O15" s="12">
        <v>13000</v>
      </c>
      <c r="P15" s="12">
        <v>13000</v>
      </c>
    </row>
    <row r="16" spans="2:16" ht="15.75" customHeight="1" x14ac:dyDescent="0.2">
      <c r="B16" s="4" t="s">
        <v>39</v>
      </c>
      <c r="C16" s="4">
        <v>8000</v>
      </c>
      <c r="E16" s="11">
        <v>0</v>
      </c>
      <c r="F16" s="11">
        <v>0</v>
      </c>
      <c r="G16" s="11">
        <v>0</v>
      </c>
      <c r="H16" s="11">
        <v>0</v>
      </c>
      <c r="I16" s="11">
        <v>0</v>
      </c>
      <c r="J16" s="12">
        <v>2930</v>
      </c>
      <c r="K16" s="12">
        <v>8000</v>
      </c>
      <c r="L16" s="12">
        <v>8400</v>
      </c>
      <c r="M16" s="12">
        <v>11500</v>
      </c>
      <c r="N16" s="12">
        <v>4645</v>
      </c>
      <c r="O16" s="11">
        <v>0</v>
      </c>
      <c r="P16" s="11">
        <v>0</v>
      </c>
    </row>
    <row r="17" spans="2:16" ht="15.75" customHeight="1" x14ac:dyDescent="0.2">
      <c r="B17" s="4" t="s">
        <v>40</v>
      </c>
      <c r="C17" s="4">
        <v>10000</v>
      </c>
      <c r="E17" s="12">
        <v>10000</v>
      </c>
      <c r="F17" s="12">
        <v>10000</v>
      </c>
      <c r="G17" s="12">
        <v>10000</v>
      </c>
      <c r="H17" s="12">
        <v>10000</v>
      </c>
      <c r="I17" s="12">
        <v>9000</v>
      </c>
      <c r="J17" s="12">
        <v>10000</v>
      </c>
      <c r="K17" s="12">
        <v>10000</v>
      </c>
      <c r="L17" s="12">
        <v>9670</v>
      </c>
      <c r="M17" s="12">
        <v>13000</v>
      </c>
      <c r="N17" s="12">
        <v>7420</v>
      </c>
      <c r="O17" s="12">
        <v>12330</v>
      </c>
      <c r="P17" s="12">
        <v>10000</v>
      </c>
    </row>
    <row r="18" spans="2:16" ht="15.75" customHeight="1" x14ac:dyDescent="0.2">
      <c r="B18" s="4" t="s">
        <v>41</v>
      </c>
      <c r="C18" s="4">
        <v>5000</v>
      </c>
      <c r="E18" s="12">
        <v>7100</v>
      </c>
      <c r="F18" s="12">
        <v>5000</v>
      </c>
      <c r="G18" s="12">
        <v>5000</v>
      </c>
      <c r="H18" s="12">
        <v>5000</v>
      </c>
      <c r="I18" s="12">
        <v>5000</v>
      </c>
      <c r="J18" s="12">
        <v>2400</v>
      </c>
      <c r="K18" s="12">
        <v>6000</v>
      </c>
      <c r="L18" s="12">
        <v>4030</v>
      </c>
      <c r="M18" s="12">
        <v>500</v>
      </c>
      <c r="N18" s="12">
        <v>1935</v>
      </c>
      <c r="O18" s="12">
        <f>3360-1206</f>
        <v>2154</v>
      </c>
      <c r="P18" s="12">
        <v>1206</v>
      </c>
    </row>
    <row r="20" spans="2:16" ht="15.75" customHeight="1" x14ac:dyDescent="0.2">
      <c r="B20" s="4" t="s">
        <v>42</v>
      </c>
      <c r="C20" s="10">
        <f>C3+C13</f>
        <v>105700</v>
      </c>
      <c r="E20" s="10">
        <f t="shared" ref="E20:P20" si="0">SUM(E4:E18)</f>
        <v>88972</v>
      </c>
      <c r="F20" s="10">
        <f t="shared" si="0"/>
        <v>90891</v>
      </c>
      <c r="G20" s="10">
        <f t="shared" si="0"/>
        <v>94022</v>
      </c>
      <c r="H20" s="10">
        <f t="shared" si="0"/>
        <v>90016</v>
      </c>
      <c r="I20" s="10">
        <f t="shared" si="0"/>
        <v>98102</v>
      </c>
      <c r="J20" s="10">
        <f t="shared" si="0"/>
        <v>95741</v>
      </c>
      <c r="K20" s="10">
        <f t="shared" si="0"/>
        <v>104969</v>
      </c>
      <c r="L20" s="10">
        <f t="shared" si="0"/>
        <v>105619</v>
      </c>
      <c r="M20" s="10">
        <f t="shared" si="0"/>
        <v>96955</v>
      </c>
      <c r="N20" s="10">
        <f t="shared" si="0"/>
        <v>90824</v>
      </c>
      <c r="O20" s="10">
        <f t="shared" si="0"/>
        <v>71556</v>
      </c>
      <c r="P20" s="10">
        <f t="shared" si="0"/>
        <v>67627</v>
      </c>
    </row>
    <row r="22" spans="2:16" ht="15.75" customHeight="1" x14ac:dyDescent="0.2">
      <c r="B22" s="14" t="s">
        <v>43</v>
      </c>
      <c r="C22" s="6">
        <f>C20/30</f>
        <v>3523.3333333333335</v>
      </c>
    </row>
    <row r="24" spans="2:16" ht="15.75" customHeight="1" x14ac:dyDescent="0.2">
      <c r="B24" s="97" t="s">
        <v>44</v>
      </c>
      <c r="C24" s="96"/>
    </row>
    <row r="25" spans="2:16" ht="15.75" customHeight="1" x14ac:dyDescent="0.2">
      <c r="B25" s="4" t="s">
        <v>45</v>
      </c>
      <c r="C25" s="4">
        <v>12000</v>
      </c>
    </row>
    <row r="26" spans="2:16" ht="15.75" customHeight="1" x14ac:dyDescent="0.2">
      <c r="B26" s="4" t="s">
        <v>46</v>
      </c>
      <c r="C26" s="4">
        <v>60000</v>
      </c>
    </row>
    <row r="27" spans="2:16" ht="15.75" customHeight="1" x14ac:dyDescent="0.2">
      <c r="B27" s="4" t="s">
        <v>47</v>
      </c>
      <c r="C27" s="4">
        <v>8000</v>
      </c>
    </row>
    <row r="28" spans="2:16" ht="15.75" customHeight="1" x14ac:dyDescent="0.2">
      <c r="B28" s="4" t="s">
        <v>48</v>
      </c>
      <c r="C28" s="4">
        <v>0</v>
      </c>
    </row>
    <row r="29" spans="2:16" ht="15.75" customHeight="1" x14ac:dyDescent="0.2">
      <c r="B29" s="4" t="s">
        <v>49</v>
      </c>
      <c r="C29" s="4">
        <v>0</v>
      </c>
    </row>
    <row r="30" spans="2:16" ht="15.75" customHeight="1" x14ac:dyDescent="0.2">
      <c r="B30" s="4" t="s">
        <v>50</v>
      </c>
      <c r="C30" s="4">
        <v>0</v>
      </c>
    </row>
    <row r="31" spans="2:16" ht="15.75" customHeight="1" x14ac:dyDescent="0.2">
      <c r="B31" s="4" t="s">
        <v>51</v>
      </c>
      <c r="C31" s="4">
        <v>0</v>
      </c>
    </row>
    <row r="32" spans="2:16" ht="15.75" customHeight="1" x14ac:dyDescent="0.2">
      <c r="B32" s="4" t="s">
        <v>52</v>
      </c>
      <c r="C32" s="4">
        <v>2000</v>
      </c>
    </row>
    <row r="33" spans="2:9" ht="15.75" customHeight="1" x14ac:dyDescent="0.2">
      <c r="B33" s="15" t="s">
        <v>0</v>
      </c>
      <c r="C33" s="15">
        <f>SUM(C25:C29)</f>
        <v>80000</v>
      </c>
    </row>
    <row r="37" spans="2:9" ht="15.75" customHeight="1" x14ac:dyDescent="0.2">
      <c r="G37" s="14" t="s">
        <v>53</v>
      </c>
      <c r="H37" s="14" t="s">
        <v>54</v>
      </c>
      <c r="I37" s="14" t="s">
        <v>55</v>
      </c>
    </row>
    <row r="38" spans="2:9" ht="15.75" customHeight="1" x14ac:dyDescent="0.2">
      <c r="F38" s="16">
        <v>45323</v>
      </c>
      <c r="G38" s="14">
        <v>550</v>
      </c>
      <c r="H38" s="14">
        <v>357</v>
      </c>
      <c r="I38" s="14">
        <f t="shared" ref="I38:I53" si="1">G38-H38</f>
        <v>193</v>
      </c>
    </row>
    <row r="39" spans="2:9" ht="15.75" customHeight="1" x14ac:dyDescent="0.2">
      <c r="F39" s="16">
        <v>45352</v>
      </c>
      <c r="G39" s="14">
        <v>713</v>
      </c>
      <c r="H39" s="14">
        <v>463</v>
      </c>
      <c r="I39" s="14">
        <f t="shared" si="1"/>
        <v>250</v>
      </c>
    </row>
    <row r="40" spans="2:9" ht="15.75" customHeight="1" x14ac:dyDescent="0.2">
      <c r="F40" s="16">
        <v>45383</v>
      </c>
      <c r="G40" s="14">
        <v>780</v>
      </c>
      <c r="H40" s="14">
        <f>G40*0.65</f>
        <v>507</v>
      </c>
      <c r="I40" s="14">
        <f t="shared" si="1"/>
        <v>273</v>
      </c>
    </row>
    <row r="41" spans="2:9" ht="15.75" customHeight="1" x14ac:dyDescent="0.2">
      <c r="F41" s="16">
        <v>45413</v>
      </c>
      <c r="G41" s="14">
        <v>851</v>
      </c>
      <c r="H41" s="14">
        <v>553</v>
      </c>
      <c r="I41" s="14">
        <f t="shared" si="1"/>
        <v>298</v>
      </c>
    </row>
    <row r="42" spans="2:9" ht="15.75" customHeight="1" x14ac:dyDescent="0.2">
      <c r="F42" s="16">
        <v>45444</v>
      </c>
      <c r="G42" s="14">
        <v>780</v>
      </c>
      <c r="H42" s="14">
        <f t="shared" ref="H42:H43" si="2">G42*0.65</f>
        <v>507</v>
      </c>
      <c r="I42" s="14">
        <f t="shared" si="1"/>
        <v>273</v>
      </c>
    </row>
    <row r="43" spans="2:9" ht="15.75" customHeight="1" x14ac:dyDescent="0.2">
      <c r="F43" s="16">
        <v>45474</v>
      </c>
      <c r="G43" s="14">
        <v>900</v>
      </c>
      <c r="H43" s="14">
        <f t="shared" si="2"/>
        <v>585</v>
      </c>
      <c r="I43" s="14">
        <f t="shared" si="1"/>
        <v>315</v>
      </c>
    </row>
    <row r="44" spans="2:9" ht="15.75" customHeight="1" x14ac:dyDescent="0.2">
      <c r="F44" s="16">
        <v>45505</v>
      </c>
      <c r="G44" s="14">
        <v>924</v>
      </c>
      <c r="H44" s="14">
        <v>600</v>
      </c>
      <c r="I44" s="14">
        <f t="shared" si="1"/>
        <v>324</v>
      </c>
    </row>
    <row r="45" spans="2:9" ht="15.75" customHeight="1" x14ac:dyDescent="0.2">
      <c r="F45" s="16">
        <v>45536</v>
      </c>
      <c r="G45" s="14">
        <v>882</v>
      </c>
      <c r="H45" s="14">
        <v>573</v>
      </c>
      <c r="I45" s="14">
        <f t="shared" si="1"/>
        <v>309</v>
      </c>
    </row>
    <row r="46" spans="2:9" ht="15.75" customHeight="1" x14ac:dyDescent="0.2">
      <c r="F46" s="16">
        <v>45566</v>
      </c>
      <c r="G46" s="14">
        <v>767</v>
      </c>
      <c r="H46" s="14">
        <v>983</v>
      </c>
      <c r="I46" s="14">
        <f t="shared" si="1"/>
        <v>-216</v>
      </c>
    </row>
    <row r="47" spans="2:9" ht="15.75" customHeight="1" x14ac:dyDescent="0.2">
      <c r="F47" s="16">
        <v>45597</v>
      </c>
      <c r="G47" s="14">
        <v>708</v>
      </c>
      <c r="H47" s="14">
        <v>437</v>
      </c>
      <c r="I47" s="14">
        <f t="shared" si="1"/>
        <v>271</v>
      </c>
    </row>
    <row r="48" spans="2:9" ht="15.75" customHeight="1" x14ac:dyDescent="0.2">
      <c r="F48" s="16">
        <v>45627</v>
      </c>
      <c r="G48" s="14">
        <v>800</v>
      </c>
      <c r="H48" s="14">
        <v>506</v>
      </c>
      <c r="I48" s="14">
        <f t="shared" si="1"/>
        <v>294</v>
      </c>
    </row>
    <row r="49" spans="6:9" ht="15.75" customHeight="1" x14ac:dyDescent="0.2">
      <c r="F49" s="16">
        <v>45658</v>
      </c>
      <c r="G49" s="14">
        <v>730</v>
      </c>
      <c r="H49" s="14">
        <v>410</v>
      </c>
      <c r="I49" s="14">
        <f t="shared" si="1"/>
        <v>320</v>
      </c>
    </row>
    <row r="50" spans="6:9" ht="15.75" customHeight="1" x14ac:dyDescent="0.2">
      <c r="F50" s="16">
        <v>45689</v>
      </c>
      <c r="G50" s="14">
        <v>910</v>
      </c>
      <c r="H50" s="14">
        <v>477</v>
      </c>
      <c r="I50" s="14">
        <f t="shared" si="1"/>
        <v>433</v>
      </c>
    </row>
    <row r="51" spans="6:9" ht="15.75" customHeight="1" x14ac:dyDescent="0.2">
      <c r="F51" s="16">
        <v>45717</v>
      </c>
      <c r="G51" s="14">
        <v>1060</v>
      </c>
      <c r="H51" s="14">
        <v>579</v>
      </c>
      <c r="I51" s="14">
        <f t="shared" si="1"/>
        <v>481</v>
      </c>
    </row>
    <row r="52" spans="6:9" ht="15.75" customHeight="1" x14ac:dyDescent="0.2">
      <c r="F52" s="16">
        <v>45748</v>
      </c>
      <c r="G52" s="14">
        <v>900</v>
      </c>
      <c r="H52" s="14">
        <v>580</v>
      </c>
      <c r="I52" s="14">
        <f t="shared" si="1"/>
        <v>320</v>
      </c>
    </row>
    <row r="53" spans="6:9" ht="15.75" customHeight="1" x14ac:dyDescent="0.2">
      <c r="F53" s="16">
        <v>45778</v>
      </c>
      <c r="G53" s="14">
        <v>798</v>
      </c>
      <c r="H53" s="14">
        <v>798</v>
      </c>
      <c r="I53" s="14">
        <f t="shared" si="1"/>
        <v>0</v>
      </c>
    </row>
    <row r="54" spans="6:9" ht="15.75" customHeight="1" x14ac:dyDescent="0.2">
      <c r="F54" s="16"/>
    </row>
    <row r="55" spans="6:9" ht="15.75" customHeight="1" x14ac:dyDescent="0.2">
      <c r="F55" s="16"/>
      <c r="I55" s="17">
        <f>SUM(I38:I54)</f>
        <v>4138</v>
      </c>
    </row>
  </sheetData>
  <mergeCells count="2">
    <mergeCell ref="B2:C2"/>
    <mergeCell ref="B24:C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outlinePr summaryBelow="0" summaryRight="0"/>
  </sheetPr>
  <dimension ref="A1:BL1014"/>
  <sheetViews>
    <sheetView workbookViewId="0">
      <pane xSplit="1" topLeftCell="B1" activePane="topRight" state="frozen"/>
      <selection pane="topRight" activeCell="C17" sqref="C17"/>
    </sheetView>
  </sheetViews>
  <sheetFormatPr baseColWidth="10" defaultColWidth="12.796875" defaultRowHeight="15.75" customHeight="1" x14ac:dyDescent="0.2"/>
  <cols>
    <col min="1" max="1" width="25" customWidth="1"/>
    <col min="2" max="5" width="10.3984375" customWidth="1"/>
    <col min="6" max="6" width="5.3984375" customWidth="1"/>
    <col min="7" max="10" width="10.3984375" customWidth="1"/>
    <col min="11" max="11" width="5.3984375" customWidth="1"/>
    <col min="12" max="15" width="10.3984375" customWidth="1"/>
    <col min="16" max="16" width="5.3984375" customWidth="1"/>
    <col min="17" max="20" width="10.3984375" customWidth="1"/>
    <col min="21" max="21" width="5.3984375" customWidth="1"/>
    <col min="22" max="25" width="10.3984375" customWidth="1"/>
    <col min="26" max="26" width="5.3984375" customWidth="1"/>
    <col min="27" max="30" width="10.3984375" customWidth="1"/>
    <col min="31" max="31" width="5.3984375" customWidth="1"/>
    <col min="32" max="35" width="10.3984375" customWidth="1"/>
    <col min="36" max="36" width="5.3984375" customWidth="1"/>
    <col min="37" max="40" width="10.3984375" customWidth="1"/>
    <col min="41" max="41" width="5.3984375" customWidth="1"/>
    <col min="42" max="45" width="10.3984375" customWidth="1"/>
    <col min="46" max="46" width="5.3984375" customWidth="1"/>
    <col min="47" max="50" width="10.3984375" customWidth="1"/>
    <col min="51" max="51" width="5.3984375" customWidth="1"/>
    <col min="52" max="55" width="10.3984375" customWidth="1"/>
    <col min="56" max="56" width="5.3984375" customWidth="1"/>
    <col min="57" max="60" width="10.3984375" customWidth="1"/>
  </cols>
  <sheetData>
    <row r="1" spans="1:64" ht="15.75" customHeight="1" x14ac:dyDescent="0.2">
      <c r="B1" s="1"/>
      <c r="C1" s="1"/>
      <c r="D1" s="1"/>
      <c r="E1" s="1"/>
      <c r="H1" s="18"/>
      <c r="I1" s="18"/>
      <c r="J1" s="18"/>
      <c r="AF1" s="19"/>
      <c r="AG1" s="19"/>
      <c r="AH1" s="20"/>
      <c r="AI1" s="19"/>
      <c r="AK1" s="19"/>
      <c r="AL1" s="19"/>
      <c r="AM1" s="19"/>
      <c r="AN1" s="19"/>
      <c r="AO1" s="19"/>
      <c r="AZ1" s="19"/>
      <c r="BA1" s="19"/>
      <c r="BB1" s="20"/>
      <c r="BC1" s="19"/>
      <c r="BE1" s="19"/>
      <c r="BF1" s="19"/>
      <c r="BG1" s="19"/>
      <c r="BH1" s="19"/>
      <c r="BI1" s="19"/>
      <c r="BJ1" s="19"/>
      <c r="BK1" s="19"/>
      <c r="BL1" s="19"/>
    </row>
    <row r="2" spans="1:64" ht="15.75" customHeight="1" x14ac:dyDescent="0.2">
      <c r="B2" s="100" t="s">
        <v>1</v>
      </c>
      <c r="C2" s="99"/>
      <c r="D2" s="99"/>
      <c r="E2" s="96"/>
      <c r="G2" s="100" t="s">
        <v>25</v>
      </c>
      <c r="H2" s="99"/>
      <c r="I2" s="99"/>
      <c r="J2" s="96"/>
      <c r="L2" s="98" t="s">
        <v>3</v>
      </c>
      <c r="M2" s="99"/>
      <c r="N2" s="99"/>
      <c r="O2" s="96"/>
      <c r="Q2" s="98" t="s">
        <v>4</v>
      </c>
      <c r="R2" s="99"/>
      <c r="S2" s="99"/>
      <c r="T2" s="96"/>
      <c r="V2" s="98" t="s">
        <v>5</v>
      </c>
      <c r="W2" s="99"/>
      <c r="X2" s="99"/>
      <c r="Y2" s="96"/>
      <c r="AA2" s="98" t="s">
        <v>6</v>
      </c>
      <c r="AB2" s="99"/>
      <c r="AC2" s="99"/>
      <c r="AD2" s="96"/>
      <c r="AF2" s="98" t="s">
        <v>7</v>
      </c>
      <c r="AG2" s="99"/>
      <c r="AH2" s="99"/>
      <c r="AI2" s="96"/>
      <c r="AK2" s="98" t="s">
        <v>331</v>
      </c>
      <c r="AL2" s="99"/>
      <c r="AM2" s="99"/>
      <c r="AN2" s="96"/>
      <c r="AO2" s="21"/>
      <c r="AP2" s="98" t="s">
        <v>9</v>
      </c>
      <c r="AQ2" s="99"/>
      <c r="AR2" s="99"/>
      <c r="AS2" s="96"/>
      <c r="AU2" s="98" t="s">
        <v>10</v>
      </c>
      <c r="AV2" s="99"/>
      <c r="AW2" s="99"/>
      <c r="AX2" s="96"/>
      <c r="AZ2" s="98" t="s">
        <v>11</v>
      </c>
      <c r="BA2" s="99"/>
      <c r="BB2" s="99"/>
      <c r="BC2" s="96"/>
      <c r="BE2" s="98" t="s">
        <v>12</v>
      </c>
      <c r="BF2" s="99"/>
      <c r="BG2" s="99"/>
      <c r="BH2" s="96"/>
      <c r="BI2" s="21"/>
      <c r="BJ2" s="21"/>
      <c r="BK2" s="21"/>
      <c r="BL2" s="21"/>
    </row>
    <row r="3" spans="1:64" ht="15.75" customHeight="1" x14ac:dyDescent="0.2">
      <c r="A3" s="8" t="s">
        <v>56</v>
      </c>
      <c r="B3" s="22" t="s">
        <v>57</v>
      </c>
      <c r="C3" s="22" t="s">
        <v>58</v>
      </c>
      <c r="D3" s="22" t="s">
        <v>59</v>
      </c>
      <c r="E3" s="22" t="s">
        <v>60</v>
      </c>
      <c r="G3" s="22" t="s">
        <v>57</v>
      </c>
      <c r="H3" s="23" t="s">
        <v>58</v>
      </c>
      <c r="I3" s="23" t="s">
        <v>59</v>
      </c>
      <c r="J3" s="22" t="s">
        <v>60</v>
      </c>
      <c r="L3" s="24" t="s">
        <v>57</v>
      </c>
      <c r="M3" s="25" t="s">
        <v>58</v>
      </c>
      <c r="N3" s="26" t="s">
        <v>59</v>
      </c>
      <c r="O3" s="25" t="s">
        <v>60</v>
      </c>
      <c r="Q3" s="24" t="s">
        <v>57</v>
      </c>
      <c r="R3" s="25" t="s">
        <v>58</v>
      </c>
      <c r="S3" s="26" t="s">
        <v>59</v>
      </c>
      <c r="T3" s="25" t="s">
        <v>60</v>
      </c>
      <c r="V3" s="24" t="s">
        <v>57</v>
      </c>
      <c r="W3" s="25" t="s">
        <v>58</v>
      </c>
      <c r="X3" s="26" t="s">
        <v>59</v>
      </c>
      <c r="Y3" s="25" t="s">
        <v>60</v>
      </c>
      <c r="AA3" s="24" t="s">
        <v>57</v>
      </c>
      <c r="AB3" s="25" t="s">
        <v>58</v>
      </c>
      <c r="AC3" s="26" t="s">
        <v>59</v>
      </c>
      <c r="AD3" s="25" t="s">
        <v>60</v>
      </c>
      <c r="AF3" s="24" t="s">
        <v>57</v>
      </c>
      <c r="AG3" s="25" t="s">
        <v>58</v>
      </c>
      <c r="AH3" s="26" t="s">
        <v>59</v>
      </c>
      <c r="AI3" s="25" t="s">
        <v>60</v>
      </c>
      <c r="AK3" s="24" t="s">
        <v>57</v>
      </c>
      <c r="AL3" s="25" t="s">
        <v>58</v>
      </c>
      <c r="AM3" s="26" t="s">
        <v>59</v>
      </c>
      <c r="AN3" s="25" t="s">
        <v>60</v>
      </c>
      <c r="AO3" s="21"/>
      <c r="AP3" s="24" t="s">
        <v>57</v>
      </c>
      <c r="AQ3" s="25" t="s">
        <v>58</v>
      </c>
      <c r="AR3" s="26" t="s">
        <v>59</v>
      </c>
      <c r="AS3" s="25" t="s">
        <v>60</v>
      </c>
      <c r="AU3" s="24" t="s">
        <v>57</v>
      </c>
      <c r="AV3" s="25" t="s">
        <v>58</v>
      </c>
      <c r="AW3" s="26" t="s">
        <v>59</v>
      </c>
      <c r="AX3" s="25" t="s">
        <v>60</v>
      </c>
      <c r="AZ3" s="24" t="s">
        <v>57</v>
      </c>
      <c r="BA3" s="25" t="s">
        <v>58</v>
      </c>
      <c r="BB3" s="26" t="s">
        <v>59</v>
      </c>
      <c r="BC3" s="25" t="s">
        <v>60</v>
      </c>
      <c r="BE3" s="24" t="s">
        <v>57</v>
      </c>
      <c r="BF3" s="25" t="s">
        <v>58</v>
      </c>
      <c r="BG3" s="26" t="s">
        <v>59</v>
      </c>
      <c r="BH3" s="25" t="s">
        <v>60</v>
      </c>
      <c r="BI3" s="21"/>
      <c r="BJ3" s="21"/>
      <c r="BK3" s="21"/>
      <c r="BL3" s="21"/>
    </row>
    <row r="4" spans="1:64" ht="15.75" customHeight="1" x14ac:dyDescent="0.2">
      <c r="A4" s="10" t="s">
        <v>61</v>
      </c>
      <c r="B4" s="27"/>
      <c r="C4" s="27"/>
      <c r="D4" s="28"/>
      <c r="E4" s="28"/>
      <c r="G4" s="27"/>
      <c r="H4" s="27"/>
      <c r="I4" s="28"/>
      <c r="J4" s="28"/>
      <c r="L4" s="29"/>
      <c r="M4" s="29"/>
      <c r="N4" s="30"/>
      <c r="O4" s="30"/>
      <c r="Q4" s="29"/>
      <c r="R4" s="29"/>
      <c r="S4" s="30"/>
      <c r="T4" s="30"/>
      <c r="V4" s="27"/>
      <c r="W4" s="27"/>
      <c r="X4" s="28"/>
      <c r="Y4" s="28"/>
      <c r="AA4" s="27"/>
      <c r="AB4" s="27"/>
      <c r="AC4" s="28"/>
      <c r="AD4" s="28"/>
      <c r="AF4" s="29"/>
      <c r="AG4" s="29"/>
      <c r="AH4" s="30"/>
      <c r="AI4" s="30"/>
      <c r="AK4" s="29"/>
      <c r="AL4" s="29"/>
      <c r="AM4" s="30"/>
      <c r="AN4" s="30"/>
      <c r="AO4" s="21"/>
      <c r="AP4" s="29"/>
      <c r="AQ4" s="29"/>
      <c r="AR4" s="30"/>
      <c r="AS4" s="30"/>
      <c r="AU4" s="29"/>
      <c r="AV4" s="29"/>
      <c r="AW4" s="30"/>
      <c r="AX4" s="30"/>
      <c r="AZ4" s="29"/>
      <c r="BA4" s="29"/>
      <c r="BB4" s="30"/>
      <c r="BC4" s="30"/>
      <c r="BE4" s="29"/>
      <c r="BF4" s="29"/>
      <c r="BG4" s="30"/>
      <c r="BH4" s="30"/>
      <c r="BI4" s="21"/>
      <c r="BJ4" s="21"/>
      <c r="BK4" s="21"/>
      <c r="BL4" s="21"/>
    </row>
    <row r="5" spans="1:64" ht="15.75" customHeight="1" x14ac:dyDescent="0.2">
      <c r="A5" s="4" t="s">
        <v>62</v>
      </c>
      <c r="B5" s="31">
        <v>8</v>
      </c>
      <c r="C5" s="31">
        <v>288</v>
      </c>
      <c r="D5" s="32">
        <f t="shared" ref="D5:D24" si="0">IFERROR(C5/B5,0)</f>
        <v>36</v>
      </c>
      <c r="E5" s="31">
        <v>1</v>
      </c>
      <c r="G5" s="31">
        <v>10</v>
      </c>
      <c r="H5" s="31">
        <v>360</v>
      </c>
      <c r="I5" s="32">
        <f t="shared" ref="I5:I24" si="1">IFERROR(H5/G5,0)</f>
        <v>36</v>
      </c>
      <c r="J5" s="31">
        <v>3</v>
      </c>
      <c r="L5" s="31">
        <v>8</v>
      </c>
      <c r="M5" s="31">
        <v>288</v>
      </c>
      <c r="N5" s="32">
        <f t="shared" ref="N5:N24" si="2">IFERROR(M5/L5,0)</f>
        <v>36</v>
      </c>
      <c r="O5" s="31">
        <v>0</v>
      </c>
      <c r="Q5" s="31">
        <v>10</v>
      </c>
      <c r="R5" s="31">
        <v>360</v>
      </c>
      <c r="S5" s="32">
        <f t="shared" ref="S5:S24" si="3">IFERROR(R5/Q5,0)</f>
        <v>36</v>
      </c>
      <c r="T5" s="31">
        <v>0</v>
      </c>
      <c r="V5" s="31">
        <v>13</v>
      </c>
      <c r="W5" s="31">
        <v>468</v>
      </c>
      <c r="X5" s="32">
        <f t="shared" ref="X5:X24" si="4">IFERROR(W5/V5,0)</f>
        <v>36</v>
      </c>
      <c r="Y5" s="31">
        <v>1</v>
      </c>
      <c r="AA5" s="31">
        <v>12</v>
      </c>
      <c r="AB5" s="31">
        <v>432</v>
      </c>
      <c r="AC5" s="32">
        <f t="shared" ref="AC5:AC24" si="5">IFERROR(AB5/AA5,0)</f>
        <v>36</v>
      </c>
      <c r="AD5" s="31">
        <v>2</v>
      </c>
      <c r="AF5" s="31">
        <v>10</v>
      </c>
      <c r="AG5" s="31">
        <v>370</v>
      </c>
      <c r="AH5" s="32">
        <f t="shared" ref="AH5:AH24" si="6">IFERROR(AG5/AF5,0)</f>
        <v>37</v>
      </c>
      <c r="AI5" s="31">
        <v>2</v>
      </c>
      <c r="AK5" s="31">
        <v>12</v>
      </c>
      <c r="AL5" s="31">
        <v>444</v>
      </c>
      <c r="AM5" s="32">
        <f t="shared" ref="AM5:AM24" si="7">IFERROR(AL5/AK5,0)</f>
        <v>37</v>
      </c>
      <c r="AN5" s="31">
        <v>1</v>
      </c>
      <c r="AO5" s="21"/>
      <c r="AP5" s="31">
        <v>12</v>
      </c>
      <c r="AQ5" s="31">
        <v>444</v>
      </c>
      <c r="AR5" s="32">
        <f t="shared" ref="AR5:AR24" si="8">IFERROR(AQ5/AP5,0)</f>
        <v>37</v>
      </c>
      <c r="AS5" s="31">
        <v>4</v>
      </c>
      <c r="AU5" s="31">
        <v>8</v>
      </c>
      <c r="AV5" s="31">
        <v>296</v>
      </c>
      <c r="AW5" s="32">
        <f t="shared" ref="AW5:AW24" si="9">IFERROR(AV5/AU5,0)</f>
        <v>37</v>
      </c>
      <c r="AX5" s="31">
        <v>1</v>
      </c>
      <c r="AZ5" s="31">
        <v>12</v>
      </c>
      <c r="BA5" s="31">
        <v>444</v>
      </c>
      <c r="BB5" s="32">
        <f t="shared" ref="BB5:BB24" si="10">IFERROR(BA5/AZ5,0)</f>
        <v>37</v>
      </c>
      <c r="BC5" s="31">
        <v>1</v>
      </c>
      <c r="BE5" s="31">
        <v>11</v>
      </c>
      <c r="BF5" s="31">
        <v>407</v>
      </c>
      <c r="BG5" s="32">
        <f t="shared" ref="BG5:BG24" si="11">IFERROR(BF5/BE5,0)</f>
        <v>37</v>
      </c>
      <c r="BH5" s="31">
        <v>1</v>
      </c>
      <c r="BI5" s="21"/>
      <c r="BJ5" s="21"/>
      <c r="BK5" s="21"/>
      <c r="BL5" s="21"/>
    </row>
    <row r="6" spans="1:64" ht="15.75" customHeight="1" x14ac:dyDescent="0.2">
      <c r="A6" s="4" t="s">
        <v>63</v>
      </c>
      <c r="B6" s="31">
        <v>5</v>
      </c>
      <c r="C6" s="31">
        <v>200</v>
      </c>
      <c r="D6" s="32">
        <f t="shared" si="0"/>
        <v>40</v>
      </c>
      <c r="E6" s="31">
        <v>1</v>
      </c>
      <c r="G6" s="31">
        <v>12</v>
      </c>
      <c r="H6" s="31">
        <v>480</v>
      </c>
      <c r="I6" s="32">
        <f t="shared" si="1"/>
        <v>40</v>
      </c>
      <c r="J6" s="31">
        <v>5</v>
      </c>
      <c r="L6" s="31">
        <v>5</v>
      </c>
      <c r="M6" s="31">
        <v>200</v>
      </c>
      <c r="N6" s="32">
        <f t="shared" si="2"/>
        <v>40</v>
      </c>
      <c r="O6" s="31">
        <v>0</v>
      </c>
      <c r="Q6" s="31">
        <v>7</v>
      </c>
      <c r="R6" s="31">
        <v>280</v>
      </c>
      <c r="S6" s="32">
        <f t="shared" si="3"/>
        <v>40</v>
      </c>
      <c r="T6" s="31">
        <v>1</v>
      </c>
      <c r="V6" s="31">
        <v>10</v>
      </c>
      <c r="W6" s="31">
        <v>400</v>
      </c>
      <c r="X6" s="32">
        <f t="shared" si="4"/>
        <v>40</v>
      </c>
      <c r="Y6" s="31">
        <v>1</v>
      </c>
      <c r="AA6" s="31">
        <v>10</v>
      </c>
      <c r="AB6" s="31">
        <v>400</v>
      </c>
      <c r="AC6" s="32">
        <f t="shared" si="5"/>
        <v>40</v>
      </c>
      <c r="AD6" s="31">
        <v>5</v>
      </c>
      <c r="AF6" s="31">
        <v>6</v>
      </c>
      <c r="AG6" s="31">
        <v>240</v>
      </c>
      <c r="AH6" s="32">
        <f t="shared" si="6"/>
        <v>40</v>
      </c>
      <c r="AI6" s="31">
        <v>3</v>
      </c>
      <c r="AK6" s="31">
        <v>8</v>
      </c>
      <c r="AL6" s="31">
        <v>320</v>
      </c>
      <c r="AM6" s="32">
        <f t="shared" si="7"/>
        <v>40</v>
      </c>
      <c r="AN6" s="31">
        <v>3</v>
      </c>
      <c r="AO6" s="21"/>
      <c r="AP6" s="31">
        <v>8</v>
      </c>
      <c r="AQ6" s="31">
        <v>320</v>
      </c>
      <c r="AR6" s="32">
        <f t="shared" si="8"/>
        <v>40</v>
      </c>
      <c r="AS6" s="31">
        <v>6</v>
      </c>
      <c r="AU6" s="31">
        <v>6</v>
      </c>
      <c r="AV6" s="31">
        <v>240</v>
      </c>
      <c r="AW6" s="32">
        <f t="shared" si="9"/>
        <v>40</v>
      </c>
      <c r="AX6" s="31">
        <v>6</v>
      </c>
      <c r="AZ6" s="31">
        <v>6</v>
      </c>
      <c r="BA6" s="31">
        <v>240</v>
      </c>
      <c r="BB6" s="32">
        <f t="shared" si="10"/>
        <v>40</v>
      </c>
      <c r="BC6" s="31">
        <v>10</v>
      </c>
      <c r="BE6" s="31">
        <v>2</v>
      </c>
      <c r="BF6" s="31">
        <v>80</v>
      </c>
      <c r="BG6" s="32">
        <f t="shared" si="11"/>
        <v>40</v>
      </c>
      <c r="BH6" s="31">
        <v>12</v>
      </c>
      <c r="BI6" s="21"/>
      <c r="BJ6" s="21"/>
      <c r="BK6" s="21"/>
      <c r="BL6" s="21"/>
    </row>
    <row r="7" spans="1:64" ht="15.75" customHeight="1" x14ac:dyDescent="0.2">
      <c r="A7" s="4" t="s">
        <v>64</v>
      </c>
      <c r="B7" s="31">
        <v>0</v>
      </c>
      <c r="C7" s="31">
        <v>0</v>
      </c>
      <c r="D7" s="32">
        <f t="shared" si="0"/>
        <v>0</v>
      </c>
      <c r="E7" s="31">
        <v>2</v>
      </c>
      <c r="G7" s="31">
        <v>8</v>
      </c>
      <c r="H7" s="31">
        <v>320</v>
      </c>
      <c r="I7" s="32">
        <f t="shared" si="1"/>
        <v>40</v>
      </c>
      <c r="J7" s="31">
        <v>4</v>
      </c>
      <c r="L7" s="31">
        <v>4</v>
      </c>
      <c r="M7" s="31">
        <v>160</v>
      </c>
      <c r="N7" s="32">
        <f t="shared" si="2"/>
        <v>40</v>
      </c>
      <c r="O7" s="31">
        <v>0</v>
      </c>
      <c r="Q7" s="31">
        <v>8</v>
      </c>
      <c r="R7" s="31">
        <v>320</v>
      </c>
      <c r="S7" s="32">
        <f t="shared" si="3"/>
        <v>40</v>
      </c>
      <c r="T7" s="31">
        <v>2</v>
      </c>
      <c r="V7" s="31">
        <v>10</v>
      </c>
      <c r="W7" s="31">
        <v>400</v>
      </c>
      <c r="X7" s="32">
        <f t="shared" si="4"/>
        <v>40</v>
      </c>
      <c r="Y7" s="31">
        <v>6</v>
      </c>
      <c r="AA7" s="31">
        <v>6</v>
      </c>
      <c r="AB7" s="31">
        <v>240</v>
      </c>
      <c r="AC7" s="32">
        <f t="shared" si="5"/>
        <v>40</v>
      </c>
      <c r="AD7" s="31">
        <v>6</v>
      </c>
      <c r="AF7" s="31">
        <v>6</v>
      </c>
      <c r="AG7" s="31">
        <f t="shared" ref="AG7:AG9" si="12">AC7*AF7</f>
        <v>240</v>
      </c>
      <c r="AH7" s="32">
        <f t="shared" si="6"/>
        <v>40</v>
      </c>
      <c r="AI7" s="31">
        <v>6</v>
      </c>
      <c r="AK7" s="31">
        <v>6</v>
      </c>
      <c r="AL7" s="31">
        <v>240</v>
      </c>
      <c r="AM7" s="32">
        <f t="shared" si="7"/>
        <v>40</v>
      </c>
      <c r="AN7" s="31">
        <v>6</v>
      </c>
      <c r="AO7" s="21"/>
      <c r="AP7" s="31">
        <v>6</v>
      </c>
      <c r="AQ7" s="31">
        <v>240</v>
      </c>
      <c r="AR7" s="32">
        <f t="shared" si="8"/>
        <v>40</v>
      </c>
      <c r="AS7" s="31">
        <v>5</v>
      </c>
      <c r="AU7" s="31">
        <v>7</v>
      </c>
      <c r="AV7" s="31">
        <v>280</v>
      </c>
      <c r="AW7" s="32">
        <f t="shared" si="9"/>
        <v>40</v>
      </c>
      <c r="AX7" s="31">
        <v>10</v>
      </c>
      <c r="AZ7" s="31">
        <v>0</v>
      </c>
      <c r="BA7" s="31">
        <v>0</v>
      </c>
      <c r="BB7" s="32">
        <f t="shared" si="10"/>
        <v>0</v>
      </c>
      <c r="BC7" s="31">
        <v>6</v>
      </c>
      <c r="BE7" s="31">
        <v>4</v>
      </c>
      <c r="BF7" s="31">
        <v>160</v>
      </c>
      <c r="BG7" s="32">
        <f t="shared" si="11"/>
        <v>40</v>
      </c>
      <c r="BH7" s="31">
        <v>4</v>
      </c>
      <c r="BI7" s="21"/>
      <c r="BJ7" s="21"/>
      <c r="BK7" s="21"/>
      <c r="BL7" s="21"/>
    </row>
    <row r="8" spans="1:64" ht="15.75" customHeight="1" x14ac:dyDescent="0.2">
      <c r="A8" s="4" t="s">
        <v>65</v>
      </c>
      <c r="B8" s="31">
        <v>6</v>
      </c>
      <c r="C8" s="31">
        <v>480</v>
      </c>
      <c r="D8" s="32">
        <f t="shared" si="0"/>
        <v>80</v>
      </c>
      <c r="E8" s="31">
        <v>1</v>
      </c>
      <c r="G8" s="31">
        <v>12</v>
      </c>
      <c r="H8" s="31">
        <v>900</v>
      </c>
      <c r="I8" s="32">
        <f t="shared" si="1"/>
        <v>75</v>
      </c>
      <c r="J8" s="31">
        <v>8</v>
      </c>
      <c r="L8" s="31">
        <v>0</v>
      </c>
      <c r="M8" s="31">
        <v>0</v>
      </c>
      <c r="N8" s="32">
        <f t="shared" si="2"/>
        <v>0</v>
      </c>
      <c r="O8" s="31">
        <v>0</v>
      </c>
      <c r="Q8" s="31">
        <v>10</v>
      </c>
      <c r="R8" s="31">
        <v>800</v>
      </c>
      <c r="S8" s="32">
        <f t="shared" si="3"/>
        <v>80</v>
      </c>
      <c r="T8" s="31">
        <v>1</v>
      </c>
      <c r="V8" s="31">
        <v>12</v>
      </c>
      <c r="W8" s="31">
        <v>960</v>
      </c>
      <c r="X8" s="32">
        <f t="shared" si="4"/>
        <v>80</v>
      </c>
      <c r="Y8" s="31">
        <v>2</v>
      </c>
      <c r="AA8" s="31">
        <v>9</v>
      </c>
      <c r="AB8" s="31">
        <v>720</v>
      </c>
      <c r="AC8" s="32">
        <f t="shared" si="5"/>
        <v>80</v>
      </c>
      <c r="AD8" s="31">
        <v>3</v>
      </c>
      <c r="AF8" s="31">
        <v>8</v>
      </c>
      <c r="AG8" s="31">
        <f t="shared" si="12"/>
        <v>640</v>
      </c>
      <c r="AH8" s="32">
        <f t="shared" si="6"/>
        <v>80</v>
      </c>
      <c r="AI8" s="31">
        <v>2</v>
      </c>
      <c r="AK8" s="31">
        <v>9</v>
      </c>
      <c r="AL8" s="31">
        <v>720</v>
      </c>
      <c r="AM8" s="32">
        <f t="shared" si="7"/>
        <v>80</v>
      </c>
      <c r="AN8" s="31">
        <v>2</v>
      </c>
      <c r="AO8" s="21"/>
      <c r="AP8" s="31">
        <v>9</v>
      </c>
      <c r="AQ8" s="31">
        <v>810</v>
      </c>
      <c r="AR8" s="32">
        <f t="shared" si="8"/>
        <v>90</v>
      </c>
      <c r="AS8" s="31">
        <v>6</v>
      </c>
      <c r="AU8" s="31">
        <v>6</v>
      </c>
      <c r="AV8" s="31">
        <v>480</v>
      </c>
      <c r="AW8" s="32">
        <f t="shared" si="9"/>
        <v>80</v>
      </c>
      <c r="AX8" s="31">
        <v>1</v>
      </c>
      <c r="AZ8" s="31">
        <v>12</v>
      </c>
      <c r="BA8" s="31">
        <v>900</v>
      </c>
      <c r="BB8" s="32">
        <f t="shared" si="10"/>
        <v>75</v>
      </c>
      <c r="BC8" s="31">
        <v>5</v>
      </c>
      <c r="BE8" s="31">
        <v>8</v>
      </c>
      <c r="BF8" s="31">
        <v>640</v>
      </c>
      <c r="BG8" s="32">
        <f t="shared" si="11"/>
        <v>80</v>
      </c>
      <c r="BH8" s="31">
        <v>4</v>
      </c>
      <c r="BI8" s="21"/>
      <c r="BJ8" s="21"/>
      <c r="BK8" s="21"/>
      <c r="BL8" s="21"/>
    </row>
    <row r="9" spans="1:64" ht="15.75" customHeight="1" x14ac:dyDescent="0.2">
      <c r="A9" s="4" t="s">
        <v>66</v>
      </c>
      <c r="B9" s="31">
        <v>2</v>
      </c>
      <c r="C9" s="31">
        <v>110</v>
      </c>
      <c r="D9" s="32">
        <f t="shared" si="0"/>
        <v>55</v>
      </c>
      <c r="E9" s="31">
        <v>1</v>
      </c>
      <c r="G9" s="31">
        <v>5</v>
      </c>
      <c r="H9" s="31">
        <v>275</v>
      </c>
      <c r="I9" s="32">
        <f t="shared" si="1"/>
        <v>55</v>
      </c>
      <c r="J9" s="31">
        <v>2</v>
      </c>
      <c r="L9" s="31">
        <v>3</v>
      </c>
      <c r="M9" s="31">
        <v>165</v>
      </c>
      <c r="N9" s="32">
        <f t="shared" si="2"/>
        <v>55</v>
      </c>
      <c r="O9" s="31">
        <v>0</v>
      </c>
      <c r="Q9" s="31">
        <v>4</v>
      </c>
      <c r="R9" s="31">
        <v>220</v>
      </c>
      <c r="S9" s="32">
        <f t="shared" si="3"/>
        <v>55</v>
      </c>
      <c r="T9" s="31">
        <v>0</v>
      </c>
      <c r="V9" s="31">
        <v>5</v>
      </c>
      <c r="W9" s="31">
        <v>275</v>
      </c>
      <c r="X9" s="32">
        <f t="shared" si="4"/>
        <v>55</v>
      </c>
      <c r="Y9" s="31">
        <v>1</v>
      </c>
      <c r="AA9" s="31">
        <v>4</v>
      </c>
      <c r="AB9" s="31">
        <v>220</v>
      </c>
      <c r="AC9" s="32">
        <f t="shared" si="5"/>
        <v>55</v>
      </c>
      <c r="AD9" s="31">
        <v>2</v>
      </c>
      <c r="AF9" s="31">
        <v>3</v>
      </c>
      <c r="AG9" s="31">
        <f t="shared" si="12"/>
        <v>165</v>
      </c>
      <c r="AH9" s="32">
        <f t="shared" si="6"/>
        <v>55</v>
      </c>
      <c r="AI9" s="31">
        <v>3</v>
      </c>
      <c r="AK9" s="31">
        <v>2</v>
      </c>
      <c r="AL9" s="31">
        <v>110</v>
      </c>
      <c r="AM9" s="32">
        <f t="shared" si="7"/>
        <v>55</v>
      </c>
      <c r="AN9" s="31">
        <v>4</v>
      </c>
      <c r="AO9" s="21"/>
      <c r="AP9" s="31">
        <v>1</v>
      </c>
      <c r="AQ9" s="31">
        <v>55</v>
      </c>
      <c r="AR9" s="32">
        <f t="shared" si="8"/>
        <v>55</v>
      </c>
      <c r="AS9" s="31">
        <v>2</v>
      </c>
      <c r="AU9" s="31">
        <v>3</v>
      </c>
      <c r="AV9" s="31">
        <v>165</v>
      </c>
      <c r="AW9" s="32">
        <f t="shared" si="9"/>
        <v>55</v>
      </c>
      <c r="AX9" s="31">
        <v>0</v>
      </c>
      <c r="AZ9" s="31">
        <v>5</v>
      </c>
      <c r="BA9" s="31">
        <v>275</v>
      </c>
      <c r="BB9" s="32">
        <f t="shared" si="10"/>
        <v>55</v>
      </c>
      <c r="BC9" s="31">
        <v>3</v>
      </c>
      <c r="BE9" s="31">
        <v>2</v>
      </c>
      <c r="BF9" s="31">
        <v>110</v>
      </c>
      <c r="BG9" s="32">
        <f t="shared" si="11"/>
        <v>55</v>
      </c>
      <c r="BH9" s="31">
        <v>2</v>
      </c>
      <c r="BI9" s="21"/>
      <c r="BJ9" s="21"/>
      <c r="BK9" s="21"/>
      <c r="BL9" s="21"/>
    </row>
    <row r="10" spans="1:64" ht="15.75" customHeight="1" x14ac:dyDescent="0.2">
      <c r="A10" s="4" t="s">
        <v>67</v>
      </c>
      <c r="B10" s="31">
        <v>0</v>
      </c>
      <c r="C10" s="31">
        <v>0</v>
      </c>
      <c r="D10" s="32">
        <f t="shared" si="0"/>
        <v>0</v>
      </c>
      <c r="E10" s="31">
        <v>6</v>
      </c>
      <c r="G10" s="31">
        <v>0</v>
      </c>
      <c r="H10" s="31">
        <v>0</v>
      </c>
      <c r="I10" s="32">
        <f t="shared" si="1"/>
        <v>0</v>
      </c>
      <c r="J10" s="31">
        <v>4</v>
      </c>
      <c r="L10" s="31">
        <v>0</v>
      </c>
      <c r="M10" s="31">
        <v>0</v>
      </c>
      <c r="N10" s="32">
        <f t="shared" si="2"/>
        <v>0</v>
      </c>
      <c r="O10" s="31">
        <v>0</v>
      </c>
      <c r="Q10" s="31">
        <v>3</v>
      </c>
      <c r="R10" s="31">
        <v>114</v>
      </c>
      <c r="S10" s="32">
        <f t="shared" si="3"/>
        <v>38</v>
      </c>
      <c r="T10" s="31">
        <v>1</v>
      </c>
      <c r="V10" s="31">
        <v>4</v>
      </c>
      <c r="W10" s="31">
        <v>152</v>
      </c>
      <c r="X10" s="32">
        <f t="shared" si="4"/>
        <v>38</v>
      </c>
      <c r="Y10" s="31">
        <v>2</v>
      </c>
      <c r="AA10" s="31">
        <v>3</v>
      </c>
      <c r="AB10" s="31">
        <v>120</v>
      </c>
      <c r="AC10" s="32">
        <f t="shared" si="5"/>
        <v>40</v>
      </c>
      <c r="AD10" s="31">
        <v>4</v>
      </c>
      <c r="AF10" s="31">
        <v>1</v>
      </c>
      <c r="AG10" s="31">
        <v>38</v>
      </c>
      <c r="AH10" s="32">
        <f t="shared" si="6"/>
        <v>38</v>
      </c>
      <c r="AI10" s="31">
        <v>3</v>
      </c>
      <c r="AK10" s="31">
        <v>2</v>
      </c>
      <c r="AL10" s="31">
        <v>76</v>
      </c>
      <c r="AM10" s="32">
        <f t="shared" si="7"/>
        <v>38</v>
      </c>
      <c r="AN10" s="31">
        <v>3</v>
      </c>
      <c r="AO10" s="21"/>
      <c r="AP10" s="31">
        <v>2</v>
      </c>
      <c r="AQ10" s="31">
        <v>76</v>
      </c>
      <c r="AR10" s="32">
        <f t="shared" si="8"/>
        <v>38</v>
      </c>
      <c r="AS10" s="31">
        <v>4</v>
      </c>
      <c r="AU10" s="31">
        <v>2</v>
      </c>
      <c r="AV10" s="31">
        <v>76</v>
      </c>
      <c r="AW10" s="32">
        <f t="shared" si="9"/>
        <v>38</v>
      </c>
      <c r="AX10" s="31">
        <v>5</v>
      </c>
      <c r="AZ10" s="31">
        <v>0</v>
      </c>
      <c r="BA10" s="31">
        <v>0</v>
      </c>
      <c r="BB10" s="32">
        <f t="shared" si="10"/>
        <v>0</v>
      </c>
      <c r="BC10" s="31">
        <v>3</v>
      </c>
      <c r="BE10" s="31">
        <v>2</v>
      </c>
      <c r="BF10" s="31">
        <v>76</v>
      </c>
      <c r="BG10" s="32">
        <f t="shared" si="11"/>
        <v>38</v>
      </c>
      <c r="BH10" s="31">
        <v>4</v>
      </c>
      <c r="BI10" s="21"/>
      <c r="BJ10" s="21"/>
      <c r="BK10" s="21"/>
      <c r="BL10" s="21"/>
    </row>
    <row r="11" spans="1:64" ht="15.75" customHeight="1" x14ac:dyDescent="0.2">
      <c r="A11" s="4" t="s">
        <v>68</v>
      </c>
      <c r="B11" s="31">
        <v>0</v>
      </c>
      <c r="C11" s="31">
        <v>0</v>
      </c>
      <c r="D11" s="32">
        <f t="shared" si="0"/>
        <v>0</v>
      </c>
      <c r="E11" s="31">
        <v>3</v>
      </c>
      <c r="G11" s="31">
        <v>3</v>
      </c>
      <c r="H11" s="31">
        <v>75</v>
      </c>
      <c r="I11" s="32">
        <f t="shared" si="1"/>
        <v>25</v>
      </c>
      <c r="J11" s="31">
        <v>2</v>
      </c>
      <c r="L11" s="31">
        <v>3</v>
      </c>
      <c r="M11" s="31">
        <v>75</v>
      </c>
      <c r="N11" s="32">
        <f t="shared" si="2"/>
        <v>25</v>
      </c>
      <c r="O11" s="31">
        <v>0</v>
      </c>
      <c r="Q11" s="31">
        <v>3</v>
      </c>
      <c r="R11" s="31">
        <v>75</v>
      </c>
      <c r="S11" s="32">
        <f t="shared" si="3"/>
        <v>25</v>
      </c>
      <c r="T11" s="31">
        <v>2</v>
      </c>
      <c r="V11" s="31">
        <v>6</v>
      </c>
      <c r="W11" s="31">
        <v>150</v>
      </c>
      <c r="X11" s="32">
        <f t="shared" si="4"/>
        <v>25</v>
      </c>
      <c r="Y11" s="31">
        <v>2</v>
      </c>
      <c r="AA11" s="31">
        <v>6</v>
      </c>
      <c r="AB11" s="31">
        <v>90</v>
      </c>
      <c r="AC11" s="32">
        <f t="shared" si="5"/>
        <v>15</v>
      </c>
      <c r="AD11" s="31">
        <v>6</v>
      </c>
      <c r="AF11" s="31">
        <v>2</v>
      </c>
      <c r="AG11" s="31">
        <v>50</v>
      </c>
      <c r="AH11" s="32">
        <f t="shared" si="6"/>
        <v>25</v>
      </c>
      <c r="AI11" s="31">
        <v>8</v>
      </c>
      <c r="AK11" s="31">
        <v>0</v>
      </c>
      <c r="AL11" s="31">
        <v>0</v>
      </c>
      <c r="AM11" s="32">
        <f t="shared" si="7"/>
        <v>0</v>
      </c>
      <c r="AN11" s="31">
        <v>6</v>
      </c>
      <c r="AO11" s="21"/>
      <c r="AP11" s="31">
        <v>0</v>
      </c>
      <c r="AQ11" s="31">
        <v>0</v>
      </c>
      <c r="AR11" s="32">
        <f t="shared" si="8"/>
        <v>0</v>
      </c>
      <c r="AS11" s="31">
        <v>5</v>
      </c>
      <c r="AU11" s="31">
        <v>0</v>
      </c>
      <c r="AV11" s="31">
        <v>0</v>
      </c>
      <c r="AW11" s="32">
        <f t="shared" si="9"/>
        <v>0</v>
      </c>
      <c r="AX11" s="31">
        <v>3</v>
      </c>
      <c r="AZ11" s="31">
        <v>0</v>
      </c>
      <c r="BA11" s="31">
        <v>0</v>
      </c>
      <c r="BB11" s="32">
        <f t="shared" si="10"/>
        <v>0</v>
      </c>
      <c r="BC11" s="31">
        <v>4</v>
      </c>
      <c r="BE11" s="31">
        <v>0</v>
      </c>
      <c r="BF11" s="31">
        <v>0</v>
      </c>
      <c r="BG11" s="32">
        <f t="shared" si="11"/>
        <v>0</v>
      </c>
      <c r="BH11" s="31">
        <v>2</v>
      </c>
      <c r="BI11" s="21"/>
      <c r="BJ11" s="21"/>
      <c r="BK11" s="21"/>
      <c r="BL11" s="21"/>
    </row>
    <row r="12" spans="1:64" ht="15.75" customHeight="1" x14ac:dyDescent="0.2">
      <c r="A12" s="4" t="s">
        <v>69</v>
      </c>
      <c r="B12" s="31">
        <v>2</v>
      </c>
      <c r="C12" s="31">
        <v>180</v>
      </c>
      <c r="D12" s="32">
        <f t="shared" si="0"/>
        <v>90</v>
      </c>
      <c r="E12" s="31">
        <v>2</v>
      </c>
      <c r="G12" s="31">
        <v>2</v>
      </c>
      <c r="H12" s="31">
        <v>180</v>
      </c>
      <c r="I12" s="32">
        <f t="shared" si="1"/>
        <v>90</v>
      </c>
      <c r="J12" s="31">
        <v>1</v>
      </c>
      <c r="L12" s="31">
        <v>3</v>
      </c>
      <c r="M12" s="31">
        <v>270</v>
      </c>
      <c r="N12" s="32">
        <f t="shared" si="2"/>
        <v>90</v>
      </c>
      <c r="O12" s="31">
        <v>0</v>
      </c>
      <c r="Q12" s="31">
        <v>3</v>
      </c>
      <c r="R12" s="31">
        <v>270</v>
      </c>
      <c r="S12" s="32">
        <f t="shared" si="3"/>
        <v>90</v>
      </c>
      <c r="T12" s="31">
        <v>1</v>
      </c>
      <c r="V12" s="31">
        <v>4</v>
      </c>
      <c r="W12" s="31">
        <v>360</v>
      </c>
      <c r="X12" s="32">
        <f t="shared" si="4"/>
        <v>90</v>
      </c>
      <c r="Y12" s="31">
        <v>1</v>
      </c>
      <c r="AA12" s="31">
        <v>4</v>
      </c>
      <c r="AB12" s="31">
        <v>360</v>
      </c>
      <c r="AC12" s="32">
        <f t="shared" si="5"/>
        <v>90</v>
      </c>
      <c r="AD12" s="31">
        <v>2</v>
      </c>
      <c r="AF12" s="31">
        <v>3</v>
      </c>
      <c r="AG12" s="31">
        <f t="shared" ref="AG12:AG15" si="13">AC12*AF12</f>
        <v>270</v>
      </c>
      <c r="AH12" s="32">
        <f t="shared" si="6"/>
        <v>90</v>
      </c>
      <c r="AI12" s="31">
        <v>2</v>
      </c>
      <c r="AK12" s="31">
        <v>3</v>
      </c>
      <c r="AL12" s="31">
        <v>270</v>
      </c>
      <c r="AM12" s="32">
        <f t="shared" si="7"/>
        <v>90</v>
      </c>
      <c r="AN12" s="31">
        <v>1</v>
      </c>
      <c r="AO12" s="21"/>
      <c r="AP12" s="31">
        <v>4</v>
      </c>
      <c r="AQ12" s="31">
        <v>150</v>
      </c>
      <c r="AR12" s="32">
        <f t="shared" si="8"/>
        <v>37.5</v>
      </c>
      <c r="AS12" s="31">
        <v>0</v>
      </c>
      <c r="AU12" s="31">
        <v>5</v>
      </c>
      <c r="AV12" s="31">
        <v>450</v>
      </c>
      <c r="AW12" s="32">
        <f t="shared" si="9"/>
        <v>90</v>
      </c>
      <c r="AX12" s="31">
        <v>1</v>
      </c>
      <c r="AZ12" s="31">
        <v>5</v>
      </c>
      <c r="BA12" s="31">
        <v>750</v>
      </c>
      <c r="BB12" s="32">
        <f t="shared" si="10"/>
        <v>150</v>
      </c>
      <c r="BC12" s="31">
        <v>3</v>
      </c>
      <c r="BE12" s="31">
        <v>0</v>
      </c>
      <c r="BF12" s="31">
        <v>0</v>
      </c>
      <c r="BG12" s="32">
        <f t="shared" si="11"/>
        <v>0</v>
      </c>
      <c r="BH12" s="31">
        <v>2</v>
      </c>
      <c r="BI12" s="21"/>
      <c r="BJ12" s="21"/>
      <c r="BK12" s="21"/>
      <c r="BL12" s="21"/>
    </row>
    <row r="13" spans="1:64" ht="15.75" customHeight="1" x14ac:dyDescent="0.2">
      <c r="A13" s="4" t="s">
        <v>70</v>
      </c>
      <c r="B13" s="31">
        <v>1</v>
      </c>
      <c r="C13" s="31">
        <v>70</v>
      </c>
      <c r="D13" s="32">
        <f t="shared" si="0"/>
        <v>70</v>
      </c>
      <c r="E13" s="31">
        <v>1</v>
      </c>
      <c r="G13" s="31">
        <v>2</v>
      </c>
      <c r="H13" s="31">
        <v>140</v>
      </c>
      <c r="I13" s="32">
        <f t="shared" si="1"/>
        <v>70</v>
      </c>
      <c r="J13" s="31">
        <v>0</v>
      </c>
      <c r="L13" s="31">
        <v>3</v>
      </c>
      <c r="M13" s="31">
        <v>210</v>
      </c>
      <c r="N13" s="32">
        <f t="shared" si="2"/>
        <v>70</v>
      </c>
      <c r="O13" s="31">
        <v>0</v>
      </c>
      <c r="Q13" s="31">
        <v>2</v>
      </c>
      <c r="R13" s="31">
        <v>140</v>
      </c>
      <c r="S13" s="32">
        <f t="shared" si="3"/>
        <v>70</v>
      </c>
      <c r="T13" s="31">
        <v>2</v>
      </c>
      <c r="V13" s="31">
        <v>1</v>
      </c>
      <c r="W13" s="31">
        <v>70</v>
      </c>
      <c r="X13" s="32">
        <f t="shared" si="4"/>
        <v>70</v>
      </c>
      <c r="Y13" s="31">
        <v>0</v>
      </c>
      <c r="AA13" s="31">
        <v>3</v>
      </c>
      <c r="AB13" s="31">
        <v>210</v>
      </c>
      <c r="AC13" s="32">
        <f t="shared" si="5"/>
        <v>70</v>
      </c>
      <c r="AD13" s="31">
        <v>1</v>
      </c>
      <c r="AF13" s="31">
        <v>5</v>
      </c>
      <c r="AG13" s="31">
        <f t="shared" si="13"/>
        <v>350</v>
      </c>
      <c r="AH13" s="32">
        <f t="shared" si="6"/>
        <v>70</v>
      </c>
      <c r="AI13" s="31">
        <v>0</v>
      </c>
      <c r="AK13" s="31">
        <v>9</v>
      </c>
      <c r="AL13" s="31">
        <v>630</v>
      </c>
      <c r="AM13" s="32">
        <f t="shared" si="7"/>
        <v>70</v>
      </c>
      <c r="AN13" s="31">
        <v>3</v>
      </c>
      <c r="AO13" s="21"/>
      <c r="AP13" s="31">
        <v>3</v>
      </c>
      <c r="AQ13" s="31">
        <v>210</v>
      </c>
      <c r="AR13" s="32">
        <f t="shared" si="8"/>
        <v>70</v>
      </c>
      <c r="AS13" s="31">
        <v>4</v>
      </c>
      <c r="AU13" s="31">
        <v>10</v>
      </c>
      <c r="AV13" s="31">
        <v>700</v>
      </c>
      <c r="AW13" s="32">
        <f t="shared" si="9"/>
        <v>70</v>
      </c>
      <c r="AX13" s="31">
        <v>3</v>
      </c>
      <c r="AZ13" s="31">
        <v>6</v>
      </c>
      <c r="BA13" s="31">
        <v>420</v>
      </c>
      <c r="BB13" s="32">
        <f t="shared" si="10"/>
        <v>70</v>
      </c>
      <c r="BC13" s="31">
        <v>4</v>
      </c>
      <c r="BE13" s="31">
        <v>5</v>
      </c>
      <c r="BF13" s="31">
        <v>350</v>
      </c>
      <c r="BG13" s="32">
        <f t="shared" si="11"/>
        <v>70</v>
      </c>
      <c r="BH13" s="31">
        <v>3</v>
      </c>
      <c r="BI13" s="21"/>
      <c r="BJ13" s="21"/>
      <c r="BK13" s="21"/>
      <c r="BL13" s="21"/>
    </row>
    <row r="14" spans="1:64" ht="15.75" customHeight="1" x14ac:dyDescent="0.2">
      <c r="A14" s="4" t="s">
        <v>71</v>
      </c>
      <c r="B14" s="31">
        <v>1</v>
      </c>
      <c r="C14" s="31">
        <v>70</v>
      </c>
      <c r="D14" s="32">
        <f t="shared" si="0"/>
        <v>70</v>
      </c>
      <c r="E14" s="31">
        <v>1</v>
      </c>
      <c r="G14" s="31">
        <v>2</v>
      </c>
      <c r="H14" s="31">
        <v>140</v>
      </c>
      <c r="I14" s="32">
        <f t="shared" si="1"/>
        <v>70</v>
      </c>
      <c r="J14" s="31">
        <v>1</v>
      </c>
      <c r="L14" s="31">
        <v>2</v>
      </c>
      <c r="M14" s="31">
        <v>140</v>
      </c>
      <c r="N14" s="32">
        <f t="shared" si="2"/>
        <v>70</v>
      </c>
      <c r="O14" s="31">
        <v>0</v>
      </c>
      <c r="Q14" s="31">
        <v>2</v>
      </c>
      <c r="R14" s="31">
        <v>140</v>
      </c>
      <c r="S14" s="32">
        <f t="shared" si="3"/>
        <v>70</v>
      </c>
      <c r="T14" s="31">
        <v>1</v>
      </c>
      <c r="V14" s="31">
        <v>2</v>
      </c>
      <c r="W14" s="31">
        <v>140</v>
      </c>
      <c r="X14" s="32">
        <f t="shared" si="4"/>
        <v>70</v>
      </c>
      <c r="Y14" s="31">
        <v>0</v>
      </c>
      <c r="AA14" s="31">
        <v>3</v>
      </c>
      <c r="AB14" s="31">
        <v>210</v>
      </c>
      <c r="AC14" s="32">
        <f t="shared" si="5"/>
        <v>70</v>
      </c>
      <c r="AD14" s="31">
        <v>0</v>
      </c>
      <c r="AF14" s="31">
        <v>6</v>
      </c>
      <c r="AG14" s="31">
        <f t="shared" si="13"/>
        <v>420</v>
      </c>
      <c r="AH14" s="32">
        <f t="shared" si="6"/>
        <v>70</v>
      </c>
      <c r="AI14" s="31">
        <v>0</v>
      </c>
      <c r="AK14" s="31">
        <v>9</v>
      </c>
      <c r="AL14" s="31">
        <v>630</v>
      </c>
      <c r="AM14" s="32">
        <f t="shared" si="7"/>
        <v>70</v>
      </c>
      <c r="AN14" s="31">
        <v>3</v>
      </c>
      <c r="AO14" s="21"/>
      <c r="AP14" s="31">
        <v>3</v>
      </c>
      <c r="AQ14" s="31">
        <v>210</v>
      </c>
      <c r="AR14" s="32">
        <f t="shared" si="8"/>
        <v>70</v>
      </c>
      <c r="AS14" s="31">
        <v>4</v>
      </c>
      <c r="AU14" s="31">
        <v>10</v>
      </c>
      <c r="AV14" s="31">
        <v>700</v>
      </c>
      <c r="AW14" s="32">
        <f t="shared" si="9"/>
        <v>70</v>
      </c>
      <c r="AX14" s="31">
        <v>3</v>
      </c>
      <c r="AZ14" s="31">
        <v>6</v>
      </c>
      <c r="BA14" s="31">
        <v>420</v>
      </c>
      <c r="BB14" s="32">
        <f t="shared" si="10"/>
        <v>70</v>
      </c>
      <c r="BC14" s="31">
        <v>4</v>
      </c>
      <c r="BE14" s="31">
        <v>5</v>
      </c>
      <c r="BF14" s="31">
        <v>350</v>
      </c>
      <c r="BG14" s="32">
        <f t="shared" si="11"/>
        <v>70</v>
      </c>
      <c r="BH14" s="31">
        <v>3</v>
      </c>
      <c r="BI14" s="21"/>
      <c r="BJ14" s="21"/>
      <c r="BK14" s="21"/>
      <c r="BL14" s="21"/>
    </row>
    <row r="15" spans="1:64" ht="15.75" customHeight="1" x14ac:dyDescent="0.2">
      <c r="A15" s="4" t="s">
        <v>72</v>
      </c>
      <c r="B15" s="31">
        <v>0</v>
      </c>
      <c r="C15" s="31">
        <v>0</v>
      </c>
      <c r="D15" s="32">
        <f t="shared" si="0"/>
        <v>0</v>
      </c>
      <c r="E15" s="31">
        <v>2</v>
      </c>
      <c r="G15" s="31">
        <v>1</v>
      </c>
      <c r="H15" s="31">
        <v>250</v>
      </c>
      <c r="I15" s="32">
        <f t="shared" si="1"/>
        <v>250</v>
      </c>
      <c r="J15" s="31">
        <v>2</v>
      </c>
      <c r="L15" s="31">
        <v>0</v>
      </c>
      <c r="M15" s="31">
        <v>0</v>
      </c>
      <c r="N15" s="32">
        <f t="shared" si="2"/>
        <v>0</v>
      </c>
      <c r="O15" s="31">
        <v>0</v>
      </c>
      <c r="Q15" s="31">
        <v>1</v>
      </c>
      <c r="R15" s="31">
        <v>250</v>
      </c>
      <c r="S15" s="32">
        <f t="shared" si="3"/>
        <v>250</v>
      </c>
      <c r="T15" s="31">
        <v>1</v>
      </c>
      <c r="V15" s="31">
        <v>1</v>
      </c>
      <c r="W15" s="31">
        <v>250</v>
      </c>
      <c r="X15" s="32">
        <f t="shared" si="4"/>
        <v>250</v>
      </c>
      <c r="Y15" s="31">
        <v>0</v>
      </c>
      <c r="AA15" s="31">
        <v>2</v>
      </c>
      <c r="AB15" s="31">
        <v>500</v>
      </c>
      <c r="AC15" s="32">
        <f t="shared" si="5"/>
        <v>250</v>
      </c>
      <c r="AD15" s="31">
        <v>1</v>
      </c>
      <c r="AF15" s="31">
        <v>1</v>
      </c>
      <c r="AG15" s="31">
        <f t="shared" si="13"/>
        <v>250</v>
      </c>
      <c r="AH15" s="32">
        <f t="shared" si="6"/>
        <v>250</v>
      </c>
      <c r="AI15" s="31">
        <v>0</v>
      </c>
      <c r="AK15" s="31">
        <v>3</v>
      </c>
      <c r="AL15" s="31">
        <v>780</v>
      </c>
      <c r="AM15" s="32">
        <f t="shared" si="7"/>
        <v>260</v>
      </c>
      <c r="AN15" s="31">
        <v>1</v>
      </c>
      <c r="AO15" s="21"/>
      <c r="AP15" s="31">
        <v>2</v>
      </c>
      <c r="AQ15" s="31">
        <v>500</v>
      </c>
      <c r="AR15" s="32">
        <f t="shared" si="8"/>
        <v>250</v>
      </c>
      <c r="AS15" s="31">
        <v>4.4000000000000004</v>
      </c>
      <c r="AU15" s="31">
        <v>0</v>
      </c>
      <c r="AV15" s="31">
        <v>0</v>
      </c>
      <c r="AW15" s="32">
        <f t="shared" si="9"/>
        <v>0</v>
      </c>
      <c r="AX15" s="31">
        <v>2</v>
      </c>
      <c r="AZ15" s="31">
        <v>0</v>
      </c>
      <c r="BA15" s="31">
        <v>0</v>
      </c>
      <c r="BB15" s="32">
        <f t="shared" si="10"/>
        <v>0</v>
      </c>
      <c r="BC15" s="31">
        <v>2</v>
      </c>
      <c r="BE15" s="31">
        <v>0</v>
      </c>
      <c r="BF15" s="31">
        <v>0</v>
      </c>
      <c r="BG15" s="32">
        <f t="shared" si="11"/>
        <v>0</v>
      </c>
      <c r="BH15" s="31">
        <v>1</v>
      </c>
      <c r="BI15" s="21"/>
      <c r="BJ15" s="21"/>
      <c r="BK15" s="21"/>
      <c r="BL15" s="21"/>
    </row>
    <row r="16" spans="1:64" ht="15.75" customHeight="1" x14ac:dyDescent="0.2">
      <c r="A16" s="4" t="s">
        <v>73</v>
      </c>
      <c r="B16" s="31">
        <v>1</v>
      </c>
      <c r="C16" s="31">
        <v>130</v>
      </c>
      <c r="D16" s="32">
        <f t="shared" si="0"/>
        <v>130</v>
      </c>
      <c r="E16" s="31">
        <v>1.5</v>
      </c>
      <c r="G16" s="31">
        <v>1.5</v>
      </c>
      <c r="H16" s="31">
        <v>105</v>
      </c>
      <c r="I16" s="32">
        <f t="shared" si="1"/>
        <v>70</v>
      </c>
      <c r="J16" s="31">
        <v>2</v>
      </c>
      <c r="L16" s="31">
        <v>0</v>
      </c>
      <c r="M16" s="31">
        <v>0</v>
      </c>
      <c r="N16" s="32">
        <f t="shared" si="2"/>
        <v>0</v>
      </c>
      <c r="O16" s="31">
        <v>0</v>
      </c>
      <c r="Q16" s="31">
        <v>3</v>
      </c>
      <c r="R16" s="31">
        <v>390</v>
      </c>
      <c r="S16" s="32">
        <f t="shared" si="3"/>
        <v>130</v>
      </c>
      <c r="T16" s="31">
        <v>0.5</v>
      </c>
      <c r="V16" s="31">
        <v>2.5</v>
      </c>
      <c r="W16" s="31">
        <v>325</v>
      </c>
      <c r="X16" s="32">
        <f t="shared" si="4"/>
        <v>130</v>
      </c>
      <c r="Y16" s="31">
        <v>0.5</v>
      </c>
      <c r="AA16" s="31">
        <v>3</v>
      </c>
      <c r="AB16" s="31">
        <v>210</v>
      </c>
      <c r="AC16" s="32">
        <f t="shared" si="5"/>
        <v>70</v>
      </c>
      <c r="AD16" s="31">
        <v>1</v>
      </c>
      <c r="AF16" s="31">
        <v>2.5</v>
      </c>
      <c r="AG16" s="31">
        <v>325</v>
      </c>
      <c r="AH16" s="32">
        <f t="shared" si="6"/>
        <v>130</v>
      </c>
      <c r="AI16" s="31">
        <v>1</v>
      </c>
      <c r="AK16" s="31">
        <v>2.5</v>
      </c>
      <c r="AL16" s="31">
        <v>325</v>
      </c>
      <c r="AM16" s="32">
        <f t="shared" si="7"/>
        <v>130</v>
      </c>
      <c r="AN16" s="31">
        <v>1</v>
      </c>
      <c r="AO16" s="21"/>
      <c r="AP16" s="31">
        <v>2.5</v>
      </c>
      <c r="AQ16" s="31">
        <v>325</v>
      </c>
      <c r="AR16" s="32">
        <f t="shared" si="8"/>
        <v>130</v>
      </c>
      <c r="AS16" s="31">
        <v>2</v>
      </c>
      <c r="AU16" s="31">
        <v>2</v>
      </c>
      <c r="AV16" s="31">
        <v>260</v>
      </c>
      <c r="AW16" s="32">
        <f t="shared" si="9"/>
        <v>130</v>
      </c>
      <c r="AX16" s="31">
        <v>0.5</v>
      </c>
      <c r="AZ16" s="31">
        <v>3</v>
      </c>
      <c r="BA16" s="31">
        <v>210</v>
      </c>
      <c r="BB16" s="32">
        <f t="shared" si="10"/>
        <v>70</v>
      </c>
      <c r="BC16" s="31">
        <v>2</v>
      </c>
      <c r="BE16" s="31">
        <v>2</v>
      </c>
      <c r="BF16" s="31">
        <v>140</v>
      </c>
      <c r="BG16" s="32">
        <f t="shared" si="11"/>
        <v>70</v>
      </c>
      <c r="BH16" s="31">
        <v>0.5</v>
      </c>
      <c r="BI16" s="21"/>
      <c r="BJ16" s="21"/>
      <c r="BK16" s="21"/>
      <c r="BL16" s="21"/>
    </row>
    <row r="17" spans="1:64" ht="15.75" customHeight="1" x14ac:dyDescent="0.2">
      <c r="A17" s="4" t="s">
        <v>74</v>
      </c>
      <c r="B17" s="31">
        <v>2</v>
      </c>
      <c r="C17" s="31">
        <v>1300</v>
      </c>
      <c r="D17" s="32">
        <f t="shared" si="0"/>
        <v>650</v>
      </c>
      <c r="E17" s="31">
        <v>0.4</v>
      </c>
      <c r="G17" s="31">
        <v>3</v>
      </c>
      <c r="H17" s="31">
        <v>1950</v>
      </c>
      <c r="I17" s="32">
        <f t="shared" si="1"/>
        <v>650</v>
      </c>
      <c r="J17" s="31">
        <v>2</v>
      </c>
      <c r="L17" s="31">
        <v>1</v>
      </c>
      <c r="M17" s="31">
        <v>630</v>
      </c>
      <c r="N17" s="32">
        <f t="shared" si="2"/>
        <v>630</v>
      </c>
      <c r="O17" s="31">
        <v>0</v>
      </c>
      <c r="Q17" s="31">
        <v>2</v>
      </c>
      <c r="R17" s="31">
        <v>1260</v>
      </c>
      <c r="S17" s="32">
        <f t="shared" si="3"/>
        <v>630</v>
      </c>
      <c r="T17" s="31">
        <v>1</v>
      </c>
      <c r="V17" s="31">
        <v>3</v>
      </c>
      <c r="W17" s="31">
        <v>1890</v>
      </c>
      <c r="X17" s="32">
        <f t="shared" si="4"/>
        <v>630</v>
      </c>
      <c r="Y17" s="31">
        <v>0</v>
      </c>
      <c r="AA17" s="31">
        <v>3</v>
      </c>
      <c r="AB17" s="31">
        <v>1950</v>
      </c>
      <c r="AC17" s="32">
        <f t="shared" si="5"/>
        <v>650</v>
      </c>
      <c r="AD17" s="31">
        <v>1</v>
      </c>
      <c r="AF17" s="31">
        <v>3</v>
      </c>
      <c r="AG17" s="31">
        <f t="shared" ref="AG17:AG18" si="14">AC17*AF17</f>
        <v>1950</v>
      </c>
      <c r="AH17" s="32">
        <f t="shared" si="6"/>
        <v>650</v>
      </c>
      <c r="AI17" s="31">
        <v>0.5</v>
      </c>
      <c r="AK17" s="31">
        <f>6+1</f>
        <v>7</v>
      </c>
      <c r="AL17" s="31">
        <f>3900+300</f>
        <v>4200</v>
      </c>
      <c r="AM17" s="32">
        <f t="shared" si="7"/>
        <v>600</v>
      </c>
      <c r="AN17" s="31">
        <v>2</v>
      </c>
      <c r="AO17" s="21"/>
      <c r="AP17" s="31">
        <v>0</v>
      </c>
      <c r="AQ17" s="31">
        <v>0</v>
      </c>
      <c r="AR17" s="32">
        <f t="shared" si="8"/>
        <v>0</v>
      </c>
      <c r="AS17" s="31">
        <v>1</v>
      </c>
      <c r="AU17" s="31">
        <v>2</v>
      </c>
      <c r="AV17" s="31">
        <v>1300</v>
      </c>
      <c r="AW17" s="32">
        <f t="shared" si="9"/>
        <v>650</v>
      </c>
      <c r="AX17" s="31">
        <v>0</v>
      </c>
      <c r="AZ17" s="31">
        <v>3</v>
      </c>
      <c r="BA17" s="31">
        <v>1950</v>
      </c>
      <c r="BB17" s="32">
        <f t="shared" si="10"/>
        <v>650</v>
      </c>
      <c r="BC17" s="31">
        <v>1</v>
      </c>
      <c r="BE17" s="31">
        <v>2</v>
      </c>
      <c r="BF17" s="31">
        <v>1300</v>
      </c>
      <c r="BG17" s="32">
        <f t="shared" si="11"/>
        <v>650</v>
      </c>
      <c r="BH17" s="31">
        <v>0</v>
      </c>
      <c r="BI17" s="21"/>
      <c r="BJ17" s="21"/>
      <c r="BK17" s="21"/>
      <c r="BL17" s="21"/>
    </row>
    <row r="18" spans="1:64" ht="15.75" customHeight="1" x14ac:dyDescent="0.2">
      <c r="A18" s="4" t="s">
        <v>75</v>
      </c>
      <c r="B18" s="31">
        <v>1</v>
      </c>
      <c r="C18" s="31">
        <v>650</v>
      </c>
      <c r="D18" s="32">
        <f t="shared" si="0"/>
        <v>650</v>
      </c>
      <c r="E18" s="31">
        <v>2</v>
      </c>
      <c r="G18" s="31">
        <v>1</v>
      </c>
      <c r="H18" s="31">
        <v>650</v>
      </c>
      <c r="I18" s="32">
        <f t="shared" si="1"/>
        <v>650</v>
      </c>
      <c r="J18" s="31">
        <v>2</v>
      </c>
      <c r="L18" s="31">
        <v>0</v>
      </c>
      <c r="M18" s="31">
        <v>0</v>
      </c>
      <c r="N18" s="32">
        <f t="shared" si="2"/>
        <v>0</v>
      </c>
      <c r="O18" s="31">
        <v>0</v>
      </c>
      <c r="Q18" s="31">
        <v>1</v>
      </c>
      <c r="R18" s="31">
        <v>630</v>
      </c>
      <c r="S18" s="32">
        <f t="shared" si="3"/>
        <v>630</v>
      </c>
      <c r="T18" s="31">
        <v>0</v>
      </c>
      <c r="V18" s="31">
        <v>2</v>
      </c>
      <c r="W18" s="31">
        <v>1260</v>
      </c>
      <c r="X18" s="32">
        <f t="shared" si="4"/>
        <v>630</v>
      </c>
      <c r="Y18" s="31">
        <v>0</v>
      </c>
      <c r="AA18" s="31">
        <v>2</v>
      </c>
      <c r="AB18" s="31">
        <v>1300</v>
      </c>
      <c r="AC18" s="32">
        <f t="shared" si="5"/>
        <v>650</v>
      </c>
      <c r="AD18" s="31">
        <v>0</v>
      </c>
      <c r="AF18" s="31">
        <v>3</v>
      </c>
      <c r="AG18" s="31">
        <f t="shared" si="14"/>
        <v>1950</v>
      </c>
      <c r="AH18" s="32">
        <f t="shared" si="6"/>
        <v>650</v>
      </c>
      <c r="AI18" s="31">
        <v>0</v>
      </c>
      <c r="AK18" s="31">
        <v>4</v>
      </c>
      <c r="AL18" s="31">
        <v>2520</v>
      </c>
      <c r="AM18" s="32">
        <f t="shared" si="7"/>
        <v>630</v>
      </c>
      <c r="AN18" s="31">
        <v>2</v>
      </c>
      <c r="AO18" s="21"/>
      <c r="AP18" s="31">
        <v>0</v>
      </c>
      <c r="AQ18" s="31">
        <v>0</v>
      </c>
      <c r="AR18" s="32">
        <f t="shared" si="8"/>
        <v>0</v>
      </c>
      <c r="AS18" s="31">
        <v>0</v>
      </c>
      <c r="AU18" s="31">
        <v>2</v>
      </c>
      <c r="AV18" s="31">
        <v>1300</v>
      </c>
      <c r="AW18" s="32">
        <f t="shared" si="9"/>
        <v>650</v>
      </c>
      <c r="AX18" s="31">
        <v>0</v>
      </c>
      <c r="AZ18" s="31">
        <v>3</v>
      </c>
      <c r="BA18" s="31">
        <v>1950</v>
      </c>
      <c r="BB18" s="32">
        <f t="shared" si="10"/>
        <v>650</v>
      </c>
      <c r="BC18" s="31">
        <v>1</v>
      </c>
      <c r="BE18" s="31">
        <v>2</v>
      </c>
      <c r="BF18" s="31">
        <v>1300</v>
      </c>
      <c r="BG18" s="32">
        <f t="shared" si="11"/>
        <v>650</v>
      </c>
      <c r="BH18" s="31">
        <v>1</v>
      </c>
      <c r="BI18" s="21"/>
      <c r="BJ18" s="21"/>
      <c r="BK18" s="21"/>
      <c r="BL18" s="21"/>
    </row>
    <row r="19" spans="1:64" ht="15.75" customHeight="1" x14ac:dyDescent="0.2">
      <c r="A19" s="4" t="s">
        <v>76</v>
      </c>
      <c r="B19" s="31">
        <v>0</v>
      </c>
      <c r="C19" s="31">
        <v>0</v>
      </c>
      <c r="D19" s="32">
        <f t="shared" si="0"/>
        <v>0</v>
      </c>
      <c r="E19" s="31">
        <v>1</v>
      </c>
      <c r="G19" s="31">
        <v>0</v>
      </c>
      <c r="H19" s="31">
        <v>0</v>
      </c>
      <c r="I19" s="32">
        <f t="shared" si="1"/>
        <v>0</v>
      </c>
      <c r="J19" s="31">
        <v>0</v>
      </c>
      <c r="L19" s="31">
        <v>1</v>
      </c>
      <c r="M19" s="31">
        <v>630</v>
      </c>
      <c r="N19" s="32">
        <f t="shared" si="2"/>
        <v>630</v>
      </c>
      <c r="O19" s="31">
        <v>0</v>
      </c>
      <c r="Q19" s="31">
        <v>0</v>
      </c>
      <c r="R19" s="31">
        <v>0</v>
      </c>
      <c r="S19" s="32">
        <f t="shared" si="3"/>
        <v>0</v>
      </c>
      <c r="T19" s="31">
        <v>1</v>
      </c>
      <c r="V19" s="31">
        <v>1</v>
      </c>
      <c r="W19" s="31">
        <v>650</v>
      </c>
      <c r="X19" s="32">
        <f t="shared" si="4"/>
        <v>650</v>
      </c>
      <c r="Y19" s="31">
        <v>2</v>
      </c>
      <c r="AA19" s="31">
        <v>0</v>
      </c>
      <c r="AB19" s="31">
        <v>0</v>
      </c>
      <c r="AC19" s="32">
        <f t="shared" si="5"/>
        <v>0</v>
      </c>
      <c r="AD19" s="31">
        <v>1</v>
      </c>
      <c r="AF19" s="31">
        <v>1</v>
      </c>
      <c r="AG19" s="31">
        <f>650*AF19</f>
        <v>650</v>
      </c>
      <c r="AH19" s="32">
        <f t="shared" si="6"/>
        <v>650</v>
      </c>
      <c r="AI19" s="31">
        <v>2</v>
      </c>
      <c r="AK19" s="31">
        <v>1</v>
      </c>
      <c r="AL19" s="31">
        <v>650</v>
      </c>
      <c r="AM19" s="32">
        <f t="shared" si="7"/>
        <v>650</v>
      </c>
      <c r="AN19" s="31">
        <v>2</v>
      </c>
      <c r="AO19" s="21"/>
      <c r="AP19" s="31">
        <v>0</v>
      </c>
      <c r="AQ19" s="31">
        <v>0</v>
      </c>
      <c r="AR19" s="32">
        <f t="shared" si="8"/>
        <v>0</v>
      </c>
      <c r="AS19" s="31">
        <v>3</v>
      </c>
      <c r="AU19" s="31">
        <v>0</v>
      </c>
      <c r="AV19" s="31">
        <v>0</v>
      </c>
      <c r="AW19" s="32">
        <f t="shared" si="9"/>
        <v>0</v>
      </c>
      <c r="AX19" s="31">
        <v>1</v>
      </c>
      <c r="AZ19" s="31">
        <v>0</v>
      </c>
      <c r="BA19" s="31">
        <v>0</v>
      </c>
      <c r="BB19" s="32">
        <f t="shared" si="10"/>
        <v>0</v>
      </c>
      <c r="BC19" s="31">
        <v>2</v>
      </c>
      <c r="BE19" s="31">
        <v>0</v>
      </c>
      <c r="BF19" s="31">
        <v>0</v>
      </c>
      <c r="BG19" s="32">
        <f t="shared" si="11"/>
        <v>0</v>
      </c>
      <c r="BH19" s="31">
        <v>1</v>
      </c>
      <c r="BI19" s="21"/>
      <c r="BJ19" s="21"/>
      <c r="BK19" s="21"/>
      <c r="BL19" s="21"/>
    </row>
    <row r="20" spans="1:64" ht="15.75" customHeight="1" x14ac:dyDescent="0.2">
      <c r="A20" s="4" t="s">
        <v>77</v>
      </c>
      <c r="B20" s="31">
        <v>1</v>
      </c>
      <c r="C20" s="31">
        <v>550</v>
      </c>
      <c r="D20" s="32">
        <f t="shared" si="0"/>
        <v>550</v>
      </c>
      <c r="E20" s="31">
        <v>1</v>
      </c>
      <c r="G20" s="31">
        <v>2</v>
      </c>
      <c r="H20" s="31">
        <v>1100</v>
      </c>
      <c r="I20" s="32">
        <f t="shared" si="1"/>
        <v>550</v>
      </c>
      <c r="J20" s="31">
        <v>3</v>
      </c>
      <c r="L20" s="31">
        <v>0</v>
      </c>
      <c r="M20" s="31">
        <v>0</v>
      </c>
      <c r="N20" s="32">
        <f t="shared" si="2"/>
        <v>0</v>
      </c>
      <c r="O20" s="31">
        <v>0</v>
      </c>
      <c r="Q20" s="31">
        <v>3</v>
      </c>
      <c r="R20" s="31">
        <v>1650</v>
      </c>
      <c r="S20" s="32">
        <f t="shared" si="3"/>
        <v>550</v>
      </c>
      <c r="T20" s="31">
        <v>2</v>
      </c>
      <c r="V20" s="31">
        <v>1</v>
      </c>
      <c r="W20" s="31">
        <v>550</v>
      </c>
      <c r="X20" s="32">
        <f t="shared" si="4"/>
        <v>550</v>
      </c>
      <c r="Y20" s="31">
        <v>1</v>
      </c>
      <c r="AA20" s="31">
        <v>0</v>
      </c>
      <c r="AB20" s="31">
        <v>0</v>
      </c>
      <c r="AC20" s="32">
        <f t="shared" si="5"/>
        <v>0</v>
      </c>
      <c r="AD20" s="31">
        <v>2</v>
      </c>
      <c r="AF20" s="31">
        <v>0</v>
      </c>
      <c r="AG20" s="31">
        <f t="shared" ref="AG20:AG21" si="15">AC20*AF20</f>
        <v>0</v>
      </c>
      <c r="AH20" s="32">
        <f t="shared" si="6"/>
        <v>0</v>
      </c>
      <c r="AI20" s="31">
        <v>0</v>
      </c>
      <c r="AK20" s="31">
        <f>2+0.2</f>
        <v>2.2000000000000002</v>
      </c>
      <c r="AL20" s="31">
        <f>1100+150</f>
        <v>1250</v>
      </c>
      <c r="AM20" s="32">
        <f t="shared" si="7"/>
        <v>568.18181818181813</v>
      </c>
      <c r="AN20" s="31">
        <v>0</v>
      </c>
      <c r="AO20" s="21"/>
      <c r="AP20" s="31">
        <v>1</v>
      </c>
      <c r="AQ20" s="31">
        <v>550</v>
      </c>
      <c r="AR20" s="32">
        <f t="shared" si="8"/>
        <v>550</v>
      </c>
      <c r="AS20" s="31">
        <v>0</v>
      </c>
      <c r="AU20" s="31">
        <v>1</v>
      </c>
      <c r="AV20" s="31">
        <v>550</v>
      </c>
      <c r="AW20" s="32">
        <f t="shared" si="9"/>
        <v>550</v>
      </c>
      <c r="AX20" s="31">
        <v>0</v>
      </c>
      <c r="AZ20" s="31">
        <v>1</v>
      </c>
      <c r="BA20" s="31">
        <v>550</v>
      </c>
      <c r="BB20" s="32">
        <f t="shared" si="10"/>
        <v>550</v>
      </c>
      <c r="BC20" s="31">
        <v>1</v>
      </c>
      <c r="BE20" s="31">
        <v>0</v>
      </c>
      <c r="BF20" s="31">
        <v>0</v>
      </c>
      <c r="BG20" s="32">
        <f t="shared" si="11"/>
        <v>0</v>
      </c>
      <c r="BH20" s="31">
        <v>1</v>
      </c>
      <c r="BI20" s="21"/>
      <c r="BJ20" s="21"/>
      <c r="BK20" s="21"/>
      <c r="BL20" s="21"/>
    </row>
    <row r="21" spans="1:64" ht="15.75" customHeight="1" x14ac:dyDescent="0.2">
      <c r="A21" s="4" t="s">
        <v>78</v>
      </c>
      <c r="B21" s="31">
        <v>12</v>
      </c>
      <c r="C21" s="31">
        <v>588</v>
      </c>
      <c r="D21" s="32">
        <f t="shared" si="0"/>
        <v>49</v>
      </c>
      <c r="E21" s="31">
        <v>0</v>
      </c>
      <c r="G21" s="31">
        <v>25</v>
      </c>
      <c r="H21" s="31">
        <v>1225</v>
      </c>
      <c r="I21" s="32">
        <f t="shared" si="1"/>
        <v>49</v>
      </c>
      <c r="J21" s="31">
        <v>11</v>
      </c>
      <c r="L21" s="31">
        <v>15</v>
      </c>
      <c r="M21" s="31">
        <v>720</v>
      </c>
      <c r="N21" s="32">
        <f t="shared" si="2"/>
        <v>48</v>
      </c>
      <c r="O21" s="31">
        <v>0</v>
      </c>
      <c r="Q21" s="31">
        <v>13</v>
      </c>
      <c r="R21" s="31">
        <v>611</v>
      </c>
      <c r="S21" s="32">
        <f t="shared" si="3"/>
        <v>47</v>
      </c>
      <c r="T21" s="31">
        <v>6</v>
      </c>
      <c r="V21" s="31">
        <v>20</v>
      </c>
      <c r="W21" s="31">
        <v>940</v>
      </c>
      <c r="X21" s="32">
        <f t="shared" si="4"/>
        <v>47</v>
      </c>
      <c r="Y21" s="31">
        <v>5</v>
      </c>
      <c r="AA21" s="31">
        <v>20</v>
      </c>
      <c r="AB21" s="31">
        <v>940</v>
      </c>
      <c r="AC21" s="32">
        <f t="shared" si="5"/>
        <v>47</v>
      </c>
      <c r="AD21" s="31">
        <v>10</v>
      </c>
      <c r="AF21" s="31">
        <v>15</v>
      </c>
      <c r="AG21" s="31">
        <f t="shared" si="15"/>
        <v>705</v>
      </c>
      <c r="AH21" s="32">
        <f t="shared" si="6"/>
        <v>47</v>
      </c>
      <c r="AI21" s="31">
        <v>8</v>
      </c>
      <c r="AK21" s="31">
        <v>17</v>
      </c>
      <c r="AL21" s="31">
        <v>799</v>
      </c>
      <c r="AM21" s="32">
        <f t="shared" si="7"/>
        <v>47</v>
      </c>
      <c r="AN21" s="31">
        <v>5</v>
      </c>
      <c r="AO21" s="21"/>
      <c r="AP21" s="31">
        <v>20</v>
      </c>
      <c r="AQ21" s="31">
        <v>920</v>
      </c>
      <c r="AR21" s="32">
        <f t="shared" si="8"/>
        <v>46</v>
      </c>
      <c r="AS21" s="31">
        <v>13</v>
      </c>
      <c r="AU21" s="31">
        <v>15</v>
      </c>
      <c r="AV21" s="31">
        <v>690</v>
      </c>
      <c r="AW21" s="32">
        <f t="shared" si="9"/>
        <v>46</v>
      </c>
      <c r="AX21" s="31">
        <v>10</v>
      </c>
      <c r="AZ21" s="31">
        <v>15</v>
      </c>
      <c r="BA21" s="31">
        <v>675</v>
      </c>
      <c r="BB21" s="32">
        <f t="shared" si="10"/>
        <v>45</v>
      </c>
      <c r="BC21" s="31">
        <v>10</v>
      </c>
      <c r="BE21" s="31">
        <v>15</v>
      </c>
      <c r="BF21" s="31">
        <v>645</v>
      </c>
      <c r="BG21" s="32">
        <f t="shared" si="11"/>
        <v>43</v>
      </c>
      <c r="BH21" s="31">
        <v>14</v>
      </c>
      <c r="BI21" s="21"/>
      <c r="BJ21" s="21"/>
      <c r="BK21" s="21"/>
      <c r="BL21" s="21"/>
    </row>
    <row r="22" spans="1:64" ht="15.75" customHeight="1" x14ac:dyDescent="0.2">
      <c r="A22" s="4" t="s">
        <v>79</v>
      </c>
      <c r="B22" s="31">
        <v>5</v>
      </c>
      <c r="C22" s="31">
        <v>900</v>
      </c>
      <c r="D22" s="32">
        <f t="shared" si="0"/>
        <v>180</v>
      </c>
      <c r="E22" s="31">
        <v>0</v>
      </c>
      <c r="G22" s="31">
        <v>6</v>
      </c>
      <c r="H22" s="31">
        <v>1020</v>
      </c>
      <c r="I22" s="32">
        <f t="shared" si="1"/>
        <v>170</v>
      </c>
      <c r="J22" s="31">
        <v>2</v>
      </c>
      <c r="L22" s="31">
        <v>4</v>
      </c>
      <c r="M22" s="31">
        <v>680</v>
      </c>
      <c r="N22" s="32">
        <f t="shared" si="2"/>
        <v>170</v>
      </c>
      <c r="O22" s="31">
        <v>0</v>
      </c>
      <c r="Q22" s="31">
        <v>5</v>
      </c>
      <c r="R22" s="31">
        <v>850</v>
      </c>
      <c r="S22" s="32">
        <f t="shared" si="3"/>
        <v>170</v>
      </c>
      <c r="T22" s="31">
        <v>0</v>
      </c>
      <c r="V22" s="31">
        <v>6</v>
      </c>
      <c r="W22" s="31">
        <v>1020</v>
      </c>
      <c r="X22" s="32">
        <f t="shared" si="4"/>
        <v>170</v>
      </c>
      <c r="Y22" s="31">
        <v>0</v>
      </c>
      <c r="AA22" s="31">
        <v>4</v>
      </c>
      <c r="AB22" s="31">
        <v>720</v>
      </c>
      <c r="AC22" s="32">
        <f t="shared" si="5"/>
        <v>180</v>
      </c>
      <c r="AD22" s="31">
        <v>0</v>
      </c>
      <c r="AF22" s="31">
        <v>7</v>
      </c>
      <c r="AG22" s="31">
        <f>680+510</f>
        <v>1190</v>
      </c>
      <c r="AH22" s="32">
        <f t="shared" si="6"/>
        <v>170</v>
      </c>
      <c r="AI22" s="31">
        <v>0</v>
      </c>
      <c r="AK22" s="31">
        <f>10+1</f>
        <v>11</v>
      </c>
      <c r="AL22" s="31">
        <f>1700+160</f>
        <v>1860</v>
      </c>
      <c r="AM22" s="32">
        <f t="shared" si="7"/>
        <v>169.09090909090909</v>
      </c>
      <c r="AN22" s="31">
        <v>0</v>
      </c>
      <c r="AO22" s="21"/>
      <c r="AP22" s="31">
        <v>5</v>
      </c>
      <c r="AQ22" s="31">
        <v>850</v>
      </c>
      <c r="AR22" s="32">
        <f t="shared" si="8"/>
        <v>170</v>
      </c>
      <c r="AS22" s="31">
        <v>1</v>
      </c>
      <c r="AU22" s="31">
        <v>5</v>
      </c>
      <c r="AV22" s="31">
        <v>850</v>
      </c>
      <c r="AW22" s="32">
        <f t="shared" si="9"/>
        <v>170</v>
      </c>
      <c r="AX22" s="31">
        <v>0</v>
      </c>
      <c r="AZ22" s="31">
        <v>3</v>
      </c>
      <c r="BA22" s="31">
        <v>510</v>
      </c>
      <c r="BB22" s="32">
        <f t="shared" si="10"/>
        <v>170</v>
      </c>
      <c r="BC22" s="31">
        <v>0</v>
      </c>
      <c r="BE22" s="31">
        <v>3</v>
      </c>
      <c r="BF22" s="31">
        <v>510</v>
      </c>
      <c r="BG22" s="32">
        <f t="shared" si="11"/>
        <v>170</v>
      </c>
      <c r="BH22" s="31">
        <v>0</v>
      </c>
      <c r="BI22" s="21"/>
      <c r="BJ22" s="21"/>
      <c r="BK22" s="21"/>
      <c r="BL22" s="21"/>
    </row>
    <row r="23" spans="1:64" ht="15.75" customHeight="1" x14ac:dyDescent="0.2">
      <c r="A23" s="4" t="s">
        <v>80</v>
      </c>
      <c r="B23" s="31">
        <v>0</v>
      </c>
      <c r="C23" s="31">
        <v>0</v>
      </c>
      <c r="D23" s="32">
        <f t="shared" si="0"/>
        <v>0</v>
      </c>
      <c r="E23" s="31">
        <v>2</v>
      </c>
      <c r="G23" s="31">
        <v>6</v>
      </c>
      <c r="H23" s="31">
        <v>360</v>
      </c>
      <c r="I23" s="32">
        <f t="shared" si="1"/>
        <v>60</v>
      </c>
      <c r="J23" s="31">
        <v>3</v>
      </c>
      <c r="L23" s="31">
        <v>5</v>
      </c>
      <c r="M23" s="31">
        <v>300</v>
      </c>
      <c r="N23" s="32">
        <f t="shared" si="2"/>
        <v>60</v>
      </c>
      <c r="O23" s="31">
        <v>0</v>
      </c>
      <c r="Q23" s="31">
        <v>5</v>
      </c>
      <c r="R23" s="31">
        <v>300</v>
      </c>
      <c r="S23" s="32">
        <f t="shared" si="3"/>
        <v>60</v>
      </c>
      <c r="T23" s="31">
        <v>4</v>
      </c>
      <c r="V23" s="31">
        <v>4</v>
      </c>
      <c r="W23" s="31">
        <v>240</v>
      </c>
      <c r="X23" s="32">
        <f t="shared" si="4"/>
        <v>60</v>
      </c>
      <c r="Y23" s="31">
        <v>3</v>
      </c>
      <c r="AA23" s="31">
        <v>5</v>
      </c>
      <c r="AB23" s="31">
        <v>300</v>
      </c>
      <c r="AC23" s="32">
        <f t="shared" si="5"/>
        <v>60</v>
      </c>
      <c r="AD23" s="31">
        <v>3</v>
      </c>
      <c r="AF23" s="31">
        <v>5</v>
      </c>
      <c r="AG23" s="31">
        <f t="shared" ref="AG23:AG24" si="16">AC23*AF23</f>
        <v>300</v>
      </c>
      <c r="AH23" s="32">
        <f t="shared" si="6"/>
        <v>60</v>
      </c>
      <c r="AI23" s="31">
        <v>4</v>
      </c>
      <c r="AK23" s="31">
        <v>5</v>
      </c>
      <c r="AL23" s="31">
        <v>300</v>
      </c>
      <c r="AM23" s="32">
        <f t="shared" si="7"/>
        <v>60</v>
      </c>
      <c r="AN23" s="31">
        <v>3</v>
      </c>
      <c r="AO23" s="21"/>
      <c r="AP23" s="31">
        <v>7</v>
      </c>
      <c r="AQ23" s="31">
        <v>420</v>
      </c>
      <c r="AR23" s="32">
        <f t="shared" si="8"/>
        <v>60</v>
      </c>
      <c r="AS23" s="31">
        <v>5</v>
      </c>
      <c r="AU23" s="31">
        <v>5</v>
      </c>
      <c r="AV23" s="31">
        <v>300</v>
      </c>
      <c r="AW23" s="32">
        <f t="shared" si="9"/>
        <v>60</v>
      </c>
      <c r="AX23" s="31">
        <v>4</v>
      </c>
      <c r="AZ23" s="31">
        <v>2</v>
      </c>
      <c r="BA23" s="31">
        <v>120</v>
      </c>
      <c r="BB23" s="32">
        <f t="shared" si="10"/>
        <v>60</v>
      </c>
      <c r="BC23" s="31">
        <v>8</v>
      </c>
      <c r="BE23" s="31">
        <v>0</v>
      </c>
      <c r="BF23" s="31">
        <v>0</v>
      </c>
      <c r="BG23" s="32">
        <f t="shared" si="11"/>
        <v>0</v>
      </c>
      <c r="BH23" s="31">
        <v>5</v>
      </c>
      <c r="BI23" s="21"/>
      <c r="BJ23" s="21"/>
      <c r="BK23" s="21"/>
      <c r="BL23" s="21"/>
    </row>
    <row r="24" spans="1:64" ht="15.75" customHeight="1" x14ac:dyDescent="0.2">
      <c r="A24" s="4" t="s">
        <v>81</v>
      </c>
      <c r="B24" s="31">
        <v>5</v>
      </c>
      <c r="C24" s="31">
        <v>300</v>
      </c>
      <c r="D24" s="32">
        <f t="shared" si="0"/>
        <v>60</v>
      </c>
      <c r="E24" s="31">
        <v>4</v>
      </c>
      <c r="G24" s="31">
        <v>2</v>
      </c>
      <c r="H24" s="31">
        <v>120</v>
      </c>
      <c r="I24" s="32">
        <f t="shared" si="1"/>
        <v>60</v>
      </c>
      <c r="J24" s="31">
        <v>6</v>
      </c>
      <c r="L24" s="31">
        <v>0</v>
      </c>
      <c r="M24" s="31">
        <v>0</v>
      </c>
      <c r="N24" s="32">
        <f t="shared" si="2"/>
        <v>0</v>
      </c>
      <c r="O24" s="31">
        <v>0</v>
      </c>
      <c r="Q24" s="31">
        <v>6</v>
      </c>
      <c r="R24" s="31">
        <v>360</v>
      </c>
      <c r="S24" s="32">
        <f t="shared" si="3"/>
        <v>60</v>
      </c>
      <c r="T24" s="31">
        <v>0</v>
      </c>
      <c r="V24" s="31">
        <v>6</v>
      </c>
      <c r="W24" s="31">
        <v>360</v>
      </c>
      <c r="X24" s="32">
        <f t="shared" si="4"/>
        <v>60</v>
      </c>
      <c r="Y24" s="31">
        <v>3</v>
      </c>
      <c r="AA24" s="31">
        <v>3</v>
      </c>
      <c r="AB24" s="31">
        <v>180</v>
      </c>
      <c r="AC24" s="32">
        <f t="shared" si="5"/>
        <v>60</v>
      </c>
      <c r="AD24" s="31">
        <v>3</v>
      </c>
      <c r="AF24" s="31">
        <v>3</v>
      </c>
      <c r="AG24" s="31">
        <f t="shared" si="16"/>
        <v>180</v>
      </c>
      <c r="AH24" s="32">
        <f t="shared" si="6"/>
        <v>60</v>
      </c>
      <c r="AI24" s="31">
        <v>0</v>
      </c>
      <c r="AK24" s="31">
        <v>10</v>
      </c>
      <c r="AL24" s="31">
        <v>600</v>
      </c>
      <c r="AM24" s="32">
        <f t="shared" si="7"/>
        <v>60</v>
      </c>
      <c r="AN24" s="31">
        <v>3</v>
      </c>
      <c r="AO24" s="21"/>
      <c r="AP24" s="31">
        <v>7</v>
      </c>
      <c r="AQ24" s="31">
        <v>420</v>
      </c>
      <c r="AR24" s="32">
        <f t="shared" si="8"/>
        <v>60</v>
      </c>
      <c r="AS24" s="31">
        <v>6</v>
      </c>
      <c r="AU24" s="31">
        <v>6</v>
      </c>
      <c r="AV24" s="31">
        <v>360</v>
      </c>
      <c r="AW24" s="32">
        <f t="shared" si="9"/>
        <v>60</v>
      </c>
      <c r="AX24" s="31">
        <v>4</v>
      </c>
      <c r="AZ24" s="31">
        <v>6</v>
      </c>
      <c r="BA24" s="31">
        <v>360</v>
      </c>
      <c r="BB24" s="32">
        <f t="shared" si="10"/>
        <v>60</v>
      </c>
      <c r="BC24" s="31">
        <v>8</v>
      </c>
      <c r="BE24" s="31">
        <v>0</v>
      </c>
      <c r="BF24" s="31">
        <v>0</v>
      </c>
      <c r="BG24" s="32">
        <f t="shared" si="11"/>
        <v>0</v>
      </c>
      <c r="BH24" s="31">
        <v>1</v>
      </c>
      <c r="BI24" s="21"/>
      <c r="BJ24" s="21"/>
      <c r="BK24" s="21"/>
      <c r="BL24" s="21"/>
    </row>
    <row r="25" spans="1:64" ht="15.75" customHeight="1" x14ac:dyDescent="0.2">
      <c r="A25" s="10" t="s">
        <v>82</v>
      </c>
      <c r="B25" s="29"/>
      <c r="C25" s="29"/>
      <c r="D25" s="30"/>
      <c r="E25" s="29"/>
      <c r="G25" s="29"/>
      <c r="H25" s="30"/>
      <c r="I25" s="30"/>
      <c r="J25" s="29"/>
      <c r="L25" s="29"/>
      <c r="M25" s="30"/>
      <c r="N25" s="30"/>
      <c r="O25" s="29"/>
      <c r="Q25" s="29"/>
      <c r="R25" s="30"/>
      <c r="S25" s="30"/>
      <c r="T25" s="29"/>
      <c r="V25" s="29"/>
      <c r="W25" s="30"/>
      <c r="X25" s="30"/>
      <c r="Y25" s="29"/>
      <c r="AA25" s="29"/>
      <c r="AB25" s="30"/>
      <c r="AC25" s="30"/>
      <c r="AD25" s="29"/>
      <c r="AF25" s="29"/>
      <c r="AG25" s="30"/>
      <c r="AH25" s="30"/>
      <c r="AI25" s="29"/>
      <c r="AK25" s="29"/>
      <c r="AL25" s="30"/>
      <c r="AM25" s="30"/>
      <c r="AN25" s="29"/>
      <c r="AO25" s="21"/>
      <c r="AP25" s="29"/>
      <c r="AQ25" s="30"/>
      <c r="AR25" s="30"/>
      <c r="AS25" s="29"/>
      <c r="AU25" s="29"/>
      <c r="AV25" s="30"/>
      <c r="AW25" s="30"/>
      <c r="AX25" s="29"/>
      <c r="AZ25" s="29"/>
      <c r="BA25" s="30"/>
      <c r="BB25" s="30"/>
      <c r="BC25" s="29"/>
      <c r="BE25" s="29"/>
      <c r="BF25" s="30"/>
      <c r="BG25" s="30"/>
      <c r="BH25" s="29"/>
      <c r="BI25" s="21"/>
      <c r="BJ25" s="21"/>
      <c r="BK25" s="21"/>
      <c r="BL25" s="21"/>
    </row>
    <row r="26" spans="1:64" ht="15.75" customHeight="1" x14ac:dyDescent="0.2">
      <c r="A26" s="4" t="s">
        <v>83</v>
      </c>
      <c r="B26" s="31">
        <f>338+25+75</f>
        <v>438</v>
      </c>
      <c r="C26" s="31">
        <f>30420+400+1600+3240</f>
        <v>35660</v>
      </c>
      <c r="D26" s="32">
        <f t="shared" ref="D26:D33" si="17">IFERROR(C26/B26,0)</f>
        <v>81.415525114155244</v>
      </c>
      <c r="E26" s="31">
        <v>95</v>
      </c>
      <c r="G26" s="31">
        <f>(26*6)+(3*25)</f>
        <v>231</v>
      </c>
      <c r="H26" s="31">
        <f>(26*8*90)</f>
        <v>18720</v>
      </c>
      <c r="I26" s="32">
        <f t="shared" ref="I26:I33" si="18">IFERROR(H26/G26,0)</f>
        <v>81.038961038961034</v>
      </c>
      <c r="J26" s="31">
        <v>166</v>
      </c>
      <c r="L26" s="31">
        <v>156</v>
      </c>
      <c r="M26" s="31">
        <f>26*90*6</f>
        <v>14040</v>
      </c>
      <c r="N26" s="32">
        <f t="shared" ref="N26:N33" si="19">IFERROR(M26/L26,0)</f>
        <v>90</v>
      </c>
      <c r="O26" s="31">
        <v>0</v>
      </c>
      <c r="Q26" s="31">
        <v>130</v>
      </c>
      <c r="R26" s="31">
        <f>26*90*5</f>
        <v>11700</v>
      </c>
      <c r="S26" s="32">
        <f t="shared" ref="S26:S33" si="20">IFERROR(R26/Q26,0)</f>
        <v>90</v>
      </c>
      <c r="T26" s="31">
        <v>26</v>
      </c>
      <c r="V26" s="31">
        <f>(26*12)+25</f>
        <v>337</v>
      </c>
      <c r="W26" s="31">
        <f>(26*12*90)+1600</f>
        <v>29680</v>
      </c>
      <c r="X26" s="32">
        <f t="shared" ref="X26:X33" si="21">IFERROR(W26/V26,0)</f>
        <v>88.071216617210681</v>
      </c>
      <c r="Y26" s="31">
        <v>96</v>
      </c>
      <c r="AA26" s="31">
        <f>26*6</f>
        <v>156</v>
      </c>
      <c r="AB26" s="31">
        <f>AA26*90</f>
        <v>14040</v>
      </c>
      <c r="AC26" s="32">
        <f t="shared" ref="AC26:AC33" si="22">IFERROR(AB26/AA26,0)</f>
        <v>90</v>
      </c>
      <c r="AD26" s="31">
        <v>70</v>
      </c>
      <c r="AF26" s="31">
        <f>(26*9)+(30*2)</f>
        <v>294</v>
      </c>
      <c r="AG26" s="31">
        <f>AC26*AF26</f>
        <v>26460</v>
      </c>
      <c r="AH26" s="32">
        <f t="shared" ref="AH26:AH33" si="23">IFERROR(AG26/AF26,0)</f>
        <v>90</v>
      </c>
      <c r="AI26" s="31">
        <v>199</v>
      </c>
      <c r="AK26" s="31">
        <f>30*18+52</f>
        <v>592</v>
      </c>
      <c r="AL26" s="31">
        <f>540*90+2060</f>
        <v>50660</v>
      </c>
      <c r="AM26" s="32">
        <f t="shared" ref="AM26:AM33" si="24">IFERROR(AL26/AK26,0)</f>
        <v>85.574324324324323</v>
      </c>
      <c r="AN26" s="31">
        <v>0</v>
      </c>
      <c r="AO26" s="21"/>
      <c r="AP26" s="31">
        <f>12*30</f>
        <v>360</v>
      </c>
      <c r="AQ26" s="31">
        <f>AP26*93</f>
        <v>33480</v>
      </c>
      <c r="AR26" s="32">
        <f t="shared" ref="AR26:AR33" si="25">IFERROR(AQ26/AP26,0)</f>
        <v>93</v>
      </c>
      <c r="AS26" s="31">
        <v>90</v>
      </c>
      <c r="AU26" s="31">
        <v>300</v>
      </c>
      <c r="AV26" s="31">
        <f>AU26*91+2040</f>
        <v>29340</v>
      </c>
      <c r="AW26" s="32">
        <f t="shared" ref="AW26:AW33" si="26">IFERROR(AV26/AU26,0)</f>
        <v>97.8</v>
      </c>
      <c r="AX26" s="31">
        <v>115</v>
      </c>
      <c r="AZ26" s="31">
        <f>2*30</f>
        <v>60</v>
      </c>
      <c r="BA26" s="31">
        <f>AZ26*92</f>
        <v>5520</v>
      </c>
      <c r="BB26" s="32">
        <f t="shared" ref="BB26:BB32" si="27">IFERROR(BA26/AZ26,0)</f>
        <v>92</v>
      </c>
      <c r="BC26" s="31">
        <v>0</v>
      </c>
      <c r="BE26" s="31">
        <f>6*30</f>
        <v>180</v>
      </c>
      <c r="BF26" s="31">
        <f>BE26*92</f>
        <v>16560</v>
      </c>
      <c r="BG26" s="32">
        <f t="shared" ref="BG26:BG33" si="28">IFERROR(BF26/BE26,0)</f>
        <v>92</v>
      </c>
      <c r="BH26" s="31">
        <v>0</v>
      </c>
      <c r="BI26" s="21"/>
      <c r="BJ26" s="21"/>
      <c r="BK26" s="21"/>
      <c r="BL26" s="21"/>
    </row>
    <row r="27" spans="1:64" ht="15.75" customHeight="1" x14ac:dyDescent="0.2">
      <c r="A27" s="4" t="s">
        <v>84</v>
      </c>
      <c r="B27" s="31">
        <v>150</v>
      </c>
      <c r="C27" s="31">
        <f>9200+9350</f>
        <v>18550</v>
      </c>
      <c r="D27" s="32">
        <f t="shared" si="17"/>
        <v>123.66666666666667</v>
      </c>
      <c r="E27" s="31">
        <v>6</v>
      </c>
      <c r="G27" s="31">
        <v>135</v>
      </c>
      <c r="H27" s="31">
        <v>16650</v>
      </c>
      <c r="I27" s="32">
        <f t="shared" si="18"/>
        <v>123.33333333333333</v>
      </c>
      <c r="J27" s="31">
        <v>38</v>
      </c>
      <c r="L27" s="31">
        <v>105</v>
      </c>
      <c r="M27" s="31">
        <v>12600</v>
      </c>
      <c r="N27" s="32">
        <f t="shared" si="19"/>
        <v>120</v>
      </c>
      <c r="O27" s="31">
        <v>0</v>
      </c>
      <c r="Q27" s="31">
        <v>120</v>
      </c>
      <c r="R27" s="31">
        <f>1700*8</f>
        <v>13600</v>
      </c>
      <c r="S27" s="32">
        <f t="shared" si="20"/>
        <v>113.33333333333333</v>
      </c>
      <c r="T27" s="31">
        <v>5</v>
      </c>
      <c r="V27" s="31">
        <f>150+20</f>
        <v>170</v>
      </c>
      <c r="W27" s="31">
        <f>(113*150)+2200</f>
        <v>19150</v>
      </c>
      <c r="X27" s="32">
        <f t="shared" si="21"/>
        <v>112.64705882352941</v>
      </c>
      <c r="Y27" s="31">
        <v>4</v>
      </c>
      <c r="AA27" s="31">
        <v>102</v>
      </c>
      <c r="AB27" s="31">
        <f>AA27*110</f>
        <v>11220</v>
      </c>
      <c r="AC27" s="32">
        <f t="shared" si="22"/>
        <v>110</v>
      </c>
      <c r="AD27" s="31">
        <v>15</v>
      </c>
      <c r="AF27" s="31">
        <f>48+10+10+10+10+10+10+10+10+10</f>
        <v>138</v>
      </c>
      <c r="AG27" s="31">
        <f>1320+3600+1240+1240+1240+1240+1240+1270+1260+1250+1270</f>
        <v>16170</v>
      </c>
      <c r="AH27" s="32">
        <f t="shared" si="23"/>
        <v>117.17391304347827</v>
      </c>
      <c r="AI27" s="31">
        <v>0</v>
      </c>
      <c r="AK27" s="31">
        <v>320</v>
      </c>
      <c r="AL27" s="31">
        <f>17300+18500-7400</f>
        <v>28400</v>
      </c>
      <c r="AM27" s="32">
        <f t="shared" si="24"/>
        <v>88.75</v>
      </c>
      <c r="AN27" s="31">
        <v>16</v>
      </c>
      <c r="AO27" s="21"/>
      <c r="AP27" s="31">
        <f>64+48</f>
        <v>112</v>
      </c>
      <c r="AQ27" s="31">
        <f>7400+5490</f>
        <v>12890</v>
      </c>
      <c r="AR27" s="32">
        <f t="shared" si="25"/>
        <v>115.08928571428571</v>
      </c>
      <c r="AS27" s="31">
        <v>18</v>
      </c>
      <c r="AU27" s="31">
        <f>20+160</f>
        <v>180</v>
      </c>
      <c r="AV27" s="31">
        <f>2980+17900</f>
        <v>20880</v>
      </c>
      <c r="AW27" s="32">
        <f t="shared" si="26"/>
        <v>116</v>
      </c>
      <c r="AX27" s="31">
        <v>45</v>
      </c>
      <c r="AZ27" s="31">
        <f>2*16</f>
        <v>32</v>
      </c>
      <c r="BA27" s="31">
        <f>AZ27*112.5</f>
        <v>3600</v>
      </c>
      <c r="BB27" s="32">
        <f t="shared" si="27"/>
        <v>112.5</v>
      </c>
      <c r="BC27" s="31">
        <v>0</v>
      </c>
      <c r="BE27" s="31">
        <f>8*16</f>
        <v>128</v>
      </c>
      <c r="BF27" s="31">
        <f>BE27*112.5</f>
        <v>14400</v>
      </c>
      <c r="BG27" s="32">
        <f t="shared" si="28"/>
        <v>112.5</v>
      </c>
      <c r="BH27" s="31">
        <v>14</v>
      </c>
      <c r="BI27" s="21"/>
      <c r="BJ27" s="21"/>
      <c r="BK27" s="21"/>
      <c r="BL27" s="21"/>
    </row>
    <row r="28" spans="1:64" ht="15.75" customHeight="1" x14ac:dyDescent="0.2">
      <c r="A28" s="4" t="s">
        <v>85</v>
      </c>
      <c r="B28" s="31">
        <v>30</v>
      </c>
      <c r="C28" s="31">
        <v>1985</v>
      </c>
      <c r="D28" s="32">
        <f t="shared" si="17"/>
        <v>66.166666666666671</v>
      </c>
      <c r="E28" s="31">
        <v>25</v>
      </c>
      <c r="G28" s="31">
        <v>25</v>
      </c>
      <c r="H28" s="31">
        <v>1050</v>
      </c>
      <c r="I28" s="32">
        <f t="shared" si="18"/>
        <v>42</v>
      </c>
      <c r="J28" s="31">
        <v>22</v>
      </c>
      <c r="L28" s="31">
        <v>0</v>
      </c>
      <c r="M28" s="31">
        <v>0</v>
      </c>
      <c r="N28" s="32">
        <f t="shared" si="19"/>
        <v>0</v>
      </c>
      <c r="O28" s="31">
        <v>0</v>
      </c>
      <c r="Q28" s="31">
        <v>25</v>
      </c>
      <c r="R28" s="31">
        <v>1050</v>
      </c>
      <c r="S28" s="32">
        <f t="shared" si="20"/>
        <v>42</v>
      </c>
      <c r="T28" s="31">
        <v>0</v>
      </c>
      <c r="V28" s="31">
        <v>25</v>
      </c>
      <c r="W28" s="31">
        <v>1050</v>
      </c>
      <c r="X28" s="32">
        <f t="shared" si="21"/>
        <v>42</v>
      </c>
      <c r="Y28" s="31">
        <v>0</v>
      </c>
      <c r="AA28" s="31">
        <v>25</v>
      </c>
      <c r="AB28" s="31">
        <v>1000</v>
      </c>
      <c r="AC28" s="32">
        <f t="shared" si="22"/>
        <v>40</v>
      </c>
      <c r="AD28" s="31">
        <v>0</v>
      </c>
      <c r="AF28" s="31">
        <v>25</v>
      </c>
      <c r="AG28" s="31">
        <f t="shared" ref="AG28:AG29" si="29">AC28*AF28</f>
        <v>1000</v>
      </c>
      <c r="AH28" s="32">
        <f t="shared" si="23"/>
        <v>40</v>
      </c>
      <c r="AI28" s="31">
        <v>2</v>
      </c>
      <c r="AK28" s="31">
        <v>0</v>
      </c>
      <c r="AL28" s="31">
        <v>0</v>
      </c>
      <c r="AM28" s="32">
        <f t="shared" si="24"/>
        <v>0</v>
      </c>
      <c r="AN28" s="31">
        <v>0</v>
      </c>
      <c r="AO28" s="21"/>
      <c r="AP28" s="31">
        <v>0</v>
      </c>
      <c r="AQ28" s="31">
        <v>0</v>
      </c>
      <c r="AR28" s="32">
        <f t="shared" si="25"/>
        <v>0</v>
      </c>
      <c r="AS28" s="31">
        <v>3</v>
      </c>
      <c r="AU28" s="31">
        <v>25</v>
      </c>
      <c r="AV28" s="31">
        <v>1000</v>
      </c>
      <c r="AW28" s="32">
        <f t="shared" si="26"/>
        <v>40</v>
      </c>
      <c r="AX28" s="31">
        <v>10</v>
      </c>
      <c r="AZ28" s="31">
        <v>15</v>
      </c>
      <c r="BA28" s="31">
        <v>660</v>
      </c>
      <c r="BB28" s="32">
        <f t="shared" si="27"/>
        <v>44</v>
      </c>
      <c r="BC28" s="31">
        <v>7</v>
      </c>
      <c r="BE28" s="31">
        <v>10</v>
      </c>
      <c r="BF28" s="31">
        <v>400</v>
      </c>
      <c r="BG28" s="32">
        <f t="shared" si="28"/>
        <v>40</v>
      </c>
      <c r="BH28" s="31">
        <v>5</v>
      </c>
      <c r="BI28" s="21"/>
      <c r="BJ28" s="21"/>
      <c r="BK28" s="21"/>
      <c r="BL28" s="21"/>
    </row>
    <row r="29" spans="1:64" ht="15.75" customHeight="1" x14ac:dyDescent="0.2">
      <c r="A29" s="4" t="s">
        <v>86</v>
      </c>
      <c r="B29" s="31">
        <v>15</v>
      </c>
      <c r="C29" s="31">
        <v>820</v>
      </c>
      <c r="D29" s="32">
        <f t="shared" si="17"/>
        <v>54.666666666666664</v>
      </c>
      <c r="E29" s="31">
        <v>5</v>
      </c>
      <c r="G29" s="31">
        <v>15</v>
      </c>
      <c r="H29" s="31">
        <v>630</v>
      </c>
      <c r="I29" s="32">
        <f t="shared" si="18"/>
        <v>42</v>
      </c>
      <c r="J29" s="31">
        <v>8</v>
      </c>
      <c r="L29" s="31">
        <v>15</v>
      </c>
      <c r="M29" s="31">
        <v>615</v>
      </c>
      <c r="N29" s="32">
        <f t="shared" si="19"/>
        <v>41</v>
      </c>
      <c r="O29" s="31">
        <v>0</v>
      </c>
      <c r="Q29" s="31">
        <v>15</v>
      </c>
      <c r="R29" s="31">
        <v>630</v>
      </c>
      <c r="S29" s="32">
        <f t="shared" si="20"/>
        <v>42</v>
      </c>
      <c r="T29" s="31">
        <v>5</v>
      </c>
      <c r="V29" s="31">
        <v>15</v>
      </c>
      <c r="W29" s="31">
        <v>585</v>
      </c>
      <c r="X29" s="32">
        <f t="shared" si="21"/>
        <v>39</v>
      </c>
      <c r="Y29" s="31">
        <v>8</v>
      </c>
      <c r="AA29" s="31">
        <v>20</v>
      </c>
      <c r="AB29" s="31">
        <v>760</v>
      </c>
      <c r="AC29" s="32">
        <f t="shared" si="22"/>
        <v>38</v>
      </c>
      <c r="AD29" s="31">
        <v>7</v>
      </c>
      <c r="AF29" s="31">
        <v>28</v>
      </c>
      <c r="AG29" s="31">
        <f t="shared" si="29"/>
        <v>1064</v>
      </c>
      <c r="AH29" s="32">
        <f t="shared" si="23"/>
        <v>38</v>
      </c>
      <c r="AI29" s="31">
        <v>25</v>
      </c>
      <c r="AK29" s="31">
        <v>0</v>
      </c>
      <c r="AL29" s="31">
        <v>0</v>
      </c>
      <c r="AM29" s="32">
        <f t="shared" si="24"/>
        <v>0</v>
      </c>
      <c r="AN29" s="31">
        <v>10</v>
      </c>
      <c r="AO29" s="21"/>
      <c r="AP29" s="31">
        <v>0</v>
      </c>
      <c r="AQ29" s="31">
        <v>0</v>
      </c>
      <c r="AR29" s="32">
        <f t="shared" si="25"/>
        <v>0</v>
      </c>
      <c r="AS29" s="31">
        <v>7</v>
      </c>
      <c r="AU29" s="31">
        <v>5</v>
      </c>
      <c r="AV29" s="31">
        <v>200</v>
      </c>
      <c r="AW29" s="32">
        <f t="shared" si="26"/>
        <v>40</v>
      </c>
      <c r="AX29" s="31">
        <v>0</v>
      </c>
      <c r="AZ29" s="31">
        <v>5</v>
      </c>
      <c r="BA29" s="31">
        <v>0</v>
      </c>
      <c r="BB29" s="32">
        <f t="shared" si="27"/>
        <v>0</v>
      </c>
      <c r="BC29" s="31">
        <v>0</v>
      </c>
      <c r="BE29" s="31">
        <v>3</v>
      </c>
      <c r="BF29" s="31">
        <v>120</v>
      </c>
      <c r="BG29" s="32">
        <f t="shared" si="28"/>
        <v>40</v>
      </c>
      <c r="BH29" s="31">
        <v>0.5</v>
      </c>
      <c r="BI29" s="21"/>
      <c r="BJ29" s="21"/>
      <c r="BK29" s="21"/>
      <c r="BL29" s="21"/>
    </row>
    <row r="30" spans="1:64" ht="15.75" customHeight="1" x14ac:dyDescent="0.2">
      <c r="A30" s="4" t="s">
        <v>87</v>
      </c>
      <c r="B30" s="31">
        <v>15</v>
      </c>
      <c r="C30" s="31">
        <v>7275</v>
      </c>
      <c r="D30" s="32">
        <f t="shared" si="17"/>
        <v>485</v>
      </c>
      <c r="E30" s="31">
        <v>7</v>
      </c>
      <c r="G30" s="31">
        <v>9</v>
      </c>
      <c r="H30" s="31">
        <v>4365</v>
      </c>
      <c r="I30" s="32">
        <f t="shared" si="18"/>
        <v>485</v>
      </c>
      <c r="J30" s="31">
        <v>0</v>
      </c>
      <c r="L30" s="31">
        <v>8</v>
      </c>
      <c r="M30" s="31">
        <v>3880</v>
      </c>
      <c r="N30" s="32">
        <f t="shared" si="19"/>
        <v>485</v>
      </c>
      <c r="O30" s="31">
        <v>0</v>
      </c>
      <c r="Q30" s="31">
        <v>12</v>
      </c>
      <c r="R30" s="31">
        <f>12*485</f>
        <v>5820</v>
      </c>
      <c r="S30" s="32">
        <f t="shared" si="20"/>
        <v>485</v>
      </c>
      <c r="T30" s="31">
        <v>0</v>
      </c>
      <c r="V30" s="31">
        <v>12</v>
      </c>
      <c r="W30" s="31">
        <v>5820</v>
      </c>
      <c r="X30" s="32">
        <f t="shared" si="21"/>
        <v>485</v>
      </c>
      <c r="Y30" s="31">
        <v>0</v>
      </c>
      <c r="AA30" s="31">
        <v>12</v>
      </c>
      <c r="AB30" s="31">
        <v>0</v>
      </c>
      <c r="AC30" s="32">
        <f t="shared" si="22"/>
        <v>0</v>
      </c>
      <c r="AD30" s="31">
        <v>0</v>
      </c>
      <c r="AF30" s="31">
        <v>12</v>
      </c>
      <c r="AG30" s="31">
        <v>5820</v>
      </c>
      <c r="AH30" s="32">
        <f t="shared" si="23"/>
        <v>485</v>
      </c>
      <c r="AI30" s="31">
        <v>0</v>
      </c>
      <c r="AK30" s="31">
        <v>0</v>
      </c>
      <c r="AL30" s="31">
        <v>0</v>
      </c>
      <c r="AM30" s="32">
        <f t="shared" si="24"/>
        <v>0</v>
      </c>
      <c r="AN30" s="31">
        <v>0</v>
      </c>
      <c r="AO30" s="21"/>
      <c r="AP30" s="31">
        <v>10</v>
      </c>
      <c r="AQ30" s="31">
        <f>AP30*486</f>
        <v>4860</v>
      </c>
      <c r="AR30" s="32">
        <f t="shared" si="25"/>
        <v>486</v>
      </c>
      <c r="AS30" s="31">
        <v>0</v>
      </c>
      <c r="AU30" s="31">
        <v>17</v>
      </c>
      <c r="AV30" s="31">
        <f>AU30*485</f>
        <v>8245</v>
      </c>
      <c r="AW30" s="32">
        <f t="shared" si="26"/>
        <v>485</v>
      </c>
      <c r="AX30" s="31">
        <v>0</v>
      </c>
      <c r="AZ30" s="31">
        <v>0</v>
      </c>
      <c r="BA30" s="31">
        <v>0</v>
      </c>
      <c r="BB30" s="32">
        <f t="shared" si="27"/>
        <v>0</v>
      </c>
      <c r="BC30" s="31">
        <v>0</v>
      </c>
      <c r="BE30" s="31">
        <v>0</v>
      </c>
      <c r="BF30" s="31">
        <v>0</v>
      </c>
      <c r="BG30" s="32">
        <f t="shared" si="28"/>
        <v>0</v>
      </c>
      <c r="BH30" s="31">
        <v>0</v>
      </c>
      <c r="BI30" s="21"/>
      <c r="BJ30" s="21"/>
      <c r="BK30" s="21"/>
      <c r="BL30" s="21"/>
    </row>
    <row r="31" spans="1:64" ht="15.75" customHeight="1" x14ac:dyDescent="0.2">
      <c r="A31" s="4" t="s">
        <v>88</v>
      </c>
      <c r="B31" s="31">
        <v>6</v>
      </c>
      <c r="C31" s="31">
        <v>1182</v>
      </c>
      <c r="D31" s="32">
        <f t="shared" si="17"/>
        <v>197</v>
      </c>
      <c r="E31" s="31">
        <v>1</v>
      </c>
      <c r="G31" s="31">
        <v>9</v>
      </c>
      <c r="H31" s="31">
        <v>1773</v>
      </c>
      <c r="I31" s="32">
        <f t="shared" si="18"/>
        <v>197</v>
      </c>
      <c r="J31" s="31">
        <v>0</v>
      </c>
      <c r="L31" s="31">
        <v>8</v>
      </c>
      <c r="M31" s="31">
        <v>1576</v>
      </c>
      <c r="N31" s="32">
        <f t="shared" si="19"/>
        <v>197</v>
      </c>
      <c r="O31" s="31">
        <v>0</v>
      </c>
      <c r="Q31" s="31">
        <v>12</v>
      </c>
      <c r="R31" s="31">
        <f>12*197</f>
        <v>2364</v>
      </c>
      <c r="S31" s="32">
        <f t="shared" si="20"/>
        <v>197</v>
      </c>
      <c r="T31" s="31">
        <v>0</v>
      </c>
      <c r="V31" s="31">
        <v>16</v>
      </c>
      <c r="W31" s="31">
        <v>3152</v>
      </c>
      <c r="X31" s="32">
        <f t="shared" si="21"/>
        <v>197</v>
      </c>
      <c r="Y31" s="31">
        <v>0</v>
      </c>
      <c r="AA31" s="31">
        <v>12</v>
      </c>
      <c r="AB31" s="31">
        <v>0</v>
      </c>
      <c r="AC31" s="32">
        <f t="shared" si="22"/>
        <v>0</v>
      </c>
      <c r="AD31" s="31">
        <v>0</v>
      </c>
      <c r="AF31" s="31">
        <v>16</v>
      </c>
      <c r="AG31" s="31">
        <v>3152</v>
      </c>
      <c r="AH31" s="32">
        <f t="shared" si="23"/>
        <v>197</v>
      </c>
      <c r="AI31" s="31">
        <v>0</v>
      </c>
      <c r="AK31" s="31">
        <v>0</v>
      </c>
      <c r="AL31" s="31">
        <v>0</v>
      </c>
      <c r="AM31" s="32">
        <f t="shared" si="24"/>
        <v>0</v>
      </c>
      <c r="AN31" s="31">
        <v>0</v>
      </c>
      <c r="AO31" s="21"/>
      <c r="AP31" s="31">
        <v>14</v>
      </c>
      <c r="AQ31" s="31">
        <f>AP31*198</f>
        <v>2772</v>
      </c>
      <c r="AR31" s="32">
        <f t="shared" si="25"/>
        <v>198</v>
      </c>
      <c r="AS31" s="31">
        <v>0</v>
      </c>
      <c r="AU31" s="31">
        <v>10</v>
      </c>
      <c r="AV31" s="31">
        <f>AU31*197</f>
        <v>1970</v>
      </c>
      <c r="AW31" s="32">
        <f t="shared" si="26"/>
        <v>197</v>
      </c>
      <c r="AX31" s="31">
        <v>0</v>
      </c>
      <c r="AZ31" s="31">
        <v>0</v>
      </c>
      <c r="BA31" s="31">
        <v>0</v>
      </c>
      <c r="BB31" s="32">
        <f t="shared" si="27"/>
        <v>0</v>
      </c>
      <c r="BC31" s="31">
        <v>0</v>
      </c>
      <c r="BE31" s="31">
        <v>0</v>
      </c>
      <c r="BF31" s="31">
        <v>0</v>
      </c>
      <c r="BG31" s="32">
        <f t="shared" si="28"/>
        <v>0</v>
      </c>
      <c r="BH31" s="31">
        <v>0</v>
      </c>
      <c r="BI31" s="21"/>
      <c r="BJ31" s="21"/>
      <c r="BK31" s="21"/>
      <c r="BL31" s="21"/>
    </row>
    <row r="32" spans="1:64" ht="15.75" customHeight="1" x14ac:dyDescent="0.2">
      <c r="A32" s="4" t="s">
        <v>89</v>
      </c>
      <c r="B32" s="31">
        <v>0</v>
      </c>
      <c r="C32" s="31">
        <v>0</v>
      </c>
      <c r="D32" s="32">
        <f t="shared" si="17"/>
        <v>0</v>
      </c>
      <c r="E32" s="31">
        <v>0</v>
      </c>
      <c r="G32" s="31">
        <v>0</v>
      </c>
      <c r="H32" s="31">
        <v>0</v>
      </c>
      <c r="I32" s="32">
        <f t="shared" si="18"/>
        <v>0</v>
      </c>
      <c r="J32" s="31">
        <v>0</v>
      </c>
      <c r="L32" s="31">
        <v>0</v>
      </c>
      <c r="M32" s="31">
        <v>0</v>
      </c>
      <c r="N32" s="32">
        <f t="shared" si="19"/>
        <v>0</v>
      </c>
      <c r="O32" s="31">
        <v>0</v>
      </c>
      <c r="Q32" s="31">
        <v>0</v>
      </c>
      <c r="R32" s="31">
        <v>0</v>
      </c>
      <c r="S32" s="32">
        <f t="shared" si="20"/>
        <v>0</v>
      </c>
      <c r="T32" s="31">
        <v>0</v>
      </c>
      <c r="V32" s="31">
        <v>0</v>
      </c>
      <c r="W32" s="31">
        <v>0</v>
      </c>
      <c r="X32" s="32">
        <f t="shared" si="21"/>
        <v>0</v>
      </c>
      <c r="Y32" s="31">
        <v>0</v>
      </c>
      <c r="AA32" s="31">
        <v>0</v>
      </c>
      <c r="AB32" s="31">
        <v>0</v>
      </c>
      <c r="AC32" s="32">
        <f t="shared" si="22"/>
        <v>0</v>
      </c>
      <c r="AD32" s="31">
        <v>0</v>
      </c>
      <c r="AF32" s="31">
        <v>0</v>
      </c>
      <c r="AG32" s="31">
        <v>0</v>
      </c>
      <c r="AH32" s="32">
        <f t="shared" si="23"/>
        <v>0</v>
      </c>
      <c r="AI32" s="31">
        <v>0</v>
      </c>
      <c r="AK32" s="31">
        <v>0</v>
      </c>
      <c r="AL32" s="31">
        <v>0</v>
      </c>
      <c r="AM32" s="32">
        <f t="shared" si="24"/>
        <v>0</v>
      </c>
      <c r="AN32" s="31">
        <v>0</v>
      </c>
      <c r="AO32" s="21"/>
      <c r="AP32" s="31">
        <v>0</v>
      </c>
      <c r="AQ32" s="31">
        <v>0</v>
      </c>
      <c r="AR32" s="32">
        <f t="shared" si="25"/>
        <v>0</v>
      </c>
      <c r="AS32" s="31">
        <v>0</v>
      </c>
      <c r="AU32" s="31">
        <v>0</v>
      </c>
      <c r="AV32" s="31">
        <v>0</v>
      </c>
      <c r="AW32" s="32">
        <f t="shared" si="26"/>
        <v>0</v>
      </c>
      <c r="AX32" s="31">
        <v>0</v>
      </c>
      <c r="AZ32" s="31">
        <v>0</v>
      </c>
      <c r="BA32" s="31">
        <v>0</v>
      </c>
      <c r="BB32" s="32">
        <f t="shared" si="27"/>
        <v>0</v>
      </c>
      <c r="BC32" s="31">
        <v>0</v>
      </c>
      <c r="BE32" s="31">
        <v>0</v>
      </c>
      <c r="BF32" s="31">
        <v>0</v>
      </c>
      <c r="BG32" s="32">
        <f t="shared" si="28"/>
        <v>0</v>
      </c>
      <c r="BH32" s="31">
        <v>0</v>
      </c>
      <c r="BI32" s="21"/>
      <c r="BJ32" s="21"/>
      <c r="BK32" s="21"/>
      <c r="BL32" s="21"/>
    </row>
    <row r="33" spans="1:64" ht="15.75" customHeight="1" x14ac:dyDescent="0.2">
      <c r="A33" s="4" t="s">
        <v>90</v>
      </c>
      <c r="B33" s="31">
        <v>100</v>
      </c>
      <c r="C33" s="31">
        <v>13200</v>
      </c>
      <c r="D33" s="32">
        <f t="shared" si="17"/>
        <v>132</v>
      </c>
      <c r="E33" s="31">
        <v>43</v>
      </c>
      <c r="G33" s="31">
        <v>0</v>
      </c>
      <c r="H33" s="31">
        <v>0</v>
      </c>
      <c r="I33" s="32">
        <f t="shared" si="18"/>
        <v>0</v>
      </c>
      <c r="J33" s="31">
        <v>0</v>
      </c>
      <c r="L33" s="31">
        <v>40</v>
      </c>
      <c r="M33" s="31">
        <f>L33*132</f>
        <v>5280</v>
      </c>
      <c r="N33" s="32">
        <f t="shared" si="19"/>
        <v>132</v>
      </c>
      <c r="O33" s="31">
        <v>0</v>
      </c>
      <c r="Q33" s="31">
        <v>90</v>
      </c>
      <c r="R33" s="31">
        <f>Q33*132</f>
        <v>11880</v>
      </c>
      <c r="S33" s="32">
        <f t="shared" si="20"/>
        <v>132</v>
      </c>
      <c r="T33" s="31">
        <v>0</v>
      </c>
      <c r="V33" s="31">
        <v>50</v>
      </c>
      <c r="W33" s="31">
        <v>6600</v>
      </c>
      <c r="X33" s="32">
        <f t="shared" si="21"/>
        <v>132</v>
      </c>
      <c r="Y33" s="31">
        <v>0</v>
      </c>
      <c r="AA33" s="31">
        <v>58</v>
      </c>
      <c r="AB33" s="31">
        <f>6600+960</f>
        <v>7560</v>
      </c>
      <c r="AC33" s="32">
        <f t="shared" si="22"/>
        <v>130.34482758620689</v>
      </c>
      <c r="AD33" s="31">
        <v>0</v>
      </c>
      <c r="AF33" s="31">
        <v>59</v>
      </c>
      <c r="AG33" s="31">
        <v>7788</v>
      </c>
      <c r="AH33" s="32">
        <f t="shared" si="23"/>
        <v>132</v>
      </c>
      <c r="AI33" s="31">
        <v>0</v>
      </c>
      <c r="AK33" s="31">
        <v>50</v>
      </c>
      <c r="AL33" s="31">
        <v>6600</v>
      </c>
      <c r="AM33" s="32">
        <f t="shared" si="24"/>
        <v>132</v>
      </c>
      <c r="AN33" s="31">
        <v>0</v>
      </c>
      <c r="AO33" s="21"/>
      <c r="AP33" s="31">
        <v>50</v>
      </c>
      <c r="AQ33" s="31">
        <v>6600</v>
      </c>
      <c r="AR33" s="32">
        <f t="shared" si="25"/>
        <v>132</v>
      </c>
      <c r="AS33" s="31">
        <v>0</v>
      </c>
      <c r="AU33" s="31">
        <v>50</v>
      </c>
      <c r="AV33" s="31">
        <f>50*132</f>
        <v>6600</v>
      </c>
      <c r="AW33" s="32">
        <f t="shared" si="26"/>
        <v>132</v>
      </c>
      <c r="AX33" s="31">
        <v>0</v>
      </c>
      <c r="AZ33" s="31">
        <v>0</v>
      </c>
      <c r="BA33" s="31">
        <v>0</v>
      </c>
      <c r="BB33" s="32">
        <v>0</v>
      </c>
      <c r="BC33" s="31">
        <v>0</v>
      </c>
      <c r="BE33" s="31">
        <v>50</v>
      </c>
      <c r="BF33" s="31">
        <v>6600</v>
      </c>
      <c r="BG33" s="32">
        <f t="shared" si="28"/>
        <v>132</v>
      </c>
      <c r="BH33" s="31">
        <v>0</v>
      </c>
      <c r="BJ33" s="21"/>
      <c r="BK33" s="21"/>
      <c r="BL33" s="21"/>
    </row>
    <row r="34" spans="1:64" ht="15.75" customHeight="1" x14ac:dyDescent="0.2">
      <c r="A34" s="10" t="s">
        <v>91</v>
      </c>
      <c r="B34" s="29"/>
      <c r="C34" s="29"/>
      <c r="D34" s="30"/>
      <c r="E34" s="29"/>
      <c r="G34" s="29"/>
      <c r="H34" s="30"/>
      <c r="I34" s="30"/>
      <c r="J34" s="29"/>
      <c r="L34" s="29"/>
      <c r="M34" s="30"/>
      <c r="N34" s="30"/>
      <c r="O34" s="29"/>
      <c r="Q34" s="29"/>
      <c r="R34" s="30"/>
      <c r="S34" s="30"/>
      <c r="T34" s="29"/>
      <c r="V34" s="29"/>
      <c r="W34" s="30"/>
      <c r="X34" s="30"/>
      <c r="Y34" s="29"/>
      <c r="AA34" s="29"/>
      <c r="AB34" s="30"/>
      <c r="AC34" s="30"/>
      <c r="AD34" s="29"/>
      <c r="AF34" s="29"/>
      <c r="AG34" s="30"/>
      <c r="AH34" s="30"/>
      <c r="AI34" s="29"/>
      <c r="AK34" s="29"/>
      <c r="AL34" s="30"/>
      <c r="AM34" s="30"/>
      <c r="AN34" s="29"/>
      <c r="AO34" s="21"/>
      <c r="AP34" s="29"/>
      <c r="AQ34" s="30"/>
      <c r="AR34" s="30"/>
      <c r="AS34" s="29"/>
      <c r="AU34" s="29"/>
      <c r="AV34" s="30"/>
      <c r="AW34" s="30"/>
      <c r="AX34" s="29"/>
      <c r="AZ34" s="29"/>
      <c r="BA34" s="30"/>
      <c r="BB34" s="30"/>
      <c r="BC34" s="29"/>
      <c r="BE34" s="29"/>
      <c r="BF34" s="30"/>
      <c r="BG34" s="30"/>
      <c r="BH34" s="29"/>
      <c r="BI34" s="21"/>
      <c r="BJ34" s="21"/>
      <c r="BK34" s="21"/>
      <c r="BL34" s="21"/>
    </row>
    <row r="35" spans="1:64" ht="15.75" customHeight="1" x14ac:dyDescent="0.2">
      <c r="A35" s="4" t="s">
        <v>92</v>
      </c>
      <c r="B35" s="31">
        <v>2</v>
      </c>
      <c r="C35" s="31">
        <v>640</v>
      </c>
      <c r="D35" s="32">
        <f t="shared" ref="D35:D61" si="30">IFERROR(C35/B35,0)</f>
        <v>320</v>
      </c>
      <c r="E35" s="31">
        <v>0</v>
      </c>
      <c r="G35" s="31">
        <v>2</v>
      </c>
      <c r="H35" s="31">
        <v>600</v>
      </c>
      <c r="I35" s="32">
        <f t="shared" ref="I35:I61" si="31">IFERROR(H35/G35,0)</f>
        <v>300</v>
      </c>
      <c r="J35" s="31">
        <v>0</v>
      </c>
      <c r="L35" s="31">
        <v>2</v>
      </c>
      <c r="M35" s="31">
        <v>600</v>
      </c>
      <c r="N35" s="32">
        <f t="shared" ref="N35:N61" si="32">IFERROR(M35/L35,0)</f>
        <v>300</v>
      </c>
      <c r="O35" s="31">
        <v>0</v>
      </c>
      <c r="Q35" s="31">
        <v>2</v>
      </c>
      <c r="R35" s="31">
        <v>0</v>
      </c>
      <c r="S35" s="32">
        <f t="shared" ref="S35:S61" si="33">IFERROR(R35/Q35,0)</f>
        <v>0</v>
      </c>
      <c r="T35" s="31">
        <v>0</v>
      </c>
      <c r="V35" s="31">
        <v>2</v>
      </c>
      <c r="W35" s="31">
        <v>0</v>
      </c>
      <c r="X35" s="32">
        <f t="shared" ref="X35:X61" si="34">IFERROR(W35/V35,0)</f>
        <v>0</v>
      </c>
      <c r="Y35" s="31">
        <v>0</v>
      </c>
      <c r="AA35" s="31">
        <v>2</v>
      </c>
      <c r="AB35" s="31">
        <v>600</v>
      </c>
      <c r="AC35" s="32">
        <f t="shared" ref="AC35:AC61" si="35">IFERROR(AB35/AA35,0)</f>
        <v>300</v>
      </c>
      <c r="AD35" s="31">
        <v>0</v>
      </c>
      <c r="AF35" s="31">
        <v>2</v>
      </c>
      <c r="AG35" s="31">
        <v>620</v>
      </c>
      <c r="AH35" s="32">
        <f t="shared" ref="AH35:AH61" si="36">IFERROR(AG35/AF35,0)</f>
        <v>310</v>
      </c>
      <c r="AI35" s="31">
        <v>0</v>
      </c>
      <c r="AK35" s="31">
        <v>2</v>
      </c>
      <c r="AL35" s="31">
        <v>660</v>
      </c>
      <c r="AM35" s="32">
        <f t="shared" ref="AM35:AM61" si="37">IFERROR(AL35/AK35,0)</f>
        <v>330</v>
      </c>
      <c r="AN35" s="31">
        <v>0</v>
      </c>
      <c r="AO35" s="21"/>
      <c r="AP35" s="31">
        <v>2</v>
      </c>
      <c r="AQ35" s="31">
        <v>640</v>
      </c>
      <c r="AR35" s="32">
        <f t="shared" ref="AR35:AR61" si="38">IFERROR(AQ35/AP35,0)</f>
        <v>320</v>
      </c>
      <c r="AS35" s="31">
        <v>0</v>
      </c>
      <c r="AU35" s="31">
        <v>2</v>
      </c>
      <c r="AV35" s="31">
        <v>680</v>
      </c>
      <c r="AW35" s="32">
        <f t="shared" ref="AW35:AW61" si="39">IFERROR(AV35/AU35,0)</f>
        <v>340</v>
      </c>
      <c r="AX35" s="31">
        <v>0</v>
      </c>
      <c r="AZ35" s="31">
        <v>0</v>
      </c>
      <c r="BA35" s="31">
        <v>0</v>
      </c>
      <c r="BB35" s="32">
        <f t="shared" ref="BB35:BB61" si="40">IFERROR(BA35/AZ35,0)</f>
        <v>0</v>
      </c>
      <c r="BC35" s="31">
        <v>0</v>
      </c>
      <c r="BE35" s="31">
        <v>2</v>
      </c>
      <c r="BF35" s="31">
        <v>0</v>
      </c>
      <c r="BG35" s="32">
        <f t="shared" ref="BG35:BG61" si="41">IFERROR(BF35/BE35,0)</f>
        <v>0</v>
      </c>
      <c r="BH35" s="31">
        <v>0</v>
      </c>
      <c r="BI35" s="21"/>
      <c r="BJ35" s="21"/>
      <c r="BK35" s="21"/>
      <c r="BL35" s="21"/>
    </row>
    <row r="36" spans="1:64" ht="15.75" customHeight="1" x14ac:dyDescent="0.2">
      <c r="A36" s="4" t="s">
        <v>93</v>
      </c>
      <c r="B36" s="31">
        <v>4</v>
      </c>
      <c r="C36" s="31">
        <v>3080</v>
      </c>
      <c r="D36" s="32">
        <f t="shared" si="30"/>
        <v>770</v>
      </c>
      <c r="E36" s="31">
        <v>0</v>
      </c>
      <c r="G36" s="31">
        <v>7</v>
      </c>
      <c r="H36" s="31">
        <v>4970</v>
      </c>
      <c r="I36" s="32">
        <f t="shared" si="31"/>
        <v>710</v>
      </c>
      <c r="J36" s="31">
        <v>2</v>
      </c>
      <c r="L36" s="31">
        <v>5</v>
      </c>
      <c r="M36" s="31">
        <v>3750</v>
      </c>
      <c r="N36" s="32">
        <f t="shared" si="32"/>
        <v>750</v>
      </c>
      <c r="O36" s="31">
        <v>0</v>
      </c>
      <c r="Q36" s="31">
        <v>8</v>
      </c>
      <c r="R36" s="31">
        <v>5920</v>
      </c>
      <c r="S36" s="32">
        <f t="shared" si="33"/>
        <v>740</v>
      </c>
      <c r="T36" s="31">
        <v>0</v>
      </c>
      <c r="V36" s="31">
        <v>10</v>
      </c>
      <c r="W36" s="31">
        <v>7500</v>
      </c>
      <c r="X36" s="32">
        <f t="shared" si="34"/>
        <v>750</v>
      </c>
      <c r="Y36" s="31">
        <v>0</v>
      </c>
      <c r="AA36" s="31">
        <v>6</v>
      </c>
      <c r="AB36" s="31">
        <v>4475</v>
      </c>
      <c r="AC36" s="32">
        <f t="shared" si="35"/>
        <v>745.83333333333337</v>
      </c>
      <c r="AD36" s="31">
        <v>0.5</v>
      </c>
      <c r="AF36" s="31">
        <v>6</v>
      </c>
      <c r="AG36" s="31">
        <v>4320</v>
      </c>
      <c r="AH36" s="32">
        <f t="shared" si="36"/>
        <v>720</v>
      </c>
      <c r="AI36" s="31">
        <v>0</v>
      </c>
      <c r="AK36" s="31">
        <f>10+0.1</f>
        <v>10.1</v>
      </c>
      <c r="AL36" s="31">
        <f>7100+90</f>
        <v>7190</v>
      </c>
      <c r="AM36" s="32">
        <f t="shared" si="37"/>
        <v>711.88118811881191</v>
      </c>
      <c r="AN36" s="31">
        <v>0</v>
      </c>
      <c r="AO36" s="21"/>
      <c r="AP36" s="31">
        <v>10</v>
      </c>
      <c r="AQ36" s="31">
        <v>7100</v>
      </c>
      <c r="AR36" s="32">
        <f t="shared" si="38"/>
        <v>710</v>
      </c>
      <c r="AS36" s="31">
        <v>3</v>
      </c>
      <c r="AU36" s="31">
        <v>10</v>
      </c>
      <c r="AV36" s="31">
        <v>7100</v>
      </c>
      <c r="AW36" s="32">
        <f t="shared" si="39"/>
        <v>710</v>
      </c>
      <c r="AX36" s="31">
        <v>7.5</v>
      </c>
      <c r="AZ36" s="31">
        <v>2</v>
      </c>
      <c r="BA36" s="31">
        <v>0</v>
      </c>
      <c r="BB36" s="32">
        <f t="shared" si="40"/>
        <v>0</v>
      </c>
      <c r="BC36" s="31">
        <v>0.5</v>
      </c>
      <c r="BE36" s="31">
        <v>10</v>
      </c>
      <c r="BF36" s="31">
        <v>7100</v>
      </c>
      <c r="BG36" s="32">
        <f t="shared" si="41"/>
        <v>710</v>
      </c>
      <c r="BH36" s="31">
        <v>8</v>
      </c>
      <c r="BI36" s="21"/>
      <c r="BJ36" s="21"/>
      <c r="BK36" s="21"/>
      <c r="BL36" s="21"/>
    </row>
    <row r="37" spans="1:64" ht="15.75" customHeight="1" x14ac:dyDescent="0.2">
      <c r="A37" s="4" t="s">
        <v>94</v>
      </c>
      <c r="B37" s="31">
        <v>0</v>
      </c>
      <c r="C37" s="31">
        <v>0</v>
      </c>
      <c r="D37" s="32">
        <f t="shared" si="30"/>
        <v>0</v>
      </c>
      <c r="E37" s="31">
        <v>1</v>
      </c>
      <c r="G37" s="31">
        <v>1</v>
      </c>
      <c r="H37" s="31">
        <v>250</v>
      </c>
      <c r="I37" s="32">
        <f t="shared" si="31"/>
        <v>250</v>
      </c>
      <c r="J37" s="31">
        <v>1.5</v>
      </c>
      <c r="L37" s="31">
        <v>0</v>
      </c>
      <c r="M37" s="31">
        <v>0</v>
      </c>
      <c r="N37" s="32">
        <f t="shared" si="32"/>
        <v>0</v>
      </c>
      <c r="O37" s="31">
        <v>0</v>
      </c>
      <c r="Q37" s="31">
        <v>1</v>
      </c>
      <c r="R37" s="31">
        <v>250</v>
      </c>
      <c r="S37" s="32">
        <f t="shared" si="33"/>
        <v>250</v>
      </c>
      <c r="T37" s="31">
        <v>0.5</v>
      </c>
      <c r="V37" s="31">
        <v>1</v>
      </c>
      <c r="W37" s="31">
        <v>240</v>
      </c>
      <c r="X37" s="32">
        <f t="shared" si="34"/>
        <v>240</v>
      </c>
      <c r="Y37" s="31">
        <v>0.5</v>
      </c>
      <c r="AA37" s="31">
        <v>1</v>
      </c>
      <c r="AB37" s="31">
        <v>220</v>
      </c>
      <c r="AC37" s="32">
        <f t="shared" si="35"/>
        <v>220</v>
      </c>
      <c r="AD37" s="31">
        <v>0</v>
      </c>
      <c r="AF37" s="31">
        <v>1.5</v>
      </c>
      <c r="AG37" s="31">
        <v>360</v>
      </c>
      <c r="AH37" s="32">
        <f t="shared" si="36"/>
        <v>240</v>
      </c>
      <c r="AI37" s="31">
        <v>0</v>
      </c>
      <c r="AK37" s="31">
        <v>2</v>
      </c>
      <c r="AL37" s="31">
        <v>450</v>
      </c>
      <c r="AM37" s="32">
        <f t="shared" si="37"/>
        <v>225</v>
      </c>
      <c r="AN37" s="31">
        <v>0</v>
      </c>
      <c r="AO37" s="21"/>
      <c r="AP37" s="31">
        <v>2</v>
      </c>
      <c r="AQ37" s="31">
        <v>460</v>
      </c>
      <c r="AR37" s="32">
        <f t="shared" si="38"/>
        <v>230</v>
      </c>
      <c r="AS37" s="31">
        <v>2</v>
      </c>
      <c r="AU37" s="31">
        <v>0</v>
      </c>
      <c r="AV37" s="31">
        <v>0</v>
      </c>
      <c r="AW37" s="32">
        <f t="shared" si="39"/>
        <v>0</v>
      </c>
      <c r="AX37" s="31">
        <v>1</v>
      </c>
      <c r="AZ37" s="31">
        <v>0</v>
      </c>
      <c r="BA37" s="31">
        <v>0</v>
      </c>
      <c r="BB37" s="32">
        <f t="shared" si="40"/>
        <v>0</v>
      </c>
      <c r="BC37" s="31">
        <v>1</v>
      </c>
      <c r="BE37" s="31">
        <v>0</v>
      </c>
      <c r="BF37" s="31">
        <v>0</v>
      </c>
      <c r="BG37" s="32">
        <f t="shared" si="41"/>
        <v>0</v>
      </c>
      <c r="BH37" s="31">
        <v>0.5</v>
      </c>
      <c r="BI37" s="21"/>
      <c r="BJ37" s="21"/>
      <c r="BK37" s="21"/>
      <c r="BL37" s="21"/>
    </row>
    <row r="38" spans="1:64" ht="15.75" customHeight="1" x14ac:dyDescent="0.2">
      <c r="A38" s="4" t="s">
        <v>95</v>
      </c>
      <c r="B38" s="31">
        <v>0</v>
      </c>
      <c r="C38" s="31">
        <v>0</v>
      </c>
      <c r="D38" s="32">
        <f t="shared" si="30"/>
        <v>0</v>
      </c>
      <c r="E38" s="31">
        <v>0.5</v>
      </c>
      <c r="G38" s="31">
        <v>1</v>
      </c>
      <c r="H38" s="31">
        <v>330</v>
      </c>
      <c r="I38" s="32">
        <f t="shared" si="31"/>
        <v>330</v>
      </c>
      <c r="J38" s="31">
        <v>0.7</v>
      </c>
      <c r="L38" s="31">
        <v>1</v>
      </c>
      <c r="M38" s="31">
        <v>280</v>
      </c>
      <c r="N38" s="32">
        <f t="shared" si="32"/>
        <v>280</v>
      </c>
      <c r="O38" s="31">
        <v>0</v>
      </c>
      <c r="Q38" s="31">
        <v>0.2</v>
      </c>
      <c r="R38" s="31">
        <v>75</v>
      </c>
      <c r="S38" s="32">
        <f t="shared" si="33"/>
        <v>375</v>
      </c>
      <c r="T38" s="31">
        <v>0</v>
      </c>
      <c r="V38" s="31">
        <v>2</v>
      </c>
      <c r="W38" s="31">
        <v>700</v>
      </c>
      <c r="X38" s="32">
        <f t="shared" si="34"/>
        <v>350</v>
      </c>
      <c r="Y38" s="31">
        <v>0.4</v>
      </c>
      <c r="AA38" s="31">
        <v>1</v>
      </c>
      <c r="AB38" s="31">
        <v>320</v>
      </c>
      <c r="AC38" s="32">
        <f t="shared" si="35"/>
        <v>320</v>
      </c>
      <c r="AD38" s="31">
        <v>1</v>
      </c>
      <c r="AF38" s="31">
        <v>0.5</v>
      </c>
      <c r="AG38" s="31">
        <v>180</v>
      </c>
      <c r="AH38" s="32">
        <f t="shared" si="36"/>
        <v>360</v>
      </c>
      <c r="AI38" s="31">
        <v>0.4</v>
      </c>
      <c r="AK38" s="31">
        <v>1.6</v>
      </c>
      <c r="AL38" s="31">
        <v>450</v>
      </c>
      <c r="AM38" s="32">
        <f t="shared" si="37"/>
        <v>281.25</v>
      </c>
      <c r="AN38" s="31">
        <v>0.9</v>
      </c>
      <c r="AO38" s="21"/>
      <c r="AP38" s="31">
        <v>1</v>
      </c>
      <c r="AQ38" s="31">
        <v>380</v>
      </c>
      <c r="AR38" s="32">
        <f t="shared" si="38"/>
        <v>380</v>
      </c>
      <c r="AS38" s="31">
        <v>1</v>
      </c>
      <c r="AU38" s="31">
        <v>0</v>
      </c>
      <c r="AV38" s="31">
        <v>0</v>
      </c>
      <c r="AW38" s="32">
        <f t="shared" si="39"/>
        <v>0</v>
      </c>
      <c r="AX38" s="31">
        <v>1.1000000000000001</v>
      </c>
      <c r="AZ38" s="31">
        <v>0</v>
      </c>
      <c r="BA38" s="31">
        <v>0</v>
      </c>
      <c r="BB38" s="32">
        <f t="shared" si="40"/>
        <v>0</v>
      </c>
      <c r="BC38" s="31">
        <v>1</v>
      </c>
      <c r="BE38" s="31">
        <v>0</v>
      </c>
      <c r="BF38" s="31">
        <v>0</v>
      </c>
      <c r="BG38" s="32">
        <f t="shared" si="41"/>
        <v>0</v>
      </c>
      <c r="BH38" s="31">
        <v>0.9</v>
      </c>
      <c r="BI38" s="21"/>
      <c r="BJ38" s="21"/>
      <c r="BK38" s="21"/>
      <c r="BL38" s="21"/>
    </row>
    <row r="39" spans="1:64" ht="15.75" customHeight="1" x14ac:dyDescent="0.2">
      <c r="A39" s="4" t="s">
        <v>96</v>
      </c>
      <c r="B39" s="31">
        <v>1</v>
      </c>
      <c r="C39" s="31">
        <v>190</v>
      </c>
      <c r="D39" s="32">
        <f t="shared" si="30"/>
        <v>190</v>
      </c>
      <c r="E39" s="31">
        <v>0</v>
      </c>
      <c r="G39" s="31">
        <v>1</v>
      </c>
      <c r="H39" s="31">
        <v>250</v>
      </c>
      <c r="I39" s="32">
        <f t="shared" si="31"/>
        <v>250</v>
      </c>
      <c r="J39" s="31">
        <v>0</v>
      </c>
      <c r="L39" s="31">
        <v>1</v>
      </c>
      <c r="M39" s="31">
        <v>280</v>
      </c>
      <c r="N39" s="32">
        <f t="shared" si="32"/>
        <v>280</v>
      </c>
      <c r="O39" s="31">
        <v>0</v>
      </c>
      <c r="Q39" s="31">
        <v>1</v>
      </c>
      <c r="R39" s="31">
        <v>240</v>
      </c>
      <c r="S39" s="32">
        <f t="shared" si="33"/>
        <v>240</v>
      </c>
      <c r="T39" s="31">
        <v>0</v>
      </c>
      <c r="V39" s="31">
        <v>1</v>
      </c>
      <c r="W39" s="31">
        <v>210</v>
      </c>
      <c r="X39" s="32">
        <f t="shared" si="34"/>
        <v>210</v>
      </c>
      <c r="Y39" s="31">
        <v>0</v>
      </c>
      <c r="AA39" s="31">
        <v>1</v>
      </c>
      <c r="AB39" s="31">
        <v>200</v>
      </c>
      <c r="AC39" s="32">
        <f t="shared" si="35"/>
        <v>200</v>
      </c>
      <c r="AD39" s="31">
        <v>0</v>
      </c>
      <c r="AF39" s="31">
        <f t="shared" ref="AF39:AF40" si="42">1+1</f>
        <v>2</v>
      </c>
      <c r="AG39" s="31">
        <f>230+180</f>
        <v>410</v>
      </c>
      <c r="AH39" s="32">
        <f t="shared" si="36"/>
        <v>205</v>
      </c>
      <c r="AI39" s="31">
        <v>0</v>
      </c>
      <c r="AK39" s="31">
        <v>1</v>
      </c>
      <c r="AL39" s="31">
        <v>225</v>
      </c>
      <c r="AM39" s="32">
        <f t="shared" si="37"/>
        <v>225</v>
      </c>
      <c r="AN39" s="31">
        <v>0</v>
      </c>
      <c r="AO39" s="21"/>
      <c r="AP39" s="31">
        <v>1</v>
      </c>
      <c r="AQ39" s="31">
        <v>200</v>
      </c>
      <c r="AR39" s="32">
        <f t="shared" si="38"/>
        <v>200</v>
      </c>
      <c r="AS39" s="31">
        <v>0</v>
      </c>
      <c r="AU39" s="31">
        <v>1</v>
      </c>
      <c r="AV39" s="31">
        <v>220</v>
      </c>
      <c r="AW39" s="32">
        <f t="shared" si="39"/>
        <v>220</v>
      </c>
      <c r="AX39" s="31">
        <v>0</v>
      </c>
      <c r="AZ39" s="31">
        <v>1</v>
      </c>
      <c r="BA39" s="31">
        <v>230</v>
      </c>
      <c r="BB39" s="32">
        <f t="shared" si="40"/>
        <v>230</v>
      </c>
      <c r="BC39" s="31">
        <v>0</v>
      </c>
      <c r="BE39" s="31">
        <v>1</v>
      </c>
      <c r="BF39" s="31">
        <v>200</v>
      </c>
      <c r="BG39" s="32">
        <f t="shared" si="41"/>
        <v>200</v>
      </c>
      <c r="BH39" s="31">
        <v>0</v>
      </c>
      <c r="BI39" s="21"/>
      <c r="BJ39" s="21"/>
      <c r="BK39" s="21"/>
      <c r="BL39" s="21"/>
    </row>
    <row r="40" spans="1:64" ht="15.75" customHeight="1" x14ac:dyDescent="0.2">
      <c r="A40" s="4" t="s">
        <v>97</v>
      </c>
      <c r="B40" s="31">
        <v>1</v>
      </c>
      <c r="C40" s="31">
        <v>650</v>
      </c>
      <c r="D40" s="32">
        <f t="shared" si="30"/>
        <v>650</v>
      </c>
      <c r="E40" s="31">
        <v>0</v>
      </c>
      <c r="G40" s="31">
        <v>1</v>
      </c>
      <c r="H40" s="31">
        <v>630</v>
      </c>
      <c r="I40" s="32">
        <f t="shared" si="31"/>
        <v>630</v>
      </c>
      <c r="J40" s="31">
        <v>0</v>
      </c>
      <c r="L40" s="31">
        <v>1</v>
      </c>
      <c r="M40" s="31">
        <v>630</v>
      </c>
      <c r="N40" s="32">
        <f t="shared" si="32"/>
        <v>630</v>
      </c>
      <c r="O40" s="31">
        <v>0</v>
      </c>
      <c r="Q40" s="31">
        <v>1</v>
      </c>
      <c r="R40" s="31">
        <v>630</v>
      </c>
      <c r="S40" s="32">
        <f t="shared" si="33"/>
        <v>630</v>
      </c>
      <c r="T40" s="31">
        <v>0</v>
      </c>
      <c r="V40" s="31">
        <v>1</v>
      </c>
      <c r="W40" s="31">
        <v>660</v>
      </c>
      <c r="X40" s="32">
        <f t="shared" si="34"/>
        <v>660</v>
      </c>
      <c r="Y40" s="31">
        <v>0</v>
      </c>
      <c r="AA40" s="31">
        <v>1</v>
      </c>
      <c r="AB40" s="31">
        <v>770</v>
      </c>
      <c r="AC40" s="32">
        <f t="shared" si="35"/>
        <v>770</v>
      </c>
      <c r="AD40" s="31">
        <v>0</v>
      </c>
      <c r="AF40" s="31">
        <f t="shared" si="42"/>
        <v>2</v>
      </c>
      <c r="AG40" s="31">
        <f>760+662</f>
        <v>1422</v>
      </c>
      <c r="AH40" s="32">
        <f t="shared" si="36"/>
        <v>711</v>
      </c>
      <c r="AI40" s="31">
        <v>0</v>
      </c>
      <c r="AK40" s="31">
        <v>1</v>
      </c>
      <c r="AL40" s="31">
        <v>760</v>
      </c>
      <c r="AM40" s="32">
        <f t="shared" si="37"/>
        <v>760</v>
      </c>
      <c r="AN40" s="31">
        <v>0</v>
      </c>
      <c r="AO40" s="21"/>
      <c r="AP40" s="31">
        <v>1</v>
      </c>
      <c r="AQ40" s="31">
        <v>750</v>
      </c>
      <c r="AR40" s="32">
        <f t="shared" si="38"/>
        <v>750</v>
      </c>
      <c r="AS40" s="31">
        <v>0</v>
      </c>
      <c r="AU40" s="31">
        <v>1</v>
      </c>
      <c r="AV40" s="31">
        <v>790</v>
      </c>
      <c r="AW40" s="32">
        <f t="shared" si="39"/>
        <v>790</v>
      </c>
      <c r="AX40" s="31">
        <v>0</v>
      </c>
      <c r="AZ40" s="31">
        <v>1</v>
      </c>
      <c r="BA40" s="31">
        <v>680</v>
      </c>
      <c r="BB40" s="32">
        <f t="shared" si="40"/>
        <v>680</v>
      </c>
      <c r="BC40" s="31">
        <v>0</v>
      </c>
      <c r="BE40" s="31">
        <v>1</v>
      </c>
      <c r="BF40" s="31">
        <v>750</v>
      </c>
      <c r="BG40" s="32">
        <f t="shared" si="41"/>
        <v>750</v>
      </c>
      <c r="BH40" s="31">
        <v>0</v>
      </c>
      <c r="BI40" s="21"/>
      <c r="BJ40" s="21"/>
      <c r="BK40" s="21"/>
      <c r="BL40" s="21"/>
    </row>
    <row r="41" spans="1:64" ht="15.75" customHeight="1" x14ac:dyDescent="0.2">
      <c r="A41" s="4" t="s">
        <v>98</v>
      </c>
      <c r="B41" s="31">
        <v>0</v>
      </c>
      <c r="C41" s="31">
        <v>0</v>
      </c>
      <c r="D41" s="32">
        <f t="shared" si="30"/>
        <v>0</v>
      </c>
      <c r="E41" s="31">
        <v>0</v>
      </c>
      <c r="G41" s="31">
        <v>0.1</v>
      </c>
      <c r="H41" s="31">
        <v>130</v>
      </c>
      <c r="I41" s="32">
        <f t="shared" si="31"/>
        <v>1300</v>
      </c>
      <c r="J41" s="31">
        <v>0</v>
      </c>
      <c r="L41" s="31">
        <v>0.1</v>
      </c>
      <c r="M41" s="31">
        <v>130</v>
      </c>
      <c r="N41" s="32">
        <f t="shared" si="32"/>
        <v>1300</v>
      </c>
      <c r="O41" s="31">
        <v>0</v>
      </c>
      <c r="Q41" s="31">
        <v>0.1</v>
      </c>
      <c r="R41" s="31">
        <v>150</v>
      </c>
      <c r="S41" s="32">
        <f t="shared" si="33"/>
        <v>1500</v>
      </c>
      <c r="T41" s="31">
        <v>0</v>
      </c>
      <c r="V41" s="31">
        <v>0.1</v>
      </c>
      <c r="W41" s="31">
        <v>145</v>
      </c>
      <c r="X41" s="32">
        <f t="shared" si="34"/>
        <v>1450</v>
      </c>
      <c r="Y41" s="31">
        <v>0</v>
      </c>
      <c r="AA41" s="31">
        <v>0.1</v>
      </c>
      <c r="AB41" s="31">
        <v>160</v>
      </c>
      <c r="AC41" s="32">
        <f t="shared" si="35"/>
        <v>1600</v>
      </c>
      <c r="AD41" s="31">
        <v>0</v>
      </c>
      <c r="AF41" s="31">
        <f>0.1+0.2</f>
        <v>0.30000000000000004</v>
      </c>
      <c r="AG41" s="31">
        <f>190+360</f>
        <v>550</v>
      </c>
      <c r="AH41" s="32">
        <f t="shared" si="36"/>
        <v>1833.333333333333</v>
      </c>
      <c r="AI41" s="31">
        <v>0</v>
      </c>
      <c r="AK41" s="31">
        <v>0.1</v>
      </c>
      <c r="AL41" s="32">
        <v>220</v>
      </c>
      <c r="AM41" s="32">
        <f t="shared" si="37"/>
        <v>2200</v>
      </c>
      <c r="AN41" s="31">
        <v>0</v>
      </c>
      <c r="AO41" s="21"/>
      <c r="AP41" s="31">
        <v>0.1</v>
      </c>
      <c r="AQ41" s="31">
        <v>200</v>
      </c>
      <c r="AR41" s="32">
        <f t="shared" si="38"/>
        <v>2000</v>
      </c>
      <c r="AS41" s="31">
        <v>0</v>
      </c>
      <c r="AU41" s="31">
        <v>0.1</v>
      </c>
      <c r="AV41" s="31">
        <v>160</v>
      </c>
      <c r="AW41" s="32">
        <f t="shared" si="39"/>
        <v>1600</v>
      </c>
      <c r="AX41" s="31">
        <v>0</v>
      </c>
      <c r="AZ41" s="31">
        <v>0.1</v>
      </c>
      <c r="BA41" s="31">
        <v>200</v>
      </c>
      <c r="BB41" s="32">
        <f t="shared" si="40"/>
        <v>2000</v>
      </c>
      <c r="BC41" s="31">
        <v>0</v>
      </c>
      <c r="BE41" s="31">
        <v>0.1</v>
      </c>
      <c r="BF41" s="31">
        <v>165</v>
      </c>
      <c r="BG41" s="32">
        <f t="shared" si="41"/>
        <v>1650</v>
      </c>
      <c r="BH41" s="31">
        <v>0</v>
      </c>
      <c r="BI41" s="21"/>
      <c r="BJ41" s="21"/>
      <c r="BK41" s="21"/>
      <c r="BL41" s="21"/>
    </row>
    <row r="42" spans="1:64" ht="15.75" customHeight="1" x14ac:dyDescent="0.2">
      <c r="A42" s="4" t="s">
        <v>99</v>
      </c>
      <c r="B42" s="31">
        <v>10</v>
      </c>
      <c r="C42" s="31">
        <v>100</v>
      </c>
      <c r="D42" s="32">
        <f t="shared" si="30"/>
        <v>10</v>
      </c>
      <c r="E42" s="31">
        <v>3</v>
      </c>
      <c r="G42" s="31">
        <v>25</v>
      </c>
      <c r="H42" s="31">
        <v>350</v>
      </c>
      <c r="I42" s="32">
        <f t="shared" si="31"/>
        <v>14</v>
      </c>
      <c r="J42" s="31">
        <v>20</v>
      </c>
      <c r="L42" s="31">
        <v>0</v>
      </c>
      <c r="M42" s="31">
        <v>0</v>
      </c>
      <c r="N42" s="32">
        <f t="shared" si="32"/>
        <v>0</v>
      </c>
      <c r="O42" s="31">
        <v>0</v>
      </c>
      <c r="Q42" s="31">
        <v>10</v>
      </c>
      <c r="R42" s="31">
        <v>150</v>
      </c>
      <c r="S42" s="32">
        <f t="shared" si="33"/>
        <v>15</v>
      </c>
      <c r="T42" s="31">
        <v>9</v>
      </c>
      <c r="V42" s="31">
        <v>12</v>
      </c>
      <c r="W42" s="31">
        <v>170</v>
      </c>
      <c r="X42" s="32">
        <f t="shared" si="34"/>
        <v>14.166666666666666</v>
      </c>
      <c r="Y42" s="31">
        <v>8</v>
      </c>
      <c r="AA42" s="31">
        <v>13</v>
      </c>
      <c r="AB42" s="31">
        <v>195</v>
      </c>
      <c r="AC42" s="32">
        <f t="shared" si="35"/>
        <v>15</v>
      </c>
      <c r="AD42" s="31">
        <v>12</v>
      </c>
      <c r="AF42" s="31">
        <v>10</v>
      </c>
      <c r="AG42" s="31">
        <f>AC42*AF42</f>
        <v>150</v>
      </c>
      <c r="AH42" s="32">
        <f t="shared" si="36"/>
        <v>15</v>
      </c>
      <c r="AI42" s="31">
        <v>10</v>
      </c>
      <c r="AK42" s="31">
        <v>15</v>
      </c>
      <c r="AL42" s="31">
        <v>0</v>
      </c>
      <c r="AM42" s="32">
        <f t="shared" si="37"/>
        <v>0</v>
      </c>
      <c r="AN42" s="31">
        <v>10</v>
      </c>
      <c r="AO42" s="21"/>
      <c r="AP42" s="31">
        <v>15</v>
      </c>
      <c r="AQ42" s="31">
        <v>210</v>
      </c>
      <c r="AR42" s="32">
        <f t="shared" si="38"/>
        <v>14</v>
      </c>
      <c r="AS42" s="31">
        <v>18</v>
      </c>
      <c r="AU42" s="31">
        <v>0</v>
      </c>
      <c r="AV42" s="31">
        <v>0</v>
      </c>
      <c r="AW42" s="32">
        <f t="shared" si="39"/>
        <v>0</v>
      </c>
      <c r="AX42" s="31">
        <v>8</v>
      </c>
      <c r="AZ42" s="31">
        <v>10</v>
      </c>
      <c r="BA42" s="31">
        <v>225</v>
      </c>
      <c r="BB42" s="32">
        <f t="shared" si="40"/>
        <v>22.5</v>
      </c>
      <c r="BC42" s="31">
        <v>10</v>
      </c>
      <c r="BE42" s="31">
        <v>8</v>
      </c>
      <c r="BF42" s="31">
        <v>112</v>
      </c>
      <c r="BG42" s="32">
        <f t="shared" si="41"/>
        <v>14</v>
      </c>
      <c r="BH42" s="31">
        <v>15</v>
      </c>
      <c r="BI42" s="21"/>
      <c r="BJ42" s="21"/>
      <c r="BK42" s="21"/>
      <c r="BL42" s="21"/>
    </row>
    <row r="43" spans="1:64" ht="15.75" customHeight="1" x14ac:dyDescent="0.2">
      <c r="A43" s="4" t="s">
        <v>100</v>
      </c>
      <c r="B43" s="31">
        <v>10</v>
      </c>
      <c r="C43" s="31">
        <v>130</v>
      </c>
      <c r="D43" s="32">
        <f t="shared" si="30"/>
        <v>13</v>
      </c>
      <c r="E43" s="31">
        <v>0</v>
      </c>
      <c r="G43" s="31">
        <v>25</v>
      </c>
      <c r="H43" s="31">
        <v>350</v>
      </c>
      <c r="I43" s="32">
        <f t="shared" si="31"/>
        <v>14</v>
      </c>
      <c r="J43" s="31">
        <v>12</v>
      </c>
      <c r="L43" s="31">
        <v>15</v>
      </c>
      <c r="M43" s="31">
        <v>210</v>
      </c>
      <c r="N43" s="32">
        <f t="shared" si="32"/>
        <v>14</v>
      </c>
      <c r="O43" s="31">
        <v>0</v>
      </c>
      <c r="Q43" s="31">
        <v>17</v>
      </c>
      <c r="R43" s="31">
        <v>238</v>
      </c>
      <c r="S43" s="32">
        <f t="shared" si="33"/>
        <v>14</v>
      </c>
      <c r="T43" s="31">
        <v>10</v>
      </c>
      <c r="V43" s="31">
        <v>15</v>
      </c>
      <c r="W43" s="31">
        <v>210</v>
      </c>
      <c r="X43" s="32">
        <f t="shared" si="34"/>
        <v>14</v>
      </c>
      <c r="Y43" s="31">
        <v>4</v>
      </c>
      <c r="AA43" s="31">
        <v>10</v>
      </c>
      <c r="AB43" s="31">
        <v>140</v>
      </c>
      <c r="AC43" s="32">
        <f t="shared" si="35"/>
        <v>14</v>
      </c>
      <c r="AD43" s="31">
        <v>2</v>
      </c>
      <c r="AF43" s="31">
        <v>22</v>
      </c>
      <c r="AG43" s="31">
        <f>180+120</f>
        <v>300</v>
      </c>
      <c r="AH43" s="32">
        <f t="shared" si="36"/>
        <v>13.636363636363637</v>
      </c>
      <c r="AI43" s="31">
        <v>2</v>
      </c>
      <c r="AK43" s="31">
        <v>30</v>
      </c>
      <c r="AL43" s="31">
        <v>330</v>
      </c>
      <c r="AM43" s="32">
        <f t="shared" si="37"/>
        <v>11</v>
      </c>
      <c r="AN43" s="31">
        <v>2</v>
      </c>
      <c r="AO43" s="21"/>
      <c r="AP43" s="31">
        <v>30</v>
      </c>
      <c r="AQ43" s="31">
        <v>390</v>
      </c>
      <c r="AR43" s="32">
        <f t="shared" si="38"/>
        <v>13</v>
      </c>
      <c r="AS43" s="31">
        <v>13</v>
      </c>
      <c r="AU43" s="31">
        <v>15</v>
      </c>
      <c r="AV43" s="31">
        <v>210</v>
      </c>
      <c r="AW43" s="32">
        <f t="shared" si="39"/>
        <v>14</v>
      </c>
      <c r="AX43" s="31">
        <v>12</v>
      </c>
      <c r="AZ43" s="31">
        <v>15</v>
      </c>
      <c r="BA43" s="31">
        <v>225</v>
      </c>
      <c r="BB43" s="32">
        <f t="shared" si="40"/>
        <v>15</v>
      </c>
      <c r="BC43" s="31">
        <v>12</v>
      </c>
      <c r="BE43" s="31">
        <v>15</v>
      </c>
      <c r="BF43" s="31">
        <v>210</v>
      </c>
      <c r="BG43" s="32">
        <f t="shared" si="41"/>
        <v>14</v>
      </c>
      <c r="BH43" s="31">
        <v>10</v>
      </c>
      <c r="BI43" s="21"/>
      <c r="BJ43" s="21"/>
      <c r="BK43" s="21"/>
      <c r="BL43" s="21"/>
    </row>
    <row r="44" spans="1:64" ht="15.75" customHeight="1" x14ac:dyDescent="0.2">
      <c r="A44" s="4" t="s">
        <v>101</v>
      </c>
      <c r="B44" s="31">
        <v>0.4</v>
      </c>
      <c r="C44" s="31">
        <v>1400</v>
      </c>
      <c r="D44" s="32">
        <f t="shared" si="30"/>
        <v>3500</v>
      </c>
      <c r="E44" s="31">
        <v>0.35</v>
      </c>
      <c r="G44" s="31">
        <v>0.5</v>
      </c>
      <c r="H44" s="31">
        <v>1800</v>
      </c>
      <c r="I44" s="32">
        <f t="shared" si="31"/>
        <v>3600</v>
      </c>
      <c r="J44" s="31">
        <v>0.4</v>
      </c>
      <c r="L44" s="31">
        <v>0.5</v>
      </c>
      <c r="M44" s="31">
        <v>1770</v>
      </c>
      <c r="N44" s="32">
        <f t="shared" si="32"/>
        <v>3540</v>
      </c>
      <c r="O44" s="31">
        <v>0</v>
      </c>
      <c r="Q44" s="31">
        <v>0.6</v>
      </c>
      <c r="R44" s="31">
        <v>1440</v>
      </c>
      <c r="S44" s="32">
        <f t="shared" si="33"/>
        <v>2400</v>
      </c>
      <c r="T44" s="31">
        <v>0</v>
      </c>
      <c r="V44" s="31">
        <v>1</v>
      </c>
      <c r="W44" s="31">
        <v>3300</v>
      </c>
      <c r="X44" s="32">
        <f t="shared" si="34"/>
        <v>3300</v>
      </c>
      <c r="Y44" s="31">
        <v>0.4</v>
      </c>
      <c r="AA44" s="31">
        <v>0.4</v>
      </c>
      <c r="AB44" s="31">
        <v>1320</v>
      </c>
      <c r="AC44" s="32">
        <f t="shared" si="35"/>
        <v>3300</v>
      </c>
      <c r="AD44" s="31">
        <v>0.26</v>
      </c>
      <c r="AF44" s="31">
        <v>0.5</v>
      </c>
      <c r="AG44" s="31">
        <v>1700</v>
      </c>
      <c r="AH44" s="32">
        <f t="shared" si="36"/>
        <v>3400</v>
      </c>
      <c r="AI44" s="31">
        <v>0.2</v>
      </c>
      <c r="AK44" s="31">
        <v>1.5</v>
      </c>
      <c r="AL44" s="31">
        <v>3250</v>
      </c>
      <c r="AM44" s="32">
        <f t="shared" si="37"/>
        <v>2166.6666666666665</v>
      </c>
      <c r="AN44" s="31">
        <v>0.9</v>
      </c>
      <c r="AO44" s="21"/>
      <c r="AP44" s="31">
        <v>0</v>
      </c>
      <c r="AQ44" s="31">
        <v>0</v>
      </c>
      <c r="AR44" s="32">
        <f t="shared" si="38"/>
        <v>0</v>
      </c>
      <c r="AS44" s="31">
        <v>0.75</v>
      </c>
      <c r="AU44" s="31">
        <v>0.5</v>
      </c>
      <c r="AV44" s="31">
        <v>0</v>
      </c>
      <c r="AW44" s="32">
        <f t="shared" si="39"/>
        <v>0</v>
      </c>
      <c r="AX44" s="31">
        <v>0.45</v>
      </c>
      <c r="AZ44" s="31">
        <v>0.5</v>
      </c>
      <c r="BA44" s="31">
        <v>1700</v>
      </c>
      <c r="BB44" s="32">
        <f t="shared" si="40"/>
        <v>3400</v>
      </c>
      <c r="BC44" s="31">
        <v>0.4</v>
      </c>
      <c r="BE44" s="31">
        <v>0.5</v>
      </c>
      <c r="BF44" s="31">
        <v>1700</v>
      </c>
      <c r="BG44" s="32">
        <f t="shared" si="41"/>
        <v>3400</v>
      </c>
      <c r="BH44" s="31">
        <v>0.8</v>
      </c>
      <c r="BI44" s="21"/>
      <c r="BJ44" s="21"/>
      <c r="BK44" s="21"/>
      <c r="BL44" s="21"/>
    </row>
    <row r="45" spans="1:64" ht="15.75" customHeight="1" x14ac:dyDescent="0.2">
      <c r="A45" s="4" t="s">
        <v>102</v>
      </c>
      <c r="B45" s="31">
        <v>0.5</v>
      </c>
      <c r="C45" s="31">
        <v>145</v>
      </c>
      <c r="D45" s="32">
        <f t="shared" si="30"/>
        <v>290</v>
      </c>
      <c r="E45" s="31">
        <v>0.8</v>
      </c>
      <c r="G45" s="31">
        <v>0.5</v>
      </c>
      <c r="H45" s="31">
        <v>450</v>
      </c>
      <c r="I45" s="32">
        <f t="shared" si="31"/>
        <v>900</v>
      </c>
      <c r="J45" s="31">
        <v>1</v>
      </c>
      <c r="L45" s="31">
        <v>0.3</v>
      </c>
      <c r="M45" s="31">
        <v>300</v>
      </c>
      <c r="N45" s="32">
        <f t="shared" si="32"/>
        <v>1000</v>
      </c>
      <c r="O45" s="31">
        <v>0</v>
      </c>
      <c r="Q45" s="31">
        <v>0.2</v>
      </c>
      <c r="R45" s="31">
        <v>200</v>
      </c>
      <c r="S45" s="32">
        <f t="shared" si="33"/>
        <v>1000</v>
      </c>
      <c r="T45" s="31">
        <v>0</v>
      </c>
      <c r="V45" s="31">
        <v>0</v>
      </c>
      <c r="W45" s="31">
        <v>0</v>
      </c>
      <c r="X45" s="32">
        <f t="shared" si="34"/>
        <v>0</v>
      </c>
      <c r="Y45" s="31">
        <v>0.7</v>
      </c>
      <c r="AA45" s="31">
        <v>0</v>
      </c>
      <c r="AB45" s="31">
        <v>0</v>
      </c>
      <c r="AC45" s="32">
        <f t="shared" si="35"/>
        <v>0</v>
      </c>
      <c r="AD45" s="31">
        <v>0.5</v>
      </c>
      <c r="AF45" s="31">
        <v>0.5</v>
      </c>
      <c r="AG45" s="31">
        <v>475</v>
      </c>
      <c r="AH45" s="32">
        <f t="shared" si="36"/>
        <v>950</v>
      </c>
      <c r="AI45" s="31">
        <v>0.5</v>
      </c>
      <c r="AK45" s="31">
        <v>0.5</v>
      </c>
      <c r="AL45" s="31">
        <v>450</v>
      </c>
      <c r="AM45" s="32">
        <f t="shared" si="37"/>
        <v>900</v>
      </c>
      <c r="AN45" s="31">
        <v>0.5</v>
      </c>
      <c r="AO45" s="21"/>
      <c r="AP45" s="31">
        <v>0</v>
      </c>
      <c r="AQ45" s="31">
        <v>0</v>
      </c>
      <c r="AR45" s="32">
        <f t="shared" si="38"/>
        <v>0</v>
      </c>
      <c r="AS45" s="31">
        <v>0.65</v>
      </c>
      <c r="AU45" s="31">
        <v>0</v>
      </c>
      <c r="AV45" s="31">
        <v>0</v>
      </c>
      <c r="AW45" s="32">
        <f t="shared" si="39"/>
        <v>0</v>
      </c>
      <c r="AX45" s="31">
        <v>0.5</v>
      </c>
      <c r="AZ45" s="31">
        <v>0</v>
      </c>
      <c r="BA45" s="31">
        <v>0</v>
      </c>
      <c r="BB45" s="32">
        <f t="shared" si="40"/>
        <v>0</v>
      </c>
      <c r="BC45" s="31">
        <v>0.36</v>
      </c>
      <c r="BE45" s="31">
        <v>0.25</v>
      </c>
      <c r="BF45" s="31">
        <v>250</v>
      </c>
      <c r="BG45" s="32">
        <f t="shared" si="41"/>
        <v>1000</v>
      </c>
      <c r="BH45" s="31">
        <v>0.6</v>
      </c>
      <c r="BI45" s="21"/>
      <c r="BJ45" s="21"/>
      <c r="BK45" s="21"/>
      <c r="BL45" s="21"/>
    </row>
    <row r="46" spans="1:64" ht="15.75" customHeight="1" x14ac:dyDescent="0.2">
      <c r="A46" s="4" t="s">
        <v>103</v>
      </c>
      <c r="B46" s="31">
        <v>0</v>
      </c>
      <c r="C46" s="31">
        <v>0</v>
      </c>
      <c r="D46" s="32">
        <f t="shared" si="30"/>
        <v>0</v>
      </c>
      <c r="E46" s="31">
        <v>0.4</v>
      </c>
      <c r="G46" s="31">
        <v>0.5</v>
      </c>
      <c r="H46" s="31">
        <v>180</v>
      </c>
      <c r="I46" s="32">
        <f t="shared" si="31"/>
        <v>360</v>
      </c>
      <c r="J46" s="31">
        <v>7</v>
      </c>
      <c r="L46" s="31">
        <v>0</v>
      </c>
      <c r="M46" s="31">
        <v>0</v>
      </c>
      <c r="N46" s="32">
        <f t="shared" si="32"/>
        <v>0</v>
      </c>
      <c r="O46" s="31">
        <v>0</v>
      </c>
      <c r="Q46" s="31">
        <v>0.5</v>
      </c>
      <c r="R46" s="31">
        <v>150</v>
      </c>
      <c r="S46" s="32">
        <f t="shared" si="33"/>
        <v>300</v>
      </c>
      <c r="T46" s="31">
        <v>0</v>
      </c>
      <c r="V46" s="31">
        <v>1</v>
      </c>
      <c r="W46" s="31">
        <v>350</v>
      </c>
      <c r="X46" s="32">
        <f t="shared" si="34"/>
        <v>350</v>
      </c>
      <c r="Y46" s="31">
        <v>0.1</v>
      </c>
      <c r="AA46" s="31">
        <v>1</v>
      </c>
      <c r="AB46" s="31">
        <v>350</v>
      </c>
      <c r="AC46" s="32">
        <f t="shared" si="35"/>
        <v>350</v>
      </c>
      <c r="AD46" s="31">
        <v>0.37</v>
      </c>
      <c r="AF46" s="31">
        <v>0.6</v>
      </c>
      <c r="AG46" s="31">
        <v>240</v>
      </c>
      <c r="AH46" s="32">
        <f t="shared" si="36"/>
        <v>400</v>
      </c>
      <c r="AI46" s="31">
        <v>0.3</v>
      </c>
      <c r="AK46" s="31">
        <v>1</v>
      </c>
      <c r="AL46" s="31">
        <v>320</v>
      </c>
      <c r="AM46" s="32">
        <f t="shared" si="37"/>
        <v>320</v>
      </c>
      <c r="AN46" s="31">
        <v>0.4</v>
      </c>
      <c r="AO46" s="21"/>
      <c r="AP46" s="31">
        <v>0.5</v>
      </c>
      <c r="AQ46" s="31">
        <v>155</v>
      </c>
      <c r="AR46" s="32">
        <f t="shared" si="38"/>
        <v>310</v>
      </c>
      <c r="AS46" s="31">
        <v>1.4</v>
      </c>
      <c r="AU46" s="31">
        <v>0</v>
      </c>
      <c r="AV46" s="31">
        <v>0</v>
      </c>
      <c r="AW46" s="32">
        <f t="shared" si="39"/>
        <v>0</v>
      </c>
      <c r="AX46" s="31">
        <v>0.8</v>
      </c>
      <c r="AZ46" s="31">
        <v>0.5</v>
      </c>
      <c r="BA46" s="31">
        <v>220</v>
      </c>
      <c r="BB46" s="32">
        <f t="shared" si="40"/>
        <v>440</v>
      </c>
      <c r="BC46" s="31">
        <v>0.6</v>
      </c>
      <c r="BE46" s="31">
        <v>0.5</v>
      </c>
      <c r="BF46" s="31">
        <v>200</v>
      </c>
      <c r="BG46" s="32">
        <f t="shared" si="41"/>
        <v>400</v>
      </c>
      <c r="BH46" s="31">
        <v>0.9</v>
      </c>
      <c r="BI46" s="21"/>
      <c r="BJ46" s="21"/>
      <c r="BK46" s="21"/>
      <c r="BL46" s="21"/>
    </row>
    <row r="47" spans="1:64" ht="15.75" customHeight="1" x14ac:dyDescent="0.2">
      <c r="A47" s="4" t="s">
        <v>104</v>
      </c>
      <c r="B47" s="31">
        <v>0</v>
      </c>
      <c r="C47" s="31">
        <v>0</v>
      </c>
      <c r="D47" s="32">
        <f t="shared" si="30"/>
        <v>0</v>
      </c>
      <c r="E47" s="31">
        <v>0.1</v>
      </c>
      <c r="G47" s="31">
        <v>1</v>
      </c>
      <c r="H47" s="31">
        <v>550</v>
      </c>
      <c r="I47" s="32">
        <f t="shared" si="31"/>
        <v>550</v>
      </c>
      <c r="J47" s="31">
        <v>0.8</v>
      </c>
      <c r="L47" s="31">
        <v>0</v>
      </c>
      <c r="M47" s="31">
        <v>0</v>
      </c>
      <c r="N47" s="32">
        <f t="shared" si="32"/>
        <v>0</v>
      </c>
      <c r="O47" s="31">
        <v>0</v>
      </c>
      <c r="Q47" s="31">
        <v>0.3</v>
      </c>
      <c r="R47" s="31">
        <v>255</v>
      </c>
      <c r="S47" s="32">
        <f t="shared" si="33"/>
        <v>850</v>
      </c>
      <c r="T47" s="31">
        <v>0</v>
      </c>
      <c r="V47" s="31">
        <v>0.4</v>
      </c>
      <c r="W47" s="31">
        <v>340</v>
      </c>
      <c r="X47" s="32">
        <f t="shared" si="34"/>
        <v>850</v>
      </c>
      <c r="Y47" s="31">
        <v>0.4</v>
      </c>
      <c r="AA47" s="31">
        <v>0</v>
      </c>
      <c r="AB47" s="31">
        <v>0</v>
      </c>
      <c r="AC47" s="32">
        <f t="shared" si="35"/>
        <v>0</v>
      </c>
      <c r="AD47" s="31">
        <v>0.1</v>
      </c>
      <c r="AF47" s="31">
        <v>0.3</v>
      </c>
      <c r="AG47" s="31">
        <f>X47*AF47</f>
        <v>255</v>
      </c>
      <c r="AH47" s="32">
        <f t="shared" si="36"/>
        <v>850</v>
      </c>
      <c r="AI47" s="31">
        <v>0.15</v>
      </c>
      <c r="AK47" s="31">
        <v>1</v>
      </c>
      <c r="AL47" s="31">
        <v>620</v>
      </c>
      <c r="AM47" s="32">
        <f t="shared" si="37"/>
        <v>620</v>
      </c>
      <c r="AN47" s="31">
        <v>0.5</v>
      </c>
      <c r="AO47" s="21"/>
      <c r="AP47" s="31">
        <v>0.5</v>
      </c>
      <c r="AQ47" s="31">
        <v>350</v>
      </c>
      <c r="AR47" s="32">
        <f t="shared" si="38"/>
        <v>700</v>
      </c>
      <c r="AS47" s="31">
        <v>1.3</v>
      </c>
      <c r="AU47" s="31">
        <v>0.4</v>
      </c>
      <c r="AV47" s="31">
        <v>280</v>
      </c>
      <c r="AW47" s="32">
        <f t="shared" si="39"/>
        <v>700</v>
      </c>
      <c r="AX47" s="31">
        <v>1</v>
      </c>
      <c r="AZ47" s="31">
        <v>0</v>
      </c>
      <c r="BA47" s="31">
        <v>0</v>
      </c>
      <c r="BB47" s="32">
        <f t="shared" si="40"/>
        <v>0</v>
      </c>
      <c r="BC47" s="31">
        <v>0.8</v>
      </c>
      <c r="BE47" s="31">
        <v>0.2</v>
      </c>
      <c r="BF47" s="31">
        <v>150</v>
      </c>
      <c r="BG47" s="32">
        <f t="shared" si="41"/>
        <v>750</v>
      </c>
      <c r="BH47" s="31">
        <v>1.4</v>
      </c>
      <c r="BI47" s="21"/>
      <c r="BJ47" s="21"/>
      <c r="BK47" s="21"/>
      <c r="BL47" s="21"/>
    </row>
    <row r="48" spans="1:64" ht="15.75" customHeight="1" x14ac:dyDescent="0.2">
      <c r="A48" s="4" t="s">
        <v>105</v>
      </c>
      <c r="B48" s="31">
        <v>0</v>
      </c>
      <c r="C48" s="31">
        <v>0</v>
      </c>
      <c r="D48" s="32">
        <f t="shared" si="30"/>
        <v>0</v>
      </c>
      <c r="E48" s="31">
        <v>0</v>
      </c>
      <c r="G48" s="31">
        <v>0</v>
      </c>
      <c r="H48" s="31">
        <v>0</v>
      </c>
      <c r="I48" s="32">
        <f t="shared" si="31"/>
        <v>0</v>
      </c>
      <c r="J48" s="31">
        <v>0</v>
      </c>
      <c r="L48" s="31">
        <v>0</v>
      </c>
      <c r="M48" s="31">
        <v>0</v>
      </c>
      <c r="N48" s="32">
        <f t="shared" si="32"/>
        <v>0</v>
      </c>
      <c r="O48" s="31">
        <v>0</v>
      </c>
      <c r="Q48" s="31">
        <v>0</v>
      </c>
      <c r="R48" s="31">
        <v>0</v>
      </c>
      <c r="S48" s="32">
        <f t="shared" si="33"/>
        <v>0</v>
      </c>
      <c r="T48" s="31">
        <v>0</v>
      </c>
      <c r="V48" s="31">
        <v>0</v>
      </c>
      <c r="W48" s="31">
        <v>0</v>
      </c>
      <c r="X48" s="32">
        <f t="shared" si="34"/>
        <v>0</v>
      </c>
      <c r="Y48" s="31">
        <v>0</v>
      </c>
      <c r="AA48" s="31">
        <v>0</v>
      </c>
      <c r="AB48" s="31">
        <v>0</v>
      </c>
      <c r="AC48" s="32">
        <f t="shared" si="35"/>
        <v>0</v>
      </c>
      <c r="AD48" s="31">
        <v>0</v>
      </c>
      <c r="AF48" s="31">
        <v>0</v>
      </c>
      <c r="AG48" s="31">
        <f>AC48*AF48</f>
        <v>0</v>
      </c>
      <c r="AH48" s="32">
        <f t="shared" si="36"/>
        <v>0</v>
      </c>
      <c r="AI48" s="31">
        <v>0</v>
      </c>
      <c r="AK48" s="31">
        <v>0</v>
      </c>
      <c r="AL48" s="31">
        <v>0</v>
      </c>
      <c r="AM48" s="32">
        <f t="shared" si="37"/>
        <v>0</v>
      </c>
      <c r="AN48" s="31">
        <v>0</v>
      </c>
      <c r="AO48" s="21"/>
      <c r="AP48" s="31">
        <v>0</v>
      </c>
      <c r="AQ48" s="31">
        <v>0</v>
      </c>
      <c r="AR48" s="32">
        <f t="shared" si="38"/>
        <v>0</v>
      </c>
      <c r="AS48" s="31">
        <v>0</v>
      </c>
      <c r="AU48" s="31">
        <v>0</v>
      </c>
      <c r="AV48" s="31">
        <v>0</v>
      </c>
      <c r="AW48" s="32">
        <f t="shared" si="39"/>
        <v>0</v>
      </c>
      <c r="AX48" s="31">
        <v>0</v>
      </c>
      <c r="AZ48" s="31">
        <v>0</v>
      </c>
      <c r="BA48" s="31">
        <v>0</v>
      </c>
      <c r="BB48" s="32">
        <f t="shared" si="40"/>
        <v>0</v>
      </c>
      <c r="BC48" s="31">
        <v>0</v>
      </c>
      <c r="BE48" s="31">
        <v>0</v>
      </c>
      <c r="BF48" s="31">
        <v>0</v>
      </c>
      <c r="BG48" s="32">
        <f t="shared" si="41"/>
        <v>0</v>
      </c>
      <c r="BH48" s="31">
        <v>0</v>
      </c>
      <c r="BI48" s="21"/>
      <c r="BJ48" s="21"/>
      <c r="BK48" s="21"/>
      <c r="BL48" s="21"/>
    </row>
    <row r="49" spans="1:64" ht="15.75" customHeight="1" x14ac:dyDescent="0.2">
      <c r="A49" s="4" t="s">
        <v>106</v>
      </c>
      <c r="B49" s="31">
        <v>0</v>
      </c>
      <c r="C49" s="31">
        <v>0</v>
      </c>
      <c r="D49" s="32">
        <f t="shared" si="30"/>
        <v>0</v>
      </c>
      <c r="E49" s="31">
        <v>0.6</v>
      </c>
      <c r="G49" s="31">
        <v>0.5</v>
      </c>
      <c r="H49" s="31">
        <v>165</v>
      </c>
      <c r="I49" s="32">
        <f t="shared" si="31"/>
        <v>330</v>
      </c>
      <c r="J49" s="31">
        <v>0.6</v>
      </c>
      <c r="L49" s="31">
        <v>0.3</v>
      </c>
      <c r="M49" s="31">
        <v>85</v>
      </c>
      <c r="N49" s="32">
        <f t="shared" si="32"/>
        <v>283.33333333333337</v>
      </c>
      <c r="O49" s="31">
        <v>0</v>
      </c>
      <c r="Q49" s="31">
        <v>0.6</v>
      </c>
      <c r="R49" s="31">
        <v>215</v>
      </c>
      <c r="S49" s="32">
        <f t="shared" si="33"/>
        <v>358.33333333333337</v>
      </c>
      <c r="T49" s="31">
        <v>0</v>
      </c>
      <c r="V49" s="31">
        <v>0.7</v>
      </c>
      <c r="W49" s="31">
        <v>240</v>
      </c>
      <c r="X49" s="32">
        <f t="shared" si="34"/>
        <v>342.85714285714289</v>
      </c>
      <c r="Y49" s="31">
        <v>0</v>
      </c>
      <c r="AA49" s="31">
        <v>1</v>
      </c>
      <c r="AB49" s="31">
        <v>350</v>
      </c>
      <c r="AC49" s="32">
        <f t="shared" si="35"/>
        <v>350</v>
      </c>
      <c r="AD49" s="31">
        <v>0</v>
      </c>
      <c r="AF49" s="31">
        <v>1</v>
      </c>
      <c r="AG49" s="31">
        <v>380</v>
      </c>
      <c r="AH49" s="32">
        <f t="shared" si="36"/>
        <v>380</v>
      </c>
      <c r="AI49" s="31">
        <v>0.5</v>
      </c>
      <c r="AK49" s="31">
        <v>0.5</v>
      </c>
      <c r="AL49" s="31">
        <v>160</v>
      </c>
      <c r="AM49" s="32">
        <f t="shared" si="37"/>
        <v>320</v>
      </c>
      <c r="AN49" s="31">
        <v>0</v>
      </c>
      <c r="AO49" s="21"/>
      <c r="AP49" s="31">
        <v>1</v>
      </c>
      <c r="AQ49" s="31">
        <v>350</v>
      </c>
      <c r="AR49" s="32">
        <f t="shared" si="38"/>
        <v>350</v>
      </c>
      <c r="AS49" s="31">
        <v>0.6</v>
      </c>
      <c r="AU49" s="31">
        <v>1</v>
      </c>
      <c r="AV49" s="31">
        <v>390</v>
      </c>
      <c r="AW49" s="32">
        <f t="shared" si="39"/>
        <v>390</v>
      </c>
      <c r="AX49" s="31">
        <v>1</v>
      </c>
      <c r="AZ49" s="31">
        <v>0.5</v>
      </c>
      <c r="BA49" s="31">
        <v>190</v>
      </c>
      <c r="BB49" s="32">
        <f t="shared" si="40"/>
        <v>380</v>
      </c>
      <c r="BC49" s="31">
        <v>0.5</v>
      </c>
      <c r="BE49" s="31">
        <v>1</v>
      </c>
      <c r="BF49" s="31">
        <v>330</v>
      </c>
      <c r="BG49" s="32">
        <f t="shared" si="41"/>
        <v>330</v>
      </c>
      <c r="BH49" s="31">
        <v>1.9</v>
      </c>
      <c r="BI49" s="21"/>
      <c r="BJ49" s="21"/>
      <c r="BK49" s="21"/>
      <c r="BL49" s="21"/>
    </row>
    <row r="50" spans="1:64" ht="15.75" customHeight="1" x14ac:dyDescent="0.2">
      <c r="A50" s="4" t="s">
        <v>107</v>
      </c>
      <c r="B50" s="31">
        <v>0</v>
      </c>
      <c r="C50" s="31">
        <v>0</v>
      </c>
      <c r="D50" s="32">
        <f t="shared" si="30"/>
        <v>0</v>
      </c>
      <c r="E50" s="31">
        <v>0.15</v>
      </c>
      <c r="G50" s="31">
        <v>0.3</v>
      </c>
      <c r="H50" s="31">
        <v>50</v>
      </c>
      <c r="I50" s="32">
        <f t="shared" si="31"/>
        <v>166.66666666666669</v>
      </c>
      <c r="J50" s="31">
        <v>0.4</v>
      </c>
      <c r="L50" s="31">
        <v>0</v>
      </c>
      <c r="M50" s="31">
        <v>0</v>
      </c>
      <c r="N50" s="32">
        <f t="shared" si="32"/>
        <v>0</v>
      </c>
      <c r="O50" s="31">
        <v>0</v>
      </c>
      <c r="Q50" s="31">
        <v>0</v>
      </c>
      <c r="R50" s="31">
        <v>0</v>
      </c>
      <c r="S50" s="32">
        <f t="shared" si="33"/>
        <v>0</v>
      </c>
      <c r="T50" s="31">
        <v>0</v>
      </c>
      <c r="V50" s="31">
        <v>0.2</v>
      </c>
      <c r="W50" s="31">
        <v>35</v>
      </c>
      <c r="X50" s="32">
        <f t="shared" si="34"/>
        <v>175</v>
      </c>
      <c r="Y50" s="31">
        <v>0.4</v>
      </c>
      <c r="AA50" s="31">
        <v>0</v>
      </c>
      <c r="AB50" s="31">
        <v>0</v>
      </c>
      <c r="AC50" s="32">
        <f t="shared" si="35"/>
        <v>0</v>
      </c>
      <c r="AD50" s="31">
        <v>0.2</v>
      </c>
      <c r="AF50" s="31">
        <v>0.2</v>
      </c>
      <c r="AG50" s="31">
        <v>50</v>
      </c>
      <c r="AH50" s="32">
        <f t="shared" si="36"/>
        <v>250</v>
      </c>
      <c r="AI50" s="31">
        <v>0.2</v>
      </c>
      <c r="AK50" s="31">
        <v>0.5</v>
      </c>
      <c r="AL50" s="31">
        <v>90</v>
      </c>
      <c r="AM50" s="32">
        <f t="shared" si="37"/>
        <v>180</v>
      </c>
      <c r="AN50" s="31">
        <v>0.6</v>
      </c>
      <c r="AO50" s="21"/>
      <c r="AP50" s="31">
        <v>0</v>
      </c>
      <c r="AQ50" s="31">
        <v>0</v>
      </c>
      <c r="AR50" s="32">
        <f t="shared" si="38"/>
        <v>0</v>
      </c>
      <c r="AS50" s="31">
        <v>0.5</v>
      </c>
      <c r="AU50" s="31">
        <v>0</v>
      </c>
      <c r="AV50" s="31">
        <v>0</v>
      </c>
      <c r="AW50" s="32">
        <f t="shared" si="39"/>
        <v>0</v>
      </c>
      <c r="AX50" s="31">
        <v>0.5</v>
      </c>
      <c r="AZ50" s="31">
        <v>0</v>
      </c>
      <c r="BA50" s="31">
        <v>0</v>
      </c>
      <c r="BB50" s="32">
        <f t="shared" si="40"/>
        <v>0</v>
      </c>
      <c r="BC50" s="31">
        <v>0.2</v>
      </c>
      <c r="BE50" s="31">
        <v>0.2</v>
      </c>
      <c r="BF50" s="31">
        <v>400</v>
      </c>
      <c r="BG50" s="32">
        <f t="shared" si="41"/>
        <v>2000</v>
      </c>
      <c r="BH50" s="31">
        <v>0.6</v>
      </c>
      <c r="BI50" s="21"/>
      <c r="BJ50" s="21"/>
      <c r="BK50" s="21"/>
      <c r="BL50" s="21"/>
    </row>
    <row r="51" spans="1:64" ht="15.75" customHeight="1" x14ac:dyDescent="0.2">
      <c r="A51" s="4" t="s">
        <v>108</v>
      </c>
      <c r="B51" s="31">
        <v>0.5</v>
      </c>
      <c r="C51" s="31">
        <v>200</v>
      </c>
      <c r="D51" s="32">
        <f t="shared" si="30"/>
        <v>400</v>
      </c>
      <c r="E51" s="31">
        <v>0.5</v>
      </c>
      <c r="G51" s="31">
        <v>0.5</v>
      </c>
      <c r="H51" s="31">
        <v>350</v>
      </c>
      <c r="I51" s="32">
        <f t="shared" si="31"/>
        <v>700</v>
      </c>
      <c r="J51" s="31">
        <v>0.8</v>
      </c>
      <c r="L51" s="31">
        <v>0</v>
      </c>
      <c r="M51" s="31">
        <v>0</v>
      </c>
      <c r="N51" s="32">
        <f t="shared" si="32"/>
        <v>0</v>
      </c>
      <c r="O51" s="31">
        <v>0</v>
      </c>
      <c r="Q51" s="31">
        <v>1</v>
      </c>
      <c r="R51" s="31">
        <v>350</v>
      </c>
      <c r="S51" s="32">
        <f t="shared" si="33"/>
        <v>350</v>
      </c>
      <c r="T51" s="31">
        <v>1</v>
      </c>
      <c r="V51" s="31">
        <v>1</v>
      </c>
      <c r="W51" s="31">
        <v>720</v>
      </c>
      <c r="X51" s="32">
        <f t="shared" si="34"/>
        <v>720</v>
      </c>
      <c r="Y51" s="31">
        <v>2</v>
      </c>
      <c r="AA51" s="31">
        <v>0</v>
      </c>
      <c r="AB51" s="31">
        <v>0</v>
      </c>
      <c r="AC51" s="32">
        <f t="shared" si="35"/>
        <v>0</v>
      </c>
      <c r="AD51" s="31">
        <v>2</v>
      </c>
      <c r="AF51" s="31">
        <v>0</v>
      </c>
      <c r="AG51" s="31">
        <f t="shared" ref="AG51:AG52" si="43">AC51*AF51</f>
        <v>0</v>
      </c>
      <c r="AH51" s="32">
        <f t="shared" si="36"/>
        <v>0</v>
      </c>
      <c r="AI51" s="31">
        <v>0</v>
      </c>
      <c r="AK51" s="31">
        <v>3</v>
      </c>
      <c r="AL51" s="31">
        <v>2100</v>
      </c>
      <c r="AM51" s="32">
        <f t="shared" si="37"/>
        <v>700</v>
      </c>
      <c r="AN51" s="31">
        <v>2</v>
      </c>
      <c r="AO51" s="21"/>
      <c r="AP51" s="31">
        <v>0</v>
      </c>
      <c r="AQ51" s="31">
        <v>0</v>
      </c>
      <c r="AR51" s="32">
        <f t="shared" si="38"/>
        <v>0</v>
      </c>
      <c r="AS51" s="31">
        <v>0</v>
      </c>
      <c r="AU51" s="31">
        <v>0</v>
      </c>
      <c r="AV51" s="31">
        <v>0</v>
      </c>
      <c r="AW51" s="32">
        <f t="shared" si="39"/>
        <v>0</v>
      </c>
      <c r="AX51" s="31">
        <v>1.5</v>
      </c>
      <c r="AZ51" s="31">
        <v>0</v>
      </c>
      <c r="BA51" s="31">
        <v>0</v>
      </c>
      <c r="BB51" s="32">
        <f t="shared" si="40"/>
        <v>0</v>
      </c>
      <c r="BC51" s="31">
        <v>1</v>
      </c>
      <c r="BE51" s="31">
        <v>0</v>
      </c>
      <c r="BF51" s="31">
        <v>0</v>
      </c>
      <c r="BG51" s="32">
        <f t="shared" si="41"/>
        <v>0</v>
      </c>
      <c r="BH51" s="31">
        <v>0.5</v>
      </c>
      <c r="BI51" s="21"/>
      <c r="BJ51" s="21"/>
      <c r="BK51" s="21"/>
      <c r="BL51" s="21"/>
    </row>
    <row r="52" spans="1:64" ht="15.75" customHeight="1" x14ac:dyDescent="0.2">
      <c r="A52" s="4" t="s">
        <v>109</v>
      </c>
      <c r="B52" s="31">
        <v>0</v>
      </c>
      <c r="C52" s="31">
        <v>0</v>
      </c>
      <c r="D52" s="32">
        <f t="shared" si="30"/>
        <v>0</v>
      </c>
      <c r="E52" s="31">
        <v>1.3</v>
      </c>
      <c r="G52" s="31">
        <v>0</v>
      </c>
      <c r="H52" s="31">
        <v>0</v>
      </c>
      <c r="I52" s="32">
        <f t="shared" si="31"/>
        <v>0</v>
      </c>
      <c r="J52" s="31">
        <v>0</v>
      </c>
      <c r="L52" s="31">
        <v>0</v>
      </c>
      <c r="M52" s="31">
        <v>0</v>
      </c>
      <c r="N52" s="32">
        <f t="shared" si="32"/>
        <v>0</v>
      </c>
      <c r="O52" s="31">
        <v>0</v>
      </c>
      <c r="Q52" s="31">
        <v>0</v>
      </c>
      <c r="R52" s="31">
        <v>0</v>
      </c>
      <c r="S52" s="32">
        <f t="shared" si="33"/>
        <v>0</v>
      </c>
      <c r="T52" s="31">
        <v>0</v>
      </c>
      <c r="V52" s="31">
        <v>0</v>
      </c>
      <c r="W52" s="31">
        <v>0</v>
      </c>
      <c r="X52" s="32">
        <f t="shared" si="34"/>
        <v>0</v>
      </c>
      <c r="Y52" s="31">
        <v>0.6</v>
      </c>
      <c r="AA52" s="31">
        <v>0</v>
      </c>
      <c r="AB52" s="31">
        <v>0</v>
      </c>
      <c r="AC52" s="32">
        <f t="shared" si="35"/>
        <v>0</v>
      </c>
      <c r="AD52" s="31">
        <v>0</v>
      </c>
      <c r="AF52" s="31">
        <v>0</v>
      </c>
      <c r="AG52" s="31">
        <f t="shared" si="43"/>
        <v>0</v>
      </c>
      <c r="AH52" s="32">
        <f t="shared" si="36"/>
        <v>0</v>
      </c>
      <c r="AI52" s="31">
        <v>0</v>
      </c>
      <c r="AK52" s="31">
        <v>0</v>
      </c>
      <c r="AL52" s="31">
        <v>0</v>
      </c>
      <c r="AM52" s="32">
        <f t="shared" si="37"/>
        <v>0</v>
      </c>
      <c r="AN52" s="31">
        <v>0</v>
      </c>
      <c r="AO52" s="21"/>
      <c r="AP52" s="31">
        <v>0</v>
      </c>
      <c r="AQ52" s="31">
        <v>0</v>
      </c>
      <c r="AR52" s="32">
        <f t="shared" si="38"/>
        <v>0</v>
      </c>
      <c r="AS52" s="31">
        <v>0</v>
      </c>
      <c r="AU52" s="31">
        <v>0</v>
      </c>
      <c r="AV52" s="31">
        <v>0</v>
      </c>
      <c r="AW52" s="32">
        <f t="shared" si="39"/>
        <v>0</v>
      </c>
      <c r="AX52" s="31">
        <v>0</v>
      </c>
      <c r="AZ52" s="31">
        <v>0</v>
      </c>
      <c r="BA52" s="31">
        <v>0</v>
      </c>
      <c r="BB52" s="32">
        <f t="shared" si="40"/>
        <v>0</v>
      </c>
      <c r="BC52" s="31">
        <v>0</v>
      </c>
      <c r="BE52" s="31">
        <v>0</v>
      </c>
      <c r="BF52" s="31">
        <v>0</v>
      </c>
      <c r="BG52" s="32">
        <f t="shared" si="41"/>
        <v>0</v>
      </c>
      <c r="BH52" s="31">
        <v>0</v>
      </c>
      <c r="BI52" s="21"/>
      <c r="BJ52" s="21"/>
      <c r="BK52" s="21"/>
      <c r="BL52" s="21"/>
    </row>
    <row r="53" spans="1:64" ht="15.75" customHeight="1" x14ac:dyDescent="0.2">
      <c r="A53" s="33" t="s">
        <v>110</v>
      </c>
      <c r="B53" s="31">
        <v>0</v>
      </c>
      <c r="C53" s="31">
        <v>0</v>
      </c>
      <c r="D53" s="32">
        <f t="shared" si="30"/>
        <v>0</v>
      </c>
      <c r="E53" s="31">
        <v>0.6</v>
      </c>
      <c r="G53" s="31">
        <v>0.5</v>
      </c>
      <c r="H53" s="31">
        <v>1100</v>
      </c>
      <c r="I53" s="32">
        <f t="shared" si="31"/>
        <v>2200</v>
      </c>
      <c r="J53" s="31">
        <v>0.7</v>
      </c>
      <c r="L53" s="31">
        <v>0</v>
      </c>
      <c r="M53" s="31">
        <v>0</v>
      </c>
      <c r="N53" s="32">
        <f t="shared" si="32"/>
        <v>0</v>
      </c>
      <c r="O53" s="31">
        <v>0</v>
      </c>
      <c r="Q53" s="31">
        <v>0.3</v>
      </c>
      <c r="R53" s="31">
        <v>765</v>
      </c>
      <c r="S53" s="32">
        <f t="shared" si="33"/>
        <v>2550</v>
      </c>
      <c r="T53" s="31">
        <v>0</v>
      </c>
      <c r="V53" s="31">
        <v>0.2</v>
      </c>
      <c r="W53" s="31">
        <v>450</v>
      </c>
      <c r="X53" s="32">
        <f t="shared" si="34"/>
        <v>2250</v>
      </c>
      <c r="Y53" s="31">
        <v>0.32</v>
      </c>
      <c r="AA53" s="31">
        <v>0.3</v>
      </c>
      <c r="AB53" s="31">
        <v>700</v>
      </c>
      <c r="AC53" s="32">
        <f t="shared" si="35"/>
        <v>2333.3333333333335</v>
      </c>
      <c r="AD53" s="31">
        <v>0</v>
      </c>
      <c r="AF53" s="31">
        <v>0.6</v>
      </c>
      <c r="AG53" s="31">
        <v>1380</v>
      </c>
      <c r="AH53" s="32">
        <f t="shared" si="36"/>
        <v>2300</v>
      </c>
      <c r="AI53" s="31">
        <v>0.1</v>
      </c>
      <c r="AK53" s="31">
        <v>1.2</v>
      </c>
      <c r="AL53" s="31">
        <v>2760</v>
      </c>
      <c r="AM53" s="32">
        <f t="shared" si="37"/>
        <v>2300</v>
      </c>
      <c r="AN53" s="31">
        <v>0.35</v>
      </c>
      <c r="AO53" s="21"/>
      <c r="AP53" s="31">
        <v>1</v>
      </c>
      <c r="AQ53" s="31">
        <v>2250</v>
      </c>
      <c r="AR53" s="32">
        <f t="shared" si="38"/>
        <v>2250</v>
      </c>
      <c r="AS53" s="31">
        <v>2</v>
      </c>
      <c r="AU53" s="31">
        <v>0</v>
      </c>
      <c r="AV53" s="31">
        <v>0</v>
      </c>
      <c r="AW53" s="32">
        <f t="shared" si="39"/>
        <v>0</v>
      </c>
      <c r="AX53" s="31">
        <v>1.1000000000000001</v>
      </c>
      <c r="AZ53" s="31">
        <v>0</v>
      </c>
      <c r="BA53" s="31">
        <v>0</v>
      </c>
      <c r="BB53" s="32">
        <f t="shared" si="40"/>
        <v>0</v>
      </c>
      <c r="BC53" s="31">
        <v>0.8</v>
      </c>
      <c r="BE53" s="31">
        <v>0.3</v>
      </c>
      <c r="BF53" s="31">
        <v>780</v>
      </c>
      <c r="BG53" s="32">
        <f t="shared" si="41"/>
        <v>2600</v>
      </c>
      <c r="BH53" s="31">
        <v>0.7</v>
      </c>
      <c r="BI53" s="21"/>
      <c r="BJ53" s="21"/>
      <c r="BK53" s="21"/>
      <c r="BL53" s="21"/>
    </row>
    <row r="54" spans="1:64" ht="15.75" customHeight="1" x14ac:dyDescent="0.2">
      <c r="A54" s="33" t="s">
        <v>111</v>
      </c>
      <c r="B54" s="31">
        <v>0</v>
      </c>
      <c r="C54" s="31">
        <v>0</v>
      </c>
      <c r="D54" s="32">
        <f t="shared" si="30"/>
        <v>0</v>
      </c>
      <c r="E54" s="31">
        <v>0.6</v>
      </c>
      <c r="G54" s="31">
        <v>0</v>
      </c>
      <c r="H54" s="31">
        <v>0</v>
      </c>
      <c r="I54" s="32">
        <f t="shared" si="31"/>
        <v>0</v>
      </c>
      <c r="J54" s="31">
        <v>0.6</v>
      </c>
      <c r="L54" s="31">
        <v>0</v>
      </c>
      <c r="M54" s="31">
        <v>0</v>
      </c>
      <c r="N54" s="32">
        <f t="shared" si="32"/>
        <v>0</v>
      </c>
      <c r="O54" s="31">
        <v>0</v>
      </c>
      <c r="Q54" s="31">
        <v>0</v>
      </c>
      <c r="R54" s="31">
        <v>0</v>
      </c>
      <c r="S54" s="32">
        <f t="shared" si="33"/>
        <v>0</v>
      </c>
      <c r="T54" s="31">
        <v>0</v>
      </c>
      <c r="V54" s="31">
        <v>0</v>
      </c>
      <c r="W54" s="31">
        <v>0</v>
      </c>
      <c r="X54" s="32">
        <f t="shared" si="34"/>
        <v>0</v>
      </c>
      <c r="Y54" s="31">
        <v>0</v>
      </c>
      <c r="AA54" s="31">
        <v>0</v>
      </c>
      <c r="AB54" s="31">
        <v>0</v>
      </c>
      <c r="AC54" s="32">
        <f t="shared" si="35"/>
        <v>0</v>
      </c>
      <c r="AD54" s="31">
        <v>0</v>
      </c>
      <c r="AF54" s="31">
        <v>0</v>
      </c>
      <c r="AG54" s="31">
        <f t="shared" ref="AG54:AG61" si="44">AC54*AF54</f>
        <v>0</v>
      </c>
      <c r="AH54" s="32">
        <f t="shared" si="36"/>
        <v>0</v>
      </c>
      <c r="AI54" s="31">
        <v>0.25</v>
      </c>
      <c r="AK54" s="31">
        <v>0</v>
      </c>
      <c r="AL54" s="31">
        <v>0</v>
      </c>
      <c r="AM54" s="32">
        <f t="shared" si="37"/>
        <v>0</v>
      </c>
      <c r="AN54" s="31">
        <v>0</v>
      </c>
      <c r="AO54" s="21"/>
      <c r="AP54" s="31">
        <v>0</v>
      </c>
      <c r="AQ54" s="31">
        <v>0</v>
      </c>
      <c r="AR54" s="32">
        <f t="shared" si="38"/>
        <v>0</v>
      </c>
      <c r="AS54" s="31">
        <v>0</v>
      </c>
      <c r="AU54" s="31">
        <v>0</v>
      </c>
      <c r="AV54" s="31">
        <v>0</v>
      </c>
      <c r="AW54" s="32">
        <f t="shared" si="39"/>
        <v>0</v>
      </c>
      <c r="AX54" s="31">
        <v>0</v>
      </c>
      <c r="AZ54" s="31">
        <v>0</v>
      </c>
      <c r="BA54" s="31">
        <v>0</v>
      </c>
      <c r="BB54" s="32">
        <f t="shared" si="40"/>
        <v>0</v>
      </c>
      <c r="BC54" s="31">
        <v>0</v>
      </c>
      <c r="BE54" s="31">
        <v>0</v>
      </c>
      <c r="BF54" s="31">
        <v>0</v>
      </c>
      <c r="BG54" s="32">
        <f t="shared" si="41"/>
        <v>0</v>
      </c>
      <c r="BH54" s="31">
        <v>0</v>
      </c>
      <c r="BI54" s="21"/>
      <c r="BJ54" s="21"/>
      <c r="BK54" s="21"/>
      <c r="BL54" s="21"/>
    </row>
    <row r="55" spans="1:64" ht="15.75" customHeight="1" x14ac:dyDescent="0.2">
      <c r="A55" s="33" t="s">
        <v>112</v>
      </c>
      <c r="B55" s="31">
        <v>0</v>
      </c>
      <c r="C55" s="31">
        <v>0</v>
      </c>
      <c r="D55" s="32">
        <f t="shared" si="30"/>
        <v>0</v>
      </c>
      <c r="E55" s="31">
        <v>0.4</v>
      </c>
      <c r="G55" s="31">
        <v>0</v>
      </c>
      <c r="H55" s="31">
        <v>0</v>
      </c>
      <c r="I55" s="32">
        <f t="shared" si="31"/>
        <v>0</v>
      </c>
      <c r="J55" s="31">
        <v>0.3</v>
      </c>
      <c r="L55" s="31">
        <v>0</v>
      </c>
      <c r="M55" s="31">
        <v>0</v>
      </c>
      <c r="N55" s="32">
        <f t="shared" si="32"/>
        <v>0</v>
      </c>
      <c r="O55" s="31">
        <v>0</v>
      </c>
      <c r="Q55" s="31">
        <v>0</v>
      </c>
      <c r="R55" s="31">
        <v>0</v>
      </c>
      <c r="S55" s="32">
        <f t="shared" si="33"/>
        <v>0</v>
      </c>
      <c r="T55" s="31">
        <v>0</v>
      </c>
      <c r="V55" s="31">
        <v>1</v>
      </c>
      <c r="W55" s="31">
        <v>880</v>
      </c>
      <c r="X55" s="32">
        <f t="shared" si="34"/>
        <v>880</v>
      </c>
      <c r="Y55" s="31">
        <v>0</v>
      </c>
      <c r="AA55" s="31">
        <v>0</v>
      </c>
      <c r="AB55" s="31">
        <v>0</v>
      </c>
      <c r="AC55" s="32">
        <f t="shared" si="35"/>
        <v>0</v>
      </c>
      <c r="AD55" s="31">
        <v>0</v>
      </c>
      <c r="AF55" s="31">
        <v>0</v>
      </c>
      <c r="AG55" s="31">
        <f t="shared" si="44"/>
        <v>0</v>
      </c>
      <c r="AH55" s="32">
        <f t="shared" si="36"/>
        <v>0</v>
      </c>
      <c r="AI55" s="31">
        <v>0</v>
      </c>
      <c r="AK55" s="31">
        <v>0.5</v>
      </c>
      <c r="AL55" s="31">
        <v>410</v>
      </c>
      <c r="AM55" s="32">
        <f t="shared" si="37"/>
        <v>820</v>
      </c>
      <c r="AN55" s="31">
        <v>0.3</v>
      </c>
      <c r="AO55" s="21"/>
      <c r="AP55" s="31">
        <v>0</v>
      </c>
      <c r="AQ55" s="31">
        <v>0</v>
      </c>
      <c r="AR55" s="32">
        <f t="shared" si="38"/>
        <v>0</v>
      </c>
      <c r="AS55" s="31">
        <v>0</v>
      </c>
      <c r="AU55" s="31">
        <v>0</v>
      </c>
      <c r="AV55" s="31">
        <v>0</v>
      </c>
      <c r="AW55" s="32">
        <f t="shared" si="39"/>
        <v>0</v>
      </c>
      <c r="AX55" s="31">
        <v>0</v>
      </c>
      <c r="AZ55" s="31">
        <v>0</v>
      </c>
      <c r="BA55" s="31">
        <v>0</v>
      </c>
      <c r="BB55" s="32">
        <f t="shared" si="40"/>
        <v>0</v>
      </c>
      <c r="BC55" s="31">
        <v>0</v>
      </c>
      <c r="BE55" s="31">
        <v>0</v>
      </c>
      <c r="BF55" s="31">
        <v>0</v>
      </c>
      <c r="BG55" s="32">
        <f t="shared" si="41"/>
        <v>0</v>
      </c>
      <c r="BH55" s="31">
        <v>0</v>
      </c>
      <c r="BI55" s="21"/>
      <c r="BJ55" s="21"/>
      <c r="BK55" s="21"/>
      <c r="BL55" s="21"/>
    </row>
    <row r="56" spans="1:64" ht="15.75" customHeight="1" x14ac:dyDescent="0.2">
      <c r="A56" s="33" t="s">
        <v>113</v>
      </c>
      <c r="B56" s="31">
        <v>0</v>
      </c>
      <c r="C56" s="31">
        <v>0</v>
      </c>
      <c r="D56" s="32">
        <f t="shared" si="30"/>
        <v>0</v>
      </c>
      <c r="E56" s="31">
        <v>0</v>
      </c>
      <c r="G56" s="31">
        <v>0</v>
      </c>
      <c r="H56" s="31">
        <v>0</v>
      </c>
      <c r="I56" s="32">
        <f t="shared" si="31"/>
        <v>0</v>
      </c>
      <c r="J56" s="31">
        <v>0</v>
      </c>
      <c r="L56" s="31">
        <v>0</v>
      </c>
      <c r="M56" s="31">
        <v>0</v>
      </c>
      <c r="N56" s="32">
        <f t="shared" si="32"/>
        <v>0</v>
      </c>
      <c r="O56" s="31">
        <v>0</v>
      </c>
      <c r="Q56" s="31">
        <v>0</v>
      </c>
      <c r="R56" s="31">
        <v>0</v>
      </c>
      <c r="S56" s="32">
        <f t="shared" si="33"/>
        <v>0</v>
      </c>
      <c r="T56" s="31">
        <v>0</v>
      </c>
      <c r="V56" s="31">
        <v>0.4</v>
      </c>
      <c r="W56" s="31">
        <v>880</v>
      </c>
      <c r="X56" s="32">
        <f t="shared" si="34"/>
        <v>2200</v>
      </c>
      <c r="Y56" s="31">
        <v>0</v>
      </c>
      <c r="AA56" s="31">
        <v>0</v>
      </c>
      <c r="AB56" s="31">
        <v>0</v>
      </c>
      <c r="AC56" s="32">
        <f t="shared" si="35"/>
        <v>0</v>
      </c>
      <c r="AD56" s="31">
        <v>0</v>
      </c>
      <c r="AF56" s="31">
        <v>0</v>
      </c>
      <c r="AG56" s="31">
        <f t="shared" si="44"/>
        <v>0</v>
      </c>
      <c r="AH56" s="32">
        <f t="shared" si="36"/>
        <v>0</v>
      </c>
      <c r="AI56" s="31">
        <v>0</v>
      </c>
      <c r="AK56" s="31">
        <v>0</v>
      </c>
      <c r="AL56" s="31">
        <v>0</v>
      </c>
      <c r="AM56" s="32">
        <f t="shared" si="37"/>
        <v>0</v>
      </c>
      <c r="AN56" s="31">
        <v>0</v>
      </c>
      <c r="AO56" s="21"/>
      <c r="AP56" s="31">
        <v>0</v>
      </c>
      <c r="AQ56" s="31">
        <v>0</v>
      </c>
      <c r="AR56" s="32">
        <f t="shared" si="38"/>
        <v>0</v>
      </c>
      <c r="AS56" s="31">
        <v>0</v>
      </c>
      <c r="AU56" s="31">
        <v>0</v>
      </c>
      <c r="AV56" s="31">
        <v>0</v>
      </c>
      <c r="AW56" s="32">
        <f t="shared" si="39"/>
        <v>0</v>
      </c>
      <c r="AX56" s="31">
        <v>0</v>
      </c>
      <c r="AZ56" s="31">
        <v>0</v>
      </c>
      <c r="BA56" s="31">
        <v>0</v>
      </c>
      <c r="BB56" s="32">
        <f t="shared" si="40"/>
        <v>0</v>
      </c>
      <c r="BC56" s="31">
        <v>0</v>
      </c>
      <c r="BE56" s="31">
        <v>0</v>
      </c>
      <c r="BF56" s="31">
        <v>0</v>
      </c>
      <c r="BG56" s="32">
        <f t="shared" si="41"/>
        <v>0</v>
      </c>
      <c r="BH56" s="31">
        <v>0</v>
      </c>
      <c r="BI56" s="21"/>
      <c r="BJ56" s="21"/>
      <c r="BK56" s="21"/>
      <c r="BL56" s="21"/>
    </row>
    <row r="57" spans="1:64" ht="15.75" customHeight="1" x14ac:dyDescent="0.2">
      <c r="A57" s="33" t="s">
        <v>114</v>
      </c>
      <c r="B57" s="31">
        <v>0</v>
      </c>
      <c r="C57" s="31">
        <v>0</v>
      </c>
      <c r="D57" s="32">
        <f t="shared" si="30"/>
        <v>0</v>
      </c>
      <c r="E57" s="31">
        <v>0.1</v>
      </c>
      <c r="G57" s="31">
        <v>0</v>
      </c>
      <c r="H57" s="31">
        <v>0</v>
      </c>
      <c r="I57" s="32">
        <f t="shared" si="31"/>
        <v>0</v>
      </c>
      <c r="J57" s="31">
        <v>0.1</v>
      </c>
      <c r="L57" s="31">
        <v>0</v>
      </c>
      <c r="M57" s="31">
        <v>0</v>
      </c>
      <c r="N57" s="32">
        <f t="shared" si="32"/>
        <v>0</v>
      </c>
      <c r="O57" s="31">
        <v>0</v>
      </c>
      <c r="Q57" s="31">
        <v>0</v>
      </c>
      <c r="R57" s="31">
        <v>0</v>
      </c>
      <c r="S57" s="32">
        <f t="shared" si="33"/>
        <v>0</v>
      </c>
      <c r="T57" s="31">
        <v>0</v>
      </c>
      <c r="V57" s="31">
        <v>0.1</v>
      </c>
      <c r="W57" s="31">
        <v>60</v>
      </c>
      <c r="X57" s="32">
        <f t="shared" si="34"/>
        <v>600</v>
      </c>
      <c r="Y57" s="31">
        <v>0</v>
      </c>
      <c r="AA57" s="31">
        <v>0</v>
      </c>
      <c r="AB57" s="31">
        <v>0</v>
      </c>
      <c r="AC57" s="32">
        <f t="shared" si="35"/>
        <v>0</v>
      </c>
      <c r="AD57" s="31">
        <v>0</v>
      </c>
      <c r="AF57" s="31">
        <v>0</v>
      </c>
      <c r="AG57" s="31">
        <f t="shared" si="44"/>
        <v>0</v>
      </c>
      <c r="AH57" s="32">
        <f t="shared" si="36"/>
        <v>0</v>
      </c>
      <c r="AI57" s="31">
        <v>0</v>
      </c>
      <c r="AK57" s="31">
        <v>0</v>
      </c>
      <c r="AL57" s="31">
        <v>0</v>
      </c>
      <c r="AM57" s="32">
        <f t="shared" si="37"/>
        <v>0</v>
      </c>
      <c r="AN57" s="33"/>
      <c r="AO57" s="21"/>
      <c r="AP57" s="31">
        <v>0</v>
      </c>
      <c r="AQ57" s="31">
        <v>0</v>
      </c>
      <c r="AR57" s="32">
        <f t="shared" si="38"/>
        <v>0</v>
      </c>
      <c r="AS57" s="31">
        <v>0</v>
      </c>
      <c r="AU57" s="31">
        <v>0</v>
      </c>
      <c r="AV57" s="31">
        <v>0</v>
      </c>
      <c r="AW57" s="32">
        <f t="shared" si="39"/>
        <v>0</v>
      </c>
      <c r="AX57" s="31">
        <v>0</v>
      </c>
      <c r="AZ57" s="31">
        <v>0</v>
      </c>
      <c r="BA57" s="31">
        <v>0</v>
      </c>
      <c r="BB57" s="32">
        <f t="shared" si="40"/>
        <v>0</v>
      </c>
      <c r="BC57" s="31">
        <v>0</v>
      </c>
      <c r="BE57" s="31">
        <v>0</v>
      </c>
      <c r="BF57" s="31">
        <v>0</v>
      </c>
      <c r="BG57" s="32">
        <f t="shared" si="41"/>
        <v>0</v>
      </c>
      <c r="BH57" s="31">
        <v>0</v>
      </c>
      <c r="BI57" s="21"/>
      <c r="BJ57" s="21"/>
      <c r="BK57" s="21"/>
      <c r="BL57" s="21"/>
    </row>
    <row r="58" spans="1:64" ht="15.75" customHeight="1" x14ac:dyDescent="0.2">
      <c r="A58" s="33" t="s">
        <v>115</v>
      </c>
      <c r="B58" s="31">
        <v>0</v>
      </c>
      <c r="C58" s="31">
        <v>0</v>
      </c>
      <c r="D58" s="32">
        <f t="shared" si="30"/>
        <v>0</v>
      </c>
      <c r="E58" s="31">
        <v>0.2</v>
      </c>
      <c r="G58" s="31">
        <v>0</v>
      </c>
      <c r="H58" s="31">
        <v>0</v>
      </c>
      <c r="I58" s="32">
        <f t="shared" si="31"/>
        <v>0</v>
      </c>
      <c r="J58" s="31">
        <v>0.2</v>
      </c>
      <c r="L58" s="31">
        <v>0</v>
      </c>
      <c r="M58" s="31">
        <v>0</v>
      </c>
      <c r="N58" s="32">
        <f t="shared" si="32"/>
        <v>0</v>
      </c>
      <c r="O58" s="31">
        <v>0</v>
      </c>
      <c r="Q58" s="31">
        <v>0</v>
      </c>
      <c r="R58" s="31">
        <v>0</v>
      </c>
      <c r="S58" s="32">
        <f t="shared" si="33"/>
        <v>0</v>
      </c>
      <c r="T58" s="31">
        <v>0</v>
      </c>
      <c r="V58" s="31">
        <v>0</v>
      </c>
      <c r="W58" s="31">
        <v>0</v>
      </c>
      <c r="X58" s="32">
        <f t="shared" si="34"/>
        <v>0</v>
      </c>
      <c r="Y58" s="31">
        <v>0</v>
      </c>
      <c r="AA58" s="31">
        <v>0</v>
      </c>
      <c r="AB58" s="31">
        <v>0</v>
      </c>
      <c r="AC58" s="32">
        <f t="shared" si="35"/>
        <v>0</v>
      </c>
      <c r="AD58" s="31">
        <v>0</v>
      </c>
      <c r="AF58" s="31">
        <v>0</v>
      </c>
      <c r="AG58" s="31">
        <f t="shared" si="44"/>
        <v>0</v>
      </c>
      <c r="AH58" s="32">
        <f t="shared" si="36"/>
        <v>0</v>
      </c>
      <c r="AI58" s="31">
        <v>0</v>
      </c>
      <c r="AK58" s="31">
        <v>0</v>
      </c>
      <c r="AL58" s="31">
        <v>0</v>
      </c>
      <c r="AM58" s="32">
        <f t="shared" si="37"/>
        <v>0</v>
      </c>
      <c r="AN58" s="31">
        <v>0</v>
      </c>
      <c r="AO58" s="21"/>
      <c r="AP58" s="31">
        <v>0</v>
      </c>
      <c r="AQ58" s="31">
        <v>0</v>
      </c>
      <c r="AR58" s="32">
        <f t="shared" si="38"/>
        <v>0</v>
      </c>
      <c r="AS58" s="31">
        <v>0</v>
      </c>
      <c r="AU58" s="31">
        <v>0</v>
      </c>
      <c r="AV58" s="31">
        <v>0</v>
      </c>
      <c r="AW58" s="32">
        <f t="shared" si="39"/>
        <v>0</v>
      </c>
      <c r="AX58" s="31">
        <v>0</v>
      </c>
      <c r="AZ58" s="31">
        <v>0</v>
      </c>
      <c r="BA58" s="31">
        <v>0</v>
      </c>
      <c r="BB58" s="32">
        <f t="shared" si="40"/>
        <v>0</v>
      </c>
      <c r="BC58" s="31">
        <v>0</v>
      </c>
      <c r="BE58" s="31">
        <v>0</v>
      </c>
      <c r="BF58" s="31">
        <v>0</v>
      </c>
      <c r="BG58" s="32">
        <f t="shared" si="41"/>
        <v>0</v>
      </c>
      <c r="BH58" s="31">
        <v>0</v>
      </c>
      <c r="BI58" s="21"/>
      <c r="BJ58" s="21"/>
      <c r="BK58" s="21"/>
      <c r="BL58" s="21"/>
    </row>
    <row r="59" spans="1:64" ht="15.75" customHeight="1" x14ac:dyDescent="0.2">
      <c r="A59" s="33" t="s">
        <v>116</v>
      </c>
      <c r="B59" s="31">
        <v>1</v>
      </c>
      <c r="C59" s="31">
        <v>150</v>
      </c>
      <c r="D59" s="32">
        <f t="shared" si="30"/>
        <v>150</v>
      </c>
      <c r="E59" s="31">
        <v>1</v>
      </c>
      <c r="G59" s="31">
        <v>2</v>
      </c>
      <c r="H59" s="31">
        <v>300</v>
      </c>
      <c r="I59" s="32">
        <f t="shared" si="31"/>
        <v>150</v>
      </c>
      <c r="J59" s="31">
        <v>2</v>
      </c>
      <c r="L59" s="31">
        <v>0</v>
      </c>
      <c r="M59" s="31">
        <v>0</v>
      </c>
      <c r="N59" s="32">
        <f t="shared" si="32"/>
        <v>0</v>
      </c>
      <c r="O59" s="31">
        <v>0</v>
      </c>
      <c r="Q59" s="31">
        <v>1</v>
      </c>
      <c r="R59" s="31">
        <v>140</v>
      </c>
      <c r="S59" s="32">
        <f t="shared" si="33"/>
        <v>140</v>
      </c>
      <c r="T59" s="31">
        <v>0</v>
      </c>
      <c r="V59" s="31">
        <v>1</v>
      </c>
      <c r="W59" s="31">
        <v>150</v>
      </c>
      <c r="X59" s="32">
        <f t="shared" si="34"/>
        <v>150</v>
      </c>
      <c r="Y59" s="31">
        <v>0</v>
      </c>
      <c r="AA59" s="31">
        <v>0</v>
      </c>
      <c r="AB59" s="31">
        <v>0</v>
      </c>
      <c r="AC59" s="32">
        <f t="shared" si="35"/>
        <v>0</v>
      </c>
      <c r="AD59" s="31">
        <v>0</v>
      </c>
      <c r="AF59" s="31">
        <v>0</v>
      </c>
      <c r="AG59" s="31">
        <f t="shared" si="44"/>
        <v>0</v>
      </c>
      <c r="AH59" s="32">
        <f t="shared" si="36"/>
        <v>0</v>
      </c>
      <c r="AI59" s="31">
        <v>0</v>
      </c>
      <c r="AK59" s="31">
        <v>2</v>
      </c>
      <c r="AL59" s="31">
        <v>280</v>
      </c>
      <c r="AM59" s="32">
        <f t="shared" si="37"/>
        <v>140</v>
      </c>
      <c r="AN59" s="31">
        <v>0</v>
      </c>
      <c r="AO59" s="21"/>
      <c r="AP59" s="31">
        <v>0</v>
      </c>
      <c r="AQ59" s="31">
        <v>0</v>
      </c>
      <c r="AR59" s="32">
        <f t="shared" si="38"/>
        <v>0</v>
      </c>
      <c r="AS59" s="31">
        <v>0</v>
      </c>
      <c r="AU59" s="31">
        <v>0</v>
      </c>
      <c r="AV59" s="31">
        <v>0</v>
      </c>
      <c r="AW59" s="32">
        <f t="shared" si="39"/>
        <v>0</v>
      </c>
      <c r="AX59" s="31">
        <v>0</v>
      </c>
      <c r="AZ59" s="31">
        <v>0</v>
      </c>
      <c r="BA59" s="31">
        <v>0</v>
      </c>
      <c r="BB59" s="32">
        <f t="shared" si="40"/>
        <v>0</v>
      </c>
      <c r="BC59" s="31">
        <v>0</v>
      </c>
      <c r="BE59" s="31">
        <v>0</v>
      </c>
      <c r="BF59" s="31">
        <v>0</v>
      </c>
      <c r="BG59" s="32">
        <f t="shared" si="41"/>
        <v>0</v>
      </c>
      <c r="BH59" s="31">
        <v>0</v>
      </c>
      <c r="BI59" s="21"/>
      <c r="BJ59" s="21"/>
      <c r="BK59" s="21"/>
      <c r="BL59" s="21"/>
    </row>
    <row r="60" spans="1:64" ht="15.75" customHeight="1" x14ac:dyDescent="0.2">
      <c r="A60" s="33" t="s">
        <v>117</v>
      </c>
      <c r="B60" s="31">
        <v>3</v>
      </c>
      <c r="C60" s="31">
        <v>780</v>
      </c>
      <c r="D60" s="32">
        <f t="shared" si="30"/>
        <v>260</v>
      </c>
      <c r="E60" s="31">
        <v>0.8</v>
      </c>
      <c r="G60" s="31">
        <v>2</v>
      </c>
      <c r="H60" s="31">
        <v>560</v>
      </c>
      <c r="I60" s="32">
        <f t="shared" si="31"/>
        <v>280</v>
      </c>
      <c r="J60" s="31">
        <v>0.8</v>
      </c>
      <c r="L60" s="31">
        <v>2</v>
      </c>
      <c r="M60" s="31">
        <v>520</v>
      </c>
      <c r="N60" s="32">
        <f t="shared" si="32"/>
        <v>260</v>
      </c>
      <c r="O60" s="31">
        <v>0</v>
      </c>
      <c r="Q60" s="31">
        <v>1.5</v>
      </c>
      <c r="R60" s="31">
        <v>480</v>
      </c>
      <c r="S60" s="32">
        <f t="shared" si="33"/>
        <v>320</v>
      </c>
      <c r="T60" s="31">
        <v>0</v>
      </c>
      <c r="V60" s="31">
        <v>1.5</v>
      </c>
      <c r="W60" s="31">
        <v>490</v>
      </c>
      <c r="X60" s="32">
        <f t="shared" si="34"/>
        <v>326.66666666666669</v>
      </c>
      <c r="Y60" s="31">
        <v>0</v>
      </c>
      <c r="AA60" s="31">
        <v>0</v>
      </c>
      <c r="AB60" s="31">
        <v>0</v>
      </c>
      <c r="AC60" s="32">
        <f t="shared" si="35"/>
        <v>0</v>
      </c>
      <c r="AD60" s="31">
        <v>0</v>
      </c>
      <c r="AF60" s="31">
        <v>0</v>
      </c>
      <c r="AG60" s="31">
        <f t="shared" si="44"/>
        <v>0</v>
      </c>
      <c r="AH60" s="32">
        <f t="shared" si="36"/>
        <v>0</v>
      </c>
      <c r="AI60" s="31">
        <v>0</v>
      </c>
      <c r="AK60" s="31">
        <v>2</v>
      </c>
      <c r="AL60" s="31">
        <v>960</v>
      </c>
      <c r="AM60" s="32">
        <f t="shared" si="37"/>
        <v>480</v>
      </c>
      <c r="AN60" s="31">
        <v>0.8</v>
      </c>
      <c r="AO60" s="19"/>
      <c r="AP60" s="31">
        <v>0</v>
      </c>
      <c r="AQ60" s="31">
        <v>0</v>
      </c>
      <c r="AR60" s="32">
        <f t="shared" si="38"/>
        <v>0</v>
      </c>
      <c r="AS60" s="31">
        <v>0</v>
      </c>
      <c r="AU60" s="31">
        <v>0</v>
      </c>
      <c r="AV60" s="31">
        <v>0</v>
      </c>
      <c r="AW60" s="32">
        <f t="shared" si="39"/>
        <v>0</v>
      </c>
      <c r="AX60" s="31">
        <v>0</v>
      </c>
      <c r="AZ60" s="31">
        <v>0</v>
      </c>
      <c r="BA60" s="31">
        <v>0</v>
      </c>
      <c r="BB60" s="32">
        <f t="shared" si="40"/>
        <v>0</v>
      </c>
      <c r="BC60" s="31">
        <v>0</v>
      </c>
      <c r="BE60" s="31">
        <v>0</v>
      </c>
      <c r="BF60" s="31">
        <v>0</v>
      </c>
      <c r="BG60" s="32">
        <f t="shared" si="41"/>
        <v>0</v>
      </c>
      <c r="BH60" s="31">
        <v>0</v>
      </c>
      <c r="BI60" s="19"/>
      <c r="BJ60" s="19"/>
      <c r="BK60" s="19"/>
      <c r="BL60" s="19"/>
    </row>
    <row r="61" spans="1:64" ht="15.75" customHeight="1" x14ac:dyDescent="0.2">
      <c r="A61" s="33" t="s">
        <v>118</v>
      </c>
      <c r="B61" s="31">
        <v>24</v>
      </c>
      <c r="C61" s="31">
        <v>470</v>
      </c>
      <c r="D61" s="32">
        <f t="shared" si="30"/>
        <v>19.583333333333332</v>
      </c>
      <c r="E61" s="31">
        <v>15</v>
      </c>
      <c r="G61" s="31">
        <v>24</v>
      </c>
      <c r="H61" s="31">
        <v>500</v>
      </c>
      <c r="I61" s="32">
        <f t="shared" si="31"/>
        <v>20.833333333333332</v>
      </c>
      <c r="J61" s="31">
        <v>24</v>
      </c>
      <c r="L61" s="31">
        <v>0</v>
      </c>
      <c r="M61" s="31">
        <v>0</v>
      </c>
      <c r="N61" s="32">
        <f t="shared" si="32"/>
        <v>0</v>
      </c>
      <c r="O61" s="31">
        <v>0</v>
      </c>
      <c r="Q61" s="31">
        <v>14</v>
      </c>
      <c r="R61" s="31">
        <v>0</v>
      </c>
      <c r="S61" s="32">
        <f t="shared" si="33"/>
        <v>0</v>
      </c>
      <c r="T61" s="31">
        <v>0</v>
      </c>
      <c r="V61" s="31">
        <v>24</v>
      </c>
      <c r="W61" s="31">
        <v>480</v>
      </c>
      <c r="X61" s="32">
        <f t="shared" si="34"/>
        <v>20</v>
      </c>
      <c r="Y61" s="31">
        <v>0</v>
      </c>
      <c r="AA61" s="31">
        <v>0</v>
      </c>
      <c r="AB61" s="31">
        <v>0</v>
      </c>
      <c r="AC61" s="32">
        <f t="shared" si="35"/>
        <v>0</v>
      </c>
      <c r="AD61" s="31">
        <v>0</v>
      </c>
      <c r="AF61" s="31">
        <v>0</v>
      </c>
      <c r="AG61" s="31">
        <f t="shared" si="44"/>
        <v>0</v>
      </c>
      <c r="AH61" s="32">
        <f t="shared" si="36"/>
        <v>0</v>
      </c>
      <c r="AI61" s="31">
        <v>0</v>
      </c>
      <c r="AK61" s="31">
        <v>24</v>
      </c>
      <c r="AL61" s="31">
        <v>420</v>
      </c>
      <c r="AM61" s="32">
        <f t="shared" si="37"/>
        <v>17.5</v>
      </c>
      <c r="AN61" s="31">
        <v>0</v>
      </c>
      <c r="AO61" s="19"/>
      <c r="AP61" s="31">
        <v>0</v>
      </c>
      <c r="AQ61" s="31">
        <v>0</v>
      </c>
      <c r="AR61" s="32">
        <f t="shared" si="38"/>
        <v>0</v>
      </c>
      <c r="AS61" s="31">
        <v>0</v>
      </c>
      <c r="AU61" s="31">
        <v>0</v>
      </c>
      <c r="AV61" s="31">
        <v>0</v>
      </c>
      <c r="AW61" s="32">
        <f t="shared" si="39"/>
        <v>0</v>
      </c>
      <c r="AX61" s="31">
        <v>0</v>
      </c>
      <c r="AZ61" s="31">
        <v>0</v>
      </c>
      <c r="BA61" s="31">
        <v>0</v>
      </c>
      <c r="BB61" s="32">
        <f t="shared" si="40"/>
        <v>0</v>
      </c>
      <c r="BC61" s="31">
        <v>0</v>
      </c>
      <c r="BE61" s="31">
        <v>0</v>
      </c>
      <c r="BF61" s="31">
        <v>0</v>
      </c>
      <c r="BG61" s="32">
        <f t="shared" si="41"/>
        <v>0</v>
      </c>
      <c r="BH61" s="31">
        <v>0</v>
      </c>
      <c r="BI61" s="19"/>
      <c r="BJ61" s="19"/>
      <c r="BK61" s="19"/>
      <c r="BL61" s="19"/>
    </row>
    <row r="62" spans="1:64" ht="15.75" customHeight="1" x14ac:dyDescent="0.2">
      <c r="A62" s="10" t="s">
        <v>119</v>
      </c>
      <c r="B62" s="29"/>
      <c r="C62" s="29"/>
      <c r="D62" s="30"/>
      <c r="E62" s="29"/>
      <c r="G62" s="29"/>
      <c r="H62" s="30"/>
      <c r="I62" s="30"/>
      <c r="J62" s="29"/>
      <c r="L62" s="29"/>
      <c r="M62" s="30"/>
      <c r="N62" s="30"/>
      <c r="O62" s="29"/>
      <c r="Q62" s="29"/>
      <c r="R62" s="30"/>
      <c r="S62" s="30"/>
      <c r="T62" s="29"/>
      <c r="V62" s="29"/>
      <c r="W62" s="30"/>
      <c r="X62" s="30"/>
      <c r="Y62" s="29"/>
      <c r="AA62" s="29"/>
      <c r="AB62" s="30"/>
      <c r="AC62" s="30"/>
      <c r="AD62" s="29"/>
      <c r="AF62" s="29"/>
      <c r="AG62" s="30"/>
      <c r="AH62" s="30"/>
      <c r="AI62" s="29"/>
      <c r="AK62" s="29"/>
      <c r="AL62" s="30"/>
      <c r="AM62" s="30"/>
      <c r="AN62" s="29"/>
      <c r="AO62" s="19"/>
      <c r="AP62" s="29"/>
      <c r="AQ62" s="30"/>
      <c r="AR62" s="30"/>
      <c r="AS62" s="29"/>
      <c r="AU62" s="29"/>
      <c r="AV62" s="30"/>
      <c r="AW62" s="30"/>
      <c r="AX62" s="29"/>
      <c r="AZ62" s="29"/>
      <c r="BA62" s="30"/>
      <c r="BB62" s="30"/>
      <c r="BC62" s="29"/>
      <c r="BE62" s="29"/>
      <c r="BF62" s="30"/>
      <c r="BG62" s="30"/>
      <c r="BH62" s="29"/>
      <c r="BI62" s="19"/>
      <c r="BJ62" s="19"/>
      <c r="BK62" s="19"/>
      <c r="BL62" s="19"/>
    </row>
    <row r="63" spans="1:64" ht="14" x14ac:dyDescent="0.2">
      <c r="A63" s="33" t="s">
        <v>120</v>
      </c>
      <c r="B63" s="31">
        <v>0.5</v>
      </c>
      <c r="C63" s="31">
        <v>80</v>
      </c>
      <c r="D63" s="32">
        <f t="shared" ref="D63:D69" si="45">IFERROR(C63/B63,0)</f>
        <v>160</v>
      </c>
      <c r="E63" s="31">
        <v>1.3</v>
      </c>
      <c r="G63" s="31">
        <v>2</v>
      </c>
      <c r="H63" s="31">
        <v>300</v>
      </c>
      <c r="I63" s="32">
        <f t="shared" ref="I63:I69" si="46">IFERROR(H63/G63,0)</f>
        <v>150</v>
      </c>
      <c r="J63" s="31">
        <v>1.5</v>
      </c>
      <c r="L63" s="31">
        <v>0</v>
      </c>
      <c r="M63" s="31">
        <v>0</v>
      </c>
      <c r="N63" s="32">
        <f t="shared" ref="N63:N69" si="47">IFERROR(M63/L63,0)</f>
        <v>0</v>
      </c>
      <c r="O63" s="31">
        <v>0</v>
      </c>
      <c r="Q63" s="31">
        <v>0</v>
      </c>
      <c r="R63" s="31">
        <v>0</v>
      </c>
      <c r="S63" s="32">
        <f t="shared" ref="S63:S69" si="48">IFERROR(R63/Q63,0)</f>
        <v>0</v>
      </c>
      <c r="T63" s="31">
        <v>0</v>
      </c>
      <c r="V63" s="31">
        <v>0.5</v>
      </c>
      <c r="W63" s="31">
        <v>60</v>
      </c>
      <c r="X63" s="32">
        <f t="shared" ref="X63:X69" si="49">IFERROR(W63/V63,0)</f>
        <v>120</v>
      </c>
      <c r="Y63" s="31">
        <v>0</v>
      </c>
      <c r="AA63" s="31">
        <v>0</v>
      </c>
      <c r="AB63" s="31">
        <v>0</v>
      </c>
      <c r="AC63" s="32">
        <f t="shared" ref="AC63:AC69" si="50">IFERROR(AB63/AA63,0)</f>
        <v>0</v>
      </c>
      <c r="AD63" s="31">
        <v>0</v>
      </c>
      <c r="AF63" s="31">
        <v>0</v>
      </c>
      <c r="AG63" s="31">
        <f t="shared" ref="AG63:AG64" si="51">AC63*AF63</f>
        <v>0</v>
      </c>
      <c r="AH63" s="32">
        <f t="shared" ref="AH63:AH69" si="52">IFERROR(AG63/AF63,0)</f>
        <v>0</v>
      </c>
      <c r="AI63" s="31">
        <v>0</v>
      </c>
      <c r="AK63" s="31">
        <v>0.5</v>
      </c>
      <c r="AL63" s="31">
        <v>60</v>
      </c>
      <c r="AM63" s="32">
        <f t="shared" ref="AM63:AM69" si="53">IFERROR(AL63/AK63,0)</f>
        <v>120</v>
      </c>
      <c r="AN63" s="31">
        <v>0</v>
      </c>
      <c r="AO63" s="19"/>
      <c r="AP63" s="31">
        <v>0</v>
      </c>
      <c r="AQ63" s="31">
        <v>0</v>
      </c>
      <c r="AR63" s="32">
        <f t="shared" ref="AR63:AR69" si="54">IFERROR(AQ63/AP63,0)</f>
        <v>0</v>
      </c>
      <c r="AS63" s="31">
        <v>0</v>
      </c>
      <c r="AU63" s="31">
        <v>0</v>
      </c>
      <c r="AV63" s="31">
        <v>0</v>
      </c>
      <c r="AW63" s="32">
        <f t="shared" ref="AW63:AW69" si="55">IFERROR(AV63/AU63,0)</f>
        <v>0</v>
      </c>
      <c r="AX63" s="31">
        <v>0</v>
      </c>
      <c r="AZ63" s="31">
        <v>0</v>
      </c>
      <c r="BA63" s="31">
        <v>0</v>
      </c>
      <c r="BB63" s="32">
        <f t="shared" ref="BB63:BB69" si="56">IFERROR(BA63/AZ63,0)</f>
        <v>0</v>
      </c>
      <c r="BC63" s="31">
        <v>0</v>
      </c>
      <c r="BE63" s="31">
        <v>0</v>
      </c>
      <c r="BF63" s="31">
        <v>0</v>
      </c>
      <c r="BG63" s="32">
        <f t="shared" ref="BG63:BG69" si="57">IFERROR(BF63/BE63,0)</f>
        <v>0</v>
      </c>
      <c r="BH63" s="31">
        <v>0</v>
      </c>
      <c r="BI63" s="19"/>
      <c r="BJ63" s="19"/>
      <c r="BK63" s="19"/>
      <c r="BL63" s="19"/>
    </row>
    <row r="64" spans="1:64" ht="14" x14ac:dyDescent="0.2">
      <c r="A64" s="33" t="s">
        <v>121</v>
      </c>
      <c r="B64" s="31">
        <v>5</v>
      </c>
      <c r="C64" s="31">
        <v>205</v>
      </c>
      <c r="D64" s="32">
        <f t="shared" si="45"/>
        <v>41</v>
      </c>
      <c r="E64" s="31">
        <v>0.8</v>
      </c>
      <c r="G64" s="31">
        <v>5</v>
      </c>
      <c r="H64" s="31">
        <v>210</v>
      </c>
      <c r="I64" s="32">
        <f t="shared" si="46"/>
        <v>42</v>
      </c>
      <c r="J64" s="31">
        <v>2.5</v>
      </c>
      <c r="L64" s="31">
        <v>3</v>
      </c>
      <c r="M64" s="31">
        <v>129</v>
      </c>
      <c r="N64" s="32">
        <f t="shared" si="47"/>
        <v>43</v>
      </c>
      <c r="O64" s="31">
        <v>0</v>
      </c>
      <c r="Q64" s="31">
        <v>5</v>
      </c>
      <c r="R64" s="31">
        <v>220</v>
      </c>
      <c r="S64" s="32">
        <f t="shared" si="48"/>
        <v>44</v>
      </c>
      <c r="T64" s="31">
        <v>0</v>
      </c>
      <c r="V64" s="31">
        <v>5</v>
      </c>
      <c r="W64" s="31">
        <v>220</v>
      </c>
      <c r="X64" s="32">
        <f t="shared" si="49"/>
        <v>44</v>
      </c>
      <c r="Y64" s="31">
        <v>0</v>
      </c>
      <c r="AA64" s="31">
        <v>4</v>
      </c>
      <c r="AB64" s="31">
        <v>176</v>
      </c>
      <c r="AC64" s="32">
        <f t="shared" si="50"/>
        <v>44</v>
      </c>
      <c r="AD64" s="31">
        <v>1</v>
      </c>
      <c r="AF64" s="31">
        <v>4</v>
      </c>
      <c r="AG64" s="31">
        <f t="shared" si="51"/>
        <v>176</v>
      </c>
      <c r="AH64" s="32">
        <f t="shared" si="52"/>
        <v>44</v>
      </c>
      <c r="AI64" s="31">
        <v>1</v>
      </c>
      <c r="AK64" s="31">
        <v>5</v>
      </c>
      <c r="AL64" s="31">
        <v>220</v>
      </c>
      <c r="AM64" s="32">
        <f t="shared" si="53"/>
        <v>44</v>
      </c>
      <c r="AN64" s="31">
        <v>0</v>
      </c>
      <c r="AO64" s="19"/>
      <c r="AP64" s="31">
        <v>3</v>
      </c>
      <c r="AQ64" s="31">
        <v>0</v>
      </c>
      <c r="AR64" s="32">
        <f t="shared" si="54"/>
        <v>0</v>
      </c>
      <c r="AS64" s="31">
        <v>1</v>
      </c>
      <c r="AU64" s="31">
        <v>0</v>
      </c>
      <c r="AV64" s="31">
        <v>0</v>
      </c>
      <c r="AW64" s="32">
        <f t="shared" si="55"/>
        <v>0</v>
      </c>
      <c r="AX64" s="31">
        <v>1</v>
      </c>
      <c r="AZ64" s="31">
        <v>2</v>
      </c>
      <c r="BA64" s="31">
        <v>180</v>
      </c>
      <c r="BB64" s="32">
        <f t="shared" si="56"/>
        <v>90</v>
      </c>
      <c r="BC64" s="31">
        <v>0</v>
      </c>
      <c r="BE64" s="31">
        <v>3</v>
      </c>
      <c r="BF64" s="31">
        <v>135</v>
      </c>
      <c r="BG64" s="32">
        <f t="shared" si="57"/>
        <v>45</v>
      </c>
      <c r="BH64" s="31">
        <v>0.25</v>
      </c>
      <c r="BI64" s="19"/>
      <c r="BJ64" s="19"/>
      <c r="BK64" s="19"/>
      <c r="BL64" s="19"/>
    </row>
    <row r="65" spans="1:64" ht="14" x14ac:dyDescent="0.2">
      <c r="A65" s="33" t="s">
        <v>122</v>
      </c>
      <c r="B65" s="31">
        <v>1</v>
      </c>
      <c r="C65" s="31">
        <v>0</v>
      </c>
      <c r="D65" s="32">
        <f t="shared" si="45"/>
        <v>0</v>
      </c>
      <c r="E65" s="31">
        <v>0</v>
      </c>
      <c r="G65" s="31">
        <v>1</v>
      </c>
      <c r="H65" s="31">
        <v>140</v>
      </c>
      <c r="I65" s="32">
        <f t="shared" si="46"/>
        <v>140</v>
      </c>
      <c r="J65" s="31">
        <v>0</v>
      </c>
      <c r="L65" s="31">
        <v>1</v>
      </c>
      <c r="M65" s="31">
        <v>140</v>
      </c>
      <c r="N65" s="32">
        <f t="shared" si="47"/>
        <v>140</v>
      </c>
      <c r="O65" s="31">
        <v>0</v>
      </c>
      <c r="Q65" s="31">
        <v>1</v>
      </c>
      <c r="R65" s="31">
        <v>150</v>
      </c>
      <c r="S65" s="32">
        <f t="shared" si="48"/>
        <v>150</v>
      </c>
      <c r="T65" s="31">
        <v>0</v>
      </c>
      <c r="V65" s="31">
        <v>1</v>
      </c>
      <c r="W65" s="31">
        <v>140</v>
      </c>
      <c r="X65" s="32">
        <f t="shared" si="49"/>
        <v>140</v>
      </c>
      <c r="Y65" s="31">
        <v>0</v>
      </c>
      <c r="AA65" s="31">
        <v>1</v>
      </c>
      <c r="AB65" s="31">
        <v>200</v>
      </c>
      <c r="AC65" s="32">
        <f t="shared" si="50"/>
        <v>200</v>
      </c>
      <c r="AD65" s="31">
        <v>0</v>
      </c>
      <c r="AF65" s="31">
        <f>1+1</f>
        <v>2</v>
      </c>
      <c r="AG65" s="31">
        <f>150+150</f>
        <v>300</v>
      </c>
      <c r="AH65" s="32">
        <f t="shared" si="52"/>
        <v>150</v>
      </c>
      <c r="AI65" s="31">
        <v>0</v>
      </c>
      <c r="AK65" s="31">
        <v>1</v>
      </c>
      <c r="AL65" s="31">
        <v>150</v>
      </c>
      <c r="AM65" s="32">
        <f t="shared" si="53"/>
        <v>150</v>
      </c>
      <c r="AN65" s="31">
        <v>0</v>
      </c>
      <c r="AO65" s="19"/>
      <c r="AP65" s="31">
        <v>1</v>
      </c>
      <c r="AQ65" s="31">
        <v>150</v>
      </c>
      <c r="AR65" s="32">
        <f t="shared" si="54"/>
        <v>150</v>
      </c>
      <c r="AS65" s="31">
        <v>0</v>
      </c>
      <c r="AU65" s="31">
        <v>0</v>
      </c>
      <c r="AV65" s="31">
        <v>0</v>
      </c>
      <c r="AW65" s="32">
        <f t="shared" si="55"/>
        <v>0</v>
      </c>
      <c r="AX65" s="31">
        <v>0</v>
      </c>
      <c r="AZ65" s="31">
        <v>1</v>
      </c>
      <c r="BA65" s="31">
        <v>0</v>
      </c>
      <c r="BB65" s="32">
        <f t="shared" si="56"/>
        <v>0</v>
      </c>
      <c r="BC65" s="31">
        <v>0</v>
      </c>
      <c r="BE65" s="31">
        <v>1</v>
      </c>
      <c r="BF65" s="31">
        <v>330</v>
      </c>
      <c r="BG65" s="32">
        <f t="shared" si="57"/>
        <v>330</v>
      </c>
      <c r="BH65" s="31">
        <v>0</v>
      </c>
      <c r="BI65" s="19"/>
      <c r="BJ65" s="19"/>
      <c r="BK65" s="19"/>
      <c r="BL65" s="19"/>
    </row>
    <row r="66" spans="1:64" ht="14" x14ac:dyDescent="0.2">
      <c r="A66" s="33" t="s">
        <v>123</v>
      </c>
      <c r="B66" s="31">
        <v>0</v>
      </c>
      <c r="C66" s="31">
        <v>0</v>
      </c>
      <c r="D66" s="32">
        <f t="shared" si="45"/>
        <v>0</v>
      </c>
      <c r="E66" s="31">
        <v>0</v>
      </c>
      <c r="G66" s="31">
        <v>0</v>
      </c>
      <c r="H66" s="31">
        <v>0</v>
      </c>
      <c r="I66" s="32">
        <f t="shared" si="46"/>
        <v>0</v>
      </c>
      <c r="J66" s="31">
        <v>0</v>
      </c>
      <c r="L66" s="31">
        <v>0</v>
      </c>
      <c r="M66" s="31">
        <v>0</v>
      </c>
      <c r="N66" s="32">
        <f t="shared" si="47"/>
        <v>0</v>
      </c>
      <c r="O66" s="31">
        <v>0</v>
      </c>
      <c r="Q66" s="31">
        <v>0</v>
      </c>
      <c r="R66" s="31">
        <v>0</v>
      </c>
      <c r="S66" s="32">
        <f t="shared" si="48"/>
        <v>0</v>
      </c>
      <c r="T66" s="31">
        <v>0</v>
      </c>
      <c r="V66" s="31">
        <v>0</v>
      </c>
      <c r="W66" s="31">
        <v>0</v>
      </c>
      <c r="X66" s="32">
        <f t="shared" si="49"/>
        <v>0</v>
      </c>
      <c r="Y66" s="31">
        <v>0</v>
      </c>
      <c r="AA66" s="31">
        <v>0</v>
      </c>
      <c r="AB66" s="31">
        <v>0</v>
      </c>
      <c r="AC66" s="32">
        <f t="shared" si="50"/>
        <v>0</v>
      </c>
      <c r="AD66" s="31">
        <v>0</v>
      </c>
      <c r="AF66" s="31">
        <v>0</v>
      </c>
      <c r="AG66" s="31">
        <f t="shared" ref="AG66:AG69" si="58">AC66*AF66</f>
        <v>0</v>
      </c>
      <c r="AH66" s="32">
        <f t="shared" si="52"/>
        <v>0</v>
      </c>
      <c r="AI66" s="31">
        <v>0</v>
      </c>
      <c r="AK66" s="31">
        <v>1</v>
      </c>
      <c r="AL66" s="31">
        <v>0</v>
      </c>
      <c r="AM66" s="32">
        <f t="shared" si="53"/>
        <v>0</v>
      </c>
      <c r="AN66" s="31">
        <v>0</v>
      </c>
      <c r="AO66" s="19"/>
      <c r="AP66" s="31">
        <v>0</v>
      </c>
      <c r="AQ66" s="31">
        <v>0</v>
      </c>
      <c r="AR66" s="32">
        <f t="shared" si="54"/>
        <v>0</v>
      </c>
      <c r="AS66" s="31">
        <v>0</v>
      </c>
      <c r="AU66" s="31">
        <v>0</v>
      </c>
      <c r="AV66" s="31">
        <v>0</v>
      </c>
      <c r="AW66" s="32">
        <f t="shared" si="55"/>
        <v>0</v>
      </c>
      <c r="AX66" s="31">
        <v>0</v>
      </c>
      <c r="AZ66" s="31">
        <v>0</v>
      </c>
      <c r="BA66" s="31">
        <v>0</v>
      </c>
      <c r="BB66" s="32">
        <f t="shared" si="56"/>
        <v>0</v>
      </c>
      <c r="BC66" s="31">
        <v>0</v>
      </c>
      <c r="BE66" s="31">
        <v>0</v>
      </c>
      <c r="BF66" s="31">
        <v>0</v>
      </c>
      <c r="BG66" s="32">
        <f t="shared" si="57"/>
        <v>0</v>
      </c>
      <c r="BH66" s="31">
        <v>0</v>
      </c>
      <c r="BI66" s="19"/>
      <c r="BJ66" s="19"/>
      <c r="BK66" s="19"/>
      <c r="BL66" s="19"/>
    </row>
    <row r="67" spans="1:64" ht="14" x14ac:dyDescent="0.2">
      <c r="A67" s="33" t="s">
        <v>124</v>
      </c>
      <c r="B67" s="31">
        <v>0</v>
      </c>
      <c r="C67" s="31">
        <v>0</v>
      </c>
      <c r="D67" s="32">
        <f t="shared" si="45"/>
        <v>0</v>
      </c>
      <c r="E67" s="31">
        <v>0</v>
      </c>
      <c r="G67" s="31">
        <v>0</v>
      </c>
      <c r="H67" s="31">
        <v>0</v>
      </c>
      <c r="I67" s="32">
        <f t="shared" si="46"/>
        <v>0</v>
      </c>
      <c r="J67" s="31">
        <v>0</v>
      </c>
      <c r="L67" s="31">
        <v>2</v>
      </c>
      <c r="M67" s="31">
        <v>320</v>
      </c>
      <c r="N67" s="32">
        <f t="shared" si="47"/>
        <v>160</v>
      </c>
      <c r="O67" s="31">
        <v>0</v>
      </c>
      <c r="Q67" s="31">
        <v>2</v>
      </c>
      <c r="R67" s="31">
        <v>300</v>
      </c>
      <c r="S67" s="32">
        <f t="shared" si="48"/>
        <v>150</v>
      </c>
      <c r="T67" s="31">
        <v>0</v>
      </c>
      <c r="V67" s="31">
        <v>2</v>
      </c>
      <c r="W67" s="31">
        <v>300</v>
      </c>
      <c r="X67" s="32">
        <f t="shared" si="49"/>
        <v>150</v>
      </c>
      <c r="Y67" s="31">
        <v>0</v>
      </c>
      <c r="AA67" s="31">
        <v>2</v>
      </c>
      <c r="AB67" s="31">
        <v>320</v>
      </c>
      <c r="AC67" s="32">
        <f t="shared" si="50"/>
        <v>160</v>
      </c>
      <c r="AD67" s="31">
        <v>0</v>
      </c>
      <c r="AF67" s="31">
        <v>3</v>
      </c>
      <c r="AG67" s="31">
        <f t="shared" si="58"/>
        <v>480</v>
      </c>
      <c r="AH67" s="32">
        <f t="shared" si="52"/>
        <v>160</v>
      </c>
      <c r="AI67" s="31">
        <v>0</v>
      </c>
      <c r="AK67" s="31">
        <v>3</v>
      </c>
      <c r="AL67" s="31">
        <v>510</v>
      </c>
      <c r="AM67" s="32">
        <f t="shared" si="53"/>
        <v>170</v>
      </c>
      <c r="AN67" s="31">
        <v>0</v>
      </c>
      <c r="AO67" s="19"/>
      <c r="AP67" s="31">
        <v>3</v>
      </c>
      <c r="AQ67" s="31">
        <v>480</v>
      </c>
      <c r="AR67" s="32">
        <f t="shared" si="54"/>
        <v>160</v>
      </c>
      <c r="AS67" s="31">
        <v>0</v>
      </c>
      <c r="AU67" s="31">
        <v>3</v>
      </c>
      <c r="AV67" s="31">
        <v>480</v>
      </c>
      <c r="AW67" s="32">
        <f t="shared" si="55"/>
        <v>160</v>
      </c>
      <c r="AX67" s="31">
        <v>0</v>
      </c>
      <c r="AZ67" s="31">
        <v>2</v>
      </c>
      <c r="BA67" s="31">
        <v>220</v>
      </c>
      <c r="BB67" s="32">
        <f t="shared" si="56"/>
        <v>110</v>
      </c>
      <c r="BC67" s="31">
        <v>0.5</v>
      </c>
      <c r="BE67" s="31">
        <v>2</v>
      </c>
      <c r="BF67" s="31">
        <v>140</v>
      </c>
      <c r="BG67" s="32">
        <f t="shared" si="57"/>
        <v>70</v>
      </c>
      <c r="BH67" s="31">
        <v>1</v>
      </c>
      <c r="BI67" s="19"/>
      <c r="BJ67" s="19"/>
      <c r="BK67" s="19"/>
      <c r="BL67" s="19"/>
    </row>
    <row r="68" spans="1:64" ht="14" x14ac:dyDescent="0.2">
      <c r="A68" s="33" t="s">
        <v>125</v>
      </c>
      <c r="B68" s="31">
        <v>0</v>
      </c>
      <c r="C68" s="31">
        <v>0</v>
      </c>
      <c r="D68" s="32">
        <f t="shared" si="45"/>
        <v>0</v>
      </c>
      <c r="E68" s="31">
        <v>0</v>
      </c>
      <c r="G68" s="31">
        <v>1</v>
      </c>
      <c r="H68" s="31">
        <v>200</v>
      </c>
      <c r="I68" s="32">
        <f t="shared" si="46"/>
        <v>200</v>
      </c>
      <c r="J68" s="31">
        <v>0</v>
      </c>
      <c r="L68" s="31">
        <v>1</v>
      </c>
      <c r="M68" s="31">
        <v>180</v>
      </c>
      <c r="N68" s="32">
        <f t="shared" si="47"/>
        <v>180</v>
      </c>
      <c r="O68" s="31">
        <v>0</v>
      </c>
      <c r="Q68" s="31">
        <v>0</v>
      </c>
      <c r="R68" s="31">
        <v>0</v>
      </c>
      <c r="S68" s="32">
        <f t="shared" si="48"/>
        <v>0</v>
      </c>
      <c r="T68" s="31">
        <v>0</v>
      </c>
      <c r="V68" s="31">
        <v>0</v>
      </c>
      <c r="W68" s="31">
        <v>0</v>
      </c>
      <c r="X68" s="32">
        <f t="shared" si="49"/>
        <v>0</v>
      </c>
      <c r="Y68" s="31">
        <v>0</v>
      </c>
      <c r="AA68" s="31">
        <v>1</v>
      </c>
      <c r="AB68" s="31">
        <v>150</v>
      </c>
      <c r="AC68" s="32">
        <f t="shared" si="50"/>
        <v>150</v>
      </c>
      <c r="AD68" s="31">
        <v>1</v>
      </c>
      <c r="AF68" s="31">
        <v>0</v>
      </c>
      <c r="AG68" s="31">
        <f t="shared" si="58"/>
        <v>0</v>
      </c>
      <c r="AH68" s="32">
        <f t="shared" si="52"/>
        <v>0</v>
      </c>
      <c r="AI68" s="31">
        <v>0</v>
      </c>
      <c r="AK68" s="31">
        <v>1</v>
      </c>
      <c r="AL68" s="31">
        <v>220</v>
      </c>
      <c r="AM68" s="32">
        <f t="shared" si="53"/>
        <v>220</v>
      </c>
      <c r="AN68" s="31">
        <v>0</v>
      </c>
      <c r="AO68" s="19"/>
      <c r="AP68" s="31">
        <v>1</v>
      </c>
      <c r="AQ68" s="31">
        <v>0</v>
      </c>
      <c r="AR68" s="32">
        <f t="shared" si="54"/>
        <v>0</v>
      </c>
      <c r="AS68" s="31">
        <v>0</v>
      </c>
      <c r="AU68" s="31">
        <v>0</v>
      </c>
      <c r="AV68" s="31">
        <v>0</v>
      </c>
      <c r="AW68" s="32">
        <f t="shared" si="55"/>
        <v>0</v>
      </c>
      <c r="AX68" s="31">
        <v>0</v>
      </c>
      <c r="AZ68" s="31">
        <v>0</v>
      </c>
      <c r="BA68" s="31">
        <v>0</v>
      </c>
      <c r="BB68" s="32">
        <f t="shared" si="56"/>
        <v>0</v>
      </c>
      <c r="BC68" s="31">
        <v>0</v>
      </c>
      <c r="BE68" s="31">
        <v>0</v>
      </c>
      <c r="BF68" s="31">
        <v>0</v>
      </c>
      <c r="BG68" s="32">
        <f t="shared" si="57"/>
        <v>0</v>
      </c>
      <c r="BH68" s="31">
        <v>0</v>
      </c>
      <c r="BI68" s="19"/>
      <c r="BJ68" s="19"/>
      <c r="BK68" s="19"/>
      <c r="BL68" s="19"/>
    </row>
    <row r="69" spans="1:64" ht="14" x14ac:dyDescent="0.2">
      <c r="A69" s="33" t="s">
        <v>126</v>
      </c>
      <c r="B69" s="31">
        <v>400</v>
      </c>
      <c r="C69" s="31">
        <v>2560</v>
      </c>
      <c r="D69" s="32">
        <f t="shared" si="45"/>
        <v>6.4</v>
      </c>
      <c r="E69" s="31">
        <v>0</v>
      </c>
      <c r="G69" s="33"/>
      <c r="H69" s="31">
        <v>0</v>
      </c>
      <c r="I69" s="32">
        <f t="shared" si="46"/>
        <v>0</v>
      </c>
      <c r="J69" s="31">
        <v>0</v>
      </c>
      <c r="L69" s="31">
        <v>400</v>
      </c>
      <c r="M69" s="31">
        <v>2300</v>
      </c>
      <c r="N69" s="32">
        <f t="shared" si="47"/>
        <v>5.75</v>
      </c>
      <c r="O69" s="31">
        <v>0</v>
      </c>
      <c r="Q69" s="31">
        <v>400</v>
      </c>
      <c r="R69" s="31">
        <v>2300</v>
      </c>
      <c r="S69" s="32">
        <f t="shared" si="48"/>
        <v>5.75</v>
      </c>
      <c r="T69" s="31">
        <v>0</v>
      </c>
      <c r="V69" s="31">
        <v>0</v>
      </c>
      <c r="W69" s="31">
        <v>0</v>
      </c>
      <c r="X69" s="32">
        <f t="shared" si="49"/>
        <v>0</v>
      </c>
      <c r="Y69" s="31">
        <v>0</v>
      </c>
      <c r="AA69" s="31">
        <v>0</v>
      </c>
      <c r="AB69" s="31">
        <v>0</v>
      </c>
      <c r="AC69" s="32">
        <f t="shared" si="50"/>
        <v>0</v>
      </c>
      <c r="AD69" s="31">
        <v>0</v>
      </c>
      <c r="AF69" s="31">
        <v>0</v>
      </c>
      <c r="AG69" s="31">
        <f t="shared" si="58"/>
        <v>0</v>
      </c>
      <c r="AH69" s="32">
        <f t="shared" si="52"/>
        <v>0</v>
      </c>
      <c r="AI69" s="31">
        <v>0</v>
      </c>
      <c r="AK69" s="31">
        <v>200</v>
      </c>
      <c r="AL69" s="31">
        <v>1400</v>
      </c>
      <c r="AM69" s="32">
        <f t="shared" si="53"/>
        <v>7</v>
      </c>
      <c r="AN69" s="31">
        <v>0</v>
      </c>
      <c r="AO69" s="19"/>
      <c r="AP69" s="31">
        <v>0</v>
      </c>
      <c r="AQ69" s="31">
        <v>0</v>
      </c>
      <c r="AR69" s="32">
        <f t="shared" si="54"/>
        <v>0</v>
      </c>
      <c r="AS69" s="31">
        <v>0</v>
      </c>
      <c r="AU69" s="31">
        <v>600</v>
      </c>
      <c r="AV69" s="31">
        <v>3057</v>
      </c>
      <c r="AW69" s="32">
        <f t="shared" si="55"/>
        <v>5.0949999999999998</v>
      </c>
      <c r="AX69" s="31">
        <v>0</v>
      </c>
      <c r="AZ69" s="31">
        <v>600</v>
      </c>
      <c r="BA69" s="31">
        <v>3450</v>
      </c>
      <c r="BB69" s="32">
        <f t="shared" si="56"/>
        <v>5.75</v>
      </c>
      <c r="BC69" s="31">
        <v>0</v>
      </c>
      <c r="BE69" s="31">
        <v>0</v>
      </c>
      <c r="BF69" s="31">
        <v>3080</v>
      </c>
      <c r="BG69" s="32">
        <f t="shared" si="57"/>
        <v>0</v>
      </c>
      <c r="BH69" s="31">
        <v>0</v>
      </c>
      <c r="BI69" s="19"/>
      <c r="BJ69" s="19"/>
      <c r="BK69" s="19"/>
      <c r="BL69" s="19"/>
    </row>
    <row r="70" spans="1:64" ht="14" x14ac:dyDescent="0.2">
      <c r="B70" s="1"/>
      <c r="C70" s="1"/>
      <c r="D70" s="1"/>
      <c r="E70" s="1"/>
      <c r="G70" s="1"/>
      <c r="H70" s="1"/>
      <c r="I70" s="1"/>
      <c r="J70" s="1"/>
      <c r="L70" s="19"/>
      <c r="M70" s="19"/>
      <c r="N70" s="20"/>
      <c r="O70" s="19"/>
      <c r="Q70" s="19"/>
      <c r="R70" s="19"/>
      <c r="S70" s="20"/>
      <c r="T70" s="19"/>
      <c r="V70" s="1"/>
      <c r="W70" s="1"/>
      <c r="X70" s="1"/>
      <c r="Y70" s="1"/>
      <c r="AA70" s="1"/>
      <c r="AB70" s="1"/>
      <c r="AC70" s="1"/>
      <c r="AD70" s="1"/>
      <c r="AF70" s="19"/>
      <c r="AG70" s="19"/>
      <c r="AH70" s="20"/>
      <c r="AI70" s="19"/>
      <c r="AK70" s="1"/>
      <c r="AL70" s="1"/>
      <c r="AM70" s="1"/>
      <c r="AN70" s="1"/>
      <c r="AO70" s="21"/>
      <c r="AP70" s="19"/>
      <c r="AQ70" s="19"/>
      <c r="AR70" s="20"/>
      <c r="AS70" s="19"/>
      <c r="AU70" s="19"/>
      <c r="AV70" s="19"/>
      <c r="AW70" s="20"/>
      <c r="AX70" s="19"/>
      <c r="AZ70" s="1"/>
      <c r="BA70" s="1"/>
      <c r="BB70" s="1"/>
      <c r="BC70" s="1"/>
      <c r="BE70" s="19"/>
      <c r="BF70" s="19"/>
      <c r="BG70" s="20"/>
      <c r="BH70" s="19"/>
      <c r="BI70" s="21"/>
      <c r="BJ70" s="21"/>
      <c r="BK70" s="21"/>
      <c r="BL70" s="21"/>
    </row>
    <row r="71" spans="1:64" ht="14" x14ac:dyDescent="0.2">
      <c r="B71" s="1"/>
      <c r="C71" s="1"/>
      <c r="D71" s="1"/>
      <c r="E71" s="1"/>
      <c r="G71" s="1"/>
      <c r="H71" s="1"/>
      <c r="I71" s="1"/>
      <c r="J71" s="1"/>
      <c r="L71" s="19"/>
      <c r="M71" s="19"/>
      <c r="N71" s="20"/>
      <c r="O71" s="19"/>
      <c r="Q71" s="19"/>
      <c r="R71" s="19"/>
      <c r="S71" s="20"/>
      <c r="T71" s="19"/>
      <c r="V71" s="1"/>
      <c r="W71" s="1"/>
      <c r="X71" s="1"/>
      <c r="Y71" s="1"/>
      <c r="AA71" s="1"/>
      <c r="AB71" s="1"/>
      <c r="AC71" s="1"/>
      <c r="AD71" s="1"/>
      <c r="AF71" s="19"/>
      <c r="AG71" s="19"/>
      <c r="AH71" s="20"/>
      <c r="AI71" s="19"/>
      <c r="AK71" s="1"/>
      <c r="AL71" s="1"/>
      <c r="AM71" s="1"/>
      <c r="AN71" s="1"/>
      <c r="AO71" s="19"/>
      <c r="AP71" s="19"/>
      <c r="AQ71" s="19"/>
      <c r="AR71" s="20"/>
      <c r="AS71" s="19"/>
      <c r="AU71" s="19"/>
      <c r="AV71" s="19"/>
      <c r="AW71" s="20"/>
      <c r="AX71" s="19"/>
      <c r="AZ71" s="1"/>
      <c r="BA71" s="1"/>
      <c r="BB71" s="1"/>
      <c r="BC71" s="1"/>
      <c r="BE71" s="19"/>
      <c r="BF71" s="19"/>
      <c r="BG71" s="20"/>
      <c r="BH71" s="19"/>
      <c r="BI71" s="19"/>
      <c r="BJ71" s="19"/>
      <c r="BK71" s="19"/>
      <c r="BL71" s="19"/>
    </row>
    <row r="72" spans="1:64" ht="14" x14ac:dyDescent="0.2">
      <c r="A72" s="4" t="s">
        <v>0</v>
      </c>
      <c r="B72" s="34"/>
      <c r="C72" s="27">
        <f>SUM(C5:C69)</f>
        <v>95268</v>
      </c>
      <c r="D72" s="5"/>
      <c r="E72" s="5"/>
      <c r="G72" s="34"/>
      <c r="H72" s="27">
        <f>SUM(H5:H69)</f>
        <v>67553</v>
      </c>
      <c r="I72" s="5"/>
      <c r="J72" s="5"/>
      <c r="L72" s="33"/>
      <c r="M72" s="35">
        <f>SUM(M5:M69)</f>
        <v>54083</v>
      </c>
      <c r="N72" s="36"/>
      <c r="O72" s="20"/>
      <c r="Q72" s="33"/>
      <c r="R72" s="27">
        <f>SUM(R5:R69)</f>
        <v>70682</v>
      </c>
      <c r="S72" s="36"/>
      <c r="T72" s="20"/>
      <c r="V72" s="34"/>
      <c r="W72" s="27">
        <f>SUM(W5:W69)</f>
        <v>95827</v>
      </c>
      <c r="X72" s="5"/>
      <c r="Y72" s="5"/>
      <c r="AA72" s="34"/>
      <c r="AB72" s="27">
        <f>SUM(AB5:AB69)</f>
        <v>54328</v>
      </c>
      <c r="AC72" s="5"/>
      <c r="AD72" s="5"/>
      <c r="AF72" s="33"/>
      <c r="AG72" s="35">
        <f>SUM(AG5:AG69)</f>
        <v>85485</v>
      </c>
      <c r="AH72" s="36"/>
      <c r="AI72" s="20"/>
      <c r="AK72" s="34"/>
      <c r="AL72" s="27">
        <f>SUM(AL5:AL69)</f>
        <v>127049</v>
      </c>
      <c r="AM72" s="5"/>
      <c r="AN72" s="5"/>
      <c r="AO72" s="19"/>
      <c r="AP72" s="33"/>
      <c r="AQ72" s="35">
        <f>SUM(AQ5:AQ69)</f>
        <v>81167</v>
      </c>
      <c r="AR72" s="36"/>
      <c r="AS72" s="20"/>
      <c r="AU72" s="33"/>
      <c r="AV72" s="35">
        <f>SUM(AV5:AV69)</f>
        <v>90599</v>
      </c>
      <c r="AW72" s="36"/>
      <c r="AX72" s="20"/>
      <c r="AZ72" s="34"/>
      <c r="BA72" s="27">
        <f>SUM(BA5:BA69)</f>
        <v>27074</v>
      </c>
      <c r="BB72" s="5"/>
      <c r="BC72" s="5"/>
      <c r="BE72" s="33"/>
      <c r="BF72" s="35">
        <f>SUM(BF5:BF69)</f>
        <v>60180</v>
      </c>
      <c r="BG72" s="36"/>
      <c r="BH72" s="20"/>
      <c r="BI72" s="19"/>
      <c r="BJ72" s="19"/>
      <c r="BK72" s="19"/>
      <c r="BL72" s="19"/>
    </row>
    <row r="73" spans="1:64" ht="14" x14ac:dyDescent="0.2">
      <c r="B73" s="1"/>
      <c r="C73" s="1"/>
      <c r="D73" s="1"/>
      <c r="E73" s="1"/>
      <c r="H73" s="18"/>
      <c r="I73" s="18"/>
      <c r="J73" s="18"/>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row>
    <row r="74" spans="1:64" ht="14" x14ac:dyDescent="0.2">
      <c r="B74" s="1"/>
      <c r="C74" s="1"/>
      <c r="D74" s="1"/>
      <c r="E74" s="1"/>
      <c r="H74" s="18"/>
      <c r="I74" s="18"/>
      <c r="J74" s="18"/>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row>
    <row r="75" spans="1:64" ht="14" x14ac:dyDescent="0.2">
      <c r="B75" s="1"/>
      <c r="C75" s="1"/>
      <c r="D75" s="1"/>
      <c r="E75" s="1"/>
      <c r="H75" s="18"/>
      <c r="I75" s="18"/>
      <c r="J75" s="18"/>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row>
    <row r="76" spans="1:64" ht="14" x14ac:dyDescent="0.2">
      <c r="B76" s="1"/>
      <c r="C76" s="1"/>
      <c r="D76" s="1"/>
      <c r="E76" s="1"/>
      <c r="H76" s="18"/>
      <c r="I76" s="18"/>
      <c r="J76" s="18"/>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row>
    <row r="77" spans="1:64" ht="14" x14ac:dyDescent="0.2">
      <c r="B77" s="1"/>
      <c r="C77" s="1"/>
      <c r="D77" s="1"/>
      <c r="E77" s="1"/>
      <c r="H77" s="18"/>
      <c r="I77" s="18"/>
      <c r="J77" s="18"/>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row>
    <row r="78" spans="1:64" ht="14" x14ac:dyDescent="0.2">
      <c r="B78" s="1"/>
      <c r="C78" s="1"/>
      <c r="D78" s="1"/>
      <c r="E78" s="1"/>
      <c r="H78" s="18"/>
      <c r="I78" s="18"/>
      <c r="J78" s="18"/>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row>
    <row r="79" spans="1:64" ht="14" x14ac:dyDescent="0.2">
      <c r="B79" s="1"/>
      <c r="C79" s="1"/>
      <c r="D79" s="1"/>
      <c r="E79" s="1"/>
      <c r="H79" s="18"/>
      <c r="I79" s="18"/>
      <c r="J79" s="18"/>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row>
    <row r="80" spans="1:64" ht="14" x14ac:dyDescent="0.2">
      <c r="B80" s="1"/>
      <c r="C80" s="1"/>
      <c r="D80" s="1"/>
      <c r="E80" s="1"/>
      <c r="H80" s="18"/>
      <c r="I80" s="18"/>
      <c r="J80" s="18"/>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row>
    <row r="81" spans="2:64" ht="14" x14ac:dyDescent="0.2">
      <c r="B81" s="1"/>
      <c r="C81" s="1"/>
      <c r="D81" s="1"/>
      <c r="E81" s="1"/>
      <c r="H81" s="18"/>
      <c r="I81" s="18"/>
      <c r="J81" s="18"/>
      <c r="AF81" s="19"/>
      <c r="AG81" s="19"/>
      <c r="AH81" s="20"/>
      <c r="AI81" s="19"/>
      <c r="AK81" s="19"/>
      <c r="AL81" s="19"/>
      <c r="AM81" s="19"/>
      <c r="AN81" s="19"/>
      <c r="AO81" s="19"/>
      <c r="AZ81" s="19"/>
      <c r="BA81" s="19"/>
      <c r="BB81" s="20"/>
      <c r="BC81" s="19"/>
      <c r="BE81" s="19"/>
      <c r="BF81" s="19"/>
      <c r="BG81" s="19"/>
      <c r="BH81" s="19"/>
      <c r="BI81" s="19"/>
      <c r="BJ81" s="19"/>
      <c r="BK81" s="19"/>
      <c r="BL81" s="19"/>
    </row>
    <row r="82" spans="2:64" ht="14" x14ac:dyDescent="0.2">
      <c r="B82" s="1"/>
      <c r="C82" s="1"/>
      <c r="D82" s="1"/>
      <c r="E82" s="1"/>
      <c r="H82" s="18"/>
      <c r="I82" s="18"/>
      <c r="J82" s="18"/>
      <c r="AF82" s="19"/>
      <c r="AG82" s="19"/>
      <c r="AH82" s="20"/>
      <c r="AI82" s="19"/>
      <c r="AK82" s="19"/>
      <c r="AL82" s="19"/>
      <c r="AM82" s="19"/>
      <c r="AN82" s="19"/>
      <c r="AO82" s="19"/>
      <c r="AZ82" s="19"/>
      <c r="BA82" s="19"/>
      <c r="BB82" s="20"/>
      <c r="BC82" s="19"/>
      <c r="BE82" s="19"/>
      <c r="BF82" s="19"/>
      <c r="BG82" s="19"/>
      <c r="BH82" s="19"/>
      <c r="BI82" s="19"/>
      <c r="BJ82" s="19"/>
      <c r="BK82" s="19"/>
      <c r="BL82" s="19"/>
    </row>
    <row r="83" spans="2:64" ht="14" x14ac:dyDescent="0.2">
      <c r="B83" s="1"/>
      <c r="C83" s="1"/>
      <c r="D83" s="1"/>
      <c r="E83" s="1"/>
      <c r="H83" s="18"/>
      <c r="I83" s="18"/>
      <c r="J83" s="18"/>
      <c r="AF83" s="19"/>
      <c r="AG83" s="19"/>
      <c r="AH83" s="20"/>
      <c r="AI83" s="19"/>
      <c r="AK83" s="19"/>
      <c r="AL83" s="19"/>
      <c r="AM83" s="19"/>
      <c r="AN83" s="19"/>
      <c r="AO83" s="19"/>
      <c r="AZ83" s="19"/>
      <c r="BA83" s="19"/>
      <c r="BB83" s="20"/>
      <c r="BC83" s="19"/>
      <c r="BE83" s="19"/>
      <c r="BF83" s="19"/>
      <c r="BG83" s="19"/>
      <c r="BH83" s="19"/>
      <c r="BI83" s="19"/>
      <c r="BJ83" s="19"/>
      <c r="BK83" s="19"/>
      <c r="BL83" s="19"/>
    </row>
    <row r="84" spans="2:64" ht="14" x14ac:dyDescent="0.2">
      <c r="B84" s="1"/>
      <c r="C84" s="1"/>
      <c r="D84" s="1"/>
      <c r="E84" s="1"/>
      <c r="H84" s="18"/>
      <c r="I84" s="18"/>
      <c r="J84" s="18"/>
      <c r="AF84" s="19"/>
      <c r="AG84" s="19"/>
      <c r="AH84" s="20"/>
      <c r="AI84" s="19"/>
      <c r="AK84" s="19"/>
      <c r="AL84" s="19"/>
      <c r="AM84" s="19"/>
      <c r="AN84" s="19"/>
      <c r="AO84" s="19"/>
      <c r="AZ84" s="19"/>
      <c r="BA84" s="19"/>
      <c r="BB84" s="20"/>
      <c r="BC84" s="19"/>
      <c r="BE84" s="19"/>
      <c r="BF84" s="19"/>
      <c r="BG84" s="19"/>
      <c r="BH84" s="19"/>
      <c r="BI84" s="19"/>
      <c r="BJ84" s="19"/>
      <c r="BK84" s="19"/>
      <c r="BL84" s="19"/>
    </row>
    <row r="85" spans="2:64" ht="14" x14ac:dyDescent="0.2">
      <c r="B85" s="1"/>
      <c r="C85" s="1"/>
      <c r="D85" s="1"/>
      <c r="E85" s="1"/>
      <c r="H85" s="18"/>
      <c r="I85" s="18"/>
      <c r="J85" s="18"/>
      <c r="AF85" s="19"/>
      <c r="AG85" s="19"/>
      <c r="AH85" s="20"/>
      <c r="AI85" s="19"/>
      <c r="AK85" s="19"/>
      <c r="AL85" s="19"/>
      <c r="AM85" s="19"/>
      <c r="AN85" s="19"/>
      <c r="AO85" s="19"/>
      <c r="AZ85" s="19"/>
      <c r="BA85" s="19"/>
      <c r="BB85" s="20"/>
      <c r="BC85" s="19"/>
      <c r="BE85" s="19"/>
      <c r="BF85" s="19"/>
      <c r="BG85" s="19"/>
      <c r="BH85" s="19"/>
      <c r="BI85" s="19"/>
      <c r="BJ85" s="19"/>
      <c r="BK85" s="19"/>
      <c r="BL85" s="19"/>
    </row>
    <row r="86" spans="2:64" ht="14" x14ac:dyDescent="0.2">
      <c r="B86" s="1"/>
      <c r="C86" s="1"/>
      <c r="D86" s="1"/>
      <c r="E86" s="1"/>
      <c r="H86" s="18"/>
      <c r="I86" s="18"/>
      <c r="J86" s="18"/>
      <c r="AF86" s="19"/>
      <c r="AG86" s="19"/>
      <c r="AH86" s="20"/>
      <c r="AI86" s="19"/>
      <c r="AK86" s="19"/>
      <c r="AL86" s="19"/>
      <c r="AM86" s="19"/>
      <c r="AN86" s="19"/>
      <c r="AO86" s="19"/>
      <c r="AZ86" s="19"/>
      <c r="BA86" s="19"/>
      <c r="BB86" s="20"/>
      <c r="BC86" s="19"/>
      <c r="BE86" s="19"/>
      <c r="BF86" s="19"/>
      <c r="BG86" s="19"/>
      <c r="BH86" s="19"/>
      <c r="BI86" s="19"/>
      <c r="BJ86" s="19"/>
      <c r="BK86" s="19"/>
      <c r="BL86" s="19"/>
    </row>
    <row r="87" spans="2:64" ht="14" x14ac:dyDescent="0.2">
      <c r="B87" s="1"/>
      <c r="C87" s="1"/>
      <c r="D87" s="1"/>
      <c r="E87" s="1"/>
      <c r="H87" s="18"/>
      <c r="I87" s="18"/>
      <c r="J87" s="18"/>
      <c r="AF87" s="19"/>
      <c r="AG87" s="19"/>
      <c r="AH87" s="20"/>
      <c r="AI87" s="19"/>
      <c r="AK87" s="19"/>
      <c r="AL87" s="19"/>
      <c r="AM87" s="19"/>
      <c r="AN87" s="19"/>
      <c r="AO87" s="19"/>
      <c r="AZ87" s="19"/>
      <c r="BA87" s="19"/>
      <c r="BB87" s="20"/>
      <c r="BC87" s="19"/>
      <c r="BE87" s="19"/>
      <c r="BF87" s="19"/>
      <c r="BG87" s="19"/>
      <c r="BH87" s="19"/>
      <c r="BI87" s="19"/>
      <c r="BJ87" s="19"/>
      <c r="BK87" s="19"/>
      <c r="BL87" s="19"/>
    </row>
    <row r="88" spans="2:64" ht="14" x14ac:dyDescent="0.2">
      <c r="B88" s="1"/>
      <c r="C88" s="1"/>
      <c r="D88" s="1"/>
      <c r="E88" s="1"/>
      <c r="H88" s="18"/>
      <c r="I88" s="18"/>
      <c r="J88" s="18"/>
      <c r="AF88" s="19"/>
      <c r="AG88" s="19"/>
      <c r="AH88" s="20"/>
      <c r="AI88" s="19"/>
      <c r="AK88" s="19"/>
      <c r="AL88" s="19"/>
      <c r="AM88" s="19"/>
      <c r="AN88" s="19"/>
      <c r="AO88" s="19"/>
      <c r="AZ88" s="19"/>
      <c r="BA88" s="19"/>
      <c r="BB88" s="20"/>
      <c r="BC88" s="19"/>
      <c r="BE88" s="19"/>
      <c r="BF88" s="19"/>
      <c r="BG88" s="19"/>
      <c r="BH88" s="19"/>
      <c r="BI88" s="19"/>
      <c r="BJ88" s="19"/>
      <c r="BK88" s="19"/>
      <c r="BL88" s="19"/>
    </row>
    <row r="89" spans="2:64" ht="14" x14ac:dyDescent="0.2">
      <c r="B89" s="1"/>
      <c r="C89" s="1"/>
      <c r="D89" s="1"/>
      <c r="E89" s="1"/>
      <c r="H89" s="18"/>
      <c r="I89" s="18"/>
      <c r="J89" s="18"/>
      <c r="AF89" s="19"/>
      <c r="AG89" s="19"/>
      <c r="AH89" s="20"/>
      <c r="AI89" s="19"/>
      <c r="AK89" s="19"/>
      <c r="AL89" s="19"/>
      <c r="AM89" s="19"/>
      <c r="AN89" s="19"/>
      <c r="AO89" s="19"/>
      <c r="AZ89" s="19"/>
      <c r="BA89" s="19"/>
      <c r="BB89" s="20"/>
      <c r="BC89" s="19"/>
      <c r="BE89" s="19"/>
      <c r="BF89" s="19"/>
      <c r="BG89" s="19"/>
      <c r="BH89" s="19"/>
      <c r="BI89" s="19"/>
      <c r="BJ89" s="19"/>
      <c r="BK89" s="19"/>
      <c r="BL89" s="19"/>
    </row>
    <row r="90" spans="2:64" ht="14" x14ac:dyDescent="0.2">
      <c r="B90" s="1"/>
      <c r="C90" s="1"/>
      <c r="D90" s="1"/>
      <c r="E90" s="1"/>
      <c r="H90" s="18"/>
      <c r="I90" s="18"/>
      <c r="J90" s="18"/>
      <c r="AF90" s="19"/>
      <c r="AG90" s="19"/>
      <c r="AH90" s="20"/>
      <c r="AI90" s="19"/>
      <c r="AK90" s="19"/>
      <c r="AL90" s="19"/>
      <c r="AM90" s="19"/>
      <c r="AN90" s="19"/>
      <c r="AO90" s="19"/>
      <c r="AZ90" s="19"/>
      <c r="BA90" s="19"/>
      <c r="BB90" s="20"/>
      <c r="BC90" s="19"/>
      <c r="BE90" s="19"/>
      <c r="BF90" s="19"/>
      <c r="BG90" s="19"/>
      <c r="BH90" s="19"/>
      <c r="BI90" s="19"/>
      <c r="BJ90" s="19"/>
      <c r="BK90" s="19"/>
      <c r="BL90" s="19"/>
    </row>
    <row r="91" spans="2:64" ht="14" x14ac:dyDescent="0.2">
      <c r="B91" s="1"/>
      <c r="C91" s="1"/>
      <c r="D91" s="1"/>
      <c r="E91" s="1"/>
      <c r="H91" s="18"/>
      <c r="I91" s="18"/>
      <c r="J91" s="18"/>
      <c r="AF91" s="19"/>
      <c r="AG91" s="19"/>
      <c r="AH91" s="20"/>
      <c r="AI91" s="19"/>
      <c r="AK91" s="19"/>
      <c r="AL91" s="19"/>
      <c r="AM91" s="19"/>
      <c r="AN91" s="19"/>
      <c r="AO91" s="19"/>
      <c r="AZ91" s="19"/>
      <c r="BA91" s="19"/>
      <c r="BB91" s="20"/>
      <c r="BC91" s="19"/>
      <c r="BE91" s="19"/>
      <c r="BF91" s="19"/>
      <c r="BG91" s="19"/>
      <c r="BH91" s="19"/>
      <c r="BI91" s="19"/>
      <c r="BJ91" s="19"/>
      <c r="BK91" s="19"/>
      <c r="BL91" s="19"/>
    </row>
    <row r="92" spans="2:64" ht="14" x14ac:dyDescent="0.2">
      <c r="B92" s="1"/>
      <c r="C92" s="1"/>
      <c r="D92" s="1"/>
      <c r="E92" s="1"/>
      <c r="H92" s="18"/>
      <c r="I92" s="18"/>
      <c r="J92" s="18"/>
      <c r="AF92" s="19"/>
      <c r="AG92" s="19"/>
      <c r="AH92" s="20"/>
      <c r="AI92" s="19"/>
      <c r="AK92" s="19"/>
      <c r="AL92" s="19"/>
      <c r="AM92" s="19"/>
      <c r="AN92" s="19"/>
      <c r="AO92" s="19"/>
      <c r="AZ92" s="19"/>
      <c r="BA92" s="19"/>
      <c r="BB92" s="20"/>
      <c r="BC92" s="19"/>
      <c r="BE92" s="19"/>
      <c r="BF92" s="19"/>
      <c r="BG92" s="19"/>
      <c r="BH92" s="19"/>
      <c r="BI92" s="19"/>
      <c r="BJ92" s="19"/>
      <c r="BK92" s="19"/>
      <c r="BL92" s="19"/>
    </row>
    <row r="93" spans="2:64" ht="14" x14ac:dyDescent="0.2">
      <c r="B93" s="1"/>
      <c r="C93" s="1"/>
      <c r="D93" s="1"/>
      <c r="E93" s="1"/>
      <c r="H93" s="18"/>
      <c r="I93" s="18"/>
      <c r="J93" s="18"/>
      <c r="AF93" s="19"/>
      <c r="AG93" s="19"/>
      <c r="AH93" s="20"/>
      <c r="AI93" s="19"/>
      <c r="AK93" s="19"/>
      <c r="AL93" s="19"/>
      <c r="AM93" s="19"/>
      <c r="AN93" s="19"/>
      <c r="AO93" s="19"/>
      <c r="AZ93" s="19"/>
      <c r="BA93" s="19"/>
      <c r="BB93" s="20"/>
      <c r="BC93" s="19"/>
      <c r="BE93" s="19"/>
      <c r="BF93" s="19"/>
      <c r="BG93" s="19"/>
      <c r="BH93" s="19"/>
      <c r="BI93" s="19"/>
      <c r="BJ93" s="19"/>
      <c r="BK93" s="19"/>
      <c r="BL93" s="19"/>
    </row>
    <row r="94" spans="2:64" ht="14" x14ac:dyDescent="0.2">
      <c r="B94" s="1"/>
      <c r="C94" s="1"/>
      <c r="D94" s="1"/>
      <c r="E94" s="1"/>
      <c r="H94" s="18"/>
      <c r="I94" s="18"/>
      <c r="J94" s="18"/>
      <c r="AF94" s="19"/>
      <c r="AG94" s="19"/>
      <c r="AH94" s="20"/>
      <c r="AI94" s="19"/>
      <c r="AK94" s="19"/>
      <c r="AL94" s="19"/>
      <c r="AM94" s="19"/>
      <c r="AN94" s="19"/>
      <c r="AO94" s="19"/>
      <c r="AZ94" s="19"/>
      <c r="BA94" s="19"/>
      <c r="BB94" s="20"/>
      <c r="BC94" s="19"/>
      <c r="BE94" s="19"/>
      <c r="BF94" s="19"/>
      <c r="BG94" s="19"/>
      <c r="BH94" s="19"/>
      <c r="BI94" s="19"/>
      <c r="BJ94" s="19"/>
      <c r="BK94" s="19"/>
      <c r="BL94" s="19"/>
    </row>
    <row r="95" spans="2:64" ht="14" x14ac:dyDescent="0.2">
      <c r="B95" s="1"/>
      <c r="C95" s="1"/>
      <c r="D95" s="1"/>
      <c r="E95" s="1"/>
      <c r="H95" s="18"/>
      <c r="I95" s="18"/>
      <c r="J95" s="18"/>
      <c r="AF95" s="19"/>
      <c r="AG95" s="19"/>
      <c r="AH95" s="20"/>
      <c r="AI95" s="19"/>
      <c r="AK95" s="19"/>
      <c r="AL95" s="19"/>
      <c r="AM95" s="19"/>
      <c r="AN95" s="19"/>
      <c r="AO95" s="19"/>
      <c r="AZ95" s="19"/>
      <c r="BA95" s="19"/>
      <c r="BB95" s="20"/>
      <c r="BC95" s="19"/>
      <c r="BE95" s="19"/>
      <c r="BF95" s="19"/>
      <c r="BG95" s="19"/>
      <c r="BH95" s="19"/>
      <c r="BI95" s="19"/>
      <c r="BJ95" s="19"/>
      <c r="BK95" s="19"/>
      <c r="BL95" s="19"/>
    </row>
    <row r="96" spans="2:64" ht="14" x14ac:dyDescent="0.2">
      <c r="B96" s="1"/>
      <c r="C96" s="1"/>
      <c r="D96" s="1"/>
      <c r="E96" s="1"/>
      <c r="H96" s="18"/>
      <c r="I96" s="18"/>
      <c r="J96" s="18"/>
      <c r="AF96" s="19"/>
      <c r="AG96" s="19"/>
      <c r="AH96" s="20"/>
      <c r="AI96" s="19"/>
      <c r="AK96" s="19"/>
      <c r="AL96" s="19"/>
      <c r="AM96" s="19"/>
      <c r="AN96" s="19"/>
      <c r="AO96" s="19"/>
      <c r="AZ96" s="19"/>
      <c r="BA96" s="19"/>
      <c r="BB96" s="20"/>
      <c r="BC96" s="19"/>
      <c r="BE96" s="19"/>
      <c r="BF96" s="19"/>
      <c r="BG96" s="19"/>
      <c r="BH96" s="19"/>
      <c r="BI96" s="19"/>
      <c r="BJ96" s="19"/>
      <c r="BK96" s="19"/>
      <c r="BL96" s="19"/>
    </row>
    <row r="97" spans="2:64" ht="14" x14ac:dyDescent="0.2">
      <c r="B97" s="1"/>
      <c r="C97" s="1"/>
      <c r="D97" s="1"/>
      <c r="E97" s="1"/>
      <c r="H97" s="18"/>
      <c r="I97" s="18"/>
      <c r="J97" s="18"/>
      <c r="AF97" s="19"/>
      <c r="AG97" s="19"/>
      <c r="AH97" s="20"/>
      <c r="AI97" s="19"/>
      <c r="AK97" s="19"/>
      <c r="AL97" s="19"/>
      <c r="AM97" s="19"/>
      <c r="AN97" s="19"/>
      <c r="AO97" s="19"/>
      <c r="AZ97" s="19"/>
      <c r="BA97" s="19"/>
      <c r="BB97" s="20"/>
      <c r="BC97" s="19"/>
      <c r="BE97" s="19"/>
      <c r="BF97" s="19"/>
      <c r="BG97" s="19"/>
      <c r="BH97" s="19"/>
      <c r="BI97" s="19"/>
      <c r="BJ97" s="19"/>
      <c r="BK97" s="19"/>
      <c r="BL97" s="19"/>
    </row>
    <row r="98" spans="2:64" ht="14" x14ac:dyDescent="0.2">
      <c r="B98" s="1"/>
      <c r="C98" s="1"/>
      <c r="D98" s="1"/>
      <c r="E98" s="1"/>
      <c r="H98" s="18"/>
      <c r="I98" s="18"/>
      <c r="J98" s="18"/>
      <c r="AF98" s="19"/>
      <c r="AG98" s="19"/>
      <c r="AH98" s="20"/>
      <c r="AI98" s="19"/>
      <c r="AK98" s="19"/>
      <c r="AL98" s="19"/>
      <c r="AM98" s="19"/>
      <c r="AN98" s="19"/>
      <c r="AO98" s="19"/>
      <c r="AZ98" s="19"/>
      <c r="BA98" s="19"/>
      <c r="BB98" s="20"/>
      <c r="BC98" s="19"/>
      <c r="BE98" s="19"/>
      <c r="BF98" s="19"/>
      <c r="BG98" s="19"/>
      <c r="BH98" s="19"/>
      <c r="BI98" s="19"/>
      <c r="BJ98" s="19"/>
      <c r="BK98" s="19"/>
      <c r="BL98" s="19"/>
    </row>
    <row r="99" spans="2:64" ht="14" x14ac:dyDescent="0.2">
      <c r="B99" s="1"/>
      <c r="C99" s="1"/>
      <c r="D99" s="1"/>
      <c r="E99" s="1"/>
      <c r="H99" s="18"/>
      <c r="I99" s="18"/>
      <c r="J99" s="18"/>
      <c r="AF99" s="19"/>
      <c r="AG99" s="19"/>
      <c r="AH99" s="20"/>
      <c r="AI99" s="19"/>
      <c r="AK99" s="19"/>
      <c r="AL99" s="19"/>
      <c r="AM99" s="19"/>
      <c r="AN99" s="19"/>
      <c r="AO99" s="19"/>
      <c r="AZ99" s="19"/>
      <c r="BA99" s="19"/>
      <c r="BB99" s="20"/>
      <c r="BC99" s="19"/>
      <c r="BE99" s="19"/>
      <c r="BF99" s="19"/>
      <c r="BG99" s="19"/>
      <c r="BH99" s="19"/>
      <c r="BI99" s="19"/>
      <c r="BJ99" s="19"/>
      <c r="BK99" s="19"/>
      <c r="BL99" s="19"/>
    </row>
    <row r="100" spans="2:64" ht="14" x14ac:dyDescent="0.2">
      <c r="B100" s="1"/>
      <c r="C100" s="1"/>
      <c r="D100" s="1"/>
      <c r="E100" s="1"/>
      <c r="H100" s="18"/>
      <c r="I100" s="18"/>
      <c r="J100" s="18"/>
      <c r="AF100" s="19"/>
      <c r="AG100" s="19"/>
      <c r="AH100" s="20"/>
      <c r="AI100" s="19"/>
      <c r="AK100" s="19"/>
      <c r="AL100" s="19"/>
      <c r="AM100" s="19"/>
      <c r="AN100" s="19"/>
      <c r="AO100" s="19"/>
      <c r="AZ100" s="19"/>
      <c r="BA100" s="19"/>
      <c r="BB100" s="20"/>
      <c r="BC100" s="19"/>
      <c r="BE100" s="19"/>
      <c r="BF100" s="19"/>
      <c r="BG100" s="19"/>
      <c r="BH100" s="19"/>
      <c r="BI100" s="19"/>
      <c r="BJ100" s="19"/>
      <c r="BK100" s="19"/>
      <c r="BL100" s="19"/>
    </row>
    <row r="101" spans="2:64" ht="14" x14ac:dyDescent="0.2">
      <c r="B101" s="1"/>
      <c r="C101" s="1"/>
      <c r="D101" s="1"/>
      <c r="E101" s="1"/>
      <c r="H101" s="18"/>
      <c r="I101" s="18"/>
      <c r="J101" s="18"/>
      <c r="AF101" s="19"/>
      <c r="AG101" s="19"/>
      <c r="AH101" s="20"/>
      <c r="AI101" s="19"/>
      <c r="AK101" s="19"/>
      <c r="AL101" s="19"/>
      <c r="AM101" s="19"/>
      <c r="AN101" s="19"/>
      <c r="AO101" s="19"/>
      <c r="AZ101" s="19"/>
      <c r="BA101" s="19"/>
      <c r="BB101" s="20"/>
      <c r="BC101" s="19"/>
      <c r="BE101" s="19"/>
      <c r="BF101" s="19"/>
      <c r="BG101" s="19"/>
      <c r="BH101" s="19"/>
      <c r="BI101" s="19"/>
      <c r="BJ101" s="19"/>
      <c r="BK101" s="19"/>
      <c r="BL101" s="19"/>
    </row>
    <row r="102" spans="2:64" ht="14" x14ac:dyDescent="0.2">
      <c r="B102" s="1"/>
      <c r="C102" s="1"/>
      <c r="D102" s="1"/>
      <c r="E102" s="1"/>
      <c r="H102" s="18"/>
      <c r="I102" s="18"/>
      <c r="J102" s="18"/>
      <c r="AF102" s="19"/>
      <c r="AG102" s="19"/>
      <c r="AH102" s="20"/>
      <c r="AI102" s="19"/>
      <c r="AK102" s="19"/>
      <c r="AL102" s="19"/>
      <c r="AM102" s="19"/>
      <c r="AN102" s="19"/>
      <c r="AO102" s="19"/>
      <c r="AZ102" s="19"/>
      <c r="BA102" s="19"/>
      <c r="BB102" s="20"/>
      <c r="BC102" s="19"/>
      <c r="BE102" s="19"/>
      <c r="BF102" s="19"/>
      <c r="BG102" s="19"/>
      <c r="BH102" s="19"/>
      <c r="BI102" s="19"/>
      <c r="BJ102" s="19"/>
      <c r="BK102" s="19"/>
      <c r="BL102" s="19"/>
    </row>
    <row r="103" spans="2:64" ht="14" x14ac:dyDescent="0.2">
      <c r="B103" s="1"/>
      <c r="C103" s="1"/>
      <c r="D103" s="1"/>
      <c r="E103" s="1"/>
      <c r="H103" s="18"/>
      <c r="I103" s="18"/>
      <c r="J103" s="18"/>
      <c r="AF103" s="19"/>
      <c r="AG103" s="19"/>
      <c r="AH103" s="20"/>
      <c r="AI103" s="19"/>
      <c r="AK103" s="19"/>
      <c r="AL103" s="19"/>
      <c r="AM103" s="19"/>
      <c r="AN103" s="19"/>
      <c r="AO103" s="19"/>
      <c r="AZ103" s="19"/>
      <c r="BA103" s="19"/>
      <c r="BB103" s="20"/>
      <c r="BC103" s="19"/>
      <c r="BE103" s="19"/>
      <c r="BF103" s="19"/>
      <c r="BG103" s="19"/>
      <c r="BH103" s="19"/>
      <c r="BI103" s="19"/>
      <c r="BJ103" s="19"/>
      <c r="BK103" s="19"/>
      <c r="BL103" s="19"/>
    </row>
    <row r="104" spans="2:64" ht="14" x14ac:dyDescent="0.2">
      <c r="B104" s="1"/>
      <c r="C104" s="1"/>
      <c r="D104" s="1"/>
      <c r="E104" s="1"/>
      <c r="H104" s="18"/>
      <c r="I104" s="18"/>
      <c r="J104" s="18"/>
      <c r="AF104" s="19"/>
      <c r="AG104" s="19"/>
      <c r="AH104" s="20"/>
      <c r="AI104" s="19"/>
      <c r="AK104" s="19"/>
      <c r="AL104" s="19"/>
      <c r="AM104" s="19"/>
      <c r="AN104" s="19"/>
      <c r="AO104" s="19"/>
      <c r="AZ104" s="19"/>
      <c r="BA104" s="19"/>
      <c r="BB104" s="20"/>
      <c r="BC104" s="19"/>
      <c r="BE104" s="19"/>
      <c r="BF104" s="19"/>
      <c r="BG104" s="19"/>
      <c r="BH104" s="19"/>
      <c r="BI104" s="19"/>
      <c r="BJ104" s="19"/>
      <c r="BK104" s="19"/>
      <c r="BL104" s="19"/>
    </row>
    <row r="105" spans="2:64" ht="14" x14ac:dyDescent="0.2">
      <c r="B105" s="1"/>
      <c r="C105" s="1"/>
      <c r="D105" s="1"/>
      <c r="E105" s="1"/>
      <c r="H105" s="18"/>
      <c r="I105" s="18"/>
      <c r="J105" s="18"/>
      <c r="AF105" s="19"/>
      <c r="AG105" s="19"/>
      <c r="AH105" s="20"/>
      <c r="AI105" s="19"/>
      <c r="AK105" s="19"/>
      <c r="AL105" s="19"/>
      <c r="AM105" s="19"/>
      <c r="AN105" s="19"/>
      <c r="AO105" s="19"/>
      <c r="AZ105" s="19"/>
      <c r="BA105" s="19"/>
      <c r="BB105" s="20"/>
      <c r="BC105" s="19"/>
      <c r="BE105" s="19"/>
      <c r="BF105" s="19"/>
      <c r="BG105" s="19"/>
      <c r="BH105" s="19"/>
      <c r="BI105" s="19"/>
      <c r="BJ105" s="19"/>
      <c r="BK105" s="19"/>
      <c r="BL105" s="19"/>
    </row>
    <row r="106" spans="2:64" ht="14" x14ac:dyDescent="0.2">
      <c r="B106" s="1"/>
      <c r="C106" s="1"/>
      <c r="D106" s="1"/>
      <c r="E106" s="1"/>
      <c r="H106" s="18"/>
      <c r="I106" s="18"/>
      <c r="J106" s="18"/>
      <c r="AF106" s="19"/>
      <c r="AG106" s="19"/>
      <c r="AH106" s="20"/>
      <c r="AI106" s="19"/>
      <c r="AK106" s="19"/>
      <c r="AL106" s="19"/>
      <c r="AM106" s="19"/>
      <c r="AN106" s="19"/>
      <c r="AO106" s="19"/>
      <c r="AZ106" s="19"/>
      <c r="BA106" s="19"/>
      <c r="BB106" s="20"/>
      <c r="BC106" s="19"/>
      <c r="BE106" s="19"/>
      <c r="BF106" s="19"/>
      <c r="BG106" s="19"/>
      <c r="BH106" s="19"/>
      <c r="BI106" s="19"/>
      <c r="BJ106" s="19"/>
      <c r="BK106" s="19"/>
      <c r="BL106" s="19"/>
    </row>
    <row r="107" spans="2:64" ht="14" x14ac:dyDescent="0.2">
      <c r="B107" s="1"/>
      <c r="C107" s="1"/>
      <c r="D107" s="1"/>
      <c r="E107" s="1"/>
      <c r="H107" s="18"/>
      <c r="I107" s="18"/>
      <c r="J107" s="18"/>
      <c r="AF107" s="19"/>
      <c r="AG107" s="19"/>
      <c r="AH107" s="20"/>
      <c r="AI107" s="19"/>
      <c r="AK107" s="19"/>
      <c r="AL107" s="19"/>
      <c r="AM107" s="19"/>
      <c r="AN107" s="19"/>
      <c r="AO107" s="19"/>
      <c r="AZ107" s="19"/>
      <c r="BA107" s="19"/>
      <c r="BB107" s="20"/>
      <c r="BC107" s="19"/>
      <c r="BE107" s="19"/>
      <c r="BF107" s="19"/>
      <c r="BG107" s="19"/>
      <c r="BH107" s="19"/>
      <c r="BI107" s="19"/>
      <c r="BJ107" s="19"/>
      <c r="BK107" s="19"/>
      <c r="BL107" s="19"/>
    </row>
    <row r="108" spans="2:64" ht="14" x14ac:dyDescent="0.2">
      <c r="B108" s="1"/>
      <c r="C108" s="1"/>
      <c r="D108" s="1"/>
      <c r="E108" s="1"/>
      <c r="H108" s="18"/>
      <c r="I108" s="18"/>
      <c r="J108" s="18"/>
      <c r="AF108" s="19"/>
      <c r="AG108" s="19"/>
      <c r="AH108" s="20"/>
      <c r="AI108" s="19"/>
      <c r="AK108" s="19"/>
      <c r="AL108" s="19"/>
      <c r="AM108" s="19"/>
      <c r="AN108" s="19"/>
      <c r="AO108" s="19"/>
      <c r="AZ108" s="19"/>
      <c r="BA108" s="19"/>
      <c r="BB108" s="20"/>
      <c r="BC108" s="19"/>
      <c r="BE108" s="19"/>
      <c r="BF108" s="19"/>
      <c r="BG108" s="19"/>
      <c r="BH108" s="19"/>
      <c r="BI108" s="19"/>
      <c r="BJ108" s="19"/>
      <c r="BK108" s="19"/>
      <c r="BL108" s="19"/>
    </row>
    <row r="109" spans="2:64" ht="14" x14ac:dyDescent="0.2">
      <c r="B109" s="1"/>
      <c r="C109" s="1"/>
      <c r="D109" s="1"/>
      <c r="E109" s="1"/>
      <c r="H109" s="18"/>
      <c r="I109" s="18"/>
      <c r="J109" s="18"/>
      <c r="AF109" s="19"/>
      <c r="AG109" s="19"/>
      <c r="AH109" s="20"/>
      <c r="AI109" s="19"/>
      <c r="AK109" s="19"/>
      <c r="AL109" s="19"/>
      <c r="AM109" s="19"/>
      <c r="AN109" s="19"/>
      <c r="AO109" s="19"/>
      <c r="AZ109" s="19"/>
      <c r="BA109" s="19"/>
      <c r="BB109" s="20"/>
      <c r="BC109" s="19"/>
      <c r="BE109" s="19"/>
      <c r="BF109" s="19"/>
      <c r="BG109" s="19"/>
      <c r="BH109" s="19"/>
      <c r="BI109" s="19"/>
      <c r="BJ109" s="19"/>
      <c r="BK109" s="19"/>
      <c r="BL109" s="19"/>
    </row>
    <row r="110" spans="2:64" ht="14" x14ac:dyDescent="0.2">
      <c r="B110" s="1"/>
      <c r="C110" s="1"/>
      <c r="D110" s="1"/>
      <c r="E110" s="1"/>
      <c r="H110" s="18"/>
      <c r="I110" s="18"/>
      <c r="J110" s="18"/>
      <c r="AF110" s="19"/>
      <c r="AG110" s="19"/>
      <c r="AH110" s="20"/>
      <c r="AI110" s="19"/>
      <c r="AK110" s="19"/>
      <c r="AL110" s="19"/>
      <c r="AM110" s="19"/>
      <c r="AN110" s="19"/>
      <c r="AO110" s="19"/>
      <c r="AZ110" s="19"/>
      <c r="BA110" s="19"/>
      <c r="BB110" s="20"/>
      <c r="BC110" s="19"/>
      <c r="BE110" s="19"/>
      <c r="BF110" s="19"/>
      <c r="BG110" s="19"/>
      <c r="BH110" s="19"/>
      <c r="BI110" s="19"/>
      <c r="BJ110" s="19"/>
      <c r="BK110" s="19"/>
      <c r="BL110" s="19"/>
    </row>
    <row r="111" spans="2:64" ht="14" x14ac:dyDescent="0.2">
      <c r="B111" s="1"/>
      <c r="C111" s="1"/>
      <c r="D111" s="1"/>
      <c r="E111" s="1"/>
      <c r="H111" s="18"/>
      <c r="I111" s="18"/>
      <c r="J111" s="18"/>
      <c r="AF111" s="19"/>
      <c r="AG111" s="19"/>
      <c r="AH111" s="20"/>
      <c r="AI111" s="19"/>
      <c r="AK111" s="19"/>
      <c r="AL111" s="19"/>
      <c r="AM111" s="19"/>
      <c r="AN111" s="19"/>
      <c r="AO111" s="19"/>
      <c r="AZ111" s="19"/>
      <c r="BA111" s="19"/>
      <c r="BB111" s="20"/>
      <c r="BC111" s="19"/>
      <c r="BE111" s="19"/>
      <c r="BF111" s="19"/>
      <c r="BG111" s="19"/>
      <c r="BH111" s="19"/>
      <c r="BI111" s="19"/>
      <c r="BJ111" s="19"/>
      <c r="BK111" s="19"/>
      <c r="BL111" s="19"/>
    </row>
    <row r="112" spans="2:64" ht="14" x14ac:dyDescent="0.2">
      <c r="B112" s="1"/>
      <c r="C112" s="1"/>
      <c r="D112" s="1"/>
      <c r="E112" s="1"/>
      <c r="H112" s="18"/>
      <c r="I112" s="18"/>
      <c r="J112" s="18"/>
      <c r="AF112" s="19"/>
      <c r="AG112" s="19"/>
      <c r="AH112" s="20"/>
      <c r="AI112" s="19"/>
      <c r="AK112" s="19"/>
      <c r="AL112" s="19"/>
      <c r="AM112" s="19"/>
      <c r="AN112" s="19"/>
      <c r="AO112" s="19"/>
      <c r="AZ112" s="19"/>
      <c r="BA112" s="19"/>
      <c r="BB112" s="20"/>
      <c r="BC112" s="19"/>
      <c r="BE112" s="19"/>
      <c r="BF112" s="19"/>
      <c r="BG112" s="19"/>
      <c r="BH112" s="19"/>
      <c r="BI112" s="19"/>
      <c r="BJ112" s="19"/>
      <c r="BK112" s="19"/>
      <c r="BL112" s="19"/>
    </row>
    <row r="113" spans="2:64" ht="14" x14ac:dyDescent="0.2">
      <c r="B113" s="1"/>
      <c r="C113" s="1"/>
      <c r="D113" s="1"/>
      <c r="E113" s="1"/>
      <c r="H113" s="18"/>
      <c r="I113" s="18"/>
      <c r="J113" s="18"/>
      <c r="AF113" s="19"/>
      <c r="AG113" s="19"/>
      <c r="AH113" s="20"/>
      <c r="AI113" s="19"/>
      <c r="AK113" s="19"/>
      <c r="AL113" s="19"/>
      <c r="AM113" s="19"/>
      <c r="AN113" s="19"/>
      <c r="AO113" s="19"/>
      <c r="AZ113" s="19"/>
      <c r="BA113" s="19"/>
      <c r="BB113" s="20"/>
      <c r="BC113" s="19"/>
      <c r="BE113" s="19"/>
      <c r="BF113" s="19"/>
      <c r="BG113" s="19"/>
      <c r="BH113" s="19"/>
      <c r="BI113" s="19"/>
      <c r="BJ113" s="19"/>
      <c r="BK113" s="19"/>
      <c r="BL113" s="19"/>
    </row>
    <row r="114" spans="2:64" ht="14" x14ac:dyDescent="0.2">
      <c r="B114" s="1"/>
      <c r="C114" s="1"/>
      <c r="D114" s="1"/>
      <c r="E114" s="1"/>
      <c r="H114" s="18"/>
      <c r="I114" s="18"/>
      <c r="J114" s="18"/>
      <c r="L114" s="6"/>
      <c r="AF114" s="19"/>
      <c r="AG114" s="19"/>
      <c r="AH114" s="20"/>
      <c r="AI114" s="19"/>
      <c r="AK114" s="19"/>
      <c r="AL114" s="19"/>
      <c r="AM114" s="19"/>
      <c r="AN114" s="19"/>
      <c r="AO114" s="19"/>
      <c r="AZ114" s="19"/>
      <c r="BA114" s="19"/>
      <c r="BB114" s="20"/>
      <c r="BC114" s="19"/>
      <c r="BE114" s="19"/>
      <c r="BF114" s="19"/>
      <c r="BG114" s="19"/>
      <c r="BH114" s="19"/>
      <c r="BI114" s="19"/>
      <c r="BJ114" s="19"/>
      <c r="BK114" s="19"/>
      <c r="BL114" s="19"/>
    </row>
    <row r="115" spans="2:64" ht="14" x14ac:dyDescent="0.2">
      <c r="B115" s="1"/>
      <c r="C115" s="1"/>
      <c r="D115" s="1"/>
      <c r="E115" s="1"/>
      <c r="H115" s="18"/>
      <c r="I115" s="18"/>
      <c r="J115" s="18"/>
      <c r="L115" s="6"/>
      <c r="AF115" s="19"/>
      <c r="AG115" s="19"/>
      <c r="AH115" s="20"/>
      <c r="AI115" s="19"/>
      <c r="AK115" s="19"/>
      <c r="AL115" s="19"/>
      <c r="AM115" s="19"/>
      <c r="AN115" s="19"/>
      <c r="AO115" s="19"/>
      <c r="AZ115" s="19"/>
      <c r="BA115" s="19"/>
      <c r="BB115" s="20"/>
      <c r="BC115" s="19"/>
      <c r="BE115" s="19"/>
      <c r="BF115" s="19"/>
      <c r="BG115" s="19"/>
      <c r="BH115" s="19"/>
      <c r="BI115" s="19"/>
      <c r="BJ115" s="19"/>
      <c r="BK115" s="19"/>
      <c r="BL115" s="19"/>
    </row>
    <row r="116" spans="2:64" ht="14" x14ac:dyDescent="0.2">
      <c r="B116" s="1"/>
      <c r="C116" s="1"/>
      <c r="D116" s="1"/>
      <c r="E116" s="1"/>
      <c r="H116" s="18"/>
      <c r="I116" s="18"/>
      <c r="J116" s="18"/>
      <c r="L116" s="6"/>
      <c r="AF116" s="19"/>
      <c r="AG116" s="19"/>
      <c r="AH116" s="20"/>
      <c r="AI116" s="19"/>
      <c r="AK116" s="19"/>
      <c r="AL116" s="19"/>
      <c r="AM116" s="19"/>
      <c r="AN116" s="19"/>
      <c r="AO116" s="19"/>
      <c r="AZ116" s="19"/>
      <c r="BA116" s="19"/>
      <c r="BB116" s="20"/>
      <c r="BC116" s="19"/>
      <c r="BE116" s="19"/>
      <c r="BF116" s="19"/>
      <c r="BG116" s="19"/>
      <c r="BH116" s="19"/>
      <c r="BI116" s="19"/>
      <c r="BJ116" s="19"/>
      <c r="BK116" s="19"/>
      <c r="BL116" s="19"/>
    </row>
    <row r="117" spans="2:64" ht="14" x14ac:dyDescent="0.2">
      <c r="B117" s="1"/>
      <c r="C117" s="1"/>
      <c r="D117" s="1"/>
      <c r="E117" s="1"/>
      <c r="H117" s="18"/>
      <c r="I117" s="18"/>
      <c r="J117" s="18"/>
      <c r="L117" s="6"/>
      <c r="AF117" s="19"/>
      <c r="AG117" s="19"/>
      <c r="AH117" s="20"/>
      <c r="AI117" s="19"/>
      <c r="AK117" s="19"/>
      <c r="AL117" s="19"/>
      <c r="AM117" s="19"/>
      <c r="AN117" s="19"/>
      <c r="AO117" s="19"/>
      <c r="AZ117" s="19"/>
      <c r="BA117" s="19"/>
      <c r="BB117" s="20"/>
      <c r="BC117" s="19"/>
      <c r="BE117" s="19"/>
      <c r="BF117" s="19"/>
      <c r="BG117" s="19"/>
      <c r="BH117" s="19"/>
      <c r="BI117" s="19"/>
      <c r="BJ117" s="19"/>
      <c r="BK117" s="19"/>
      <c r="BL117" s="19"/>
    </row>
    <row r="118" spans="2:64" ht="14" x14ac:dyDescent="0.2">
      <c r="B118" s="1"/>
      <c r="C118" s="1"/>
      <c r="D118" s="1"/>
      <c r="E118" s="1"/>
      <c r="H118" s="18"/>
      <c r="I118" s="18"/>
      <c r="J118" s="18"/>
      <c r="L118" s="6"/>
      <c r="AF118" s="19"/>
      <c r="AG118" s="19"/>
      <c r="AH118" s="20"/>
      <c r="AI118" s="19"/>
      <c r="AK118" s="19"/>
      <c r="AL118" s="19"/>
      <c r="AM118" s="19"/>
      <c r="AN118" s="19"/>
      <c r="AO118" s="19"/>
      <c r="AZ118" s="19"/>
      <c r="BA118" s="19"/>
      <c r="BB118" s="20"/>
      <c r="BC118" s="19"/>
      <c r="BE118" s="19"/>
      <c r="BF118" s="19"/>
      <c r="BG118" s="19"/>
      <c r="BH118" s="19"/>
      <c r="BI118" s="19"/>
      <c r="BJ118" s="19"/>
      <c r="BK118" s="19"/>
      <c r="BL118" s="19"/>
    </row>
    <row r="119" spans="2:64" ht="14" x14ac:dyDescent="0.2">
      <c r="B119" s="1"/>
      <c r="C119" s="1"/>
      <c r="D119" s="1"/>
      <c r="E119" s="1"/>
      <c r="H119" s="18"/>
      <c r="I119" s="18"/>
      <c r="J119" s="18"/>
      <c r="L119" s="6"/>
      <c r="AF119" s="19"/>
      <c r="AG119" s="19"/>
      <c r="AH119" s="20"/>
      <c r="AI119" s="19"/>
      <c r="AK119" s="19"/>
      <c r="AL119" s="19"/>
      <c r="AM119" s="19"/>
      <c r="AN119" s="19"/>
      <c r="AO119" s="19"/>
      <c r="AZ119" s="19"/>
      <c r="BA119" s="19"/>
      <c r="BB119" s="20"/>
      <c r="BC119" s="19"/>
      <c r="BE119" s="19"/>
      <c r="BF119" s="19"/>
      <c r="BG119" s="19"/>
      <c r="BH119" s="19"/>
      <c r="BI119" s="19"/>
      <c r="BJ119" s="19"/>
      <c r="BK119" s="19"/>
      <c r="BL119" s="19"/>
    </row>
    <row r="120" spans="2:64" ht="14" x14ac:dyDescent="0.2">
      <c r="B120" s="1"/>
      <c r="C120" s="1"/>
      <c r="D120" s="1"/>
      <c r="E120" s="1"/>
      <c r="H120" s="18"/>
      <c r="I120" s="18"/>
      <c r="J120" s="18"/>
      <c r="L120" s="6"/>
      <c r="AF120" s="19"/>
      <c r="AG120" s="19"/>
      <c r="AH120" s="20"/>
      <c r="AI120" s="19"/>
      <c r="AK120" s="19"/>
      <c r="AL120" s="19"/>
      <c r="AM120" s="19"/>
      <c r="AN120" s="19"/>
      <c r="AO120" s="19"/>
      <c r="AZ120" s="19"/>
      <c r="BA120" s="19"/>
      <c r="BB120" s="20"/>
      <c r="BC120" s="19"/>
      <c r="BE120" s="19"/>
      <c r="BF120" s="19"/>
      <c r="BG120" s="19"/>
      <c r="BH120" s="19"/>
      <c r="BI120" s="19"/>
      <c r="BJ120" s="19"/>
      <c r="BK120" s="19"/>
      <c r="BL120" s="19"/>
    </row>
    <row r="121" spans="2:64" ht="14" x14ac:dyDescent="0.2">
      <c r="B121" s="1"/>
      <c r="C121" s="1"/>
      <c r="D121" s="1"/>
      <c r="E121" s="1"/>
      <c r="H121" s="18"/>
      <c r="I121" s="18"/>
      <c r="J121" s="18"/>
      <c r="L121" s="6"/>
      <c r="AF121" s="19"/>
      <c r="AG121" s="19"/>
      <c r="AH121" s="20"/>
      <c r="AI121" s="19"/>
      <c r="AK121" s="19"/>
      <c r="AL121" s="19"/>
      <c r="AM121" s="19"/>
      <c r="AN121" s="19"/>
      <c r="AO121" s="19"/>
      <c r="AZ121" s="19"/>
      <c r="BA121" s="19"/>
      <c r="BB121" s="20"/>
      <c r="BC121" s="19"/>
      <c r="BE121" s="19"/>
      <c r="BF121" s="19"/>
      <c r="BG121" s="19"/>
      <c r="BH121" s="19"/>
      <c r="BI121" s="19"/>
      <c r="BJ121" s="19"/>
      <c r="BK121" s="19"/>
      <c r="BL121" s="19"/>
    </row>
    <row r="122" spans="2:64" ht="14" x14ac:dyDescent="0.2">
      <c r="B122" s="1"/>
      <c r="C122" s="1"/>
      <c r="D122" s="1"/>
      <c r="E122" s="1"/>
      <c r="H122" s="18"/>
      <c r="I122" s="18"/>
      <c r="J122" s="18"/>
      <c r="L122" s="6"/>
      <c r="AF122" s="19"/>
      <c r="AG122" s="19"/>
      <c r="AH122" s="20"/>
      <c r="AI122" s="19"/>
      <c r="AK122" s="19"/>
      <c r="AL122" s="19"/>
      <c r="AM122" s="19"/>
      <c r="AN122" s="19"/>
      <c r="AO122" s="19"/>
      <c r="AZ122" s="19"/>
      <c r="BA122" s="19"/>
      <c r="BB122" s="20"/>
      <c r="BC122" s="19"/>
      <c r="BE122" s="19"/>
      <c r="BF122" s="19"/>
      <c r="BG122" s="19"/>
      <c r="BH122" s="19"/>
      <c r="BI122" s="19"/>
      <c r="BJ122" s="19"/>
      <c r="BK122" s="19"/>
      <c r="BL122" s="19"/>
    </row>
    <row r="123" spans="2:64" ht="14" x14ac:dyDescent="0.2">
      <c r="B123" s="1"/>
      <c r="C123" s="1"/>
      <c r="D123" s="1"/>
      <c r="E123" s="1"/>
      <c r="H123" s="18"/>
      <c r="I123" s="18"/>
      <c r="J123" s="18"/>
      <c r="L123" s="6"/>
      <c r="AF123" s="19"/>
      <c r="AG123" s="19"/>
      <c r="AH123" s="20"/>
      <c r="AI123" s="19"/>
      <c r="AK123" s="19"/>
      <c r="AL123" s="19"/>
      <c r="AM123" s="19"/>
      <c r="AN123" s="19"/>
      <c r="AO123" s="19"/>
      <c r="AZ123" s="19"/>
      <c r="BA123" s="19"/>
      <c r="BB123" s="20"/>
      <c r="BC123" s="19"/>
      <c r="BE123" s="19"/>
      <c r="BF123" s="19"/>
      <c r="BG123" s="19"/>
      <c r="BH123" s="19"/>
      <c r="BI123" s="19"/>
      <c r="BJ123" s="19"/>
      <c r="BK123" s="19"/>
      <c r="BL123" s="19"/>
    </row>
    <row r="124" spans="2:64" ht="14" x14ac:dyDescent="0.2">
      <c r="B124" s="1"/>
      <c r="C124" s="1"/>
      <c r="D124" s="1"/>
      <c r="E124" s="1"/>
      <c r="H124" s="18"/>
      <c r="I124" s="18"/>
      <c r="J124" s="18"/>
      <c r="L124" s="6"/>
      <c r="AF124" s="19"/>
      <c r="AG124" s="19"/>
      <c r="AH124" s="20"/>
      <c r="AI124" s="19"/>
      <c r="AK124" s="19"/>
      <c r="AL124" s="19"/>
      <c r="AM124" s="19"/>
      <c r="AN124" s="19"/>
      <c r="AO124" s="19"/>
      <c r="AZ124" s="19"/>
      <c r="BA124" s="19"/>
      <c r="BB124" s="20"/>
      <c r="BC124" s="19"/>
      <c r="BE124" s="19"/>
      <c r="BF124" s="19"/>
      <c r="BG124" s="19"/>
      <c r="BH124" s="19"/>
      <c r="BI124" s="19"/>
      <c r="BJ124" s="19"/>
      <c r="BK124" s="19"/>
      <c r="BL124" s="19"/>
    </row>
    <row r="125" spans="2:64" ht="14" x14ac:dyDescent="0.2">
      <c r="B125" s="1"/>
      <c r="C125" s="1"/>
      <c r="D125" s="1"/>
      <c r="E125" s="1"/>
      <c r="H125" s="18"/>
      <c r="I125" s="18"/>
      <c r="J125" s="18"/>
      <c r="L125" s="6"/>
      <c r="AF125" s="19"/>
      <c r="AG125" s="19"/>
      <c r="AH125" s="20"/>
      <c r="AI125" s="19"/>
      <c r="AK125" s="19"/>
      <c r="AL125" s="19"/>
      <c r="AM125" s="19"/>
      <c r="AN125" s="19"/>
      <c r="AO125" s="19"/>
      <c r="AZ125" s="19"/>
      <c r="BA125" s="19"/>
      <c r="BB125" s="20"/>
      <c r="BC125" s="19"/>
      <c r="BE125" s="19"/>
      <c r="BF125" s="19"/>
      <c r="BG125" s="19"/>
      <c r="BH125" s="19"/>
      <c r="BI125" s="19"/>
      <c r="BJ125" s="19"/>
      <c r="BK125" s="19"/>
      <c r="BL125" s="19"/>
    </row>
    <row r="126" spans="2:64" ht="14" x14ac:dyDescent="0.2">
      <c r="B126" s="1"/>
      <c r="C126" s="1"/>
      <c r="D126" s="1"/>
      <c r="E126" s="1"/>
      <c r="H126" s="18"/>
      <c r="I126" s="18"/>
      <c r="J126" s="18"/>
      <c r="L126" s="6"/>
      <c r="AF126" s="19"/>
      <c r="AG126" s="19"/>
      <c r="AH126" s="20"/>
      <c r="AI126" s="19"/>
      <c r="AK126" s="19"/>
      <c r="AL126" s="19"/>
      <c r="AM126" s="19"/>
      <c r="AN126" s="19"/>
      <c r="AO126" s="19"/>
      <c r="AZ126" s="19"/>
      <c r="BA126" s="19"/>
      <c r="BB126" s="20"/>
      <c r="BC126" s="19"/>
      <c r="BE126" s="19"/>
      <c r="BF126" s="19"/>
      <c r="BG126" s="19"/>
      <c r="BH126" s="19"/>
      <c r="BI126" s="19"/>
      <c r="BJ126" s="19"/>
      <c r="BK126" s="19"/>
      <c r="BL126" s="19"/>
    </row>
    <row r="127" spans="2:64" ht="14" x14ac:dyDescent="0.2">
      <c r="B127" s="1"/>
      <c r="C127" s="1"/>
      <c r="D127" s="1"/>
      <c r="E127" s="1"/>
      <c r="H127" s="18"/>
      <c r="I127" s="18"/>
      <c r="J127" s="18"/>
      <c r="L127" s="6"/>
      <c r="AF127" s="19"/>
      <c r="AG127" s="19"/>
      <c r="AH127" s="20"/>
      <c r="AI127" s="19"/>
      <c r="AK127" s="19"/>
      <c r="AL127" s="19"/>
      <c r="AM127" s="19"/>
      <c r="AN127" s="19"/>
      <c r="AO127" s="19"/>
      <c r="AZ127" s="19"/>
      <c r="BA127" s="19"/>
      <c r="BB127" s="20"/>
      <c r="BC127" s="19"/>
      <c r="BE127" s="19"/>
      <c r="BF127" s="19"/>
      <c r="BG127" s="19"/>
      <c r="BH127" s="19"/>
      <c r="BI127" s="19"/>
      <c r="BJ127" s="19"/>
      <c r="BK127" s="19"/>
      <c r="BL127" s="19"/>
    </row>
    <row r="128" spans="2:64" ht="14" x14ac:dyDescent="0.2">
      <c r="B128" s="1"/>
      <c r="C128" s="1"/>
      <c r="D128" s="1"/>
      <c r="E128" s="1"/>
      <c r="H128" s="18"/>
      <c r="I128" s="18"/>
      <c r="J128" s="18"/>
      <c r="L128" s="6"/>
      <c r="AF128" s="19"/>
      <c r="AG128" s="19"/>
      <c r="AH128" s="20"/>
      <c r="AI128" s="19"/>
      <c r="AK128" s="19"/>
      <c r="AL128" s="19"/>
      <c r="AM128" s="19"/>
      <c r="AN128" s="19"/>
      <c r="AO128" s="19"/>
      <c r="AZ128" s="19"/>
      <c r="BA128" s="19"/>
      <c r="BB128" s="20"/>
      <c r="BC128" s="19"/>
      <c r="BE128" s="19"/>
      <c r="BF128" s="19"/>
      <c r="BG128" s="19"/>
      <c r="BH128" s="19"/>
      <c r="BI128" s="19"/>
      <c r="BJ128" s="19"/>
      <c r="BK128" s="19"/>
      <c r="BL128" s="19"/>
    </row>
    <row r="129" spans="2:64" ht="14" x14ac:dyDescent="0.2">
      <c r="B129" s="1"/>
      <c r="C129" s="1"/>
      <c r="D129" s="1"/>
      <c r="E129" s="1"/>
      <c r="H129" s="18"/>
      <c r="I129" s="18"/>
      <c r="J129" s="18"/>
      <c r="L129" s="6"/>
      <c r="AF129" s="19"/>
      <c r="AG129" s="19"/>
      <c r="AH129" s="20"/>
      <c r="AI129" s="19"/>
      <c r="AK129" s="19"/>
      <c r="AL129" s="19"/>
      <c r="AM129" s="19"/>
      <c r="AN129" s="19"/>
      <c r="AO129" s="19"/>
      <c r="AZ129" s="19"/>
      <c r="BA129" s="19"/>
      <c r="BB129" s="20"/>
      <c r="BC129" s="19"/>
      <c r="BE129" s="19"/>
      <c r="BF129" s="19"/>
      <c r="BG129" s="19"/>
      <c r="BH129" s="19"/>
      <c r="BI129" s="19"/>
      <c r="BJ129" s="19"/>
      <c r="BK129" s="19"/>
      <c r="BL129" s="19"/>
    </row>
    <row r="130" spans="2:64" ht="14" x14ac:dyDescent="0.2">
      <c r="B130" s="1"/>
      <c r="C130" s="1"/>
      <c r="D130" s="1"/>
      <c r="E130" s="1"/>
      <c r="H130" s="18"/>
      <c r="I130" s="18"/>
      <c r="J130" s="18"/>
      <c r="L130" s="6"/>
      <c r="AF130" s="19"/>
      <c r="AG130" s="19"/>
      <c r="AH130" s="20"/>
      <c r="AI130" s="19"/>
      <c r="AK130" s="19"/>
      <c r="AL130" s="19"/>
      <c r="AM130" s="19"/>
      <c r="AN130" s="19"/>
      <c r="AO130" s="19"/>
      <c r="AZ130" s="19"/>
      <c r="BA130" s="19"/>
      <c r="BB130" s="20"/>
      <c r="BC130" s="19"/>
      <c r="BE130" s="19"/>
      <c r="BF130" s="19"/>
      <c r="BG130" s="19"/>
      <c r="BH130" s="19"/>
      <c r="BI130" s="19"/>
      <c r="BJ130" s="19"/>
      <c r="BK130" s="19"/>
      <c r="BL130" s="19"/>
    </row>
    <row r="131" spans="2:64" ht="14" x14ac:dyDescent="0.2">
      <c r="B131" s="1"/>
      <c r="C131" s="1"/>
      <c r="D131" s="1"/>
      <c r="E131" s="1"/>
      <c r="H131" s="18"/>
      <c r="I131" s="18"/>
      <c r="J131" s="18"/>
      <c r="AF131" s="19"/>
      <c r="AG131" s="19"/>
      <c r="AH131" s="20"/>
      <c r="AI131" s="19"/>
      <c r="AK131" s="19"/>
      <c r="AL131" s="19"/>
      <c r="AM131" s="19"/>
      <c r="AN131" s="19"/>
      <c r="AO131" s="19"/>
      <c r="AZ131" s="19"/>
      <c r="BA131" s="19"/>
      <c r="BB131" s="20"/>
      <c r="BC131" s="19"/>
      <c r="BE131" s="19"/>
      <c r="BF131" s="19"/>
      <c r="BG131" s="19"/>
      <c r="BH131" s="19"/>
      <c r="BI131" s="19"/>
      <c r="BJ131" s="19"/>
      <c r="BK131" s="19"/>
      <c r="BL131" s="19"/>
    </row>
    <row r="132" spans="2:64" ht="14" x14ac:dyDescent="0.2">
      <c r="B132" s="1"/>
      <c r="C132" s="1"/>
      <c r="D132" s="1"/>
      <c r="E132" s="1"/>
      <c r="H132" s="18"/>
      <c r="I132" s="18"/>
      <c r="J132" s="18"/>
      <c r="L132" s="6"/>
      <c r="AF132" s="19"/>
      <c r="AG132" s="19"/>
      <c r="AH132" s="20"/>
      <c r="AI132" s="19"/>
      <c r="AK132" s="19"/>
      <c r="AL132" s="19"/>
      <c r="AM132" s="19"/>
      <c r="AN132" s="19"/>
      <c r="AO132" s="19"/>
      <c r="AZ132" s="19"/>
      <c r="BA132" s="19"/>
      <c r="BB132" s="20"/>
      <c r="BC132" s="19"/>
      <c r="BE132" s="19"/>
      <c r="BF132" s="19"/>
      <c r="BG132" s="19"/>
      <c r="BH132" s="19"/>
      <c r="BI132" s="19"/>
      <c r="BJ132" s="19"/>
      <c r="BK132" s="19"/>
      <c r="BL132" s="19"/>
    </row>
    <row r="133" spans="2:64" ht="14" x14ac:dyDescent="0.2">
      <c r="B133" s="1"/>
      <c r="C133" s="1"/>
      <c r="D133" s="1"/>
      <c r="E133" s="1"/>
      <c r="H133" s="18"/>
      <c r="I133" s="18"/>
      <c r="J133" s="18"/>
      <c r="L133" s="6"/>
      <c r="AF133" s="19"/>
      <c r="AG133" s="19"/>
      <c r="AH133" s="20"/>
      <c r="AI133" s="19"/>
      <c r="AK133" s="19"/>
      <c r="AL133" s="19"/>
      <c r="AM133" s="19"/>
      <c r="AN133" s="19"/>
      <c r="AO133" s="19"/>
      <c r="AZ133" s="19"/>
      <c r="BA133" s="19"/>
      <c r="BB133" s="20"/>
      <c r="BC133" s="19"/>
      <c r="BE133" s="19"/>
      <c r="BF133" s="19"/>
      <c r="BG133" s="19"/>
      <c r="BH133" s="19"/>
      <c r="BI133" s="19"/>
      <c r="BJ133" s="19"/>
      <c r="BK133" s="19"/>
      <c r="BL133" s="19"/>
    </row>
    <row r="134" spans="2:64" ht="14" x14ac:dyDescent="0.2">
      <c r="B134" s="1"/>
      <c r="C134" s="1"/>
      <c r="D134" s="1"/>
      <c r="E134" s="1"/>
      <c r="H134" s="18"/>
      <c r="I134" s="18"/>
      <c r="J134" s="18"/>
      <c r="L134" s="6"/>
      <c r="AF134" s="19"/>
      <c r="AG134" s="19"/>
      <c r="AH134" s="20"/>
      <c r="AI134" s="19"/>
      <c r="AK134" s="19"/>
      <c r="AL134" s="19"/>
      <c r="AM134" s="19"/>
      <c r="AN134" s="19"/>
      <c r="AO134" s="19"/>
      <c r="AZ134" s="19"/>
      <c r="BA134" s="19"/>
      <c r="BB134" s="20"/>
      <c r="BC134" s="19"/>
      <c r="BE134" s="19"/>
      <c r="BF134" s="19"/>
      <c r="BG134" s="19"/>
      <c r="BH134" s="19"/>
      <c r="BI134" s="19"/>
      <c r="BJ134" s="19"/>
      <c r="BK134" s="19"/>
      <c r="BL134" s="19"/>
    </row>
    <row r="135" spans="2:64" ht="14" x14ac:dyDescent="0.2">
      <c r="B135" s="1"/>
      <c r="C135" s="1"/>
      <c r="D135" s="1"/>
      <c r="E135" s="1"/>
      <c r="H135" s="18"/>
      <c r="I135" s="18"/>
      <c r="J135" s="18"/>
      <c r="L135" s="6"/>
      <c r="AF135" s="19"/>
      <c r="AG135" s="19"/>
      <c r="AH135" s="20"/>
      <c r="AI135" s="19"/>
      <c r="AK135" s="19"/>
      <c r="AL135" s="19"/>
      <c r="AM135" s="19"/>
      <c r="AN135" s="19"/>
      <c r="AO135" s="19"/>
      <c r="AZ135" s="19"/>
      <c r="BA135" s="19"/>
      <c r="BB135" s="20"/>
      <c r="BC135" s="19"/>
      <c r="BE135" s="19"/>
      <c r="BF135" s="19"/>
      <c r="BG135" s="19"/>
      <c r="BH135" s="19"/>
      <c r="BI135" s="19"/>
      <c r="BJ135" s="19"/>
      <c r="BK135" s="19"/>
      <c r="BL135" s="19"/>
    </row>
    <row r="136" spans="2:64" ht="14" x14ac:dyDescent="0.2">
      <c r="B136" s="1"/>
      <c r="C136" s="1"/>
      <c r="D136" s="1"/>
      <c r="E136" s="1"/>
      <c r="H136" s="18"/>
      <c r="I136" s="18"/>
      <c r="J136" s="18"/>
      <c r="L136" s="6"/>
      <c r="AF136" s="19"/>
      <c r="AG136" s="19"/>
      <c r="AH136" s="20"/>
      <c r="AI136" s="19"/>
      <c r="AK136" s="19"/>
      <c r="AL136" s="19"/>
      <c r="AM136" s="19"/>
      <c r="AN136" s="19"/>
      <c r="AO136" s="19"/>
      <c r="AZ136" s="19"/>
      <c r="BA136" s="19"/>
      <c r="BB136" s="20"/>
      <c r="BC136" s="19"/>
      <c r="BE136" s="19"/>
      <c r="BF136" s="19"/>
      <c r="BG136" s="19"/>
      <c r="BH136" s="19"/>
      <c r="BI136" s="19"/>
      <c r="BJ136" s="19"/>
      <c r="BK136" s="19"/>
      <c r="BL136" s="19"/>
    </row>
    <row r="137" spans="2:64" ht="14" x14ac:dyDescent="0.2">
      <c r="B137" s="1"/>
      <c r="C137" s="1"/>
      <c r="D137" s="1"/>
      <c r="E137" s="1"/>
      <c r="H137" s="18"/>
      <c r="I137" s="18"/>
      <c r="J137" s="18"/>
      <c r="L137" s="6"/>
      <c r="AF137" s="19"/>
      <c r="AG137" s="19"/>
      <c r="AH137" s="20"/>
      <c r="AI137" s="19"/>
      <c r="AK137" s="19"/>
      <c r="AL137" s="19"/>
      <c r="AM137" s="19"/>
      <c r="AN137" s="19"/>
      <c r="AO137" s="19"/>
      <c r="AZ137" s="19"/>
      <c r="BA137" s="19"/>
      <c r="BB137" s="20"/>
      <c r="BC137" s="19"/>
      <c r="BE137" s="19"/>
      <c r="BF137" s="19"/>
      <c r="BG137" s="19"/>
      <c r="BH137" s="19"/>
      <c r="BI137" s="19"/>
      <c r="BJ137" s="19"/>
      <c r="BK137" s="19"/>
      <c r="BL137" s="19"/>
    </row>
    <row r="138" spans="2:64" ht="14" x14ac:dyDescent="0.2">
      <c r="B138" s="1"/>
      <c r="C138" s="1"/>
      <c r="D138" s="1"/>
      <c r="E138" s="1"/>
      <c r="H138" s="18"/>
      <c r="I138" s="18"/>
      <c r="J138" s="18"/>
      <c r="L138" s="6"/>
      <c r="AF138" s="19"/>
      <c r="AG138" s="19"/>
      <c r="AH138" s="20"/>
      <c r="AI138" s="19"/>
      <c r="AK138" s="19"/>
      <c r="AL138" s="19"/>
      <c r="AM138" s="19"/>
      <c r="AN138" s="19"/>
      <c r="AO138" s="19"/>
      <c r="AZ138" s="19"/>
      <c r="BA138" s="19"/>
      <c r="BB138" s="20"/>
      <c r="BC138" s="19"/>
      <c r="BE138" s="19"/>
      <c r="BF138" s="19"/>
      <c r="BG138" s="19"/>
      <c r="BH138" s="19"/>
      <c r="BI138" s="19"/>
      <c r="BJ138" s="19"/>
      <c r="BK138" s="19"/>
      <c r="BL138" s="19"/>
    </row>
    <row r="139" spans="2:64" ht="14" x14ac:dyDescent="0.2">
      <c r="B139" s="1"/>
      <c r="C139" s="1"/>
      <c r="D139" s="1"/>
      <c r="E139" s="1"/>
      <c r="H139" s="18"/>
      <c r="I139" s="18"/>
      <c r="J139" s="18"/>
      <c r="L139" s="6"/>
      <c r="AF139" s="19"/>
      <c r="AG139" s="19"/>
      <c r="AH139" s="20"/>
      <c r="AI139" s="19"/>
      <c r="AK139" s="19"/>
      <c r="AL139" s="19"/>
      <c r="AM139" s="19"/>
      <c r="AN139" s="19"/>
      <c r="AO139" s="19"/>
      <c r="AZ139" s="19"/>
      <c r="BA139" s="19"/>
      <c r="BB139" s="20"/>
      <c r="BC139" s="19"/>
      <c r="BE139" s="19"/>
      <c r="BF139" s="19"/>
      <c r="BG139" s="19"/>
      <c r="BH139" s="19"/>
      <c r="BI139" s="19"/>
      <c r="BJ139" s="19"/>
      <c r="BK139" s="19"/>
      <c r="BL139" s="19"/>
    </row>
    <row r="140" spans="2:64" ht="14" x14ac:dyDescent="0.2">
      <c r="B140" s="1"/>
      <c r="C140" s="1"/>
      <c r="D140" s="1"/>
      <c r="E140" s="1"/>
      <c r="H140" s="18"/>
      <c r="I140" s="18"/>
      <c r="J140" s="18"/>
      <c r="L140" s="6"/>
      <c r="AF140" s="19"/>
      <c r="AG140" s="19"/>
      <c r="AH140" s="20"/>
      <c r="AI140" s="19"/>
      <c r="AK140" s="19"/>
      <c r="AL140" s="19"/>
      <c r="AM140" s="19"/>
      <c r="AN140" s="19"/>
      <c r="AO140" s="19"/>
      <c r="AZ140" s="19"/>
      <c r="BA140" s="19"/>
      <c r="BB140" s="20"/>
      <c r="BC140" s="19"/>
      <c r="BE140" s="19"/>
      <c r="BF140" s="19"/>
      <c r="BG140" s="19"/>
      <c r="BH140" s="19"/>
      <c r="BI140" s="19"/>
      <c r="BJ140" s="19"/>
      <c r="BK140" s="19"/>
      <c r="BL140" s="19"/>
    </row>
    <row r="141" spans="2:64" ht="14" x14ac:dyDescent="0.2">
      <c r="B141" s="1"/>
      <c r="C141" s="1"/>
      <c r="D141" s="1"/>
      <c r="E141" s="1"/>
      <c r="H141" s="18"/>
      <c r="I141" s="18"/>
      <c r="J141" s="18"/>
      <c r="L141" s="6"/>
      <c r="AF141" s="19"/>
      <c r="AG141" s="19"/>
      <c r="AH141" s="20"/>
      <c r="AI141" s="19"/>
      <c r="AK141" s="19"/>
      <c r="AL141" s="19"/>
      <c r="AM141" s="19"/>
      <c r="AN141" s="19"/>
      <c r="AO141" s="19"/>
      <c r="AZ141" s="19"/>
      <c r="BA141" s="19"/>
      <c r="BB141" s="20"/>
      <c r="BC141" s="19"/>
      <c r="BE141" s="19"/>
      <c r="BF141" s="19"/>
      <c r="BG141" s="19"/>
      <c r="BH141" s="19"/>
      <c r="BI141" s="19"/>
      <c r="BJ141" s="19"/>
      <c r="BK141" s="19"/>
      <c r="BL141" s="19"/>
    </row>
    <row r="142" spans="2:64" ht="14" x14ac:dyDescent="0.2">
      <c r="B142" s="1"/>
      <c r="C142" s="1"/>
      <c r="D142" s="1"/>
      <c r="E142" s="1"/>
      <c r="H142" s="18"/>
      <c r="I142" s="18"/>
      <c r="J142" s="18"/>
      <c r="L142" s="6"/>
      <c r="AF142" s="19"/>
      <c r="AG142" s="19"/>
      <c r="AH142" s="20"/>
      <c r="AI142" s="19"/>
      <c r="AK142" s="19"/>
      <c r="AL142" s="19"/>
      <c r="AM142" s="19"/>
      <c r="AN142" s="19"/>
      <c r="AO142" s="19"/>
      <c r="AZ142" s="19"/>
      <c r="BA142" s="19"/>
      <c r="BB142" s="20"/>
      <c r="BC142" s="19"/>
      <c r="BE142" s="19"/>
      <c r="BF142" s="19"/>
      <c r="BG142" s="19"/>
      <c r="BH142" s="19"/>
      <c r="BI142" s="19"/>
      <c r="BJ142" s="19"/>
      <c r="BK142" s="19"/>
      <c r="BL142" s="19"/>
    </row>
    <row r="143" spans="2:64" ht="14" x14ac:dyDescent="0.2">
      <c r="B143" s="1"/>
      <c r="C143" s="1"/>
      <c r="D143" s="1"/>
      <c r="E143" s="1"/>
      <c r="H143" s="18"/>
      <c r="I143" s="18"/>
      <c r="J143" s="18"/>
      <c r="L143" s="6"/>
      <c r="AF143" s="19"/>
      <c r="AG143" s="19"/>
      <c r="AH143" s="20"/>
      <c r="AI143" s="19"/>
      <c r="AK143" s="19"/>
      <c r="AL143" s="19"/>
      <c r="AM143" s="19"/>
      <c r="AN143" s="19"/>
      <c r="AO143" s="19"/>
      <c r="AZ143" s="19"/>
      <c r="BA143" s="19"/>
      <c r="BB143" s="20"/>
      <c r="BC143" s="19"/>
      <c r="BE143" s="19"/>
      <c r="BF143" s="19"/>
      <c r="BG143" s="19"/>
      <c r="BH143" s="19"/>
      <c r="BI143" s="19"/>
      <c r="BJ143" s="19"/>
      <c r="BK143" s="19"/>
      <c r="BL143" s="19"/>
    </row>
    <row r="144" spans="2:64" ht="14" x14ac:dyDescent="0.2">
      <c r="B144" s="1"/>
      <c r="C144" s="1"/>
      <c r="D144" s="1"/>
      <c r="E144" s="1"/>
      <c r="H144" s="18"/>
      <c r="I144" s="18"/>
      <c r="J144" s="18"/>
      <c r="L144" s="6"/>
      <c r="AF144" s="19"/>
      <c r="AG144" s="19"/>
      <c r="AH144" s="20"/>
      <c r="AI144" s="19"/>
      <c r="AK144" s="19"/>
      <c r="AL144" s="19"/>
      <c r="AM144" s="19"/>
      <c r="AN144" s="19"/>
      <c r="AO144" s="19"/>
      <c r="AZ144" s="19"/>
      <c r="BA144" s="19"/>
      <c r="BB144" s="20"/>
      <c r="BC144" s="19"/>
      <c r="BE144" s="19"/>
      <c r="BF144" s="19"/>
      <c r="BG144" s="19"/>
      <c r="BH144" s="19"/>
      <c r="BI144" s="19"/>
      <c r="BJ144" s="19"/>
      <c r="BK144" s="19"/>
      <c r="BL144" s="19"/>
    </row>
    <row r="145" spans="2:64" ht="14" x14ac:dyDescent="0.2">
      <c r="B145" s="1"/>
      <c r="C145" s="1"/>
      <c r="D145" s="1"/>
      <c r="E145" s="1"/>
      <c r="H145" s="18"/>
      <c r="I145" s="18"/>
      <c r="J145" s="18"/>
      <c r="L145" s="6"/>
      <c r="AF145" s="19"/>
      <c r="AG145" s="19"/>
      <c r="AH145" s="20"/>
      <c r="AI145" s="19"/>
      <c r="AK145" s="19"/>
      <c r="AL145" s="19"/>
      <c r="AM145" s="19"/>
      <c r="AN145" s="19"/>
      <c r="AO145" s="19"/>
      <c r="AZ145" s="19"/>
      <c r="BA145" s="19"/>
      <c r="BB145" s="20"/>
      <c r="BC145" s="19"/>
      <c r="BE145" s="19"/>
      <c r="BF145" s="19"/>
      <c r="BG145" s="19"/>
      <c r="BH145" s="19"/>
      <c r="BI145" s="19"/>
      <c r="BJ145" s="19"/>
      <c r="BK145" s="19"/>
      <c r="BL145" s="19"/>
    </row>
    <row r="146" spans="2:64" ht="14" x14ac:dyDescent="0.2">
      <c r="B146" s="1"/>
      <c r="C146" s="1"/>
      <c r="D146" s="1"/>
      <c r="E146" s="1"/>
      <c r="H146" s="18"/>
      <c r="I146" s="18"/>
      <c r="J146" s="18"/>
      <c r="L146" s="6"/>
      <c r="AF146" s="19"/>
      <c r="AG146" s="19"/>
      <c r="AH146" s="20"/>
      <c r="AI146" s="19"/>
      <c r="AK146" s="19"/>
      <c r="AL146" s="19"/>
      <c r="AM146" s="19"/>
      <c r="AN146" s="19"/>
      <c r="AO146" s="19"/>
      <c r="AZ146" s="19"/>
      <c r="BA146" s="19"/>
      <c r="BB146" s="20"/>
      <c r="BC146" s="19"/>
      <c r="BE146" s="19"/>
      <c r="BF146" s="19"/>
      <c r="BG146" s="19"/>
      <c r="BH146" s="19"/>
      <c r="BI146" s="19"/>
      <c r="BJ146" s="19"/>
      <c r="BK146" s="19"/>
      <c r="BL146" s="19"/>
    </row>
    <row r="147" spans="2:64" ht="14" x14ac:dyDescent="0.2">
      <c r="B147" s="1"/>
      <c r="C147" s="1"/>
      <c r="D147" s="1"/>
      <c r="E147" s="1"/>
      <c r="H147" s="18"/>
      <c r="I147" s="18"/>
      <c r="J147" s="18"/>
      <c r="L147" s="6"/>
      <c r="AF147" s="19"/>
      <c r="AG147" s="19"/>
      <c r="AH147" s="20"/>
      <c r="AI147" s="19"/>
      <c r="AK147" s="19"/>
      <c r="AL147" s="19"/>
      <c r="AM147" s="19"/>
      <c r="AN147" s="19"/>
      <c r="AO147" s="19"/>
      <c r="AZ147" s="19"/>
      <c r="BA147" s="19"/>
      <c r="BB147" s="20"/>
      <c r="BC147" s="19"/>
      <c r="BE147" s="19"/>
      <c r="BF147" s="19"/>
      <c r="BG147" s="19"/>
      <c r="BH147" s="19"/>
      <c r="BI147" s="19"/>
      <c r="BJ147" s="19"/>
      <c r="BK147" s="19"/>
      <c r="BL147" s="19"/>
    </row>
    <row r="148" spans="2:64" ht="14" x14ac:dyDescent="0.2">
      <c r="B148" s="1"/>
      <c r="C148" s="1"/>
      <c r="D148" s="1"/>
      <c r="E148" s="1"/>
      <c r="H148" s="18"/>
      <c r="I148" s="18"/>
      <c r="J148" s="18"/>
      <c r="L148" s="6"/>
      <c r="AF148" s="19"/>
      <c r="AG148" s="19"/>
      <c r="AH148" s="20"/>
      <c r="AI148" s="19"/>
      <c r="AK148" s="19"/>
      <c r="AL148" s="19"/>
      <c r="AM148" s="19"/>
      <c r="AN148" s="19"/>
      <c r="AO148" s="19"/>
      <c r="AZ148" s="19"/>
      <c r="BA148" s="19"/>
      <c r="BB148" s="20"/>
      <c r="BC148" s="19"/>
      <c r="BE148" s="19"/>
      <c r="BF148" s="19"/>
      <c r="BG148" s="19"/>
      <c r="BH148" s="19"/>
      <c r="BI148" s="19"/>
      <c r="BJ148" s="19"/>
      <c r="BK148" s="19"/>
      <c r="BL148" s="19"/>
    </row>
    <row r="149" spans="2:64" ht="14" x14ac:dyDescent="0.2">
      <c r="B149" s="1"/>
      <c r="C149" s="1"/>
      <c r="D149" s="1"/>
      <c r="E149" s="1"/>
      <c r="H149" s="18"/>
      <c r="I149" s="18"/>
      <c r="J149" s="18"/>
      <c r="L149" s="6"/>
      <c r="AF149" s="19"/>
      <c r="AG149" s="19"/>
      <c r="AH149" s="20"/>
      <c r="AI149" s="19"/>
      <c r="AK149" s="19"/>
      <c r="AL149" s="19"/>
      <c r="AM149" s="19"/>
      <c r="AN149" s="19"/>
      <c r="AO149" s="19"/>
      <c r="AZ149" s="19"/>
      <c r="BA149" s="19"/>
      <c r="BB149" s="20"/>
      <c r="BC149" s="19"/>
      <c r="BE149" s="19"/>
      <c r="BF149" s="19"/>
      <c r="BG149" s="19"/>
      <c r="BH149" s="19"/>
      <c r="BI149" s="19"/>
      <c r="BJ149" s="19"/>
      <c r="BK149" s="19"/>
      <c r="BL149" s="19"/>
    </row>
    <row r="150" spans="2:64" ht="14" x14ac:dyDescent="0.2">
      <c r="B150" s="1"/>
      <c r="C150" s="1"/>
      <c r="D150" s="1"/>
      <c r="E150" s="1"/>
      <c r="H150" s="18"/>
      <c r="I150" s="18"/>
      <c r="J150" s="18"/>
      <c r="L150" s="6"/>
      <c r="AF150" s="19"/>
      <c r="AG150" s="19"/>
      <c r="AH150" s="20"/>
      <c r="AI150" s="19"/>
      <c r="AK150" s="19"/>
      <c r="AL150" s="19"/>
      <c r="AM150" s="19"/>
      <c r="AN150" s="19"/>
      <c r="AO150" s="19"/>
      <c r="AZ150" s="19"/>
      <c r="BA150" s="19"/>
      <c r="BB150" s="20"/>
      <c r="BC150" s="19"/>
      <c r="BE150" s="19"/>
      <c r="BF150" s="19"/>
      <c r="BG150" s="19"/>
      <c r="BH150" s="19"/>
      <c r="BI150" s="19"/>
      <c r="BJ150" s="19"/>
      <c r="BK150" s="19"/>
      <c r="BL150" s="19"/>
    </row>
    <row r="151" spans="2:64" ht="14" x14ac:dyDescent="0.2">
      <c r="B151" s="1"/>
      <c r="C151" s="1"/>
      <c r="D151" s="1"/>
      <c r="E151" s="1"/>
      <c r="H151" s="18"/>
      <c r="I151" s="18"/>
      <c r="J151" s="18"/>
      <c r="L151" s="6"/>
      <c r="AF151" s="19"/>
      <c r="AG151" s="19"/>
      <c r="AH151" s="20"/>
      <c r="AI151" s="19"/>
      <c r="AK151" s="19"/>
      <c r="AL151" s="19"/>
      <c r="AM151" s="19"/>
      <c r="AN151" s="19"/>
      <c r="AO151" s="19"/>
      <c r="AZ151" s="19"/>
      <c r="BA151" s="19"/>
      <c r="BB151" s="20"/>
      <c r="BC151" s="19"/>
      <c r="BE151" s="19"/>
      <c r="BF151" s="19"/>
      <c r="BG151" s="19"/>
      <c r="BH151" s="19"/>
      <c r="BI151" s="19"/>
      <c r="BJ151" s="19"/>
      <c r="BK151" s="19"/>
      <c r="BL151" s="19"/>
    </row>
    <row r="152" spans="2:64" ht="14" x14ac:dyDescent="0.2">
      <c r="B152" s="1"/>
      <c r="C152" s="1"/>
      <c r="D152" s="1"/>
      <c r="E152" s="1"/>
      <c r="H152" s="18"/>
      <c r="I152" s="18"/>
      <c r="J152" s="18"/>
      <c r="L152" s="6"/>
      <c r="AF152" s="19"/>
      <c r="AG152" s="19"/>
      <c r="AH152" s="20"/>
      <c r="AI152" s="19"/>
      <c r="AK152" s="19"/>
      <c r="AL152" s="19"/>
      <c r="AM152" s="19"/>
      <c r="AN152" s="19"/>
      <c r="AO152" s="19"/>
      <c r="AZ152" s="19"/>
      <c r="BA152" s="19"/>
      <c r="BB152" s="20"/>
      <c r="BC152" s="19"/>
      <c r="BE152" s="19"/>
      <c r="BF152" s="19"/>
      <c r="BG152" s="19"/>
      <c r="BH152" s="19"/>
      <c r="BI152" s="19"/>
      <c r="BJ152" s="19"/>
      <c r="BK152" s="19"/>
      <c r="BL152" s="19"/>
    </row>
    <row r="153" spans="2:64" ht="14" x14ac:dyDescent="0.2">
      <c r="B153" s="1"/>
      <c r="C153" s="1"/>
      <c r="D153" s="1"/>
      <c r="E153" s="1"/>
      <c r="H153" s="18"/>
      <c r="I153" s="18"/>
      <c r="J153" s="18"/>
      <c r="L153" s="6"/>
      <c r="AF153" s="19"/>
      <c r="AG153" s="19"/>
      <c r="AH153" s="20"/>
      <c r="AI153" s="19"/>
      <c r="AK153" s="19"/>
      <c r="AL153" s="19"/>
      <c r="AM153" s="19"/>
      <c r="AN153" s="19"/>
      <c r="AO153" s="19"/>
      <c r="AZ153" s="19"/>
      <c r="BA153" s="19"/>
      <c r="BB153" s="20"/>
      <c r="BC153" s="19"/>
      <c r="BE153" s="19"/>
      <c r="BF153" s="19"/>
      <c r="BG153" s="19"/>
      <c r="BH153" s="19"/>
      <c r="BI153" s="19"/>
      <c r="BJ153" s="19"/>
      <c r="BK153" s="19"/>
      <c r="BL153" s="19"/>
    </row>
    <row r="154" spans="2:64" ht="14" x14ac:dyDescent="0.2">
      <c r="B154" s="1"/>
      <c r="C154" s="1"/>
      <c r="D154" s="1"/>
      <c r="E154" s="1"/>
      <c r="H154" s="18"/>
      <c r="I154" s="18"/>
      <c r="J154" s="18"/>
      <c r="L154" s="6"/>
      <c r="AF154" s="19"/>
      <c r="AG154" s="19"/>
      <c r="AH154" s="20"/>
      <c r="AI154" s="19"/>
      <c r="AK154" s="19"/>
      <c r="AL154" s="19"/>
      <c r="AM154" s="19"/>
      <c r="AN154" s="19"/>
      <c r="AO154" s="19"/>
      <c r="AZ154" s="19"/>
      <c r="BA154" s="19"/>
      <c r="BB154" s="20"/>
      <c r="BC154" s="19"/>
      <c r="BE154" s="19"/>
      <c r="BF154" s="19"/>
      <c r="BG154" s="19"/>
      <c r="BH154" s="19"/>
      <c r="BI154" s="19"/>
      <c r="BJ154" s="19"/>
      <c r="BK154" s="19"/>
      <c r="BL154" s="19"/>
    </row>
    <row r="155" spans="2:64" ht="14" x14ac:dyDescent="0.2">
      <c r="B155" s="1"/>
      <c r="C155" s="1"/>
      <c r="D155" s="1"/>
      <c r="E155" s="1"/>
      <c r="H155" s="18"/>
      <c r="I155" s="18"/>
      <c r="J155" s="18"/>
      <c r="L155" s="6"/>
      <c r="AF155" s="19"/>
      <c r="AG155" s="19"/>
      <c r="AH155" s="20"/>
      <c r="AI155" s="19"/>
      <c r="AK155" s="19"/>
      <c r="AL155" s="19"/>
      <c r="AM155" s="19"/>
      <c r="AN155" s="19"/>
      <c r="AO155" s="19"/>
      <c r="AZ155" s="19"/>
      <c r="BA155" s="19"/>
      <c r="BB155" s="20"/>
      <c r="BC155" s="19"/>
      <c r="BE155" s="19"/>
      <c r="BF155" s="19"/>
      <c r="BG155" s="19"/>
      <c r="BH155" s="19"/>
      <c r="BI155" s="19"/>
      <c r="BJ155" s="19"/>
      <c r="BK155" s="19"/>
      <c r="BL155" s="19"/>
    </row>
    <row r="156" spans="2:64" ht="14" x14ac:dyDescent="0.2">
      <c r="B156" s="1"/>
      <c r="C156" s="1"/>
      <c r="D156" s="1"/>
      <c r="E156" s="1"/>
      <c r="H156" s="18"/>
      <c r="I156" s="18"/>
      <c r="J156" s="18"/>
      <c r="L156" s="6"/>
      <c r="AF156" s="19"/>
      <c r="AG156" s="19"/>
      <c r="AH156" s="20"/>
      <c r="AI156" s="19"/>
      <c r="AK156" s="19"/>
      <c r="AL156" s="19"/>
      <c r="AM156" s="19"/>
      <c r="AN156" s="19"/>
      <c r="AO156" s="19"/>
      <c r="AZ156" s="19"/>
      <c r="BA156" s="19"/>
      <c r="BB156" s="20"/>
      <c r="BC156" s="19"/>
      <c r="BE156" s="19"/>
      <c r="BF156" s="19"/>
      <c r="BG156" s="19"/>
      <c r="BH156" s="19"/>
      <c r="BI156" s="19"/>
      <c r="BJ156" s="19"/>
      <c r="BK156" s="19"/>
      <c r="BL156" s="19"/>
    </row>
    <row r="157" spans="2:64" ht="14" x14ac:dyDescent="0.2">
      <c r="B157" s="1"/>
      <c r="C157" s="1"/>
      <c r="D157" s="1"/>
      <c r="E157" s="1"/>
      <c r="H157" s="18"/>
      <c r="I157" s="18"/>
      <c r="J157" s="18"/>
      <c r="L157" s="6"/>
      <c r="AF157" s="19"/>
      <c r="AG157" s="19"/>
      <c r="AH157" s="20"/>
      <c r="AI157" s="19"/>
      <c r="AK157" s="19"/>
      <c r="AL157" s="19"/>
      <c r="AM157" s="19"/>
      <c r="AN157" s="19"/>
      <c r="AO157" s="19"/>
      <c r="AZ157" s="19"/>
      <c r="BA157" s="19"/>
      <c r="BB157" s="20"/>
      <c r="BC157" s="19"/>
      <c r="BE157" s="19"/>
      <c r="BF157" s="19"/>
      <c r="BG157" s="19"/>
      <c r="BH157" s="19"/>
      <c r="BI157" s="19"/>
      <c r="BJ157" s="19"/>
      <c r="BK157" s="19"/>
      <c r="BL157" s="19"/>
    </row>
    <row r="158" spans="2:64" ht="14" x14ac:dyDescent="0.2">
      <c r="B158" s="1"/>
      <c r="C158" s="1"/>
      <c r="D158" s="1"/>
      <c r="E158" s="1"/>
      <c r="H158" s="18"/>
      <c r="I158" s="18"/>
      <c r="J158" s="18"/>
      <c r="L158" s="6"/>
      <c r="AF158" s="19"/>
      <c r="AG158" s="19"/>
      <c r="AH158" s="20"/>
      <c r="AI158" s="19"/>
      <c r="AK158" s="19"/>
      <c r="AL158" s="19"/>
      <c r="AM158" s="19"/>
      <c r="AN158" s="19"/>
      <c r="AO158" s="19"/>
      <c r="AZ158" s="19"/>
      <c r="BA158" s="19"/>
      <c r="BB158" s="20"/>
      <c r="BC158" s="19"/>
      <c r="BE158" s="19"/>
      <c r="BF158" s="19"/>
      <c r="BG158" s="19"/>
      <c r="BH158" s="19"/>
      <c r="BI158" s="19"/>
      <c r="BJ158" s="19"/>
      <c r="BK158" s="19"/>
      <c r="BL158" s="19"/>
    </row>
    <row r="159" spans="2:64" ht="14" x14ac:dyDescent="0.2">
      <c r="B159" s="1"/>
      <c r="C159" s="1"/>
      <c r="D159" s="1"/>
      <c r="E159" s="1"/>
      <c r="H159" s="18"/>
      <c r="I159" s="18"/>
      <c r="J159" s="18"/>
      <c r="L159" s="6"/>
      <c r="AF159" s="19"/>
      <c r="AG159" s="19"/>
      <c r="AH159" s="20"/>
      <c r="AI159" s="19"/>
      <c r="AK159" s="19"/>
      <c r="AL159" s="19"/>
      <c r="AM159" s="19"/>
      <c r="AN159" s="19"/>
      <c r="AO159" s="19"/>
      <c r="AZ159" s="19"/>
      <c r="BA159" s="19"/>
      <c r="BB159" s="20"/>
      <c r="BC159" s="19"/>
      <c r="BE159" s="19"/>
      <c r="BF159" s="19"/>
      <c r="BG159" s="19"/>
      <c r="BH159" s="19"/>
      <c r="BI159" s="19"/>
      <c r="BJ159" s="19"/>
      <c r="BK159" s="19"/>
      <c r="BL159" s="19"/>
    </row>
    <row r="160" spans="2:64" ht="14" x14ac:dyDescent="0.2">
      <c r="B160" s="1"/>
      <c r="C160" s="1"/>
      <c r="D160" s="1"/>
      <c r="E160" s="1"/>
      <c r="H160" s="18"/>
      <c r="I160" s="18"/>
      <c r="J160" s="18"/>
      <c r="L160" s="6"/>
      <c r="AF160" s="19"/>
      <c r="AG160" s="19"/>
      <c r="AH160" s="20"/>
      <c r="AI160" s="19"/>
      <c r="AK160" s="19"/>
      <c r="AL160" s="19"/>
      <c r="AM160" s="19"/>
      <c r="AN160" s="19"/>
      <c r="AO160" s="19"/>
      <c r="AZ160" s="19"/>
      <c r="BA160" s="19"/>
      <c r="BB160" s="20"/>
      <c r="BC160" s="19"/>
      <c r="BE160" s="19"/>
      <c r="BF160" s="19"/>
      <c r="BG160" s="19"/>
      <c r="BH160" s="19"/>
      <c r="BI160" s="19"/>
      <c r="BJ160" s="19"/>
      <c r="BK160" s="19"/>
      <c r="BL160" s="19"/>
    </row>
    <row r="161" spans="2:64" ht="14" x14ac:dyDescent="0.2">
      <c r="B161" s="1"/>
      <c r="C161" s="1"/>
      <c r="D161" s="1"/>
      <c r="E161" s="1"/>
      <c r="H161" s="18"/>
      <c r="I161" s="18"/>
      <c r="J161" s="18"/>
      <c r="L161" s="6"/>
      <c r="AF161" s="19"/>
      <c r="AG161" s="19"/>
      <c r="AH161" s="20"/>
      <c r="AI161" s="19"/>
      <c r="AK161" s="19"/>
      <c r="AL161" s="19"/>
      <c r="AM161" s="19"/>
      <c r="AN161" s="19"/>
      <c r="AO161" s="19"/>
      <c r="AZ161" s="19"/>
      <c r="BA161" s="19"/>
      <c r="BB161" s="20"/>
      <c r="BC161" s="19"/>
      <c r="BE161" s="19"/>
      <c r="BF161" s="19"/>
      <c r="BG161" s="19"/>
      <c r="BH161" s="19"/>
      <c r="BI161" s="19"/>
      <c r="BJ161" s="19"/>
      <c r="BK161" s="19"/>
      <c r="BL161" s="19"/>
    </row>
    <row r="162" spans="2:64" ht="14" x14ac:dyDescent="0.2">
      <c r="B162" s="1"/>
      <c r="C162" s="1"/>
      <c r="D162" s="1"/>
      <c r="E162" s="1"/>
      <c r="H162" s="18"/>
      <c r="I162" s="18"/>
      <c r="J162" s="18"/>
      <c r="L162" s="6"/>
      <c r="AF162" s="19"/>
      <c r="AG162" s="19"/>
      <c r="AH162" s="20"/>
      <c r="AI162" s="19"/>
      <c r="AK162" s="19"/>
      <c r="AL162" s="19"/>
      <c r="AM162" s="19"/>
      <c r="AN162" s="19"/>
      <c r="AO162" s="19"/>
      <c r="AZ162" s="19"/>
      <c r="BA162" s="19"/>
      <c r="BB162" s="20"/>
      <c r="BC162" s="19"/>
      <c r="BE162" s="19"/>
      <c r="BF162" s="19"/>
      <c r="BG162" s="19"/>
      <c r="BH162" s="19"/>
      <c r="BI162" s="19"/>
      <c r="BJ162" s="19"/>
      <c r="BK162" s="19"/>
      <c r="BL162" s="19"/>
    </row>
    <row r="163" spans="2:64" ht="14" x14ac:dyDescent="0.2">
      <c r="B163" s="1"/>
      <c r="C163" s="1"/>
      <c r="D163" s="1"/>
      <c r="E163" s="1"/>
      <c r="H163" s="18"/>
      <c r="I163" s="18"/>
      <c r="J163" s="18"/>
      <c r="L163" s="6"/>
      <c r="AF163" s="19"/>
      <c r="AG163" s="19"/>
      <c r="AH163" s="20"/>
      <c r="AI163" s="19"/>
      <c r="AK163" s="19"/>
      <c r="AL163" s="19"/>
      <c r="AM163" s="19"/>
      <c r="AN163" s="19"/>
      <c r="AO163" s="19"/>
      <c r="AZ163" s="19"/>
      <c r="BA163" s="19"/>
      <c r="BB163" s="20"/>
      <c r="BC163" s="19"/>
      <c r="BE163" s="19"/>
      <c r="BF163" s="19"/>
      <c r="BG163" s="19"/>
      <c r="BH163" s="19"/>
      <c r="BI163" s="19"/>
      <c r="BJ163" s="19"/>
      <c r="BK163" s="19"/>
      <c r="BL163" s="19"/>
    </row>
    <row r="164" spans="2:64" ht="14" x14ac:dyDescent="0.2">
      <c r="B164" s="1"/>
      <c r="C164" s="1"/>
      <c r="D164" s="1"/>
      <c r="E164" s="1"/>
      <c r="H164" s="18"/>
      <c r="I164" s="18"/>
      <c r="J164" s="18"/>
      <c r="L164" s="6"/>
      <c r="AF164" s="19"/>
      <c r="AG164" s="19"/>
      <c r="AH164" s="20"/>
      <c r="AI164" s="19"/>
      <c r="AK164" s="19"/>
      <c r="AL164" s="19"/>
      <c r="AM164" s="19"/>
      <c r="AN164" s="19"/>
      <c r="AO164" s="19"/>
      <c r="AZ164" s="19"/>
      <c r="BA164" s="19"/>
      <c r="BB164" s="20"/>
      <c r="BC164" s="19"/>
      <c r="BE164" s="19"/>
      <c r="BF164" s="19"/>
      <c r="BG164" s="19"/>
      <c r="BH164" s="19"/>
      <c r="BI164" s="19"/>
      <c r="BJ164" s="19"/>
      <c r="BK164" s="19"/>
      <c r="BL164" s="19"/>
    </row>
    <row r="165" spans="2:64" ht="14" x14ac:dyDescent="0.2">
      <c r="B165" s="1"/>
      <c r="C165" s="1"/>
      <c r="D165" s="1"/>
      <c r="E165" s="1"/>
      <c r="H165" s="18"/>
      <c r="I165" s="18"/>
      <c r="J165" s="18"/>
      <c r="L165" s="6"/>
      <c r="AF165" s="19"/>
      <c r="AG165" s="19"/>
      <c r="AH165" s="20"/>
      <c r="AI165" s="19"/>
      <c r="AK165" s="19"/>
      <c r="AL165" s="19"/>
      <c r="AM165" s="19"/>
      <c r="AN165" s="19"/>
      <c r="AO165" s="19"/>
      <c r="AZ165" s="19"/>
      <c r="BA165" s="19"/>
      <c r="BB165" s="20"/>
      <c r="BC165" s="19"/>
      <c r="BE165" s="19"/>
      <c r="BF165" s="19"/>
      <c r="BG165" s="19"/>
      <c r="BH165" s="19"/>
      <c r="BI165" s="19"/>
      <c r="BJ165" s="19"/>
      <c r="BK165" s="19"/>
      <c r="BL165" s="19"/>
    </row>
    <row r="166" spans="2:64" ht="14" x14ac:dyDescent="0.2">
      <c r="B166" s="1"/>
      <c r="C166" s="1"/>
      <c r="D166" s="1"/>
      <c r="E166" s="1"/>
      <c r="H166" s="18"/>
      <c r="I166" s="18"/>
      <c r="J166" s="18"/>
      <c r="L166" s="6"/>
      <c r="AF166" s="19"/>
      <c r="AG166" s="19"/>
      <c r="AH166" s="20"/>
      <c r="AI166" s="19"/>
      <c r="AK166" s="19"/>
      <c r="AL166" s="19"/>
      <c r="AM166" s="19"/>
      <c r="AN166" s="19"/>
      <c r="AO166" s="19"/>
      <c r="AZ166" s="19"/>
      <c r="BA166" s="19"/>
      <c r="BB166" s="20"/>
      <c r="BC166" s="19"/>
      <c r="BE166" s="19"/>
      <c r="BF166" s="19"/>
      <c r="BG166" s="19"/>
      <c r="BH166" s="19"/>
      <c r="BI166" s="19"/>
      <c r="BJ166" s="19"/>
      <c r="BK166" s="19"/>
      <c r="BL166" s="19"/>
    </row>
    <row r="167" spans="2:64" ht="14" x14ac:dyDescent="0.2">
      <c r="B167" s="1"/>
      <c r="C167" s="1"/>
      <c r="D167" s="1"/>
      <c r="E167" s="1"/>
      <c r="H167" s="18"/>
      <c r="I167" s="18"/>
      <c r="J167" s="18"/>
      <c r="L167" s="6"/>
      <c r="AF167" s="19"/>
      <c r="AG167" s="19"/>
      <c r="AH167" s="20"/>
      <c r="AI167" s="19"/>
      <c r="AK167" s="19"/>
      <c r="AL167" s="19"/>
      <c r="AM167" s="19"/>
      <c r="AN167" s="19"/>
      <c r="AO167" s="19"/>
      <c r="AZ167" s="19"/>
      <c r="BA167" s="19"/>
      <c r="BB167" s="20"/>
      <c r="BC167" s="19"/>
      <c r="BE167" s="19"/>
      <c r="BF167" s="19"/>
      <c r="BG167" s="19"/>
      <c r="BH167" s="19"/>
      <c r="BI167" s="19"/>
      <c r="BJ167" s="19"/>
      <c r="BK167" s="19"/>
      <c r="BL167" s="19"/>
    </row>
    <row r="168" spans="2:64" ht="14" x14ac:dyDescent="0.2">
      <c r="B168" s="1"/>
      <c r="C168" s="1"/>
      <c r="D168" s="1"/>
      <c r="E168" s="1"/>
      <c r="H168" s="18"/>
      <c r="I168" s="18"/>
      <c r="J168" s="18"/>
      <c r="L168" s="6"/>
      <c r="AF168" s="19"/>
      <c r="AG168" s="19"/>
      <c r="AH168" s="20"/>
      <c r="AI168" s="19"/>
      <c r="AK168" s="19"/>
      <c r="AL168" s="19"/>
      <c r="AM168" s="19"/>
      <c r="AN168" s="19"/>
      <c r="AO168" s="19"/>
      <c r="AZ168" s="19"/>
      <c r="BA168" s="19"/>
      <c r="BB168" s="20"/>
      <c r="BC168" s="19"/>
      <c r="BE168" s="19"/>
      <c r="BF168" s="19"/>
      <c r="BG168" s="19"/>
      <c r="BH168" s="19"/>
      <c r="BI168" s="19"/>
      <c r="BJ168" s="19"/>
      <c r="BK168" s="19"/>
      <c r="BL168" s="19"/>
    </row>
    <row r="169" spans="2:64" ht="14" x14ac:dyDescent="0.2">
      <c r="B169" s="1"/>
      <c r="C169" s="1"/>
      <c r="D169" s="1"/>
      <c r="E169" s="1"/>
      <c r="H169" s="18"/>
      <c r="I169" s="18"/>
      <c r="J169" s="18"/>
      <c r="L169" s="6"/>
      <c r="AF169" s="19"/>
      <c r="AG169" s="19"/>
      <c r="AH169" s="20"/>
      <c r="AI169" s="19"/>
      <c r="AK169" s="19"/>
      <c r="AL169" s="19"/>
      <c r="AM169" s="19"/>
      <c r="AN169" s="19"/>
      <c r="AO169" s="19"/>
      <c r="AZ169" s="19"/>
      <c r="BA169" s="19"/>
      <c r="BB169" s="20"/>
      <c r="BC169" s="19"/>
      <c r="BE169" s="19"/>
      <c r="BF169" s="19"/>
      <c r="BG169" s="19"/>
      <c r="BH169" s="19"/>
      <c r="BI169" s="19"/>
      <c r="BJ169" s="19"/>
      <c r="BK169" s="19"/>
      <c r="BL169" s="19"/>
    </row>
    <row r="170" spans="2:64" ht="14" x14ac:dyDescent="0.2">
      <c r="B170" s="1"/>
      <c r="C170" s="1"/>
      <c r="D170" s="1"/>
      <c r="E170" s="1"/>
      <c r="H170" s="18"/>
      <c r="I170" s="18"/>
      <c r="J170" s="18"/>
      <c r="L170" s="6"/>
      <c r="AF170" s="19"/>
      <c r="AG170" s="19"/>
      <c r="AH170" s="20"/>
      <c r="AI170" s="19"/>
      <c r="AK170" s="19"/>
      <c r="AL170" s="19"/>
      <c r="AM170" s="19"/>
      <c r="AN170" s="19"/>
      <c r="AO170" s="19"/>
      <c r="AZ170" s="19"/>
      <c r="BA170" s="19"/>
      <c r="BB170" s="20"/>
      <c r="BC170" s="19"/>
      <c r="BE170" s="19"/>
      <c r="BF170" s="19"/>
      <c r="BG170" s="19"/>
      <c r="BH170" s="19"/>
      <c r="BI170" s="19"/>
      <c r="BJ170" s="19"/>
      <c r="BK170" s="19"/>
      <c r="BL170" s="19"/>
    </row>
    <row r="171" spans="2:64" ht="14" x14ac:dyDescent="0.2">
      <c r="B171" s="1"/>
      <c r="C171" s="1"/>
      <c r="D171" s="1"/>
      <c r="E171" s="1"/>
      <c r="H171" s="18"/>
      <c r="I171" s="18"/>
      <c r="J171" s="18"/>
      <c r="L171" s="6"/>
      <c r="AF171" s="19"/>
      <c r="AG171" s="19"/>
      <c r="AH171" s="20"/>
      <c r="AI171" s="19"/>
      <c r="AK171" s="19"/>
      <c r="AL171" s="19"/>
      <c r="AM171" s="19"/>
      <c r="AN171" s="19"/>
      <c r="AO171" s="19"/>
      <c r="AZ171" s="19"/>
      <c r="BA171" s="19"/>
      <c r="BB171" s="20"/>
      <c r="BC171" s="19"/>
      <c r="BE171" s="19"/>
      <c r="BF171" s="19"/>
      <c r="BG171" s="19"/>
      <c r="BH171" s="19"/>
      <c r="BI171" s="19"/>
      <c r="BJ171" s="19"/>
      <c r="BK171" s="19"/>
      <c r="BL171" s="19"/>
    </row>
    <row r="172" spans="2:64" ht="14" x14ac:dyDescent="0.2">
      <c r="B172" s="1"/>
      <c r="C172" s="1"/>
      <c r="D172" s="1"/>
      <c r="E172" s="1"/>
      <c r="H172" s="18"/>
      <c r="I172" s="18"/>
      <c r="J172" s="18"/>
      <c r="L172" s="6"/>
      <c r="AF172" s="19"/>
      <c r="AG172" s="19"/>
      <c r="AH172" s="20"/>
      <c r="AI172" s="19"/>
      <c r="AK172" s="19"/>
      <c r="AL172" s="19"/>
      <c r="AM172" s="19"/>
      <c r="AN172" s="19"/>
      <c r="AO172" s="19"/>
      <c r="AZ172" s="19"/>
      <c r="BA172" s="19"/>
      <c r="BB172" s="20"/>
      <c r="BC172" s="19"/>
      <c r="BE172" s="19"/>
      <c r="BF172" s="19"/>
      <c r="BG172" s="19"/>
      <c r="BH172" s="19"/>
      <c r="BI172" s="19"/>
      <c r="BJ172" s="19"/>
      <c r="BK172" s="19"/>
      <c r="BL172" s="19"/>
    </row>
    <row r="173" spans="2:64" ht="14" x14ac:dyDescent="0.2">
      <c r="B173" s="1"/>
      <c r="C173" s="1"/>
      <c r="D173" s="1"/>
      <c r="E173" s="1"/>
      <c r="H173" s="18"/>
      <c r="I173" s="18"/>
      <c r="J173" s="18"/>
      <c r="L173" s="6"/>
      <c r="AF173" s="19"/>
      <c r="AG173" s="19"/>
      <c r="AH173" s="20"/>
      <c r="AI173" s="19"/>
      <c r="AK173" s="19"/>
      <c r="AL173" s="19"/>
      <c r="AM173" s="19"/>
      <c r="AN173" s="19"/>
      <c r="AO173" s="19"/>
      <c r="AZ173" s="19"/>
      <c r="BA173" s="19"/>
      <c r="BB173" s="20"/>
      <c r="BC173" s="19"/>
      <c r="BE173" s="19"/>
      <c r="BF173" s="19"/>
      <c r="BG173" s="19"/>
      <c r="BH173" s="19"/>
      <c r="BI173" s="19"/>
      <c r="BJ173" s="19"/>
      <c r="BK173" s="19"/>
      <c r="BL173" s="19"/>
    </row>
    <row r="174" spans="2:64" ht="14" x14ac:dyDescent="0.2">
      <c r="B174" s="1"/>
      <c r="C174" s="1"/>
      <c r="D174" s="1"/>
      <c r="E174" s="1"/>
      <c r="H174" s="18"/>
      <c r="I174" s="18"/>
      <c r="J174" s="18"/>
      <c r="L174" s="6"/>
      <c r="AF174" s="19"/>
      <c r="AG174" s="19"/>
      <c r="AH174" s="20"/>
      <c r="AI174" s="19"/>
      <c r="AK174" s="19"/>
      <c r="AL174" s="19"/>
      <c r="AM174" s="19"/>
      <c r="AN174" s="19"/>
      <c r="AO174" s="19"/>
      <c r="AZ174" s="19"/>
      <c r="BA174" s="19"/>
      <c r="BB174" s="20"/>
      <c r="BC174" s="19"/>
      <c r="BE174" s="19"/>
      <c r="BF174" s="19"/>
      <c r="BG174" s="19"/>
      <c r="BH174" s="19"/>
      <c r="BI174" s="19"/>
      <c r="BJ174" s="19"/>
      <c r="BK174" s="19"/>
      <c r="BL174" s="19"/>
    </row>
    <row r="175" spans="2:64" ht="14" x14ac:dyDescent="0.2">
      <c r="B175" s="1"/>
      <c r="C175" s="1"/>
      <c r="D175" s="1"/>
      <c r="E175" s="1"/>
      <c r="H175" s="18"/>
      <c r="I175" s="18"/>
      <c r="J175" s="18"/>
      <c r="L175" s="6"/>
      <c r="AF175" s="19"/>
      <c r="AG175" s="19"/>
      <c r="AH175" s="20"/>
      <c r="AI175" s="19"/>
      <c r="AK175" s="19"/>
      <c r="AL175" s="19"/>
      <c r="AM175" s="19"/>
      <c r="AN175" s="19"/>
      <c r="AO175" s="19"/>
      <c r="AZ175" s="19"/>
      <c r="BA175" s="19"/>
      <c r="BB175" s="20"/>
      <c r="BC175" s="19"/>
      <c r="BE175" s="19"/>
      <c r="BF175" s="19"/>
      <c r="BG175" s="19"/>
      <c r="BH175" s="19"/>
      <c r="BI175" s="19"/>
      <c r="BJ175" s="19"/>
      <c r="BK175" s="19"/>
      <c r="BL175" s="19"/>
    </row>
    <row r="176" spans="2:64" ht="14" x14ac:dyDescent="0.2">
      <c r="B176" s="1"/>
      <c r="C176" s="1"/>
      <c r="D176" s="1"/>
      <c r="E176" s="1"/>
      <c r="H176" s="18"/>
      <c r="I176" s="18"/>
      <c r="J176" s="18"/>
      <c r="L176" s="6"/>
      <c r="AF176" s="19"/>
      <c r="AG176" s="19"/>
      <c r="AH176" s="20"/>
      <c r="AI176" s="19"/>
      <c r="AK176" s="19"/>
      <c r="AL176" s="19"/>
      <c r="AM176" s="19"/>
      <c r="AN176" s="19"/>
      <c r="AO176" s="19"/>
      <c r="AZ176" s="19"/>
      <c r="BA176" s="19"/>
      <c r="BB176" s="20"/>
      <c r="BC176" s="19"/>
      <c r="BE176" s="19"/>
      <c r="BF176" s="19"/>
      <c r="BG176" s="19"/>
      <c r="BH176" s="19"/>
      <c r="BI176" s="19"/>
      <c r="BJ176" s="19"/>
      <c r="BK176" s="19"/>
      <c r="BL176" s="19"/>
    </row>
    <row r="177" spans="2:64" ht="14" x14ac:dyDescent="0.2">
      <c r="B177" s="1"/>
      <c r="C177" s="1"/>
      <c r="D177" s="1"/>
      <c r="E177" s="1"/>
      <c r="H177" s="18"/>
      <c r="I177" s="18"/>
      <c r="J177" s="18"/>
      <c r="L177" s="6"/>
      <c r="AF177" s="19"/>
      <c r="AG177" s="19"/>
      <c r="AH177" s="20"/>
      <c r="AI177" s="19"/>
      <c r="AK177" s="19"/>
      <c r="AL177" s="19"/>
      <c r="AM177" s="19"/>
      <c r="AN177" s="19"/>
      <c r="AO177" s="19"/>
      <c r="AZ177" s="19"/>
      <c r="BA177" s="19"/>
      <c r="BB177" s="20"/>
      <c r="BC177" s="19"/>
      <c r="BE177" s="19"/>
      <c r="BF177" s="19"/>
      <c r="BG177" s="19"/>
      <c r="BH177" s="19"/>
      <c r="BI177" s="19"/>
      <c r="BJ177" s="19"/>
      <c r="BK177" s="19"/>
      <c r="BL177" s="19"/>
    </row>
    <row r="178" spans="2:64" ht="14" x14ac:dyDescent="0.2">
      <c r="B178" s="1"/>
      <c r="C178" s="1"/>
      <c r="D178" s="1"/>
      <c r="E178" s="1"/>
      <c r="H178" s="18"/>
      <c r="I178" s="18"/>
      <c r="J178" s="18"/>
      <c r="L178" s="6"/>
      <c r="AF178" s="19"/>
      <c r="AG178" s="19"/>
      <c r="AH178" s="20"/>
      <c r="AI178" s="19"/>
      <c r="AK178" s="19"/>
      <c r="AL178" s="19"/>
      <c r="AM178" s="19"/>
      <c r="AN178" s="19"/>
      <c r="AO178" s="19"/>
      <c r="AZ178" s="19"/>
      <c r="BA178" s="19"/>
      <c r="BB178" s="20"/>
      <c r="BC178" s="19"/>
      <c r="BE178" s="19"/>
      <c r="BF178" s="19"/>
      <c r="BG178" s="19"/>
      <c r="BH178" s="19"/>
      <c r="BI178" s="19"/>
      <c r="BJ178" s="19"/>
      <c r="BK178" s="19"/>
      <c r="BL178" s="19"/>
    </row>
    <row r="179" spans="2:64" ht="14" x14ac:dyDescent="0.2">
      <c r="B179" s="1"/>
      <c r="C179" s="1"/>
      <c r="D179" s="1"/>
      <c r="E179" s="1"/>
      <c r="H179" s="18"/>
      <c r="I179" s="18"/>
      <c r="J179" s="18"/>
      <c r="L179" s="6"/>
      <c r="AF179" s="19"/>
      <c r="AG179" s="19"/>
      <c r="AH179" s="20"/>
      <c r="AI179" s="19"/>
      <c r="AK179" s="19"/>
      <c r="AL179" s="19"/>
      <c r="AM179" s="19"/>
      <c r="AN179" s="19"/>
      <c r="AO179" s="19"/>
      <c r="AZ179" s="19"/>
      <c r="BA179" s="19"/>
      <c r="BB179" s="20"/>
      <c r="BC179" s="19"/>
      <c r="BE179" s="19"/>
      <c r="BF179" s="19"/>
      <c r="BG179" s="19"/>
      <c r="BH179" s="19"/>
      <c r="BI179" s="19"/>
      <c r="BJ179" s="19"/>
      <c r="BK179" s="19"/>
      <c r="BL179" s="19"/>
    </row>
    <row r="180" spans="2:64" ht="14" x14ac:dyDescent="0.2">
      <c r="B180" s="1"/>
      <c r="C180" s="1"/>
      <c r="D180" s="1"/>
      <c r="E180" s="1"/>
      <c r="H180" s="18"/>
      <c r="I180" s="18"/>
      <c r="J180" s="18"/>
      <c r="L180" s="6"/>
      <c r="AF180" s="19"/>
      <c r="AG180" s="19"/>
      <c r="AH180" s="20"/>
      <c r="AI180" s="19"/>
      <c r="AK180" s="19"/>
      <c r="AL180" s="19"/>
      <c r="AM180" s="19"/>
      <c r="AN180" s="19"/>
      <c r="AO180" s="19"/>
      <c r="AZ180" s="19"/>
      <c r="BA180" s="19"/>
      <c r="BB180" s="20"/>
      <c r="BC180" s="19"/>
      <c r="BE180" s="19"/>
      <c r="BF180" s="19"/>
      <c r="BG180" s="19"/>
      <c r="BH180" s="19"/>
      <c r="BI180" s="19"/>
      <c r="BJ180" s="19"/>
      <c r="BK180" s="19"/>
      <c r="BL180" s="19"/>
    </row>
    <row r="181" spans="2:64" ht="14" x14ac:dyDescent="0.2">
      <c r="B181" s="1"/>
      <c r="C181" s="1"/>
      <c r="D181" s="1"/>
      <c r="E181" s="1"/>
      <c r="H181" s="18"/>
      <c r="I181" s="18"/>
      <c r="J181" s="18"/>
      <c r="L181" s="6"/>
      <c r="AF181" s="19"/>
      <c r="AG181" s="19"/>
      <c r="AH181" s="20"/>
      <c r="AI181" s="19"/>
      <c r="AK181" s="19"/>
      <c r="AL181" s="19"/>
      <c r="AM181" s="19"/>
      <c r="AN181" s="19"/>
      <c r="AO181" s="19"/>
      <c r="AZ181" s="19"/>
      <c r="BA181" s="19"/>
      <c r="BB181" s="20"/>
      <c r="BC181" s="19"/>
      <c r="BE181" s="19"/>
      <c r="BF181" s="19"/>
      <c r="BG181" s="19"/>
      <c r="BH181" s="19"/>
      <c r="BI181" s="19"/>
      <c r="BJ181" s="19"/>
      <c r="BK181" s="19"/>
      <c r="BL181" s="19"/>
    </row>
    <row r="182" spans="2:64" ht="14" x14ac:dyDescent="0.2">
      <c r="B182" s="1"/>
      <c r="C182" s="1"/>
      <c r="D182" s="1"/>
      <c r="E182" s="1"/>
      <c r="H182" s="18"/>
      <c r="I182" s="18"/>
      <c r="J182" s="18"/>
      <c r="L182" s="6"/>
      <c r="AF182" s="19"/>
      <c r="AG182" s="19"/>
      <c r="AH182" s="20"/>
      <c r="AI182" s="19"/>
      <c r="AK182" s="19"/>
      <c r="AL182" s="19"/>
      <c r="AM182" s="19"/>
      <c r="AN182" s="19"/>
      <c r="AO182" s="19"/>
      <c r="AZ182" s="19"/>
      <c r="BA182" s="19"/>
      <c r="BB182" s="20"/>
      <c r="BC182" s="19"/>
      <c r="BE182" s="19"/>
      <c r="BF182" s="19"/>
      <c r="BG182" s="19"/>
      <c r="BH182" s="19"/>
      <c r="BI182" s="19"/>
      <c r="BJ182" s="19"/>
      <c r="BK182" s="19"/>
      <c r="BL182" s="19"/>
    </row>
    <row r="183" spans="2:64" ht="14" x14ac:dyDescent="0.2">
      <c r="B183" s="1"/>
      <c r="C183" s="1"/>
      <c r="D183" s="1"/>
      <c r="E183" s="1"/>
      <c r="H183" s="18"/>
      <c r="I183" s="18"/>
      <c r="J183" s="18"/>
      <c r="L183" s="6"/>
      <c r="AF183" s="19"/>
      <c r="AG183" s="19"/>
      <c r="AH183" s="20"/>
      <c r="AI183" s="19"/>
      <c r="AK183" s="19"/>
      <c r="AL183" s="19"/>
      <c r="AM183" s="19"/>
      <c r="AN183" s="19"/>
      <c r="AO183" s="19"/>
      <c r="AZ183" s="19"/>
      <c r="BA183" s="19"/>
      <c r="BB183" s="20"/>
      <c r="BC183" s="19"/>
      <c r="BE183" s="19"/>
      <c r="BF183" s="19"/>
      <c r="BG183" s="19"/>
      <c r="BH183" s="19"/>
      <c r="BI183" s="19"/>
      <c r="BJ183" s="19"/>
      <c r="BK183" s="19"/>
      <c r="BL183" s="19"/>
    </row>
    <row r="184" spans="2:64" ht="14" x14ac:dyDescent="0.2">
      <c r="B184" s="1"/>
      <c r="C184" s="1"/>
      <c r="D184" s="1"/>
      <c r="E184" s="1"/>
      <c r="H184" s="18"/>
      <c r="I184" s="18"/>
      <c r="J184" s="18"/>
      <c r="L184" s="6"/>
      <c r="AF184" s="19"/>
      <c r="AG184" s="19"/>
      <c r="AH184" s="20"/>
      <c r="AI184" s="19"/>
      <c r="AK184" s="19"/>
      <c r="AL184" s="19"/>
      <c r="AM184" s="19"/>
      <c r="AN184" s="19"/>
      <c r="AO184" s="19"/>
      <c r="AZ184" s="19"/>
      <c r="BA184" s="19"/>
      <c r="BB184" s="20"/>
      <c r="BC184" s="19"/>
      <c r="BE184" s="19"/>
      <c r="BF184" s="19"/>
      <c r="BG184" s="19"/>
      <c r="BH184" s="19"/>
      <c r="BI184" s="19"/>
      <c r="BJ184" s="19"/>
      <c r="BK184" s="19"/>
      <c r="BL184" s="19"/>
    </row>
    <row r="185" spans="2:64" ht="14" x14ac:dyDescent="0.2">
      <c r="B185" s="1"/>
      <c r="C185" s="1"/>
      <c r="D185" s="1"/>
      <c r="E185" s="1"/>
      <c r="H185" s="18"/>
      <c r="I185" s="18"/>
      <c r="J185" s="18"/>
      <c r="L185" s="6"/>
      <c r="AF185" s="19"/>
      <c r="AG185" s="19"/>
      <c r="AH185" s="20"/>
      <c r="AI185" s="19"/>
      <c r="AK185" s="19"/>
      <c r="AL185" s="19"/>
      <c r="AM185" s="19"/>
      <c r="AN185" s="19"/>
      <c r="AO185" s="19"/>
      <c r="AZ185" s="19"/>
      <c r="BA185" s="19"/>
      <c r="BB185" s="20"/>
      <c r="BC185" s="19"/>
      <c r="BE185" s="19"/>
      <c r="BF185" s="19"/>
      <c r="BG185" s="19"/>
      <c r="BH185" s="19"/>
      <c r="BI185" s="19"/>
      <c r="BJ185" s="19"/>
      <c r="BK185" s="19"/>
      <c r="BL185" s="19"/>
    </row>
    <row r="186" spans="2:64" ht="14" x14ac:dyDescent="0.2">
      <c r="B186" s="1"/>
      <c r="C186" s="1"/>
      <c r="D186" s="1"/>
      <c r="E186" s="1"/>
      <c r="H186" s="18"/>
      <c r="I186" s="18"/>
      <c r="J186" s="18"/>
      <c r="L186" s="6"/>
      <c r="AF186" s="19"/>
      <c r="AG186" s="19"/>
      <c r="AH186" s="20"/>
      <c r="AI186" s="19"/>
      <c r="AK186" s="19"/>
      <c r="AL186" s="19"/>
      <c r="AM186" s="19"/>
      <c r="AN186" s="19"/>
      <c r="AO186" s="19"/>
      <c r="AZ186" s="19"/>
      <c r="BA186" s="19"/>
      <c r="BB186" s="20"/>
      <c r="BC186" s="19"/>
      <c r="BE186" s="19"/>
      <c r="BF186" s="19"/>
      <c r="BG186" s="19"/>
      <c r="BH186" s="19"/>
      <c r="BI186" s="19"/>
      <c r="BJ186" s="19"/>
      <c r="BK186" s="19"/>
      <c r="BL186" s="19"/>
    </row>
    <row r="187" spans="2:64" ht="14" x14ac:dyDescent="0.2">
      <c r="B187" s="1"/>
      <c r="C187" s="1"/>
      <c r="D187" s="1"/>
      <c r="E187" s="1"/>
      <c r="H187" s="18"/>
      <c r="I187" s="18"/>
      <c r="J187" s="18"/>
      <c r="L187" s="6"/>
      <c r="AF187" s="19"/>
      <c r="AG187" s="19"/>
      <c r="AH187" s="20"/>
      <c r="AI187" s="19"/>
      <c r="AK187" s="19"/>
      <c r="AL187" s="19"/>
      <c r="AM187" s="19"/>
      <c r="AN187" s="19"/>
      <c r="AO187" s="19"/>
      <c r="AZ187" s="19"/>
      <c r="BA187" s="19"/>
      <c r="BB187" s="20"/>
      <c r="BC187" s="19"/>
      <c r="BE187" s="19"/>
      <c r="BF187" s="19"/>
      <c r="BG187" s="19"/>
      <c r="BH187" s="19"/>
      <c r="BI187" s="19"/>
      <c r="BJ187" s="19"/>
      <c r="BK187" s="19"/>
      <c r="BL187" s="19"/>
    </row>
    <row r="188" spans="2:64" ht="14" x14ac:dyDescent="0.2">
      <c r="B188" s="1"/>
      <c r="C188" s="1"/>
      <c r="D188" s="1"/>
      <c r="E188" s="1"/>
      <c r="H188" s="18"/>
      <c r="I188" s="18"/>
      <c r="J188" s="18"/>
      <c r="L188" s="6"/>
      <c r="AF188" s="19"/>
      <c r="AG188" s="19"/>
      <c r="AH188" s="20"/>
      <c r="AI188" s="19"/>
      <c r="AK188" s="19"/>
      <c r="AL188" s="19"/>
      <c r="AM188" s="19"/>
      <c r="AN188" s="19"/>
      <c r="AO188" s="19"/>
      <c r="AZ188" s="19"/>
      <c r="BA188" s="19"/>
      <c r="BB188" s="20"/>
      <c r="BC188" s="19"/>
      <c r="BE188" s="19"/>
      <c r="BF188" s="19"/>
      <c r="BG188" s="19"/>
      <c r="BH188" s="19"/>
      <c r="BI188" s="19"/>
      <c r="BJ188" s="19"/>
      <c r="BK188" s="19"/>
      <c r="BL188" s="19"/>
    </row>
    <row r="189" spans="2:64" ht="14" x14ac:dyDescent="0.2">
      <c r="B189" s="1"/>
      <c r="C189" s="1"/>
      <c r="D189" s="1"/>
      <c r="E189" s="1"/>
      <c r="H189" s="18"/>
      <c r="I189" s="18"/>
      <c r="J189" s="18"/>
      <c r="L189" s="6"/>
      <c r="AF189" s="19"/>
      <c r="AG189" s="19"/>
      <c r="AH189" s="20"/>
      <c r="AI189" s="19"/>
      <c r="AK189" s="19"/>
      <c r="AL189" s="19"/>
      <c r="AM189" s="19"/>
      <c r="AN189" s="19"/>
      <c r="AO189" s="19"/>
      <c r="AZ189" s="19"/>
      <c r="BA189" s="19"/>
      <c r="BB189" s="20"/>
      <c r="BC189" s="19"/>
      <c r="BE189" s="19"/>
      <c r="BF189" s="19"/>
      <c r="BG189" s="19"/>
      <c r="BH189" s="19"/>
      <c r="BI189" s="19"/>
      <c r="BJ189" s="19"/>
      <c r="BK189" s="19"/>
      <c r="BL189" s="19"/>
    </row>
    <row r="190" spans="2:64" ht="14" x14ac:dyDescent="0.2">
      <c r="B190" s="1"/>
      <c r="C190" s="1"/>
      <c r="D190" s="1"/>
      <c r="E190" s="1"/>
      <c r="H190" s="18"/>
      <c r="I190" s="18"/>
      <c r="J190" s="18"/>
      <c r="L190" s="6"/>
      <c r="AF190" s="19"/>
      <c r="AG190" s="19"/>
      <c r="AH190" s="20"/>
      <c r="AI190" s="19"/>
      <c r="AK190" s="19"/>
      <c r="AL190" s="19"/>
      <c r="AM190" s="19"/>
      <c r="AN190" s="19"/>
      <c r="AO190" s="19"/>
      <c r="AZ190" s="19"/>
      <c r="BA190" s="19"/>
      <c r="BB190" s="20"/>
      <c r="BC190" s="19"/>
      <c r="BE190" s="19"/>
      <c r="BF190" s="19"/>
      <c r="BG190" s="19"/>
      <c r="BH190" s="19"/>
      <c r="BI190" s="19"/>
      <c r="BJ190" s="19"/>
      <c r="BK190" s="19"/>
      <c r="BL190" s="19"/>
    </row>
    <row r="191" spans="2:64" ht="14" x14ac:dyDescent="0.2">
      <c r="B191" s="1"/>
      <c r="C191" s="1"/>
      <c r="D191" s="1"/>
      <c r="E191" s="1"/>
      <c r="H191" s="18"/>
      <c r="I191" s="18"/>
      <c r="J191" s="18"/>
      <c r="L191" s="6"/>
      <c r="AF191" s="19"/>
      <c r="AG191" s="19"/>
      <c r="AH191" s="20"/>
      <c r="AI191" s="19"/>
      <c r="AK191" s="19"/>
      <c r="AL191" s="19"/>
      <c r="AM191" s="19"/>
      <c r="AN191" s="19"/>
      <c r="AO191" s="19"/>
      <c r="AZ191" s="19"/>
      <c r="BA191" s="19"/>
      <c r="BB191" s="20"/>
      <c r="BC191" s="19"/>
      <c r="BE191" s="19"/>
      <c r="BF191" s="19"/>
      <c r="BG191" s="19"/>
      <c r="BH191" s="19"/>
      <c r="BI191" s="19"/>
      <c r="BJ191" s="19"/>
      <c r="BK191" s="19"/>
      <c r="BL191" s="19"/>
    </row>
    <row r="192" spans="2:64" ht="14" x14ac:dyDescent="0.2">
      <c r="B192" s="1"/>
      <c r="C192" s="1"/>
      <c r="D192" s="1"/>
      <c r="E192" s="1"/>
      <c r="H192" s="18"/>
      <c r="I192" s="18"/>
      <c r="J192" s="18"/>
      <c r="L192" s="6"/>
      <c r="AF192" s="19"/>
      <c r="AG192" s="19"/>
      <c r="AH192" s="20"/>
      <c r="AI192" s="19"/>
      <c r="AK192" s="19"/>
      <c r="AL192" s="19"/>
      <c r="AM192" s="19"/>
      <c r="AN192" s="19"/>
      <c r="AO192" s="19"/>
      <c r="AZ192" s="19"/>
      <c r="BA192" s="19"/>
      <c r="BB192" s="20"/>
      <c r="BC192" s="19"/>
      <c r="BE192" s="19"/>
      <c r="BF192" s="19"/>
      <c r="BG192" s="19"/>
      <c r="BH192" s="19"/>
      <c r="BI192" s="19"/>
      <c r="BJ192" s="19"/>
      <c r="BK192" s="19"/>
      <c r="BL192" s="19"/>
    </row>
    <row r="193" spans="2:64" ht="14" x14ac:dyDescent="0.2">
      <c r="B193" s="1"/>
      <c r="C193" s="1"/>
      <c r="D193" s="1"/>
      <c r="E193" s="1"/>
      <c r="H193" s="18"/>
      <c r="I193" s="18"/>
      <c r="J193" s="18"/>
      <c r="L193" s="6"/>
      <c r="AF193" s="19"/>
      <c r="AG193" s="19"/>
      <c r="AH193" s="20"/>
      <c r="AI193" s="19"/>
      <c r="AK193" s="19"/>
      <c r="AL193" s="19"/>
      <c r="AM193" s="19"/>
      <c r="AN193" s="19"/>
      <c r="AO193" s="19"/>
      <c r="AZ193" s="19"/>
      <c r="BA193" s="19"/>
      <c r="BB193" s="20"/>
      <c r="BC193" s="19"/>
      <c r="BE193" s="19"/>
      <c r="BF193" s="19"/>
      <c r="BG193" s="19"/>
      <c r="BH193" s="19"/>
      <c r="BI193" s="19"/>
      <c r="BJ193" s="19"/>
      <c r="BK193" s="19"/>
      <c r="BL193" s="19"/>
    </row>
    <row r="194" spans="2:64" ht="14" x14ac:dyDescent="0.2">
      <c r="B194" s="1"/>
      <c r="C194" s="1"/>
      <c r="D194" s="1"/>
      <c r="E194" s="1"/>
      <c r="H194" s="18"/>
      <c r="I194" s="18"/>
      <c r="J194" s="18"/>
      <c r="L194" s="6"/>
      <c r="AF194" s="19"/>
      <c r="AG194" s="19"/>
      <c r="AH194" s="20"/>
      <c r="AI194" s="19"/>
      <c r="AK194" s="19"/>
      <c r="AL194" s="19"/>
      <c r="AM194" s="19"/>
      <c r="AN194" s="19"/>
      <c r="AO194" s="19"/>
      <c r="AZ194" s="19"/>
      <c r="BA194" s="19"/>
      <c r="BB194" s="20"/>
      <c r="BC194" s="19"/>
      <c r="BE194" s="19"/>
      <c r="BF194" s="19"/>
      <c r="BG194" s="19"/>
      <c r="BH194" s="19"/>
      <c r="BI194" s="19"/>
      <c r="BJ194" s="19"/>
      <c r="BK194" s="19"/>
      <c r="BL194" s="19"/>
    </row>
    <row r="195" spans="2:64" ht="14" x14ac:dyDescent="0.2">
      <c r="B195" s="1"/>
      <c r="C195" s="1"/>
      <c r="D195" s="1"/>
      <c r="E195" s="1"/>
      <c r="H195" s="18"/>
      <c r="I195" s="18"/>
      <c r="J195" s="18"/>
      <c r="L195" s="6"/>
      <c r="AF195" s="19"/>
      <c r="AG195" s="19"/>
      <c r="AH195" s="20"/>
      <c r="AI195" s="19"/>
      <c r="AK195" s="19"/>
      <c r="AL195" s="19"/>
      <c r="AM195" s="19"/>
      <c r="AN195" s="19"/>
      <c r="AO195" s="19"/>
      <c r="AZ195" s="19"/>
      <c r="BA195" s="19"/>
      <c r="BB195" s="20"/>
      <c r="BC195" s="19"/>
      <c r="BE195" s="19"/>
      <c r="BF195" s="19"/>
      <c r="BG195" s="19"/>
      <c r="BH195" s="19"/>
      <c r="BI195" s="19"/>
      <c r="BJ195" s="19"/>
      <c r="BK195" s="19"/>
      <c r="BL195" s="19"/>
    </row>
    <row r="196" spans="2:64" ht="14" x14ac:dyDescent="0.2">
      <c r="B196" s="1"/>
      <c r="C196" s="1"/>
      <c r="D196" s="1"/>
      <c r="E196" s="1"/>
      <c r="H196" s="18"/>
      <c r="I196" s="18"/>
      <c r="J196" s="18"/>
      <c r="L196" s="6"/>
      <c r="AF196" s="19"/>
      <c r="AG196" s="19"/>
      <c r="AH196" s="20"/>
      <c r="AI196" s="19"/>
      <c r="AK196" s="19"/>
      <c r="AL196" s="19"/>
      <c r="AM196" s="19"/>
      <c r="AN196" s="19"/>
      <c r="AO196" s="19"/>
      <c r="AZ196" s="19"/>
      <c r="BA196" s="19"/>
      <c r="BB196" s="20"/>
      <c r="BC196" s="19"/>
      <c r="BE196" s="19"/>
      <c r="BF196" s="19"/>
      <c r="BG196" s="19"/>
      <c r="BH196" s="19"/>
      <c r="BI196" s="19"/>
      <c r="BJ196" s="19"/>
      <c r="BK196" s="19"/>
      <c r="BL196" s="19"/>
    </row>
    <row r="197" spans="2:64" ht="14" x14ac:dyDescent="0.2">
      <c r="B197" s="1"/>
      <c r="C197" s="1"/>
      <c r="D197" s="1"/>
      <c r="E197" s="1"/>
      <c r="H197" s="18"/>
      <c r="I197" s="18"/>
      <c r="J197" s="18"/>
      <c r="L197" s="6"/>
      <c r="AF197" s="19"/>
      <c r="AG197" s="19"/>
      <c r="AH197" s="20"/>
      <c r="AI197" s="19"/>
      <c r="AK197" s="19"/>
      <c r="AL197" s="19"/>
      <c r="AM197" s="19"/>
      <c r="AN197" s="19"/>
      <c r="AO197" s="19"/>
      <c r="AZ197" s="19"/>
      <c r="BA197" s="19"/>
      <c r="BB197" s="20"/>
      <c r="BC197" s="19"/>
      <c r="BE197" s="19"/>
      <c r="BF197" s="19"/>
      <c r="BG197" s="19"/>
      <c r="BH197" s="19"/>
      <c r="BI197" s="19"/>
      <c r="BJ197" s="19"/>
      <c r="BK197" s="19"/>
      <c r="BL197" s="19"/>
    </row>
    <row r="198" spans="2:64" ht="14" x14ac:dyDescent="0.2">
      <c r="B198" s="1"/>
      <c r="C198" s="1"/>
      <c r="D198" s="1"/>
      <c r="E198" s="1"/>
      <c r="H198" s="18"/>
      <c r="I198" s="18"/>
      <c r="J198" s="18"/>
      <c r="L198" s="6"/>
      <c r="AF198" s="19"/>
      <c r="AG198" s="19"/>
      <c r="AH198" s="20"/>
      <c r="AI198" s="19"/>
      <c r="AK198" s="19"/>
      <c r="AL198" s="19"/>
      <c r="AM198" s="19"/>
      <c r="AN198" s="19"/>
      <c r="AO198" s="19"/>
      <c r="AZ198" s="19"/>
      <c r="BA198" s="19"/>
      <c r="BB198" s="20"/>
      <c r="BC198" s="19"/>
      <c r="BE198" s="19"/>
      <c r="BF198" s="19"/>
      <c r="BG198" s="19"/>
      <c r="BH198" s="19"/>
      <c r="BI198" s="19"/>
      <c r="BJ198" s="19"/>
      <c r="BK198" s="19"/>
      <c r="BL198" s="19"/>
    </row>
    <row r="199" spans="2:64" ht="14" x14ac:dyDescent="0.2">
      <c r="B199" s="1"/>
      <c r="C199" s="1"/>
      <c r="D199" s="1"/>
      <c r="E199" s="1"/>
      <c r="H199" s="18"/>
      <c r="I199" s="18"/>
      <c r="J199" s="18"/>
      <c r="L199" s="6"/>
      <c r="AF199" s="19"/>
      <c r="AG199" s="19"/>
      <c r="AH199" s="20"/>
      <c r="AI199" s="19"/>
      <c r="AK199" s="19"/>
      <c r="AL199" s="19"/>
      <c r="AM199" s="19"/>
      <c r="AN199" s="19"/>
      <c r="AO199" s="19"/>
      <c r="AZ199" s="19"/>
      <c r="BA199" s="19"/>
      <c r="BB199" s="20"/>
      <c r="BC199" s="19"/>
      <c r="BE199" s="19"/>
      <c r="BF199" s="19"/>
      <c r="BG199" s="19"/>
      <c r="BH199" s="19"/>
      <c r="BI199" s="19"/>
      <c r="BJ199" s="19"/>
      <c r="BK199" s="19"/>
      <c r="BL199" s="19"/>
    </row>
    <row r="200" spans="2:64" ht="14" x14ac:dyDescent="0.2">
      <c r="B200" s="1"/>
      <c r="C200" s="1"/>
      <c r="D200" s="1"/>
      <c r="E200" s="1"/>
      <c r="H200" s="18"/>
      <c r="I200" s="18"/>
      <c r="J200" s="18"/>
      <c r="L200" s="6"/>
      <c r="AF200" s="19"/>
      <c r="AG200" s="19"/>
      <c r="AH200" s="20"/>
      <c r="AI200" s="19"/>
      <c r="AK200" s="19"/>
      <c r="AL200" s="19"/>
      <c r="AM200" s="19"/>
      <c r="AN200" s="19"/>
      <c r="AO200" s="19"/>
      <c r="AZ200" s="19"/>
      <c r="BA200" s="19"/>
      <c r="BB200" s="20"/>
      <c r="BC200" s="19"/>
      <c r="BE200" s="19"/>
      <c r="BF200" s="19"/>
      <c r="BG200" s="19"/>
      <c r="BH200" s="19"/>
      <c r="BI200" s="19"/>
      <c r="BJ200" s="19"/>
      <c r="BK200" s="19"/>
      <c r="BL200" s="19"/>
    </row>
    <row r="201" spans="2:64" ht="14" x14ac:dyDescent="0.2">
      <c r="B201" s="1"/>
      <c r="C201" s="1"/>
      <c r="D201" s="1"/>
      <c r="E201" s="1"/>
      <c r="H201" s="18"/>
      <c r="I201" s="18"/>
      <c r="J201" s="18"/>
      <c r="L201" s="6"/>
      <c r="AF201" s="19"/>
      <c r="AG201" s="19"/>
      <c r="AH201" s="20"/>
      <c r="AI201" s="19"/>
      <c r="AK201" s="19"/>
      <c r="AL201" s="19"/>
      <c r="AM201" s="19"/>
      <c r="AN201" s="19"/>
      <c r="AO201" s="19"/>
      <c r="AZ201" s="19"/>
      <c r="BA201" s="19"/>
      <c r="BB201" s="20"/>
      <c r="BC201" s="19"/>
      <c r="BE201" s="19"/>
      <c r="BF201" s="19"/>
      <c r="BG201" s="19"/>
      <c r="BH201" s="19"/>
      <c r="BI201" s="19"/>
      <c r="BJ201" s="19"/>
      <c r="BK201" s="19"/>
      <c r="BL201" s="19"/>
    </row>
    <row r="202" spans="2:64" ht="14" x14ac:dyDescent="0.2">
      <c r="B202" s="1"/>
      <c r="C202" s="1"/>
      <c r="D202" s="1"/>
      <c r="E202" s="1"/>
      <c r="H202" s="18"/>
      <c r="I202" s="18"/>
      <c r="J202" s="18"/>
      <c r="L202" s="6"/>
      <c r="AF202" s="19"/>
      <c r="AG202" s="19"/>
      <c r="AH202" s="20"/>
      <c r="AI202" s="19"/>
      <c r="AK202" s="19"/>
      <c r="AL202" s="19"/>
      <c r="AM202" s="19"/>
      <c r="AN202" s="19"/>
      <c r="AO202" s="19"/>
      <c r="AZ202" s="19"/>
      <c r="BA202" s="19"/>
      <c r="BB202" s="20"/>
      <c r="BC202" s="19"/>
      <c r="BE202" s="19"/>
      <c r="BF202" s="19"/>
      <c r="BG202" s="19"/>
      <c r="BH202" s="19"/>
      <c r="BI202" s="19"/>
      <c r="BJ202" s="19"/>
      <c r="BK202" s="19"/>
      <c r="BL202" s="19"/>
    </row>
    <row r="203" spans="2:64" ht="14" x14ac:dyDescent="0.2">
      <c r="B203" s="1"/>
      <c r="C203" s="1"/>
      <c r="D203" s="1"/>
      <c r="E203" s="1"/>
      <c r="H203" s="18"/>
      <c r="I203" s="18"/>
      <c r="J203" s="18"/>
      <c r="L203" s="6"/>
      <c r="AF203" s="19"/>
      <c r="AG203" s="19"/>
      <c r="AH203" s="20"/>
      <c r="AI203" s="19"/>
      <c r="AK203" s="19"/>
      <c r="AL203" s="19"/>
      <c r="AM203" s="19"/>
      <c r="AN203" s="19"/>
      <c r="AO203" s="19"/>
      <c r="AZ203" s="19"/>
      <c r="BA203" s="19"/>
      <c r="BB203" s="20"/>
      <c r="BC203" s="19"/>
      <c r="BE203" s="19"/>
      <c r="BF203" s="19"/>
      <c r="BG203" s="19"/>
      <c r="BH203" s="19"/>
      <c r="BI203" s="19"/>
      <c r="BJ203" s="19"/>
      <c r="BK203" s="19"/>
      <c r="BL203" s="19"/>
    </row>
    <row r="204" spans="2:64" ht="14" x14ac:dyDescent="0.2">
      <c r="B204" s="1"/>
      <c r="C204" s="1"/>
      <c r="D204" s="1"/>
      <c r="E204" s="1"/>
      <c r="H204" s="18"/>
      <c r="I204" s="18"/>
      <c r="J204" s="18"/>
      <c r="L204" s="6"/>
      <c r="AF204" s="19"/>
      <c r="AG204" s="19"/>
      <c r="AH204" s="20"/>
      <c r="AI204" s="19"/>
      <c r="AK204" s="19"/>
      <c r="AL204" s="19"/>
      <c r="AM204" s="19"/>
      <c r="AN204" s="19"/>
      <c r="AO204" s="19"/>
      <c r="AZ204" s="19"/>
      <c r="BA204" s="19"/>
      <c r="BB204" s="20"/>
      <c r="BC204" s="19"/>
      <c r="BE204" s="19"/>
      <c r="BF204" s="19"/>
      <c r="BG204" s="19"/>
      <c r="BH204" s="19"/>
      <c r="BI204" s="19"/>
      <c r="BJ204" s="19"/>
      <c r="BK204" s="19"/>
      <c r="BL204" s="19"/>
    </row>
    <row r="205" spans="2:64" ht="14" x14ac:dyDescent="0.2">
      <c r="B205" s="1"/>
      <c r="C205" s="1"/>
      <c r="D205" s="1"/>
      <c r="E205" s="1"/>
      <c r="H205" s="18"/>
      <c r="I205" s="18"/>
      <c r="J205" s="18"/>
      <c r="L205" s="6"/>
      <c r="AF205" s="19"/>
      <c r="AG205" s="19"/>
      <c r="AH205" s="20"/>
      <c r="AI205" s="19"/>
      <c r="AK205" s="19"/>
      <c r="AL205" s="19"/>
      <c r="AM205" s="19"/>
      <c r="AN205" s="19"/>
      <c r="AO205" s="19"/>
      <c r="AZ205" s="19"/>
      <c r="BA205" s="19"/>
      <c r="BB205" s="20"/>
      <c r="BC205" s="19"/>
      <c r="BE205" s="19"/>
      <c r="BF205" s="19"/>
      <c r="BG205" s="19"/>
      <c r="BH205" s="19"/>
      <c r="BI205" s="19"/>
      <c r="BJ205" s="19"/>
      <c r="BK205" s="19"/>
      <c r="BL205" s="19"/>
    </row>
    <row r="206" spans="2:64" ht="14" x14ac:dyDescent="0.2">
      <c r="B206" s="1"/>
      <c r="C206" s="1"/>
      <c r="D206" s="1"/>
      <c r="E206" s="1"/>
      <c r="H206" s="18"/>
      <c r="I206" s="18"/>
      <c r="J206" s="18"/>
      <c r="L206" s="6"/>
      <c r="AF206" s="19"/>
      <c r="AG206" s="19"/>
      <c r="AH206" s="20"/>
      <c r="AI206" s="19"/>
      <c r="AK206" s="19"/>
      <c r="AL206" s="19"/>
      <c r="AM206" s="19"/>
      <c r="AN206" s="19"/>
      <c r="AO206" s="19"/>
      <c r="AZ206" s="19"/>
      <c r="BA206" s="19"/>
      <c r="BB206" s="20"/>
      <c r="BC206" s="19"/>
      <c r="BE206" s="19"/>
      <c r="BF206" s="19"/>
      <c r="BG206" s="19"/>
      <c r="BH206" s="19"/>
      <c r="BI206" s="19"/>
      <c r="BJ206" s="19"/>
      <c r="BK206" s="19"/>
      <c r="BL206" s="19"/>
    </row>
    <row r="207" spans="2:64" ht="14" x14ac:dyDescent="0.2">
      <c r="B207" s="1"/>
      <c r="C207" s="1"/>
      <c r="D207" s="1"/>
      <c r="E207" s="1"/>
      <c r="H207" s="18"/>
      <c r="I207" s="18"/>
      <c r="J207" s="18"/>
      <c r="L207" s="6"/>
      <c r="AF207" s="19"/>
      <c r="AG207" s="19"/>
      <c r="AH207" s="20"/>
      <c r="AI207" s="19"/>
      <c r="AK207" s="19"/>
      <c r="AL207" s="19"/>
      <c r="AM207" s="19"/>
      <c r="AN207" s="19"/>
      <c r="AO207" s="19"/>
      <c r="AZ207" s="19"/>
      <c r="BA207" s="19"/>
      <c r="BB207" s="20"/>
      <c r="BC207" s="19"/>
      <c r="BE207" s="19"/>
      <c r="BF207" s="19"/>
      <c r="BG207" s="19"/>
      <c r="BH207" s="19"/>
      <c r="BI207" s="19"/>
      <c r="BJ207" s="19"/>
      <c r="BK207" s="19"/>
      <c r="BL207" s="19"/>
    </row>
    <row r="208" spans="2:64" ht="14" x14ac:dyDescent="0.2">
      <c r="B208" s="1"/>
      <c r="C208" s="1"/>
      <c r="D208" s="1"/>
      <c r="E208" s="1"/>
      <c r="H208" s="18"/>
      <c r="I208" s="18"/>
      <c r="J208" s="18"/>
      <c r="L208" s="6"/>
      <c r="AF208" s="19"/>
      <c r="AG208" s="19"/>
      <c r="AH208" s="20"/>
      <c r="AI208" s="19"/>
      <c r="AK208" s="19"/>
      <c r="AL208" s="19"/>
      <c r="AM208" s="19"/>
      <c r="AN208" s="19"/>
      <c r="AO208" s="19"/>
      <c r="AZ208" s="19"/>
      <c r="BA208" s="19"/>
      <c r="BB208" s="20"/>
      <c r="BC208" s="19"/>
      <c r="BE208" s="19"/>
      <c r="BF208" s="19"/>
      <c r="BG208" s="19"/>
      <c r="BH208" s="19"/>
      <c r="BI208" s="19"/>
      <c r="BJ208" s="19"/>
      <c r="BK208" s="19"/>
      <c r="BL208" s="19"/>
    </row>
    <row r="209" spans="2:64" ht="14" x14ac:dyDescent="0.2">
      <c r="B209" s="1"/>
      <c r="C209" s="1"/>
      <c r="D209" s="1"/>
      <c r="E209" s="1"/>
      <c r="H209" s="18"/>
      <c r="I209" s="18"/>
      <c r="J209" s="18"/>
      <c r="L209" s="6"/>
      <c r="AF209" s="19"/>
      <c r="AG209" s="19"/>
      <c r="AH209" s="20"/>
      <c r="AI209" s="19"/>
      <c r="AK209" s="19"/>
      <c r="AL209" s="19"/>
      <c r="AM209" s="19"/>
      <c r="AN209" s="19"/>
      <c r="AO209" s="19"/>
      <c r="AZ209" s="19"/>
      <c r="BA209" s="19"/>
      <c r="BB209" s="20"/>
      <c r="BC209" s="19"/>
      <c r="BE209" s="19"/>
      <c r="BF209" s="19"/>
      <c r="BG209" s="19"/>
      <c r="BH209" s="19"/>
      <c r="BI209" s="19"/>
      <c r="BJ209" s="19"/>
      <c r="BK209" s="19"/>
      <c r="BL209" s="19"/>
    </row>
    <row r="210" spans="2:64" ht="14" x14ac:dyDescent="0.2">
      <c r="B210" s="1"/>
      <c r="C210" s="1"/>
      <c r="D210" s="1"/>
      <c r="E210" s="1"/>
      <c r="H210" s="18"/>
      <c r="I210" s="18"/>
      <c r="J210" s="18"/>
      <c r="L210" s="6"/>
      <c r="AF210" s="19"/>
      <c r="AG210" s="19"/>
      <c r="AH210" s="20"/>
      <c r="AI210" s="19"/>
      <c r="AK210" s="19"/>
      <c r="AL210" s="19"/>
      <c r="AM210" s="19"/>
      <c r="AN210" s="19"/>
      <c r="AO210" s="19"/>
      <c r="AZ210" s="19"/>
      <c r="BA210" s="19"/>
      <c r="BB210" s="20"/>
      <c r="BC210" s="19"/>
      <c r="BE210" s="19"/>
      <c r="BF210" s="19"/>
      <c r="BG210" s="19"/>
      <c r="BH210" s="19"/>
      <c r="BI210" s="19"/>
      <c r="BJ210" s="19"/>
      <c r="BK210" s="19"/>
      <c r="BL210" s="19"/>
    </row>
    <row r="211" spans="2:64" ht="14" x14ac:dyDescent="0.2">
      <c r="B211" s="1"/>
      <c r="C211" s="1"/>
      <c r="D211" s="1"/>
      <c r="E211" s="1"/>
      <c r="H211" s="18"/>
      <c r="I211" s="18"/>
      <c r="J211" s="18"/>
      <c r="L211" s="6"/>
      <c r="AF211" s="19"/>
      <c r="AG211" s="19"/>
      <c r="AH211" s="20"/>
      <c r="AI211" s="19"/>
      <c r="AK211" s="19"/>
      <c r="AL211" s="19"/>
      <c r="AM211" s="19"/>
      <c r="AN211" s="19"/>
      <c r="AO211" s="19"/>
      <c r="AZ211" s="19"/>
      <c r="BA211" s="19"/>
      <c r="BB211" s="20"/>
      <c r="BC211" s="19"/>
      <c r="BE211" s="19"/>
      <c r="BF211" s="19"/>
      <c r="BG211" s="19"/>
      <c r="BH211" s="19"/>
      <c r="BI211" s="19"/>
      <c r="BJ211" s="19"/>
      <c r="BK211" s="19"/>
      <c r="BL211" s="19"/>
    </row>
    <row r="212" spans="2:64" ht="14" x14ac:dyDescent="0.2">
      <c r="B212" s="1"/>
      <c r="C212" s="1"/>
      <c r="D212" s="1"/>
      <c r="E212" s="1"/>
      <c r="H212" s="18"/>
      <c r="I212" s="18"/>
      <c r="J212" s="18"/>
      <c r="L212" s="6"/>
      <c r="AF212" s="19"/>
      <c r="AG212" s="19"/>
      <c r="AH212" s="20"/>
      <c r="AI212" s="19"/>
      <c r="AK212" s="19"/>
      <c r="AL212" s="19"/>
      <c r="AM212" s="19"/>
      <c r="AN212" s="19"/>
      <c r="AO212" s="19"/>
      <c r="AZ212" s="19"/>
      <c r="BA212" s="19"/>
      <c r="BB212" s="20"/>
      <c r="BC212" s="19"/>
      <c r="BE212" s="19"/>
      <c r="BF212" s="19"/>
      <c r="BG212" s="19"/>
      <c r="BH212" s="19"/>
      <c r="BI212" s="19"/>
      <c r="BJ212" s="19"/>
      <c r="BK212" s="19"/>
      <c r="BL212" s="19"/>
    </row>
    <row r="213" spans="2:64" ht="14" x14ac:dyDescent="0.2">
      <c r="B213" s="1"/>
      <c r="C213" s="1"/>
      <c r="D213" s="1"/>
      <c r="E213" s="1"/>
      <c r="H213" s="18"/>
      <c r="I213" s="18"/>
      <c r="J213" s="18"/>
      <c r="L213" s="6"/>
      <c r="AF213" s="19"/>
      <c r="AG213" s="19"/>
      <c r="AH213" s="20"/>
      <c r="AI213" s="19"/>
      <c r="AK213" s="19"/>
      <c r="AL213" s="19"/>
      <c r="AM213" s="19"/>
      <c r="AN213" s="19"/>
      <c r="AO213" s="19"/>
      <c r="AZ213" s="19"/>
      <c r="BA213" s="19"/>
      <c r="BB213" s="20"/>
      <c r="BC213" s="19"/>
      <c r="BE213" s="19"/>
      <c r="BF213" s="19"/>
      <c r="BG213" s="19"/>
      <c r="BH213" s="19"/>
      <c r="BI213" s="19"/>
      <c r="BJ213" s="19"/>
      <c r="BK213" s="19"/>
      <c r="BL213" s="19"/>
    </row>
    <row r="214" spans="2:64" ht="14" x14ac:dyDescent="0.2">
      <c r="B214" s="1"/>
      <c r="C214" s="1"/>
      <c r="D214" s="1"/>
      <c r="E214" s="1"/>
      <c r="H214" s="18"/>
      <c r="I214" s="18"/>
      <c r="J214" s="18"/>
      <c r="L214" s="6"/>
      <c r="AF214" s="19"/>
      <c r="AG214" s="19"/>
      <c r="AH214" s="20"/>
      <c r="AI214" s="19"/>
      <c r="AK214" s="19"/>
      <c r="AL214" s="19"/>
      <c r="AM214" s="19"/>
      <c r="AN214" s="19"/>
      <c r="AO214" s="19"/>
      <c r="AZ214" s="19"/>
      <c r="BA214" s="19"/>
      <c r="BB214" s="20"/>
      <c r="BC214" s="19"/>
      <c r="BE214" s="19"/>
      <c r="BF214" s="19"/>
      <c r="BG214" s="19"/>
      <c r="BH214" s="19"/>
      <c r="BI214" s="19"/>
      <c r="BJ214" s="19"/>
      <c r="BK214" s="19"/>
      <c r="BL214" s="19"/>
    </row>
    <row r="215" spans="2:64" ht="14" x14ac:dyDescent="0.2">
      <c r="B215" s="1"/>
      <c r="C215" s="1"/>
      <c r="D215" s="1"/>
      <c r="E215" s="1"/>
      <c r="H215" s="18"/>
      <c r="I215" s="18"/>
      <c r="J215" s="18"/>
      <c r="L215" s="6"/>
      <c r="AF215" s="19"/>
      <c r="AG215" s="19"/>
      <c r="AH215" s="20"/>
      <c r="AI215" s="19"/>
      <c r="AK215" s="19"/>
      <c r="AL215" s="19"/>
      <c r="AM215" s="19"/>
      <c r="AN215" s="19"/>
      <c r="AO215" s="19"/>
      <c r="AZ215" s="19"/>
      <c r="BA215" s="19"/>
      <c r="BB215" s="20"/>
      <c r="BC215" s="19"/>
      <c r="BE215" s="19"/>
      <c r="BF215" s="19"/>
      <c r="BG215" s="19"/>
      <c r="BH215" s="19"/>
      <c r="BI215" s="19"/>
      <c r="BJ215" s="19"/>
      <c r="BK215" s="19"/>
      <c r="BL215" s="19"/>
    </row>
    <row r="216" spans="2:64" ht="14" x14ac:dyDescent="0.2">
      <c r="B216" s="1"/>
      <c r="C216" s="1"/>
      <c r="D216" s="1"/>
      <c r="E216" s="1"/>
      <c r="H216" s="18"/>
      <c r="I216" s="18"/>
      <c r="J216" s="18"/>
      <c r="L216" s="6"/>
      <c r="AF216" s="19"/>
      <c r="AG216" s="19"/>
      <c r="AH216" s="20"/>
      <c r="AI216" s="19"/>
      <c r="AK216" s="19"/>
      <c r="AL216" s="19"/>
      <c r="AM216" s="19"/>
      <c r="AN216" s="19"/>
      <c r="AO216" s="19"/>
      <c r="AZ216" s="19"/>
      <c r="BA216" s="19"/>
      <c r="BB216" s="20"/>
      <c r="BC216" s="19"/>
      <c r="BE216" s="19"/>
      <c r="BF216" s="19"/>
      <c r="BG216" s="19"/>
      <c r="BH216" s="19"/>
      <c r="BI216" s="19"/>
      <c r="BJ216" s="19"/>
      <c r="BK216" s="19"/>
      <c r="BL216" s="19"/>
    </row>
    <row r="217" spans="2:64" ht="14" x14ac:dyDescent="0.2">
      <c r="B217" s="1"/>
      <c r="C217" s="1"/>
      <c r="D217" s="1"/>
      <c r="E217" s="1"/>
      <c r="H217" s="18"/>
      <c r="I217" s="18"/>
      <c r="J217" s="18"/>
      <c r="L217" s="6"/>
      <c r="AF217" s="19"/>
      <c r="AG217" s="19"/>
      <c r="AH217" s="20"/>
      <c r="AI217" s="19"/>
      <c r="AK217" s="19"/>
      <c r="AL217" s="19"/>
      <c r="AM217" s="19"/>
      <c r="AN217" s="19"/>
      <c r="AO217" s="19"/>
      <c r="AZ217" s="19"/>
      <c r="BA217" s="19"/>
      <c r="BB217" s="20"/>
      <c r="BC217" s="19"/>
      <c r="BE217" s="19"/>
      <c r="BF217" s="19"/>
      <c r="BG217" s="19"/>
      <c r="BH217" s="19"/>
      <c r="BI217" s="19"/>
      <c r="BJ217" s="19"/>
      <c r="BK217" s="19"/>
      <c r="BL217" s="19"/>
    </row>
    <row r="218" spans="2:64" ht="14" x14ac:dyDescent="0.2">
      <c r="B218" s="1"/>
      <c r="C218" s="1"/>
      <c r="D218" s="1"/>
      <c r="E218" s="1"/>
      <c r="H218" s="18"/>
      <c r="I218" s="18"/>
      <c r="J218" s="18"/>
      <c r="L218" s="6"/>
      <c r="AF218" s="19"/>
      <c r="AG218" s="19"/>
      <c r="AH218" s="20"/>
      <c r="AI218" s="19"/>
      <c r="AK218" s="19"/>
      <c r="AL218" s="19"/>
      <c r="AM218" s="19"/>
      <c r="AN218" s="19"/>
      <c r="AO218" s="19"/>
      <c r="AZ218" s="19"/>
      <c r="BA218" s="19"/>
      <c r="BB218" s="20"/>
      <c r="BC218" s="19"/>
      <c r="BE218" s="19"/>
      <c r="BF218" s="19"/>
      <c r="BG218" s="19"/>
      <c r="BH218" s="19"/>
      <c r="BI218" s="19"/>
      <c r="BJ218" s="19"/>
      <c r="BK218" s="19"/>
      <c r="BL218" s="19"/>
    </row>
    <row r="219" spans="2:64" ht="14" x14ac:dyDescent="0.2">
      <c r="B219" s="1"/>
      <c r="C219" s="1"/>
      <c r="D219" s="1"/>
      <c r="E219" s="1"/>
      <c r="H219" s="18"/>
      <c r="I219" s="18"/>
      <c r="J219" s="18"/>
      <c r="L219" s="6"/>
      <c r="AF219" s="19"/>
      <c r="AG219" s="19"/>
      <c r="AH219" s="20"/>
      <c r="AI219" s="19"/>
      <c r="AK219" s="19"/>
      <c r="AL219" s="19"/>
      <c r="AM219" s="19"/>
      <c r="AN219" s="19"/>
      <c r="AO219" s="19"/>
      <c r="AZ219" s="19"/>
      <c r="BA219" s="19"/>
      <c r="BB219" s="20"/>
      <c r="BC219" s="19"/>
      <c r="BE219" s="19"/>
      <c r="BF219" s="19"/>
      <c r="BG219" s="19"/>
      <c r="BH219" s="19"/>
      <c r="BI219" s="19"/>
      <c r="BJ219" s="19"/>
      <c r="BK219" s="19"/>
      <c r="BL219" s="19"/>
    </row>
    <row r="220" spans="2:64" ht="14" x14ac:dyDescent="0.2">
      <c r="B220" s="1"/>
      <c r="C220" s="1"/>
      <c r="D220" s="1"/>
      <c r="E220" s="1"/>
      <c r="H220" s="18"/>
      <c r="I220" s="18"/>
      <c r="J220" s="18"/>
      <c r="L220" s="6"/>
      <c r="AF220" s="19"/>
      <c r="AG220" s="19"/>
      <c r="AH220" s="20"/>
      <c r="AI220" s="19"/>
      <c r="AK220" s="19"/>
      <c r="AL220" s="19"/>
      <c r="AM220" s="19"/>
      <c r="AN220" s="19"/>
      <c r="AO220" s="19"/>
      <c r="AZ220" s="19"/>
      <c r="BA220" s="19"/>
      <c r="BB220" s="20"/>
      <c r="BC220" s="19"/>
      <c r="BE220" s="19"/>
      <c r="BF220" s="19"/>
      <c r="BG220" s="19"/>
      <c r="BH220" s="19"/>
      <c r="BI220" s="19"/>
      <c r="BJ220" s="19"/>
      <c r="BK220" s="19"/>
      <c r="BL220" s="19"/>
    </row>
    <row r="221" spans="2:64" ht="14" x14ac:dyDescent="0.2">
      <c r="B221" s="1"/>
      <c r="C221" s="1"/>
      <c r="D221" s="1"/>
      <c r="E221" s="1"/>
      <c r="H221" s="18"/>
      <c r="I221" s="18"/>
      <c r="J221" s="18"/>
      <c r="L221" s="6"/>
      <c r="AF221" s="19"/>
      <c r="AG221" s="19"/>
      <c r="AH221" s="20"/>
      <c r="AI221" s="19"/>
      <c r="AK221" s="19"/>
      <c r="AL221" s="19"/>
      <c r="AM221" s="19"/>
      <c r="AN221" s="19"/>
      <c r="AO221" s="19"/>
      <c r="AZ221" s="19"/>
      <c r="BA221" s="19"/>
      <c r="BB221" s="20"/>
      <c r="BC221" s="19"/>
      <c r="BE221" s="19"/>
      <c r="BF221" s="19"/>
      <c r="BG221" s="19"/>
      <c r="BH221" s="19"/>
      <c r="BI221" s="19"/>
      <c r="BJ221" s="19"/>
      <c r="BK221" s="19"/>
      <c r="BL221" s="19"/>
    </row>
    <row r="222" spans="2:64" ht="14" x14ac:dyDescent="0.2">
      <c r="B222" s="1"/>
      <c r="C222" s="1"/>
      <c r="D222" s="1"/>
      <c r="E222" s="1"/>
      <c r="H222" s="18"/>
      <c r="I222" s="18"/>
      <c r="J222" s="18"/>
      <c r="L222" s="6"/>
      <c r="AF222" s="19"/>
      <c r="AG222" s="19"/>
      <c r="AH222" s="20"/>
      <c r="AI222" s="19"/>
      <c r="AK222" s="19"/>
      <c r="AL222" s="19"/>
      <c r="AM222" s="19"/>
      <c r="AN222" s="19"/>
      <c r="AO222" s="19"/>
      <c r="AZ222" s="19"/>
      <c r="BA222" s="19"/>
      <c r="BB222" s="20"/>
      <c r="BC222" s="19"/>
      <c r="BE222" s="19"/>
      <c r="BF222" s="19"/>
      <c r="BG222" s="19"/>
      <c r="BH222" s="19"/>
      <c r="BI222" s="19"/>
      <c r="BJ222" s="19"/>
      <c r="BK222" s="19"/>
      <c r="BL222" s="19"/>
    </row>
    <row r="223" spans="2:64" ht="14" x14ac:dyDescent="0.2">
      <c r="B223" s="1"/>
      <c r="C223" s="1"/>
      <c r="D223" s="1"/>
      <c r="E223" s="1"/>
      <c r="H223" s="18"/>
      <c r="I223" s="18"/>
      <c r="J223" s="18"/>
      <c r="L223" s="6"/>
      <c r="AF223" s="19"/>
      <c r="AG223" s="19"/>
      <c r="AH223" s="20"/>
      <c r="AI223" s="19"/>
      <c r="AK223" s="19"/>
      <c r="AL223" s="19"/>
      <c r="AM223" s="19"/>
      <c r="AN223" s="19"/>
      <c r="AO223" s="19"/>
      <c r="AZ223" s="19"/>
      <c r="BA223" s="19"/>
      <c r="BB223" s="20"/>
      <c r="BC223" s="19"/>
      <c r="BE223" s="19"/>
      <c r="BF223" s="19"/>
      <c r="BG223" s="19"/>
      <c r="BH223" s="19"/>
      <c r="BI223" s="19"/>
      <c r="BJ223" s="19"/>
      <c r="BK223" s="19"/>
      <c r="BL223" s="19"/>
    </row>
    <row r="224" spans="2:64" ht="14" x14ac:dyDescent="0.2">
      <c r="B224" s="1"/>
      <c r="C224" s="1"/>
      <c r="D224" s="1"/>
      <c r="E224" s="1"/>
      <c r="H224" s="18"/>
      <c r="I224" s="18"/>
      <c r="J224" s="18"/>
      <c r="L224" s="6"/>
      <c r="AF224" s="19"/>
      <c r="AG224" s="19"/>
      <c r="AH224" s="20"/>
      <c r="AI224" s="19"/>
      <c r="AK224" s="19"/>
      <c r="AL224" s="19"/>
      <c r="AM224" s="19"/>
      <c r="AN224" s="19"/>
      <c r="AO224" s="19"/>
      <c r="AZ224" s="19"/>
      <c r="BA224" s="19"/>
      <c r="BB224" s="20"/>
      <c r="BC224" s="19"/>
      <c r="BE224" s="19"/>
      <c r="BF224" s="19"/>
      <c r="BG224" s="19"/>
      <c r="BH224" s="19"/>
      <c r="BI224" s="19"/>
      <c r="BJ224" s="19"/>
      <c r="BK224" s="19"/>
      <c r="BL224" s="19"/>
    </row>
    <row r="225" spans="2:64" ht="14" x14ac:dyDescent="0.2">
      <c r="B225" s="1"/>
      <c r="C225" s="1"/>
      <c r="D225" s="1"/>
      <c r="E225" s="1"/>
      <c r="H225" s="18"/>
      <c r="I225" s="18"/>
      <c r="J225" s="18"/>
      <c r="L225" s="6"/>
      <c r="AF225" s="19"/>
      <c r="AG225" s="19"/>
      <c r="AH225" s="20"/>
      <c r="AI225" s="19"/>
      <c r="AK225" s="19"/>
      <c r="AL225" s="19"/>
      <c r="AM225" s="19"/>
      <c r="AN225" s="19"/>
      <c r="AO225" s="19"/>
      <c r="AZ225" s="19"/>
      <c r="BA225" s="19"/>
      <c r="BB225" s="20"/>
      <c r="BC225" s="19"/>
      <c r="BE225" s="19"/>
      <c r="BF225" s="19"/>
      <c r="BG225" s="19"/>
      <c r="BH225" s="19"/>
      <c r="BI225" s="19"/>
      <c r="BJ225" s="19"/>
      <c r="BK225" s="19"/>
      <c r="BL225" s="19"/>
    </row>
    <row r="226" spans="2:64" ht="14" x14ac:dyDescent="0.2">
      <c r="B226" s="1"/>
      <c r="C226" s="1"/>
      <c r="D226" s="1"/>
      <c r="E226" s="1"/>
      <c r="H226" s="18"/>
      <c r="I226" s="18"/>
      <c r="J226" s="18"/>
      <c r="L226" s="6"/>
      <c r="AF226" s="19"/>
      <c r="AG226" s="19"/>
      <c r="AH226" s="20"/>
      <c r="AI226" s="19"/>
      <c r="AK226" s="19"/>
      <c r="AL226" s="19"/>
      <c r="AM226" s="19"/>
      <c r="AN226" s="19"/>
      <c r="AO226" s="19"/>
      <c r="AZ226" s="19"/>
      <c r="BA226" s="19"/>
      <c r="BB226" s="20"/>
      <c r="BC226" s="19"/>
      <c r="BE226" s="19"/>
      <c r="BF226" s="19"/>
      <c r="BG226" s="19"/>
      <c r="BH226" s="19"/>
      <c r="BI226" s="19"/>
      <c r="BJ226" s="19"/>
      <c r="BK226" s="19"/>
      <c r="BL226" s="19"/>
    </row>
    <row r="227" spans="2:64" ht="14" x14ac:dyDescent="0.2">
      <c r="B227" s="1"/>
      <c r="C227" s="1"/>
      <c r="D227" s="1"/>
      <c r="E227" s="1"/>
      <c r="H227" s="18"/>
      <c r="I227" s="18"/>
      <c r="J227" s="18"/>
      <c r="L227" s="6"/>
      <c r="AF227" s="19"/>
      <c r="AG227" s="19"/>
      <c r="AH227" s="20"/>
      <c r="AI227" s="19"/>
      <c r="AK227" s="19"/>
      <c r="AL227" s="19"/>
      <c r="AM227" s="19"/>
      <c r="AN227" s="19"/>
      <c r="AO227" s="19"/>
      <c r="AZ227" s="19"/>
      <c r="BA227" s="19"/>
      <c r="BB227" s="20"/>
      <c r="BC227" s="19"/>
      <c r="BE227" s="19"/>
      <c r="BF227" s="19"/>
      <c r="BG227" s="19"/>
      <c r="BH227" s="19"/>
      <c r="BI227" s="19"/>
      <c r="BJ227" s="19"/>
      <c r="BK227" s="19"/>
      <c r="BL227" s="19"/>
    </row>
    <row r="228" spans="2:64" ht="14" x14ac:dyDescent="0.2">
      <c r="B228" s="1"/>
      <c r="C228" s="1"/>
      <c r="D228" s="1"/>
      <c r="E228" s="1"/>
      <c r="H228" s="18"/>
      <c r="I228" s="18"/>
      <c r="J228" s="18"/>
      <c r="L228" s="6"/>
      <c r="AF228" s="19"/>
      <c r="AG228" s="19"/>
      <c r="AH228" s="20"/>
      <c r="AI228" s="19"/>
      <c r="AK228" s="19"/>
      <c r="AL228" s="19"/>
      <c r="AM228" s="19"/>
      <c r="AN228" s="19"/>
      <c r="AO228" s="19"/>
      <c r="AZ228" s="19"/>
      <c r="BA228" s="19"/>
      <c r="BB228" s="20"/>
      <c r="BC228" s="19"/>
      <c r="BE228" s="19"/>
      <c r="BF228" s="19"/>
      <c r="BG228" s="19"/>
      <c r="BH228" s="19"/>
      <c r="BI228" s="19"/>
      <c r="BJ228" s="19"/>
      <c r="BK228" s="19"/>
      <c r="BL228" s="19"/>
    </row>
    <row r="229" spans="2:64" ht="14" x14ac:dyDescent="0.2">
      <c r="B229" s="1"/>
      <c r="C229" s="1"/>
      <c r="D229" s="1"/>
      <c r="E229" s="1"/>
      <c r="H229" s="18"/>
      <c r="I229" s="18"/>
      <c r="J229" s="18"/>
      <c r="L229" s="6"/>
      <c r="AF229" s="19"/>
      <c r="AG229" s="19"/>
      <c r="AH229" s="20"/>
      <c r="AI229" s="19"/>
      <c r="AK229" s="19"/>
      <c r="AL229" s="19"/>
      <c r="AM229" s="19"/>
      <c r="AN229" s="19"/>
      <c r="AO229" s="19"/>
      <c r="AZ229" s="19"/>
      <c r="BA229" s="19"/>
      <c r="BB229" s="20"/>
      <c r="BC229" s="19"/>
      <c r="BE229" s="19"/>
      <c r="BF229" s="19"/>
      <c r="BG229" s="19"/>
      <c r="BH229" s="19"/>
      <c r="BI229" s="19"/>
      <c r="BJ229" s="19"/>
      <c r="BK229" s="19"/>
      <c r="BL229" s="19"/>
    </row>
    <row r="230" spans="2:64" ht="14" x14ac:dyDescent="0.2">
      <c r="B230" s="1"/>
      <c r="C230" s="1"/>
      <c r="D230" s="1"/>
      <c r="E230" s="1"/>
      <c r="H230" s="18"/>
      <c r="I230" s="18"/>
      <c r="J230" s="18"/>
      <c r="L230" s="6"/>
      <c r="AF230" s="19"/>
      <c r="AG230" s="19"/>
      <c r="AH230" s="20"/>
      <c r="AI230" s="19"/>
      <c r="AK230" s="19"/>
      <c r="AL230" s="19"/>
      <c r="AM230" s="19"/>
      <c r="AN230" s="19"/>
      <c r="AO230" s="19"/>
      <c r="AZ230" s="19"/>
      <c r="BA230" s="19"/>
      <c r="BB230" s="20"/>
      <c r="BC230" s="19"/>
      <c r="BE230" s="19"/>
      <c r="BF230" s="19"/>
      <c r="BG230" s="19"/>
      <c r="BH230" s="19"/>
      <c r="BI230" s="19"/>
      <c r="BJ230" s="19"/>
      <c r="BK230" s="19"/>
      <c r="BL230" s="19"/>
    </row>
    <row r="231" spans="2:64" ht="14" x14ac:dyDescent="0.2">
      <c r="B231" s="1"/>
      <c r="C231" s="1"/>
      <c r="D231" s="1"/>
      <c r="E231" s="1"/>
      <c r="H231" s="18"/>
      <c r="I231" s="18"/>
      <c r="J231" s="18"/>
      <c r="L231" s="6"/>
      <c r="AF231" s="19"/>
      <c r="AG231" s="19"/>
      <c r="AH231" s="20"/>
      <c r="AI231" s="19"/>
      <c r="AK231" s="19"/>
      <c r="AL231" s="19"/>
      <c r="AM231" s="19"/>
      <c r="AN231" s="19"/>
      <c r="AO231" s="19"/>
      <c r="AZ231" s="19"/>
      <c r="BA231" s="19"/>
      <c r="BB231" s="20"/>
      <c r="BC231" s="19"/>
      <c r="BE231" s="19"/>
      <c r="BF231" s="19"/>
      <c r="BG231" s="19"/>
      <c r="BH231" s="19"/>
      <c r="BI231" s="19"/>
      <c r="BJ231" s="19"/>
      <c r="BK231" s="19"/>
      <c r="BL231" s="19"/>
    </row>
    <row r="232" spans="2:64" ht="14" x14ac:dyDescent="0.2">
      <c r="B232" s="1"/>
      <c r="C232" s="1"/>
      <c r="D232" s="1"/>
      <c r="E232" s="1"/>
      <c r="H232" s="18"/>
      <c r="I232" s="18"/>
      <c r="J232" s="18"/>
      <c r="L232" s="6"/>
      <c r="AF232" s="19"/>
      <c r="AG232" s="19"/>
      <c r="AH232" s="20"/>
      <c r="AI232" s="19"/>
      <c r="AK232" s="19"/>
      <c r="AL232" s="19"/>
      <c r="AM232" s="19"/>
      <c r="AN232" s="19"/>
      <c r="AO232" s="19"/>
      <c r="AZ232" s="19"/>
      <c r="BA232" s="19"/>
      <c r="BB232" s="20"/>
      <c r="BC232" s="19"/>
      <c r="BE232" s="19"/>
      <c r="BF232" s="19"/>
      <c r="BG232" s="19"/>
      <c r="BH232" s="19"/>
      <c r="BI232" s="19"/>
      <c r="BJ232" s="19"/>
      <c r="BK232" s="19"/>
      <c r="BL232" s="19"/>
    </row>
    <row r="233" spans="2:64" ht="14" x14ac:dyDescent="0.2">
      <c r="B233" s="1"/>
      <c r="C233" s="1"/>
      <c r="D233" s="1"/>
      <c r="E233" s="1"/>
      <c r="H233" s="18"/>
      <c r="I233" s="18"/>
      <c r="J233" s="18"/>
      <c r="L233" s="6"/>
      <c r="AF233" s="19"/>
      <c r="AG233" s="19"/>
      <c r="AH233" s="20"/>
      <c r="AI233" s="19"/>
      <c r="AK233" s="19"/>
      <c r="AL233" s="19"/>
      <c r="AM233" s="19"/>
      <c r="AN233" s="19"/>
      <c r="AO233" s="19"/>
      <c r="AZ233" s="19"/>
      <c r="BA233" s="19"/>
      <c r="BB233" s="20"/>
      <c r="BC233" s="19"/>
      <c r="BE233" s="19"/>
      <c r="BF233" s="19"/>
      <c r="BG233" s="19"/>
      <c r="BH233" s="19"/>
      <c r="BI233" s="19"/>
      <c r="BJ233" s="19"/>
      <c r="BK233" s="19"/>
      <c r="BL233" s="19"/>
    </row>
    <row r="234" spans="2:64" ht="14" x14ac:dyDescent="0.2">
      <c r="B234" s="1"/>
      <c r="C234" s="1"/>
      <c r="D234" s="1"/>
      <c r="E234" s="1"/>
      <c r="H234" s="18"/>
      <c r="I234" s="18"/>
      <c r="J234" s="18"/>
      <c r="L234" s="6"/>
      <c r="AF234" s="19"/>
      <c r="AG234" s="19"/>
      <c r="AH234" s="20"/>
      <c r="AI234" s="19"/>
      <c r="AK234" s="19"/>
      <c r="AL234" s="19"/>
      <c r="AM234" s="19"/>
      <c r="AN234" s="19"/>
      <c r="AO234" s="19"/>
      <c r="AZ234" s="19"/>
      <c r="BA234" s="19"/>
      <c r="BB234" s="20"/>
      <c r="BC234" s="19"/>
      <c r="BE234" s="19"/>
      <c r="BF234" s="19"/>
      <c r="BG234" s="19"/>
      <c r="BH234" s="19"/>
      <c r="BI234" s="19"/>
      <c r="BJ234" s="19"/>
      <c r="BK234" s="19"/>
      <c r="BL234" s="19"/>
    </row>
    <row r="235" spans="2:64" ht="14" x14ac:dyDescent="0.2">
      <c r="B235" s="1"/>
      <c r="C235" s="1"/>
      <c r="D235" s="1"/>
      <c r="E235" s="1"/>
      <c r="H235" s="18"/>
      <c r="I235" s="18"/>
      <c r="J235" s="18"/>
      <c r="L235" s="6"/>
      <c r="AF235" s="19"/>
      <c r="AG235" s="19"/>
      <c r="AH235" s="20"/>
      <c r="AI235" s="19"/>
      <c r="AK235" s="19"/>
      <c r="AL235" s="19"/>
      <c r="AM235" s="19"/>
      <c r="AN235" s="19"/>
      <c r="AO235" s="19"/>
      <c r="AZ235" s="19"/>
      <c r="BA235" s="19"/>
      <c r="BB235" s="20"/>
      <c r="BC235" s="19"/>
      <c r="BE235" s="19"/>
      <c r="BF235" s="19"/>
      <c r="BG235" s="19"/>
      <c r="BH235" s="19"/>
      <c r="BI235" s="19"/>
      <c r="BJ235" s="19"/>
      <c r="BK235" s="19"/>
      <c r="BL235" s="19"/>
    </row>
    <row r="236" spans="2:64" ht="14" x14ac:dyDescent="0.2">
      <c r="B236" s="1"/>
      <c r="C236" s="1"/>
      <c r="D236" s="1"/>
      <c r="E236" s="1"/>
      <c r="H236" s="18"/>
      <c r="I236" s="18"/>
      <c r="J236" s="18"/>
      <c r="L236" s="6"/>
      <c r="AF236" s="19"/>
      <c r="AG236" s="19"/>
      <c r="AH236" s="20"/>
      <c r="AI236" s="19"/>
      <c r="AK236" s="19"/>
      <c r="AL236" s="19"/>
      <c r="AM236" s="19"/>
      <c r="AN236" s="19"/>
      <c r="AO236" s="19"/>
      <c r="AZ236" s="19"/>
      <c r="BA236" s="19"/>
      <c r="BB236" s="20"/>
      <c r="BC236" s="19"/>
      <c r="BE236" s="19"/>
      <c r="BF236" s="19"/>
      <c r="BG236" s="19"/>
      <c r="BH236" s="19"/>
      <c r="BI236" s="19"/>
      <c r="BJ236" s="19"/>
      <c r="BK236" s="19"/>
      <c r="BL236" s="19"/>
    </row>
    <row r="237" spans="2:64" ht="14" x14ac:dyDescent="0.2">
      <c r="B237" s="1"/>
      <c r="C237" s="1"/>
      <c r="D237" s="1"/>
      <c r="E237" s="1"/>
      <c r="H237" s="18"/>
      <c r="I237" s="18"/>
      <c r="J237" s="18"/>
      <c r="L237" s="6"/>
      <c r="AF237" s="19"/>
      <c r="AG237" s="19"/>
      <c r="AH237" s="20"/>
      <c r="AI237" s="19"/>
      <c r="AK237" s="19"/>
      <c r="AL237" s="19"/>
      <c r="AM237" s="19"/>
      <c r="AN237" s="19"/>
      <c r="AO237" s="19"/>
      <c r="AZ237" s="19"/>
      <c r="BA237" s="19"/>
      <c r="BB237" s="20"/>
      <c r="BC237" s="19"/>
      <c r="BE237" s="19"/>
      <c r="BF237" s="19"/>
      <c r="BG237" s="19"/>
      <c r="BH237" s="19"/>
      <c r="BI237" s="19"/>
      <c r="BJ237" s="19"/>
      <c r="BK237" s="19"/>
      <c r="BL237" s="19"/>
    </row>
    <row r="238" spans="2:64" ht="14" x14ac:dyDescent="0.2">
      <c r="B238" s="1"/>
      <c r="C238" s="1"/>
      <c r="D238" s="1"/>
      <c r="E238" s="1"/>
      <c r="H238" s="18"/>
      <c r="I238" s="18"/>
      <c r="J238" s="18"/>
      <c r="L238" s="6"/>
      <c r="AF238" s="19"/>
      <c r="AG238" s="19"/>
      <c r="AH238" s="20"/>
      <c r="AI238" s="19"/>
      <c r="AK238" s="19"/>
      <c r="AL238" s="19"/>
      <c r="AM238" s="19"/>
      <c r="AN238" s="19"/>
      <c r="AO238" s="19"/>
      <c r="AZ238" s="19"/>
      <c r="BA238" s="19"/>
      <c r="BB238" s="20"/>
      <c r="BC238" s="19"/>
      <c r="BE238" s="19"/>
      <c r="BF238" s="19"/>
      <c r="BG238" s="19"/>
      <c r="BH238" s="19"/>
      <c r="BI238" s="19"/>
      <c r="BJ238" s="19"/>
      <c r="BK238" s="19"/>
      <c r="BL238" s="19"/>
    </row>
    <row r="239" spans="2:64" ht="14" x14ac:dyDescent="0.2">
      <c r="B239" s="1"/>
      <c r="C239" s="1"/>
      <c r="D239" s="1"/>
      <c r="E239" s="1"/>
      <c r="H239" s="18"/>
      <c r="I239" s="18"/>
      <c r="J239" s="18"/>
      <c r="L239" s="6"/>
      <c r="AF239" s="19"/>
      <c r="AG239" s="19"/>
      <c r="AH239" s="20"/>
      <c r="AI239" s="19"/>
      <c r="AK239" s="19"/>
      <c r="AL239" s="19"/>
      <c r="AM239" s="19"/>
      <c r="AN239" s="19"/>
      <c r="AO239" s="19"/>
      <c r="AZ239" s="19"/>
      <c r="BA239" s="19"/>
      <c r="BB239" s="20"/>
      <c r="BC239" s="19"/>
      <c r="BE239" s="19"/>
      <c r="BF239" s="19"/>
      <c r="BG239" s="19"/>
      <c r="BH239" s="19"/>
      <c r="BI239" s="19"/>
      <c r="BJ239" s="19"/>
      <c r="BK239" s="19"/>
      <c r="BL239" s="19"/>
    </row>
    <row r="240" spans="2:64" ht="14" x14ac:dyDescent="0.2">
      <c r="B240" s="1"/>
      <c r="C240" s="1"/>
      <c r="D240" s="1"/>
      <c r="E240" s="1"/>
      <c r="H240" s="18"/>
      <c r="I240" s="18"/>
      <c r="J240" s="18"/>
      <c r="L240" s="6"/>
      <c r="AF240" s="19"/>
      <c r="AG240" s="19"/>
      <c r="AH240" s="20"/>
      <c r="AI240" s="19"/>
      <c r="AK240" s="19"/>
      <c r="AL240" s="19"/>
      <c r="AM240" s="19"/>
      <c r="AN240" s="19"/>
      <c r="AO240" s="19"/>
      <c r="AZ240" s="19"/>
      <c r="BA240" s="19"/>
      <c r="BB240" s="20"/>
      <c r="BC240" s="19"/>
      <c r="BE240" s="19"/>
      <c r="BF240" s="19"/>
      <c r="BG240" s="19"/>
      <c r="BH240" s="19"/>
      <c r="BI240" s="19"/>
      <c r="BJ240" s="19"/>
      <c r="BK240" s="19"/>
      <c r="BL240" s="19"/>
    </row>
    <row r="241" spans="2:64" ht="14" x14ac:dyDescent="0.2">
      <c r="B241" s="1"/>
      <c r="C241" s="1"/>
      <c r="D241" s="1"/>
      <c r="E241" s="1"/>
      <c r="H241" s="18"/>
      <c r="I241" s="18"/>
      <c r="J241" s="18"/>
      <c r="L241" s="6"/>
      <c r="AF241" s="19"/>
      <c r="AG241" s="19"/>
      <c r="AH241" s="20"/>
      <c r="AI241" s="19"/>
      <c r="AK241" s="19"/>
      <c r="AL241" s="19"/>
      <c r="AM241" s="19"/>
      <c r="AN241" s="19"/>
      <c r="AO241" s="19"/>
      <c r="AZ241" s="19"/>
      <c r="BA241" s="19"/>
      <c r="BB241" s="20"/>
      <c r="BC241" s="19"/>
      <c r="BE241" s="19"/>
      <c r="BF241" s="19"/>
      <c r="BG241" s="19"/>
      <c r="BH241" s="19"/>
      <c r="BI241" s="19"/>
      <c r="BJ241" s="19"/>
      <c r="BK241" s="19"/>
      <c r="BL241" s="19"/>
    </row>
    <row r="242" spans="2:64" ht="14" x14ac:dyDescent="0.2">
      <c r="B242" s="1"/>
      <c r="C242" s="1"/>
      <c r="D242" s="1"/>
      <c r="E242" s="1"/>
      <c r="H242" s="18"/>
      <c r="I242" s="18"/>
      <c r="J242" s="18"/>
      <c r="L242" s="6"/>
      <c r="AF242" s="19"/>
      <c r="AG242" s="19"/>
      <c r="AH242" s="20"/>
      <c r="AI242" s="19"/>
      <c r="AK242" s="19"/>
      <c r="AL242" s="19"/>
      <c r="AM242" s="19"/>
      <c r="AN242" s="19"/>
      <c r="AO242" s="19"/>
      <c r="AZ242" s="19"/>
      <c r="BA242" s="19"/>
      <c r="BB242" s="20"/>
      <c r="BC242" s="19"/>
      <c r="BE242" s="19"/>
      <c r="BF242" s="19"/>
      <c r="BG242" s="19"/>
      <c r="BH242" s="19"/>
      <c r="BI242" s="19"/>
      <c r="BJ242" s="19"/>
      <c r="BK242" s="19"/>
      <c r="BL242" s="19"/>
    </row>
    <row r="243" spans="2:64" ht="14" x14ac:dyDescent="0.2">
      <c r="B243" s="1"/>
      <c r="C243" s="1"/>
      <c r="D243" s="1"/>
      <c r="E243" s="1"/>
      <c r="H243" s="18"/>
      <c r="I243" s="18"/>
      <c r="J243" s="18"/>
      <c r="L243" s="6"/>
      <c r="AF243" s="19"/>
      <c r="AG243" s="19"/>
      <c r="AH243" s="20"/>
      <c r="AI243" s="19"/>
      <c r="AK243" s="19"/>
      <c r="AL243" s="19"/>
      <c r="AM243" s="19"/>
      <c r="AN243" s="19"/>
      <c r="AO243" s="19"/>
      <c r="AZ243" s="19"/>
      <c r="BA243" s="19"/>
      <c r="BB243" s="20"/>
      <c r="BC243" s="19"/>
      <c r="BE243" s="19"/>
      <c r="BF243" s="19"/>
      <c r="BG243" s="19"/>
      <c r="BH243" s="19"/>
      <c r="BI243" s="19"/>
      <c r="BJ243" s="19"/>
      <c r="BK243" s="19"/>
      <c r="BL243" s="19"/>
    </row>
    <row r="244" spans="2:64" ht="14" x14ac:dyDescent="0.2">
      <c r="B244" s="1"/>
      <c r="C244" s="1"/>
      <c r="D244" s="1"/>
      <c r="E244" s="1"/>
      <c r="H244" s="18"/>
      <c r="I244" s="18"/>
      <c r="J244" s="18"/>
      <c r="L244" s="6"/>
      <c r="AF244" s="19"/>
      <c r="AG244" s="19"/>
      <c r="AH244" s="20"/>
      <c r="AI244" s="19"/>
      <c r="AK244" s="19"/>
      <c r="AL244" s="19"/>
      <c r="AM244" s="19"/>
      <c r="AN244" s="19"/>
      <c r="AO244" s="19"/>
      <c r="AZ244" s="19"/>
      <c r="BA244" s="19"/>
      <c r="BB244" s="20"/>
      <c r="BC244" s="19"/>
      <c r="BE244" s="19"/>
      <c r="BF244" s="19"/>
      <c r="BG244" s="19"/>
      <c r="BH244" s="19"/>
      <c r="BI244" s="19"/>
      <c r="BJ244" s="19"/>
      <c r="BK244" s="19"/>
      <c r="BL244" s="19"/>
    </row>
    <row r="245" spans="2:64" ht="14" x14ac:dyDescent="0.2">
      <c r="B245" s="1"/>
      <c r="C245" s="1"/>
      <c r="D245" s="1"/>
      <c r="E245" s="1"/>
      <c r="H245" s="18"/>
      <c r="I245" s="18"/>
      <c r="J245" s="18"/>
      <c r="L245" s="6"/>
      <c r="AF245" s="19"/>
      <c r="AG245" s="19"/>
      <c r="AH245" s="20"/>
      <c r="AI245" s="19"/>
      <c r="AK245" s="19"/>
      <c r="AL245" s="19"/>
      <c r="AM245" s="19"/>
      <c r="AN245" s="19"/>
      <c r="AO245" s="19"/>
      <c r="AZ245" s="19"/>
      <c r="BA245" s="19"/>
      <c r="BB245" s="20"/>
      <c r="BC245" s="19"/>
      <c r="BE245" s="19"/>
      <c r="BF245" s="19"/>
      <c r="BG245" s="19"/>
      <c r="BH245" s="19"/>
      <c r="BI245" s="19"/>
      <c r="BJ245" s="19"/>
      <c r="BK245" s="19"/>
      <c r="BL245" s="19"/>
    </row>
    <row r="246" spans="2:64" ht="14" x14ac:dyDescent="0.2">
      <c r="B246" s="1"/>
      <c r="C246" s="1"/>
      <c r="D246" s="1"/>
      <c r="E246" s="1"/>
      <c r="H246" s="18"/>
      <c r="I246" s="18"/>
      <c r="J246" s="18"/>
      <c r="L246" s="6"/>
      <c r="AF246" s="19"/>
      <c r="AG246" s="19"/>
      <c r="AH246" s="20"/>
      <c r="AI246" s="19"/>
      <c r="AK246" s="19"/>
      <c r="AL246" s="19"/>
      <c r="AM246" s="19"/>
      <c r="AN246" s="19"/>
      <c r="AO246" s="19"/>
      <c r="AZ246" s="19"/>
      <c r="BA246" s="19"/>
      <c r="BB246" s="20"/>
      <c r="BC246" s="19"/>
      <c r="BE246" s="19"/>
      <c r="BF246" s="19"/>
      <c r="BG246" s="19"/>
      <c r="BH246" s="19"/>
      <c r="BI246" s="19"/>
      <c r="BJ246" s="19"/>
      <c r="BK246" s="19"/>
      <c r="BL246" s="19"/>
    </row>
    <row r="247" spans="2:64" ht="14" x14ac:dyDescent="0.2">
      <c r="B247" s="1"/>
      <c r="C247" s="1"/>
      <c r="D247" s="1"/>
      <c r="E247" s="1"/>
      <c r="H247" s="18"/>
      <c r="I247" s="18"/>
      <c r="J247" s="18"/>
      <c r="L247" s="6"/>
      <c r="AF247" s="19"/>
      <c r="AG247" s="19"/>
      <c r="AH247" s="20"/>
      <c r="AI247" s="19"/>
      <c r="AK247" s="19"/>
      <c r="AL247" s="19"/>
      <c r="AM247" s="19"/>
      <c r="AN247" s="19"/>
      <c r="AO247" s="19"/>
      <c r="AZ247" s="19"/>
      <c r="BA247" s="19"/>
      <c r="BB247" s="20"/>
      <c r="BC247" s="19"/>
      <c r="BE247" s="19"/>
      <c r="BF247" s="19"/>
      <c r="BG247" s="19"/>
      <c r="BH247" s="19"/>
      <c r="BI247" s="19"/>
      <c r="BJ247" s="19"/>
      <c r="BK247" s="19"/>
      <c r="BL247" s="19"/>
    </row>
    <row r="248" spans="2:64" ht="14" x14ac:dyDescent="0.2">
      <c r="B248" s="1"/>
      <c r="C248" s="1"/>
      <c r="D248" s="1"/>
      <c r="E248" s="1"/>
      <c r="H248" s="18"/>
      <c r="I248" s="18"/>
      <c r="J248" s="18"/>
      <c r="L248" s="6"/>
      <c r="AF248" s="19"/>
      <c r="AG248" s="19"/>
      <c r="AH248" s="20"/>
      <c r="AI248" s="19"/>
      <c r="AK248" s="19"/>
      <c r="AL248" s="19"/>
      <c r="AM248" s="19"/>
      <c r="AN248" s="19"/>
      <c r="AO248" s="19"/>
      <c r="AZ248" s="19"/>
      <c r="BA248" s="19"/>
      <c r="BB248" s="20"/>
      <c r="BC248" s="19"/>
      <c r="BE248" s="19"/>
      <c r="BF248" s="19"/>
      <c r="BG248" s="19"/>
      <c r="BH248" s="19"/>
      <c r="BI248" s="19"/>
      <c r="BJ248" s="19"/>
      <c r="BK248" s="19"/>
      <c r="BL248" s="19"/>
    </row>
    <row r="249" spans="2:64" ht="14" x14ac:dyDescent="0.2">
      <c r="B249" s="1"/>
      <c r="C249" s="1"/>
      <c r="D249" s="1"/>
      <c r="E249" s="1"/>
      <c r="H249" s="18"/>
      <c r="I249" s="18"/>
      <c r="J249" s="18"/>
      <c r="L249" s="6"/>
      <c r="AF249" s="19"/>
      <c r="AG249" s="19"/>
      <c r="AH249" s="20"/>
      <c r="AI249" s="19"/>
      <c r="AK249" s="19"/>
      <c r="AL249" s="19"/>
      <c r="AM249" s="19"/>
      <c r="AN249" s="19"/>
      <c r="AO249" s="19"/>
      <c r="AZ249" s="19"/>
      <c r="BA249" s="19"/>
      <c r="BB249" s="20"/>
      <c r="BC249" s="19"/>
      <c r="BE249" s="19"/>
      <c r="BF249" s="19"/>
      <c r="BG249" s="19"/>
      <c r="BH249" s="19"/>
      <c r="BI249" s="19"/>
      <c r="BJ249" s="19"/>
      <c r="BK249" s="19"/>
      <c r="BL249" s="19"/>
    </row>
    <row r="250" spans="2:64" ht="14" x14ac:dyDescent="0.2">
      <c r="B250" s="1"/>
      <c r="C250" s="1"/>
      <c r="D250" s="1"/>
      <c r="E250" s="1"/>
      <c r="H250" s="18"/>
      <c r="I250" s="18"/>
      <c r="J250" s="18"/>
      <c r="L250" s="6"/>
      <c r="AF250" s="19"/>
      <c r="AG250" s="19"/>
      <c r="AH250" s="20"/>
      <c r="AI250" s="19"/>
      <c r="AK250" s="19"/>
      <c r="AL250" s="19"/>
      <c r="AM250" s="19"/>
      <c r="AN250" s="19"/>
      <c r="AO250" s="19"/>
      <c r="AZ250" s="19"/>
      <c r="BA250" s="19"/>
      <c r="BB250" s="20"/>
      <c r="BC250" s="19"/>
      <c r="BE250" s="19"/>
      <c r="BF250" s="19"/>
      <c r="BG250" s="19"/>
      <c r="BH250" s="19"/>
      <c r="BI250" s="19"/>
      <c r="BJ250" s="19"/>
      <c r="BK250" s="19"/>
      <c r="BL250" s="19"/>
    </row>
    <row r="251" spans="2:64" ht="14" x14ac:dyDescent="0.2">
      <c r="B251" s="1"/>
      <c r="C251" s="1"/>
      <c r="D251" s="1"/>
      <c r="E251" s="1"/>
      <c r="H251" s="18"/>
      <c r="I251" s="18"/>
      <c r="J251" s="18"/>
      <c r="L251" s="6"/>
      <c r="AF251" s="19"/>
      <c r="AG251" s="19"/>
      <c r="AH251" s="20"/>
      <c r="AI251" s="19"/>
      <c r="AK251" s="19"/>
      <c r="AL251" s="19"/>
      <c r="AM251" s="19"/>
      <c r="AN251" s="19"/>
      <c r="AO251" s="19"/>
      <c r="AZ251" s="19"/>
      <c r="BA251" s="19"/>
      <c r="BB251" s="20"/>
      <c r="BC251" s="19"/>
      <c r="BE251" s="19"/>
      <c r="BF251" s="19"/>
      <c r="BG251" s="19"/>
      <c r="BH251" s="19"/>
      <c r="BI251" s="19"/>
      <c r="BJ251" s="19"/>
      <c r="BK251" s="19"/>
      <c r="BL251" s="19"/>
    </row>
    <row r="252" spans="2:64" ht="14" x14ac:dyDescent="0.2">
      <c r="B252" s="1"/>
      <c r="C252" s="1"/>
      <c r="D252" s="1"/>
      <c r="E252" s="1"/>
      <c r="H252" s="18"/>
      <c r="I252" s="18"/>
      <c r="J252" s="18"/>
      <c r="L252" s="6"/>
      <c r="AF252" s="19"/>
      <c r="AG252" s="19"/>
      <c r="AH252" s="20"/>
      <c r="AI252" s="19"/>
      <c r="AK252" s="19"/>
      <c r="AL252" s="19"/>
      <c r="AM252" s="19"/>
      <c r="AN252" s="19"/>
      <c r="AO252" s="19"/>
      <c r="AZ252" s="19"/>
      <c r="BA252" s="19"/>
      <c r="BB252" s="20"/>
      <c r="BC252" s="19"/>
      <c r="BE252" s="19"/>
      <c r="BF252" s="19"/>
      <c r="BG252" s="19"/>
      <c r="BH252" s="19"/>
      <c r="BI252" s="19"/>
      <c r="BJ252" s="19"/>
      <c r="BK252" s="19"/>
      <c r="BL252" s="19"/>
    </row>
    <row r="253" spans="2:64" ht="14" x14ac:dyDescent="0.2">
      <c r="B253" s="1"/>
      <c r="C253" s="1"/>
      <c r="D253" s="1"/>
      <c r="E253" s="1"/>
      <c r="H253" s="18"/>
      <c r="I253" s="18"/>
      <c r="J253" s="18"/>
      <c r="L253" s="6"/>
      <c r="AF253" s="19"/>
      <c r="AG253" s="19"/>
      <c r="AH253" s="20"/>
      <c r="AI253" s="19"/>
      <c r="AK253" s="19"/>
      <c r="AL253" s="19"/>
      <c r="AM253" s="19"/>
      <c r="AN253" s="19"/>
      <c r="AO253" s="19"/>
      <c r="AZ253" s="19"/>
      <c r="BA253" s="19"/>
      <c r="BB253" s="20"/>
      <c r="BC253" s="19"/>
      <c r="BE253" s="19"/>
      <c r="BF253" s="19"/>
      <c r="BG253" s="19"/>
      <c r="BH253" s="19"/>
      <c r="BI253" s="19"/>
      <c r="BJ253" s="19"/>
      <c r="BK253" s="19"/>
      <c r="BL253" s="19"/>
    </row>
    <row r="254" spans="2:64" ht="14" x14ac:dyDescent="0.2">
      <c r="B254" s="1"/>
      <c r="C254" s="1"/>
      <c r="D254" s="1"/>
      <c r="E254" s="1"/>
      <c r="H254" s="18"/>
      <c r="I254" s="18"/>
      <c r="J254" s="18"/>
      <c r="L254" s="6"/>
      <c r="AF254" s="19"/>
      <c r="AG254" s="19"/>
      <c r="AH254" s="20"/>
      <c r="AI254" s="19"/>
      <c r="AK254" s="19"/>
      <c r="AL254" s="19"/>
      <c r="AM254" s="19"/>
      <c r="AN254" s="19"/>
      <c r="AO254" s="19"/>
      <c r="AZ254" s="19"/>
      <c r="BA254" s="19"/>
      <c r="BB254" s="20"/>
      <c r="BC254" s="19"/>
      <c r="BE254" s="19"/>
      <c r="BF254" s="19"/>
      <c r="BG254" s="19"/>
      <c r="BH254" s="19"/>
      <c r="BI254" s="19"/>
      <c r="BJ254" s="19"/>
      <c r="BK254" s="19"/>
      <c r="BL254" s="19"/>
    </row>
    <row r="255" spans="2:64" ht="14" x14ac:dyDescent="0.2">
      <c r="B255" s="1"/>
      <c r="C255" s="1"/>
      <c r="D255" s="1"/>
      <c r="E255" s="1"/>
      <c r="H255" s="18"/>
      <c r="I255" s="18"/>
      <c r="J255" s="18"/>
      <c r="L255" s="6"/>
      <c r="AF255" s="19"/>
      <c r="AG255" s="19"/>
      <c r="AH255" s="20"/>
      <c r="AI255" s="19"/>
      <c r="AK255" s="19"/>
      <c r="AL255" s="19"/>
      <c r="AM255" s="19"/>
      <c r="AN255" s="19"/>
      <c r="AO255" s="19"/>
      <c r="AZ255" s="19"/>
      <c r="BA255" s="19"/>
      <c r="BB255" s="20"/>
      <c r="BC255" s="19"/>
      <c r="BE255" s="19"/>
      <c r="BF255" s="19"/>
      <c r="BG255" s="19"/>
      <c r="BH255" s="19"/>
      <c r="BI255" s="19"/>
      <c r="BJ255" s="19"/>
      <c r="BK255" s="19"/>
      <c r="BL255" s="19"/>
    </row>
    <row r="256" spans="2:64" ht="14" x14ac:dyDescent="0.2">
      <c r="B256" s="1"/>
      <c r="C256" s="1"/>
      <c r="D256" s="1"/>
      <c r="E256" s="1"/>
      <c r="H256" s="18"/>
      <c r="I256" s="18"/>
      <c r="J256" s="18"/>
      <c r="L256" s="6"/>
      <c r="AF256" s="19"/>
      <c r="AG256" s="19"/>
      <c r="AH256" s="20"/>
      <c r="AI256" s="19"/>
      <c r="AK256" s="19"/>
      <c r="AL256" s="19"/>
      <c r="AM256" s="19"/>
      <c r="AN256" s="19"/>
      <c r="AO256" s="19"/>
      <c r="AZ256" s="19"/>
      <c r="BA256" s="19"/>
      <c r="BB256" s="20"/>
      <c r="BC256" s="19"/>
      <c r="BE256" s="19"/>
      <c r="BF256" s="19"/>
      <c r="BG256" s="19"/>
      <c r="BH256" s="19"/>
      <c r="BI256" s="19"/>
      <c r="BJ256" s="19"/>
      <c r="BK256" s="19"/>
      <c r="BL256" s="19"/>
    </row>
    <row r="257" spans="2:64" ht="14" x14ac:dyDescent="0.2">
      <c r="B257" s="1"/>
      <c r="C257" s="1"/>
      <c r="D257" s="1"/>
      <c r="E257" s="1"/>
      <c r="H257" s="18"/>
      <c r="I257" s="18"/>
      <c r="J257" s="18"/>
      <c r="L257" s="6"/>
      <c r="AF257" s="19"/>
      <c r="AG257" s="19"/>
      <c r="AH257" s="20"/>
      <c r="AI257" s="19"/>
      <c r="AK257" s="19"/>
      <c r="AL257" s="19"/>
      <c r="AM257" s="19"/>
      <c r="AN257" s="19"/>
      <c r="AO257" s="19"/>
      <c r="AZ257" s="19"/>
      <c r="BA257" s="19"/>
      <c r="BB257" s="20"/>
      <c r="BC257" s="19"/>
      <c r="BE257" s="19"/>
      <c r="BF257" s="19"/>
      <c r="BG257" s="19"/>
      <c r="BH257" s="19"/>
      <c r="BI257" s="19"/>
      <c r="BJ257" s="19"/>
      <c r="BK257" s="19"/>
      <c r="BL257" s="19"/>
    </row>
    <row r="258" spans="2:64" ht="14" x14ac:dyDescent="0.2">
      <c r="B258" s="1"/>
      <c r="C258" s="1"/>
      <c r="D258" s="1"/>
      <c r="E258" s="1"/>
      <c r="H258" s="18"/>
      <c r="I258" s="18"/>
      <c r="J258" s="18"/>
      <c r="L258" s="6"/>
      <c r="AF258" s="19"/>
      <c r="AG258" s="19"/>
      <c r="AH258" s="20"/>
      <c r="AI258" s="19"/>
      <c r="AK258" s="19"/>
      <c r="AL258" s="19"/>
      <c r="AM258" s="19"/>
      <c r="AN258" s="19"/>
      <c r="AO258" s="19"/>
      <c r="AZ258" s="19"/>
      <c r="BA258" s="19"/>
      <c r="BB258" s="20"/>
      <c r="BC258" s="19"/>
      <c r="BE258" s="19"/>
      <c r="BF258" s="19"/>
      <c r="BG258" s="19"/>
      <c r="BH258" s="19"/>
      <c r="BI258" s="19"/>
      <c r="BJ258" s="19"/>
      <c r="BK258" s="19"/>
      <c r="BL258" s="19"/>
    </row>
    <row r="259" spans="2:64" ht="14" x14ac:dyDescent="0.2">
      <c r="B259" s="1"/>
      <c r="C259" s="1"/>
      <c r="D259" s="1"/>
      <c r="E259" s="1"/>
      <c r="H259" s="18"/>
      <c r="I259" s="18"/>
      <c r="J259" s="18"/>
      <c r="L259" s="6"/>
      <c r="AF259" s="19"/>
      <c r="AG259" s="19"/>
      <c r="AH259" s="20"/>
      <c r="AI259" s="19"/>
      <c r="AK259" s="19"/>
      <c r="AL259" s="19"/>
      <c r="AM259" s="19"/>
      <c r="AN259" s="19"/>
      <c r="AO259" s="19"/>
      <c r="AZ259" s="19"/>
      <c r="BA259" s="19"/>
      <c r="BB259" s="20"/>
      <c r="BC259" s="19"/>
      <c r="BE259" s="19"/>
      <c r="BF259" s="19"/>
      <c r="BG259" s="19"/>
      <c r="BH259" s="19"/>
      <c r="BI259" s="19"/>
      <c r="BJ259" s="19"/>
      <c r="BK259" s="19"/>
      <c r="BL259" s="19"/>
    </row>
    <row r="260" spans="2:64" ht="14" x14ac:dyDescent="0.2">
      <c r="B260" s="1"/>
      <c r="C260" s="1"/>
      <c r="D260" s="1"/>
      <c r="E260" s="1"/>
      <c r="H260" s="18"/>
      <c r="I260" s="18"/>
      <c r="J260" s="18"/>
      <c r="L260" s="6"/>
      <c r="AF260" s="19"/>
      <c r="AG260" s="19"/>
      <c r="AH260" s="20"/>
      <c r="AI260" s="19"/>
      <c r="AK260" s="19"/>
      <c r="AL260" s="19"/>
      <c r="AM260" s="19"/>
      <c r="AN260" s="19"/>
      <c r="AO260" s="19"/>
      <c r="AZ260" s="19"/>
      <c r="BA260" s="19"/>
      <c r="BB260" s="20"/>
      <c r="BC260" s="19"/>
      <c r="BE260" s="19"/>
      <c r="BF260" s="19"/>
      <c r="BG260" s="19"/>
      <c r="BH260" s="19"/>
      <c r="BI260" s="19"/>
      <c r="BJ260" s="19"/>
      <c r="BK260" s="19"/>
      <c r="BL260" s="19"/>
    </row>
    <row r="261" spans="2:64" ht="14" x14ac:dyDescent="0.2">
      <c r="B261" s="1"/>
      <c r="C261" s="1"/>
      <c r="D261" s="1"/>
      <c r="E261" s="1"/>
      <c r="H261" s="18"/>
      <c r="I261" s="18"/>
      <c r="J261" s="18"/>
      <c r="L261" s="6"/>
      <c r="AF261" s="19"/>
      <c r="AG261" s="19"/>
      <c r="AH261" s="20"/>
      <c r="AI261" s="19"/>
      <c r="AK261" s="19"/>
      <c r="AL261" s="19"/>
      <c r="AM261" s="19"/>
      <c r="AN261" s="19"/>
      <c r="AO261" s="19"/>
      <c r="AZ261" s="19"/>
      <c r="BA261" s="19"/>
      <c r="BB261" s="20"/>
      <c r="BC261" s="19"/>
      <c r="BE261" s="19"/>
      <c r="BF261" s="19"/>
      <c r="BG261" s="19"/>
      <c r="BH261" s="19"/>
      <c r="BI261" s="19"/>
      <c r="BJ261" s="19"/>
      <c r="BK261" s="19"/>
      <c r="BL261" s="19"/>
    </row>
    <row r="262" spans="2:64" ht="14" x14ac:dyDescent="0.2">
      <c r="B262" s="1"/>
      <c r="C262" s="1"/>
      <c r="D262" s="1"/>
      <c r="E262" s="1"/>
      <c r="H262" s="18"/>
      <c r="I262" s="18"/>
      <c r="J262" s="18"/>
      <c r="L262" s="6"/>
      <c r="AF262" s="19"/>
      <c r="AG262" s="19"/>
      <c r="AH262" s="20"/>
      <c r="AI262" s="19"/>
      <c r="AK262" s="19"/>
      <c r="AL262" s="19"/>
      <c r="AM262" s="19"/>
      <c r="AN262" s="19"/>
      <c r="AO262" s="19"/>
      <c r="AZ262" s="19"/>
      <c r="BA262" s="19"/>
      <c r="BB262" s="20"/>
      <c r="BC262" s="19"/>
      <c r="BE262" s="19"/>
      <c r="BF262" s="19"/>
      <c r="BG262" s="19"/>
      <c r="BH262" s="19"/>
      <c r="BI262" s="19"/>
      <c r="BJ262" s="19"/>
      <c r="BK262" s="19"/>
      <c r="BL262" s="19"/>
    </row>
    <row r="263" spans="2:64" ht="14" x14ac:dyDescent="0.2">
      <c r="B263" s="1"/>
      <c r="C263" s="1"/>
      <c r="D263" s="1"/>
      <c r="E263" s="1"/>
      <c r="H263" s="18"/>
      <c r="I263" s="18"/>
      <c r="J263" s="18"/>
      <c r="L263" s="6"/>
      <c r="AF263" s="19"/>
      <c r="AG263" s="19"/>
      <c r="AH263" s="20"/>
      <c r="AI263" s="19"/>
      <c r="AK263" s="19"/>
      <c r="AL263" s="19"/>
      <c r="AM263" s="19"/>
      <c r="AN263" s="19"/>
      <c r="AO263" s="19"/>
      <c r="AZ263" s="19"/>
      <c r="BA263" s="19"/>
      <c r="BB263" s="20"/>
      <c r="BC263" s="19"/>
      <c r="BE263" s="19"/>
      <c r="BF263" s="19"/>
      <c r="BG263" s="19"/>
      <c r="BH263" s="19"/>
      <c r="BI263" s="19"/>
      <c r="BJ263" s="19"/>
      <c r="BK263" s="19"/>
      <c r="BL263" s="19"/>
    </row>
    <row r="264" spans="2:64" ht="14" x14ac:dyDescent="0.2">
      <c r="B264" s="1"/>
      <c r="C264" s="1"/>
      <c r="D264" s="1"/>
      <c r="E264" s="1"/>
      <c r="H264" s="18"/>
      <c r="I264" s="18"/>
      <c r="J264" s="18"/>
      <c r="L264" s="6"/>
      <c r="AF264" s="19"/>
      <c r="AG264" s="19"/>
      <c r="AH264" s="20"/>
      <c r="AI264" s="19"/>
      <c r="AK264" s="19"/>
      <c r="AL264" s="19"/>
      <c r="AM264" s="19"/>
      <c r="AN264" s="19"/>
      <c r="AO264" s="19"/>
      <c r="AZ264" s="19"/>
      <c r="BA264" s="19"/>
      <c r="BB264" s="20"/>
      <c r="BC264" s="19"/>
      <c r="BE264" s="19"/>
      <c r="BF264" s="19"/>
      <c r="BG264" s="19"/>
      <c r="BH264" s="19"/>
      <c r="BI264" s="19"/>
      <c r="BJ264" s="19"/>
      <c r="BK264" s="19"/>
      <c r="BL264" s="19"/>
    </row>
    <row r="265" spans="2:64" ht="14" x14ac:dyDescent="0.2">
      <c r="B265" s="1"/>
      <c r="C265" s="1"/>
      <c r="D265" s="1"/>
      <c r="E265" s="1"/>
      <c r="H265" s="18"/>
      <c r="I265" s="18"/>
      <c r="J265" s="18"/>
      <c r="L265" s="6"/>
      <c r="AF265" s="19"/>
      <c r="AG265" s="19"/>
      <c r="AH265" s="20"/>
      <c r="AI265" s="19"/>
      <c r="AK265" s="19"/>
      <c r="AL265" s="19"/>
      <c r="AM265" s="19"/>
      <c r="AN265" s="19"/>
      <c r="AO265" s="19"/>
      <c r="AZ265" s="19"/>
      <c r="BA265" s="19"/>
      <c r="BB265" s="20"/>
      <c r="BC265" s="19"/>
      <c r="BE265" s="19"/>
      <c r="BF265" s="19"/>
      <c r="BG265" s="19"/>
      <c r="BH265" s="19"/>
      <c r="BI265" s="19"/>
      <c r="BJ265" s="19"/>
      <c r="BK265" s="19"/>
      <c r="BL265" s="19"/>
    </row>
    <row r="266" spans="2:64" ht="14" x14ac:dyDescent="0.2">
      <c r="B266" s="1"/>
      <c r="C266" s="1"/>
      <c r="D266" s="1"/>
      <c r="E266" s="1"/>
      <c r="H266" s="18"/>
      <c r="I266" s="18"/>
      <c r="J266" s="18"/>
      <c r="L266" s="6"/>
      <c r="AF266" s="19"/>
      <c r="AG266" s="19"/>
      <c r="AH266" s="20"/>
      <c r="AI266" s="19"/>
      <c r="AK266" s="19"/>
      <c r="AL266" s="19"/>
      <c r="AM266" s="19"/>
      <c r="AN266" s="19"/>
      <c r="AO266" s="19"/>
      <c r="AZ266" s="19"/>
      <c r="BA266" s="19"/>
      <c r="BB266" s="20"/>
      <c r="BC266" s="19"/>
      <c r="BE266" s="19"/>
      <c r="BF266" s="19"/>
      <c r="BG266" s="19"/>
      <c r="BH266" s="19"/>
      <c r="BI266" s="19"/>
      <c r="BJ266" s="19"/>
      <c r="BK266" s="19"/>
      <c r="BL266" s="19"/>
    </row>
    <row r="267" spans="2:64" ht="14" x14ac:dyDescent="0.2">
      <c r="B267" s="1"/>
      <c r="C267" s="1"/>
      <c r="D267" s="1"/>
      <c r="E267" s="1"/>
      <c r="H267" s="18"/>
      <c r="I267" s="18"/>
      <c r="J267" s="18"/>
      <c r="L267" s="6"/>
      <c r="AF267" s="19"/>
      <c r="AG267" s="19"/>
      <c r="AH267" s="20"/>
      <c r="AI267" s="19"/>
      <c r="AK267" s="19"/>
      <c r="AL267" s="19"/>
      <c r="AM267" s="19"/>
      <c r="AN267" s="19"/>
      <c r="AO267" s="19"/>
      <c r="AZ267" s="19"/>
      <c r="BA267" s="19"/>
      <c r="BB267" s="20"/>
      <c r="BC267" s="19"/>
      <c r="BE267" s="19"/>
      <c r="BF267" s="19"/>
      <c r="BG267" s="19"/>
      <c r="BH267" s="19"/>
      <c r="BI267" s="19"/>
      <c r="BJ267" s="19"/>
      <c r="BK267" s="19"/>
      <c r="BL267" s="19"/>
    </row>
    <row r="268" spans="2:64" ht="14" x14ac:dyDescent="0.2">
      <c r="B268" s="1"/>
      <c r="C268" s="1"/>
      <c r="D268" s="1"/>
      <c r="E268" s="1"/>
      <c r="H268" s="18"/>
      <c r="I268" s="18"/>
      <c r="J268" s="18"/>
      <c r="L268" s="6"/>
      <c r="AF268" s="19"/>
      <c r="AG268" s="19"/>
      <c r="AH268" s="20"/>
      <c r="AI268" s="19"/>
      <c r="AK268" s="19"/>
      <c r="AL268" s="19"/>
      <c r="AM268" s="19"/>
      <c r="AN268" s="19"/>
      <c r="AO268" s="19"/>
      <c r="AZ268" s="19"/>
      <c r="BA268" s="19"/>
      <c r="BB268" s="20"/>
      <c r="BC268" s="19"/>
      <c r="BE268" s="19"/>
      <c r="BF268" s="19"/>
      <c r="BG268" s="19"/>
      <c r="BH268" s="19"/>
      <c r="BI268" s="19"/>
      <c r="BJ268" s="19"/>
      <c r="BK268" s="19"/>
      <c r="BL268" s="19"/>
    </row>
    <row r="269" spans="2:64" ht="14" x14ac:dyDescent="0.2">
      <c r="B269" s="1"/>
      <c r="C269" s="1"/>
      <c r="D269" s="1"/>
      <c r="E269" s="1"/>
      <c r="H269" s="18"/>
      <c r="I269" s="18"/>
      <c r="J269" s="18"/>
      <c r="L269" s="6"/>
      <c r="AF269" s="19"/>
      <c r="AG269" s="19"/>
      <c r="AH269" s="20"/>
      <c r="AI269" s="19"/>
      <c r="AK269" s="19"/>
      <c r="AL269" s="19"/>
      <c r="AM269" s="19"/>
      <c r="AN269" s="19"/>
      <c r="AO269" s="19"/>
      <c r="AZ269" s="19"/>
      <c r="BA269" s="19"/>
      <c r="BB269" s="20"/>
      <c r="BC269" s="19"/>
      <c r="BE269" s="19"/>
      <c r="BF269" s="19"/>
      <c r="BG269" s="19"/>
      <c r="BH269" s="19"/>
      <c r="BI269" s="19"/>
      <c r="BJ269" s="19"/>
      <c r="BK269" s="19"/>
      <c r="BL269" s="19"/>
    </row>
    <row r="270" spans="2:64" ht="14" x14ac:dyDescent="0.2">
      <c r="B270" s="1"/>
      <c r="C270" s="1"/>
      <c r="D270" s="1"/>
      <c r="E270" s="1"/>
      <c r="H270" s="18"/>
      <c r="I270" s="18"/>
      <c r="J270" s="18"/>
      <c r="L270" s="6"/>
      <c r="AF270" s="19"/>
      <c r="AG270" s="19"/>
      <c r="AH270" s="20"/>
      <c r="AI270" s="19"/>
      <c r="AK270" s="19"/>
      <c r="AL270" s="19"/>
      <c r="AM270" s="19"/>
      <c r="AN270" s="19"/>
      <c r="AO270" s="19"/>
      <c r="AZ270" s="19"/>
      <c r="BA270" s="19"/>
      <c r="BB270" s="20"/>
      <c r="BC270" s="19"/>
      <c r="BE270" s="19"/>
      <c r="BF270" s="19"/>
      <c r="BG270" s="19"/>
      <c r="BH270" s="19"/>
      <c r="BI270" s="19"/>
      <c r="BJ270" s="19"/>
      <c r="BK270" s="19"/>
      <c r="BL270" s="19"/>
    </row>
    <row r="271" spans="2:64" ht="14" x14ac:dyDescent="0.2">
      <c r="B271" s="1"/>
      <c r="C271" s="1"/>
      <c r="D271" s="1"/>
      <c r="E271" s="1"/>
      <c r="H271" s="18"/>
      <c r="I271" s="18"/>
      <c r="J271" s="18"/>
      <c r="L271" s="6"/>
      <c r="AF271" s="19"/>
      <c r="AG271" s="19"/>
      <c r="AH271" s="20"/>
      <c r="AI271" s="19"/>
      <c r="AK271" s="19"/>
      <c r="AL271" s="19"/>
      <c r="AM271" s="19"/>
      <c r="AN271" s="19"/>
      <c r="AO271" s="19"/>
      <c r="AZ271" s="19"/>
      <c r="BA271" s="19"/>
      <c r="BB271" s="20"/>
      <c r="BC271" s="19"/>
      <c r="BE271" s="19"/>
      <c r="BF271" s="19"/>
      <c r="BG271" s="19"/>
      <c r="BH271" s="19"/>
      <c r="BI271" s="19"/>
      <c r="BJ271" s="19"/>
      <c r="BK271" s="19"/>
      <c r="BL271" s="19"/>
    </row>
    <row r="272" spans="2:64" ht="14" x14ac:dyDescent="0.2">
      <c r="B272" s="1"/>
      <c r="C272" s="1"/>
      <c r="D272" s="1"/>
      <c r="E272" s="1"/>
      <c r="H272" s="18"/>
      <c r="I272" s="18"/>
      <c r="J272" s="18"/>
      <c r="L272" s="6"/>
      <c r="AF272" s="19"/>
      <c r="AG272" s="19"/>
      <c r="AH272" s="20"/>
      <c r="AI272" s="19"/>
      <c r="AK272" s="19"/>
      <c r="AL272" s="19"/>
      <c r="AM272" s="19"/>
      <c r="AN272" s="19"/>
      <c r="AO272" s="19"/>
      <c r="AZ272" s="19"/>
      <c r="BA272" s="19"/>
      <c r="BB272" s="20"/>
      <c r="BC272" s="19"/>
      <c r="BE272" s="19"/>
      <c r="BF272" s="19"/>
      <c r="BG272" s="19"/>
      <c r="BH272" s="19"/>
      <c r="BI272" s="19"/>
      <c r="BJ272" s="19"/>
      <c r="BK272" s="19"/>
      <c r="BL272" s="19"/>
    </row>
    <row r="273" spans="2:64" ht="14" x14ac:dyDescent="0.2">
      <c r="B273" s="1"/>
      <c r="C273" s="1"/>
      <c r="D273" s="1"/>
      <c r="E273" s="1"/>
      <c r="H273" s="18"/>
      <c r="I273" s="18"/>
      <c r="J273" s="18"/>
      <c r="L273" s="6"/>
      <c r="AF273" s="19"/>
      <c r="AG273" s="19"/>
      <c r="AH273" s="20"/>
      <c r="AI273" s="19"/>
      <c r="AK273" s="19"/>
      <c r="AL273" s="19"/>
      <c r="AM273" s="19"/>
      <c r="AN273" s="19"/>
      <c r="AO273" s="19"/>
      <c r="AZ273" s="19"/>
      <c r="BA273" s="19"/>
      <c r="BB273" s="20"/>
      <c r="BC273" s="19"/>
      <c r="BE273" s="19"/>
      <c r="BF273" s="19"/>
      <c r="BG273" s="19"/>
      <c r="BH273" s="19"/>
      <c r="BI273" s="19"/>
      <c r="BJ273" s="19"/>
      <c r="BK273" s="19"/>
      <c r="BL273" s="19"/>
    </row>
    <row r="274" spans="2:64" ht="14" x14ac:dyDescent="0.2">
      <c r="B274" s="1"/>
      <c r="C274" s="1"/>
      <c r="D274" s="1"/>
      <c r="E274" s="1"/>
      <c r="H274" s="18"/>
      <c r="I274" s="18"/>
      <c r="J274" s="18"/>
      <c r="L274" s="6"/>
      <c r="AF274" s="19"/>
      <c r="AG274" s="19"/>
      <c r="AH274" s="20"/>
      <c r="AI274" s="19"/>
      <c r="AK274" s="19"/>
      <c r="AL274" s="19"/>
      <c r="AM274" s="19"/>
      <c r="AN274" s="19"/>
      <c r="AO274" s="19"/>
      <c r="AZ274" s="19"/>
      <c r="BA274" s="19"/>
      <c r="BB274" s="20"/>
      <c r="BC274" s="19"/>
      <c r="BE274" s="19"/>
      <c r="BF274" s="19"/>
      <c r="BG274" s="19"/>
      <c r="BH274" s="19"/>
      <c r="BI274" s="19"/>
      <c r="BJ274" s="19"/>
      <c r="BK274" s="19"/>
      <c r="BL274" s="19"/>
    </row>
    <row r="275" spans="2:64" ht="14" x14ac:dyDescent="0.2">
      <c r="B275" s="1"/>
      <c r="C275" s="1"/>
      <c r="D275" s="1"/>
      <c r="E275" s="1"/>
      <c r="H275" s="18"/>
      <c r="I275" s="18"/>
      <c r="J275" s="18"/>
      <c r="L275" s="6"/>
      <c r="AF275" s="19"/>
      <c r="AG275" s="19"/>
      <c r="AH275" s="20"/>
      <c r="AI275" s="19"/>
      <c r="AK275" s="19"/>
      <c r="AL275" s="19"/>
      <c r="AM275" s="19"/>
      <c r="AN275" s="19"/>
      <c r="AO275" s="19"/>
      <c r="AZ275" s="19"/>
      <c r="BA275" s="19"/>
      <c r="BB275" s="20"/>
      <c r="BC275" s="19"/>
      <c r="BE275" s="19"/>
      <c r="BF275" s="19"/>
      <c r="BG275" s="19"/>
      <c r="BH275" s="19"/>
      <c r="BI275" s="19"/>
      <c r="BJ275" s="19"/>
      <c r="BK275" s="19"/>
      <c r="BL275" s="19"/>
    </row>
    <row r="276" spans="2:64" ht="14" x14ac:dyDescent="0.2">
      <c r="B276" s="1"/>
      <c r="C276" s="1"/>
      <c r="D276" s="1"/>
      <c r="E276" s="1"/>
      <c r="H276" s="18"/>
      <c r="I276" s="18"/>
      <c r="J276" s="18"/>
      <c r="L276" s="6"/>
      <c r="AF276" s="19"/>
      <c r="AG276" s="19"/>
      <c r="AH276" s="20"/>
      <c r="AI276" s="19"/>
      <c r="AK276" s="19"/>
      <c r="AL276" s="19"/>
      <c r="AM276" s="19"/>
      <c r="AN276" s="19"/>
      <c r="AO276" s="19"/>
      <c r="AZ276" s="19"/>
      <c r="BA276" s="19"/>
      <c r="BB276" s="20"/>
      <c r="BC276" s="19"/>
      <c r="BE276" s="19"/>
      <c r="BF276" s="19"/>
      <c r="BG276" s="19"/>
      <c r="BH276" s="19"/>
      <c r="BI276" s="19"/>
      <c r="BJ276" s="19"/>
      <c r="BK276" s="19"/>
      <c r="BL276" s="19"/>
    </row>
    <row r="277" spans="2:64" ht="14" x14ac:dyDescent="0.2">
      <c r="B277" s="1"/>
      <c r="C277" s="1"/>
      <c r="D277" s="1"/>
      <c r="E277" s="1"/>
      <c r="H277" s="18"/>
      <c r="I277" s="18"/>
      <c r="J277" s="18"/>
      <c r="L277" s="6"/>
      <c r="AF277" s="19"/>
      <c r="AG277" s="19"/>
      <c r="AH277" s="20"/>
      <c r="AI277" s="19"/>
      <c r="AK277" s="19"/>
      <c r="AL277" s="19"/>
      <c r="AM277" s="19"/>
      <c r="AN277" s="19"/>
      <c r="AO277" s="19"/>
      <c r="AZ277" s="19"/>
      <c r="BA277" s="19"/>
      <c r="BB277" s="20"/>
      <c r="BC277" s="19"/>
      <c r="BE277" s="19"/>
      <c r="BF277" s="19"/>
      <c r="BG277" s="19"/>
      <c r="BH277" s="19"/>
      <c r="BI277" s="19"/>
      <c r="BJ277" s="19"/>
      <c r="BK277" s="19"/>
      <c r="BL277" s="19"/>
    </row>
    <row r="278" spans="2:64" ht="14" x14ac:dyDescent="0.2">
      <c r="B278" s="1"/>
      <c r="C278" s="1"/>
      <c r="D278" s="1"/>
      <c r="E278" s="1"/>
      <c r="H278" s="18"/>
      <c r="I278" s="18"/>
      <c r="J278" s="18"/>
      <c r="L278" s="6"/>
      <c r="AF278" s="19"/>
      <c r="AG278" s="19"/>
      <c r="AH278" s="20"/>
      <c r="AI278" s="19"/>
      <c r="AK278" s="19"/>
      <c r="AL278" s="19"/>
      <c r="AM278" s="19"/>
      <c r="AN278" s="19"/>
      <c r="AO278" s="19"/>
      <c r="AZ278" s="19"/>
      <c r="BA278" s="19"/>
      <c r="BB278" s="20"/>
      <c r="BC278" s="19"/>
      <c r="BE278" s="19"/>
      <c r="BF278" s="19"/>
      <c r="BG278" s="19"/>
      <c r="BH278" s="19"/>
      <c r="BI278" s="19"/>
      <c r="BJ278" s="19"/>
      <c r="BK278" s="19"/>
      <c r="BL278" s="19"/>
    </row>
    <row r="279" spans="2:64" ht="14" x14ac:dyDescent="0.2">
      <c r="B279" s="1"/>
      <c r="C279" s="1"/>
      <c r="D279" s="1"/>
      <c r="E279" s="1"/>
      <c r="H279" s="18"/>
      <c r="I279" s="18"/>
      <c r="J279" s="18"/>
      <c r="L279" s="6"/>
      <c r="AF279" s="19"/>
      <c r="AG279" s="19"/>
      <c r="AH279" s="20"/>
      <c r="AI279" s="19"/>
      <c r="AK279" s="19"/>
      <c r="AL279" s="19"/>
      <c r="AM279" s="19"/>
      <c r="AN279" s="19"/>
      <c r="AO279" s="19"/>
      <c r="AZ279" s="19"/>
      <c r="BA279" s="19"/>
      <c r="BB279" s="20"/>
      <c r="BC279" s="19"/>
      <c r="BE279" s="19"/>
      <c r="BF279" s="19"/>
      <c r="BG279" s="19"/>
      <c r="BH279" s="19"/>
      <c r="BI279" s="19"/>
      <c r="BJ279" s="19"/>
      <c r="BK279" s="19"/>
      <c r="BL279" s="19"/>
    </row>
    <row r="280" spans="2:64" ht="14" x14ac:dyDescent="0.2">
      <c r="B280" s="1"/>
      <c r="C280" s="1"/>
      <c r="D280" s="1"/>
      <c r="E280" s="1"/>
      <c r="H280" s="18"/>
      <c r="I280" s="18"/>
      <c r="J280" s="18"/>
      <c r="L280" s="6"/>
      <c r="AF280" s="19"/>
      <c r="AG280" s="19"/>
      <c r="AH280" s="20"/>
      <c r="AI280" s="19"/>
      <c r="AK280" s="19"/>
      <c r="AL280" s="19"/>
      <c r="AM280" s="19"/>
      <c r="AN280" s="19"/>
      <c r="AO280" s="19"/>
      <c r="AZ280" s="19"/>
      <c r="BA280" s="19"/>
      <c r="BB280" s="20"/>
      <c r="BC280" s="19"/>
      <c r="BE280" s="19"/>
      <c r="BF280" s="19"/>
      <c r="BG280" s="19"/>
      <c r="BH280" s="19"/>
      <c r="BI280" s="19"/>
      <c r="BJ280" s="19"/>
      <c r="BK280" s="19"/>
      <c r="BL280" s="19"/>
    </row>
    <row r="281" spans="2:64" ht="14" x14ac:dyDescent="0.2">
      <c r="B281" s="1"/>
      <c r="C281" s="1"/>
      <c r="D281" s="1"/>
      <c r="E281" s="1"/>
      <c r="H281" s="18"/>
      <c r="I281" s="18"/>
      <c r="J281" s="18"/>
      <c r="L281" s="6"/>
      <c r="AF281" s="19"/>
      <c r="AG281" s="19"/>
      <c r="AH281" s="20"/>
      <c r="AI281" s="19"/>
      <c r="AK281" s="19"/>
      <c r="AL281" s="19"/>
      <c r="AM281" s="19"/>
      <c r="AN281" s="19"/>
      <c r="AO281" s="19"/>
      <c r="AZ281" s="19"/>
      <c r="BA281" s="19"/>
      <c r="BB281" s="20"/>
      <c r="BC281" s="19"/>
      <c r="BE281" s="19"/>
      <c r="BF281" s="19"/>
      <c r="BG281" s="19"/>
      <c r="BH281" s="19"/>
      <c r="BI281" s="19"/>
      <c r="BJ281" s="19"/>
      <c r="BK281" s="19"/>
      <c r="BL281" s="19"/>
    </row>
    <row r="282" spans="2:64" ht="14" x14ac:dyDescent="0.2">
      <c r="B282" s="1"/>
      <c r="C282" s="1"/>
      <c r="D282" s="1"/>
      <c r="E282" s="1"/>
      <c r="H282" s="18"/>
      <c r="I282" s="18"/>
      <c r="J282" s="18"/>
      <c r="L282" s="6"/>
      <c r="AF282" s="19"/>
      <c r="AG282" s="19"/>
      <c r="AH282" s="20"/>
      <c r="AI282" s="19"/>
      <c r="AK282" s="19"/>
      <c r="AL282" s="19"/>
      <c r="AM282" s="19"/>
      <c r="AN282" s="19"/>
      <c r="AO282" s="19"/>
      <c r="AZ282" s="19"/>
      <c r="BA282" s="19"/>
      <c r="BB282" s="20"/>
      <c r="BC282" s="19"/>
      <c r="BE282" s="19"/>
      <c r="BF282" s="19"/>
      <c r="BG282" s="19"/>
      <c r="BH282" s="19"/>
      <c r="BI282" s="19"/>
      <c r="BJ282" s="19"/>
      <c r="BK282" s="19"/>
      <c r="BL282" s="19"/>
    </row>
    <row r="283" spans="2:64" ht="14" x14ac:dyDescent="0.2">
      <c r="B283" s="1"/>
      <c r="C283" s="1"/>
      <c r="D283" s="1"/>
      <c r="E283" s="1"/>
      <c r="H283" s="18"/>
      <c r="I283" s="18"/>
      <c r="J283" s="18"/>
      <c r="L283" s="6"/>
      <c r="AF283" s="19"/>
      <c r="AG283" s="19"/>
      <c r="AH283" s="20"/>
      <c r="AI283" s="19"/>
      <c r="AK283" s="19"/>
      <c r="AL283" s="19"/>
      <c r="AM283" s="19"/>
      <c r="AN283" s="19"/>
      <c r="AO283" s="19"/>
      <c r="AZ283" s="19"/>
      <c r="BA283" s="19"/>
      <c r="BB283" s="20"/>
      <c r="BC283" s="19"/>
      <c r="BE283" s="19"/>
      <c r="BF283" s="19"/>
      <c r="BG283" s="19"/>
      <c r="BH283" s="19"/>
      <c r="BI283" s="19"/>
      <c r="BJ283" s="19"/>
      <c r="BK283" s="19"/>
      <c r="BL283" s="19"/>
    </row>
    <row r="284" spans="2:64" ht="14" x14ac:dyDescent="0.2">
      <c r="B284" s="1"/>
      <c r="C284" s="1"/>
      <c r="D284" s="1"/>
      <c r="E284" s="1"/>
      <c r="H284" s="18"/>
      <c r="I284" s="18"/>
      <c r="J284" s="18"/>
      <c r="L284" s="6"/>
      <c r="AF284" s="19"/>
      <c r="AG284" s="19"/>
      <c r="AH284" s="20"/>
      <c r="AI284" s="19"/>
      <c r="AK284" s="19"/>
      <c r="AL284" s="19"/>
      <c r="AM284" s="19"/>
      <c r="AN284" s="19"/>
      <c r="AO284" s="19"/>
      <c r="AZ284" s="19"/>
      <c r="BA284" s="19"/>
      <c r="BB284" s="20"/>
      <c r="BC284" s="19"/>
      <c r="BE284" s="19"/>
      <c r="BF284" s="19"/>
      <c r="BG284" s="19"/>
      <c r="BH284" s="19"/>
      <c r="BI284" s="19"/>
      <c r="BJ284" s="19"/>
      <c r="BK284" s="19"/>
      <c r="BL284" s="19"/>
    </row>
    <row r="285" spans="2:64" ht="14" x14ac:dyDescent="0.2">
      <c r="B285" s="1"/>
      <c r="C285" s="1"/>
      <c r="D285" s="1"/>
      <c r="E285" s="1"/>
      <c r="H285" s="18"/>
      <c r="I285" s="18"/>
      <c r="J285" s="18"/>
      <c r="L285" s="6"/>
      <c r="AF285" s="19"/>
      <c r="AG285" s="19"/>
      <c r="AH285" s="20"/>
      <c r="AI285" s="19"/>
      <c r="AK285" s="19"/>
      <c r="AL285" s="19"/>
      <c r="AM285" s="19"/>
      <c r="AN285" s="19"/>
      <c r="AO285" s="19"/>
      <c r="AZ285" s="19"/>
      <c r="BA285" s="19"/>
      <c r="BB285" s="20"/>
      <c r="BC285" s="19"/>
      <c r="BE285" s="19"/>
      <c r="BF285" s="19"/>
      <c r="BG285" s="19"/>
      <c r="BH285" s="19"/>
      <c r="BI285" s="19"/>
      <c r="BJ285" s="19"/>
      <c r="BK285" s="19"/>
      <c r="BL285" s="19"/>
    </row>
    <row r="286" spans="2:64" ht="14" x14ac:dyDescent="0.2">
      <c r="B286" s="1"/>
      <c r="C286" s="1"/>
      <c r="D286" s="1"/>
      <c r="E286" s="1"/>
      <c r="H286" s="18"/>
      <c r="I286" s="18"/>
      <c r="J286" s="18"/>
      <c r="L286" s="6"/>
      <c r="AF286" s="19"/>
      <c r="AG286" s="19"/>
      <c r="AH286" s="20"/>
      <c r="AI286" s="19"/>
      <c r="AK286" s="19"/>
      <c r="AL286" s="19"/>
      <c r="AM286" s="19"/>
      <c r="AN286" s="19"/>
      <c r="AO286" s="19"/>
      <c r="AZ286" s="19"/>
      <c r="BA286" s="19"/>
      <c r="BB286" s="20"/>
      <c r="BC286" s="19"/>
      <c r="BE286" s="19"/>
      <c r="BF286" s="19"/>
      <c r="BG286" s="19"/>
      <c r="BH286" s="19"/>
      <c r="BI286" s="19"/>
      <c r="BJ286" s="19"/>
      <c r="BK286" s="19"/>
      <c r="BL286" s="19"/>
    </row>
    <row r="287" spans="2:64" ht="14" x14ac:dyDescent="0.2">
      <c r="B287" s="1"/>
      <c r="C287" s="1"/>
      <c r="D287" s="1"/>
      <c r="E287" s="1"/>
      <c r="H287" s="18"/>
      <c r="I287" s="18"/>
      <c r="J287" s="18"/>
      <c r="L287" s="6"/>
      <c r="AF287" s="19"/>
      <c r="AG287" s="19"/>
      <c r="AH287" s="20"/>
      <c r="AI287" s="19"/>
      <c r="AK287" s="19"/>
      <c r="AL287" s="19"/>
      <c r="AM287" s="19"/>
      <c r="AN287" s="19"/>
      <c r="AO287" s="19"/>
      <c r="AZ287" s="19"/>
      <c r="BA287" s="19"/>
      <c r="BB287" s="20"/>
      <c r="BC287" s="19"/>
      <c r="BE287" s="19"/>
      <c r="BF287" s="19"/>
      <c r="BG287" s="19"/>
      <c r="BH287" s="19"/>
      <c r="BI287" s="19"/>
      <c r="BJ287" s="19"/>
      <c r="BK287" s="19"/>
      <c r="BL287" s="19"/>
    </row>
    <row r="288" spans="2:64" ht="14" x14ac:dyDescent="0.2">
      <c r="B288" s="1"/>
      <c r="C288" s="1"/>
      <c r="D288" s="1"/>
      <c r="E288" s="1"/>
      <c r="H288" s="18"/>
      <c r="I288" s="18"/>
      <c r="J288" s="18"/>
      <c r="L288" s="6"/>
      <c r="AF288" s="19"/>
      <c r="AG288" s="19"/>
      <c r="AH288" s="20"/>
      <c r="AI288" s="19"/>
      <c r="AK288" s="19"/>
      <c r="AL288" s="19"/>
      <c r="AM288" s="19"/>
      <c r="AN288" s="19"/>
      <c r="AO288" s="19"/>
      <c r="AZ288" s="19"/>
      <c r="BA288" s="19"/>
      <c r="BB288" s="20"/>
      <c r="BC288" s="19"/>
      <c r="BE288" s="19"/>
      <c r="BF288" s="19"/>
      <c r="BG288" s="19"/>
      <c r="BH288" s="19"/>
      <c r="BI288" s="19"/>
      <c r="BJ288" s="19"/>
      <c r="BK288" s="19"/>
      <c r="BL288" s="19"/>
    </row>
    <row r="289" spans="2:64" ht="14" x14ac:dyDescent="0.2">
      <c r="B289" s="1"/>
      <c r="C289" s="1"/>
      <c r="D289" s="1"/>
      <c r="E289" s="1"/>
      <c r="H289" s="18"/>
      <c r="I289" s="18"/>
      <c r="J289" s="18"/>
      <c r="L289" s="6"/>
      <c r="AF289" s="19"/>
      <c r="AG289" s="19"/>
      <c r="AH289" s="20"/>
      <c r="AI289" s="19"/>
      <c r="AK289" s="19"/>
      <c r="AL289" s="19"/>
      <c r="AM289" s="19"/>
      <c r="AN289" s="19"/>
      <c r="AO289" s="19"/>
      <c r="AZ289" s="19"/>
      <c r="BA289" s="19"/>
      <c r="BB289" s="20"/>
      <c r="BC289" s="19"/>
      <c r="BE289" s="19"/>
      <c r="BF289" s="19"/>
      <c r="BG289" s="19"/>
      <c r="BH289" s="19"/>
      <c r="BI289" s="19"/>
      <c r="BJ289" s="19"/>
      <c r="BK289" s="19"/>
      <c r="BL289" s="19"/>
    </row>
    <row r="290" spans="2:64" ht="14" x14ac:dyDescent="0.2">
      <c r="B290" s="1"/>
      <c r="C290" s="1"/>
      <c r="D290" s="1"/>
      <c r="E290" s="1"/>
      <c r="H290" s="18"/>
      <c r="I290" s="18"/>
      <c r="J290" s="18"/>
      <c r="L290" s="6"/>
      <c r="AF290" s="19"/>
      <c r="AG290" s="19"/>
      <c r="AH290" s="20"/>
      <c r="AI290" s="19"/>
      <c r="AK290" s="19"/>
      <c r="AL290" s="19"/>
      <c r="AM290" s="19"/>
      <c r="AN290" s="19"/>
      <c r="AO290" s="19"/>
      <c r="AZ290" s="19"/>
      <c r="BA290" s="19"/>
      <c r="BB290" s="20"/>
      <c r="BC290" s="19"/>
      <c r="BE290" s="19"/>
      <c r="BF290" s="19"/>
      <c r="BG290" s="19"/>
      <c r="BH290" s="19"/>
      <c r="BI290" s="19"/>
      <c r="BJ290" s="19"/>
      <c r="BK290" s="19"/>
      <c r="BL290" s="19"/>
    </row>
    <row r="291" spans="2:64" ht="14" x14ac:dyDescent="0.2">
      <c r="B291" s="1"/>
      <c r="C291" s="1"/>
      <c r="D291" s="1"/>
      <c r="E291" s="1"/>
      <c r="H291" s="18"/>
      <c r="I291" s="18"/>
      <c r="J291" s="18"/>
      <c r="L291" s="6"/>
      <c r="AF291" s="19"/>
      <c r="AG291" s="19"/>
      <c r="AH291" s="20"/>
      <c r="AI291" s="19"/>
      <c r="AK291" s="19"/>
      <c r="AL291" s="19"/>
      <c r="AM291" s="19"/>
      <c r="AN291" s="19"/>
      <c r="AO291" s="19"/>
      <c r="AZ291" s="19"/>
      <c r="BA291" s="19"/>
      <c r="BB291" s="20"/>
      <c r="BC291" s="19"/>
      <c r="BE291" s="19"/>
      <c r="BF291" s="19"/>
      <c r="BG291" s="19"/>
      <c r="BH291" s="19"/>
      <c r="BI291" s="19"/>
      <c r="BJ291" s="19"/>
      <c r="BK291" s="19"/>
      <c r="BL291" s="19"/>
    </row>
    <row r="292" spans="2:64" ht="14" x14ac:dyDescent="0.2">
      <c r="B292" s="1"/>
      <c r="C292" s="1"/>
      <c r="D292" s="1"/>
      <c r="E292" s="1"/>
      <c r="H292" s="18"/>
      <c r="I292" s="18"/>
      <c r="J292" s="18"/>
      <c r="L292" s="6"/>
      <c r="AF292" s="19"/>
      <c r="AG292" s="19"/>
      <c r="AH292" s="20"/>
      <c r="AI292" s="19"/>
      <c r="AK292" s="19"/>
      <c r="AL292" s="19"/>
      <c r="AM292" s="19"/>
      <c r="AN292" s="19"/>
      <c r="AO292" s="19"/>
      <c r="AZ292" s="19"/>
      <c r="BA292" s="19"/>
      <c r="BB292" s="20"/>
      <c r="BC292" s="19"/>
      <c r="BE292" s="19"/>
      <c r="BF292" s="19"/>
      <c r="BG292" s="19"/>
      <c r="BH292" s="19"/>
      <c r="BI292" s="19"/>
      <c r="BJ292" s="19"/>
      <c r="BK292" s="19"/>
      <c r="BL292" s="19"/>
    </row>
    <row r="293" spans="2:64" ht="14" x14ac:dyDescent="0.2">
      <c r="B293" s="1"/>
      <c r="C293" s="1"/>
      <c r="D293" s="1"/>
      <c r="E293" s="1"/>
      <c r="H293" s="18"/>
      <c r="I293" s="18"/>
      <c r="J293" s="18"/>
      <c r="L293" s="6"/>
      <c r="AF293" s="19"/>
      <c r="AG293" s="19"/>
      <c r="AH293" s="20"/>
      <c r="AI293" s="19"/>
      <c r="AK293" s="19"/>
      <c r="AL293" s="19"/>
      <c r="AM293" s="19"/>
      <c r="AN293" s="19"/>
      <c r="AO293" s="19"/>
      <c r="AZ293" s="19"/>
      <c r="BA293" s="19"/>
      <c r="BB293" s="20"/>
      <c r="BC293" s="19"/>
      <c r="BE293" s="19"/>
      <c r="BF293" s="19"/>
      <c r="BG293" s="19"/>
      <c r="BH293" s="19"/>
      <c r="BI293" s="19"/>
      <c r="BJ293" s="19"/>
      <c r="BK293" s="19"/>
      <c r="BL293" s="19"/>
    </row>
    <row r="294" spans="2:64" ht="14" x14ac:dyDescent="0.2">
      <c r="B294" s="1"/>
      <c r="C294" s="1"/>
      <c r="D294" s="1"/>
      <c r="E294" s="1"/>
      <c r="H294" s="18"/>
      <c r="I294" s="18"/>
      <c r="J294" s="18"/>
      <c r="L294" s="6"/>
      <c r="AF294" s="19"/>
      <c r="AG294" s="19"/>
      <c r="AH294" s="20"/>
      <c r="AI294" s="19"/>
      <c r="AK294" s="19"/>
      <c r="AL294" s="19"/>
      <c r="AM294" s="19"/>
      <c r="AN294" s="19"/>
      <c r="AO294" s="19"/>
      <c r="AZ294" s="19"/>
      <c r="BA294" s="19"/>
      <c r="BB294" s="20"/>
      <c r="BC294" s="19"/>
      <c r="BE294" s="19"/>
      <c r="BF294" s="19"/>
      <c r="BG294" s="19"/>
      <c r="BH294" s="19"/>
      <c r="BI294" s="19"/>
      <c r="BJ294" s="19"/>
      <c r="BK294" s="19"/>
      <c r="BL294" s="19"/>
    </row>
    <row r="295" spans="2:64" ht="14" x14ac:dyDescent="0.2">
      <c r="B295" s="1"/>
      <c r="C295" s="1"/>
      <c r="D295" s="1"/>
      <c r="E295" s="1"/>
      <c r="H295" s="18"/>
      <c r="I295" s="18"/>
      <c r="J295" s="18"/>
      <c r="L295" s="6"/>
      <c r="AF295" s="19"/>
      <c r="AG295" s="19"/>
      <c r="AH295" s="20"/>
      <c r="AI295" s="19"/>
      <c r="AK295" s="19"/>
      <c r="AL295" s="19"/>
      <c r="AM295" s="19"/>
      <c r="AN295" s="19"/>
      <c r="AO295" s="19"/>
      <c r="AZ295" s="19"/>
      <c r="BA295" s="19"/>
      <c r="BB295" s="20"/>
      <c r="BC295" s="19"/>
      <c r="BE295" s="19"/>
      <c r="BF295" s="19"/>
      <c r="BG295" s="19"/>
      <c r="BH295" s="19"/>
      <c r="BI295" s="19"/>
      <c r="BJ295" s="19"/>
      <c r="BK295" s="19"/>
      <c r="BL295" s="19"/>
    </row>
    <row r="296" spans="2:64" ht="14" x14ac:dyDescent="0.2">
      <c r="B296" s="1"/>
      <c r="C296" s="1"/>
      <c r="D296" s="1"/>
      <c r="E296" s="1"/>
      <c r="H296" s="18"/>
      <c r="I296" s="18"/>
      <c r="J296" s="18"/>
      <c r="L296" s="6"/>
      <c r="AF296" s="19"/>
      <c r="AG296" s="19"/>
      <c r="AH296" s="20"/>
      <c r="AI296" s="19"/>
      <c r="AK296" s="19"/>
      <c r="AL296" s="19"/>
      <c r="AM296" s="19"/>
      <c r="AN296" s="19"/>
      <c r="AO296" s="19"/>
      <c r="AZ296" s="19"/>
      <c r="BA296" s="19"/>
      <c r="BB296" s="20"/>
      <c r="BC296" s="19"/>
      <c r="BE296" s="19"/>
      <c r="BF296" s="19"/>
      <c r="BG296" s="19"/>
      <c r="BH296" s="19"/>
      <c r="BI296" s="19"/>
      <c r="BJ296" s="19"/>
      <c r="BK296" s="19"/>
      <c r="BL296" s="19"/>
    </row>
    <row r="297" spans="2:64" ht="14" x14ac:dyDescent="0.2">
      <c r="B297" s="1"/>
      <c r="C297" s="1"/>
      <c r="D297" s="1"/>
      <c r="E297" s="1"/>
      <c r="H297" s="18"/>
      <c r="I297" s="18"/>
      <c r="J297" s="18"/>
      <c r="L297" s="6"/>
      <c r="AF297" s="19"/>
      <c r="AG297" s="19"/>
      <c r="AH297" s="20"/>
      <c r="AI297" s="19"/>
      <c r="AK297" s="19"/>
      <c r="AL297" s="19"/>
      <c r="AM297" s="19"/>
      <c r="AN297" s="19"/>
      <c r="AO297" s="19"/>
      <c r="AZ297" s="19"/>
      <c r="BA297" s="19"/>
      <c r="BB297" s="20"/>
      <c r="BC297" s="19"/>
      <c r="BE297" s="19"/>
      <c r="BF297" s="19"/>
      <c r="BG297" s="19"/>
      <c r="BH297" s="19"/>
      <c r="BI297" s="19"/>
      <c r="BJ297" s="19"/>
      <c r="BK297" s="19"/>
      <c r="BL297" s="19"/>
    </row>
    <row r="298" spans="2:64" ht="14" x14ac:dyDescent="0.2">
      <c r="B298" s="1"/>
      <c r="C298" s="1"/>
      <c r="D298" s="1"/>
      <c r="E298" s="1"/>
      <c r="H298" s="18"/>
      <c r="I298" s="18"/>
      <c r="J298" s="18"/>
      <c r="L298" s="6"/>
      <c r="AF298" s="19"/>
      <c r="AG298" s="19"/>
      <c r="AH298" s="20"/>
      <c r="AI298" s="19"/>
      <c r="AK298" s="19"/>
      <c r="AL298" s="19"/>
      <c r="AM298" s="19"/>
      <c r="AN298" s="19"/>
      <c r="AO298" s="19"/>
      <c r="AZ298" s="19"/>
      <c r="BA298" s="19"/>
      <c r="BB298" s="20"/>
      <c r="BC298" s="19"/>
      <c r="BE298" s="19"/>
      <c r="BF298" s="19"/>
      <c r="BG298" s="19"/>
      <c r="BH298" s="19"/>
      <c r="BI298" s="19"/>
      <c r="BJ298" s="19"/>
      <c r="BK298" s="19"/>
      <c r="BL298" s="19"/>
    </row>
    <row r="299" spans="2:64" ht="14" x14ac:dyDescent="0.2">
      <c r="B299" s="1"/>
      <c r="C299" s="1"/>
      <c r="D299" s="1"/>
      <c r="E299" s="1"/>
      <c r="H299" s="18"/>
      <c r="I299" s="18"/>
      <c r="J299" s="18"/>
      <c r="L299" s="6"/>
      <c r="AF299" s="19"/>
      <c r="AG299" s="19"/>
      <c r="AH299" s="20"/>
      <c r="AI299" s="19"/>
      <c r="AK299" s="19"/>
      <c r="AL299" s="19"/>
      <c r="AM299" s="19"/>
      <c r="AN299" s="19"/>
      <c r="AO299" s="19"/>
      <c r="AZ299" s="19"/>
      <c r="BA299" s="19"/>
      <c r="BB299" s="20"/>
      <c r="BC299" s="19"/>
      <c r="BE299" s="19"/>
      <c r="BF299" s="19"/>
      <c r="BG299" s="19"/>
      <c r="BH299" s="19"/>
      <c r="BI299" s="19"/>
      <c r="BJ299" s="19"/>
      <c r="BK299" s="19"/>
      <c r="BL299" s="19"/>
    </row>
    <row r="300" spans="2:64" ht="14" x14ac:dyDescent="0.2">
      <c r="B300" s="1"/>
      <c r="C300" s="1"/>
      <c r="D300" s="1"/>
      <c r="E300" s="1"/>
      <c r="H300" s="18"/>
      <c r="I300" s="18"/>
      <c r="J300" s="18"/>
      <c r="L300" s="6"/>
      <c r="AF300" s="19"/>
      <c r="AG300" s="19"/>
      <c r="AH300" s="20"/>
      <c r="AI300" s="19"/>
      <c r="AK300" s="19"/>
      <c r="AL300" s="19"/>
      <c r="AM300" s="19"/>
      <c r="AN300" s="19"/>
      <c r="AO300" s="19"/>
      <c r="AZ300" s="19"/>
      <c r="BA300" s="19"/>
      <c r="BB300" s="20"/>
      <c r="BC300" s="19"/>
      <c r="BE300" s="19"/>
      <c r="BF300" s="19"/>
      <c r="BG300" s="19"/>
      <c r="BH300" s="19"/>
      <c r="BI300" s="19"/>
      <c r="BJ300" s="19"/>
      <c r="BK300" s="19"/>
      <c r="BL300" s="19"/>
    </row>
    <row r="301" spans="2:64" ht="14" x14ac:dyDescent="0.2">
      <c r="B301" s="1"/>
      <c r="C301" s="1"/>
      <c r="D301" s="1"/>
      <c r="E301" s="1"/>
      <c r="H301" s="18"/>
      <c r="I301" s="18"/>
      <c r="J301" s="18"/>
      <c r="L301" s="6"/>
      <c r="AF301" s="19"/>
      <c r="AG301" s="19"/>
      <c r="AH301" s="20"/>
      <c r="AI301" s="19"/>
      <c r="AK301" s="19"/>
      <c r="AL301" s="19"/>
      <c r="AM301" s="19"/>
      <c r="AN301" s="19"/>
      <c r="AO301" s="19"/>
      <c r="AZ301" s="19"/>
      <c r="BA301" s="19"/>
      <c r="BB301" s="20"/>
      <c r="BC301" s="19"/>
      <c r="BE301" s="19"/>
      <c r="BF301" s="19"/>
      <c r="BG301" s="19"/>
      <c r="BH301" s="19"/>
      <c r="BI301" s="19"/>
      <c r="BJ301" s="19"/>
      <c r="BK301" s="19"/>
      <c r="BL301" s="19"/>
    </row>
    <row r="302" spans="2:64" ht="14" x14ac:dyDescent="0.2">
      <c r="B302" s="1"/>
      <c r="C302" s="1"/>
      <c r="D302" s="1"/>
      <c r="E302" s="1"/>
      <c r="H302" s="18"/>
      <c r="I302" s="18"/>
      <c r="J302" s="18"/>
      <c r="L302" s="6"/>
      <c r="AF302" s="19"/>
      <c r="AG302" s="19"/>
      <c r="AH302" s="20"/>
      <c r="AI302" s="19"/>
      <c r="AK302" s="19"/>
      <c r="AL302" s="19"/>
      <c r="AM302" s="19"/>
      <c r="AN302" s="19"/>
      <c r="AO302" s="19"/>
      <c r="AZ302" s="19"/>
      <c r="BA302" s="19"/>
      <c r="BB302" s="20"/>
      <c r="BC302" s="19"/>
      <c r="BE302" s="19"/>
      <c r="BF302" s="19"/>
      <c r="BG302" s="19"/>
      <c r="BH302" s="19"/>
      <c r="BI302" s="19"/>
      <c r="BJ302" s="19"/>
      <c r="BK302" s="19"/>
      <c r="BL302" s="19"/>
    </row>
    <row r="303" spans="2:64" ht="14" x14ac:dyDescent="0.2">
      <c r="B303" s="1"/>
      <c r="C303" s="1"/>
      <c r="D303" s="1"/>
      <c r="E303" s="1"/>
      <c r="H303" s="18"/>
      <c r="I303" s="18"/>
      <c r="J303" s="18"/>
      <c r="L303" s="6"/>
      <c r="AF303" s="19"/>
      <c r="AG303" s="19"/>
      <c r="AH303" s="20"/>
      <c r="AI303" s="19"/>
      <c r="AK303" s="19"/>
      <c r="AL303" s="19"/>
      <c r="AM303" s="19"/>
      <c r="AN303" s="19"/>
      <c r="AO303" s="19"/>
      <c r="AZ303" s="19"/>
      <c r="BA303" s="19"/>
      <c r="BB303" s="20"/>
      <c r="BC303" s="19"/>
      <c r="BE303" s="19"/>
      <c r="BF303" s="19"/>
      <c r="BG303" s="19"/>
      <c r="BH303" s="19"/>
      <c r="BI303" s="19"/>
      <c r="BJ303" s="19"/>
      <c r="BK303" s="19"/>
      <c r="BL303" s="19"/>
    </row>
    <row r="304" spans="2:64" ht="14" x14ac:dyDescent="0.2">
      <c r="B304" s="1"/>
      <c r="C304" s="1"/>
      <c r="D304" s="1"/>
      <c r="E304" s="1"/>
      <c r="H304" s="18"/>
      <c r="I304" s="18"/>
      <c r="J304" s="18"/>
      <c r="L304" s="6"/>
      <c r="AF304" s="19"/>
      <c r="AG304" s="19"/>
      <c r="AH304" s="20"/>
      <c r="AI304" s="19"/>
      <c r="AK304" s="19"/>
      <c r="AL304" s="19"/>
      <c r="AM304" s="19"/>
      <c r="AN304" s="19"/>
      <c r="AO304" s="19"/>
      <c r="AZ304" s="19"/>
      <c r="BA304" s="19"/>
      <c r="BB304" s="20"/>
      <c r="BC304" s="19"/>
      <c r="BE304" s="19"/>
      <c r="BF304" s="19"/>
      <c r="BG304" s="19"/>
      <c r="BH304" s="19"/>
      <c r="BI304" s="19"/>
      <c r="BJ304" s="19"/>
      <c r="BK304" s="19"/>
      <c r="BL304" s="19"/>
    </row>
    <row r="305" spans="2:64" ht="14" x14ac:dyDescent="0.2">
      <c r="B305" s="1"/>
      <c r="C305" s="1"/>
      <c r="D305" s="1"/>
      <c r="E305" s="1"/>
      <c r="H305" s="18"/>
      <c r="I305" s="18"/>
      <c r="J305" s="18"/>
      <c r="L305" s="6"/>
      <c r="AF305" s="19"/>
      <c r="AG305" s="19"/>
      <c r="AH305" s="20"/>
      <c r="AI305" s="19"/>
      <c r="AK305" s="19"/>
      <c r="AL305" s="19"/>
      <c r="AM305" s="19"/>
      <c r="AN305" s="19"/>
      <c r="AO305" s="19"/>
      <c r="AZ305" s="19"/>
      <c r="BA305" s="19"/>
      <c r="BB305" s="20"/>
      <c r="BC305" s="19"/>
      <c r="BE305" s="19"/>
      <c r="BF305" s="19"/>
      <c r="BG305" s="19"/>
      <c r="BH305" s="19"/>
      <c r="BI305" s="19"/>
      <c r="BJ305" s="19"/>
      <c r="BK305" s="19"/>
      <c r="BL305" s="19"/>
    </row>
    <row r="306" spans="2:64" ht="14" x14ac:dyDescent="0.2">
      <c r="B306" s="1"/>
      <c r="C306" s="1"/>
      <c r="D306" s="1"/>
      <c r="E306" s="1"/>
      <c r="H306" s="18"/>
      <c r="I306" s="18"/>
      <c r="J306" s="18"/>
      <c r="L306" s="6"/>
      <c r="AF306" s="19"/>
      <c r="AG306" s="19"/>
      <c r="AH306" s="20"/>
      <c r="AI306" s="19"/>
      <c r="AK306" s="19"/>
      <c r="AL306" s="19"/>
      <c r="AM306" s="19"/>
      <c r="AN306" s="19"/>
      <c r="AO306" s="19"/>
      <c r="AZ306" s="19"/>
      <c r="BA306" s="19"/>
      <c r="BB306" s="20"/>
      <c r="BC306" s="19"/>
      <c r="BE306" s="19"/>
      <c r="BF306" s="19"/>
      <c r="BG306" s="19"/>
      <c r="BH306" s="19"/>
      <c r="BI306" s="19"/>
      <c r="BJ306" s="19"/>
      <c r="BK306" s="19"/>
      <c r="BL306" s="19"/>
    </row>
    <row r="307" spans="2:64" ht="14" x14ac:dyDescent="0.2">
      <c r="B307" s="1"/>
      <c r="C307" s="1"/>
      <c r="D307" s="1"/>
      <c r="E307" s="1"/>
      <c r="H307" s="18"/>
      <c r="I307" s="18"/>
      <c r="J307" s="18"/>
      <c r="L307" s="6"/>
      <c r="AF307" s="19"/>
      <c r="AG307" s="19"/>
      <c r="AH307" s="20"/>
      <c r="AI307" s="19"/>
      <c r="AK307" s="19"/>
      <c r="AL307" s="19"/>
      <c r="AM307" s="19"/>
      <c r="AN307" s="19"/>
      <c r="AO307" s="19"/>
      <c r="AZ307" s="19"/>
      <c r="BA307" s="19"/>
      <c r="BB307" s="20"/>
      <c r="BC307" s="19"/>
      <c r="BE307" s="19"/>
      <c r="BF307" s="19"/>
      <c r="BG307" s="19"/>
      <c r="BH307" s="19"/>
      <c r="BI307" s="19"/>
      <c r="BJ307" s="19"/>
      <c r="BK307" s="19"/>
      <c r="BL307" s="19"/>
    </row>
    <row r="308" spans="2:64" ht="14" x14ac:dyDescent="0.2">
      <c r="B308" s="1"/>
      <c r="C308" s="1"/>
      <c r="D308" s="1"/>
      <c r="E308" s="1"/>
      <c r="H308" s="18"/>
      <c r="I308" s="18"/>
      <c r="J308" s="18"/>
      <c r="L308" s="6"/>
      <c r="AF308" s="19"/>
      <c r="AG308" s="19"/>
      <c r="AH308" s="20"/>
      <c r="AI308" s="19"/>
      <c r="AK308" s="19"/>
      <c r="AL308" s="19"/>
      <c r="AM308" s="19"/>
      <c r="AN308" s="19"/>
      <c r="AO308" s="19"/>
      <c r="AZ308" s="19"/>
      <c r="BA308" s="19"/>
      <c r="BB308" s="20"/>
      <c r="BC308" s="19"/>
      <c r="BE308" s="19"/>
      <c r="BF308" s="19"/>
      <c r="BG308" s="19"/>
      <c r="BH308" s="19"/>
      <c r="BI308" s="19"/>
      <c r="BJ308" s="19"/>
      <c r="BK308" s="19"/>
      <c r="BL308" s="19"/>
    </row>
    <row r="309" spans="2:64" ht="14" x14ac:dyDescent="0.2">
      <c r="B309" s="1"/>
      <c r="C309" s="1"/>
      <c r="D309" s="1"/>
      <c r="E309" s="1"/>
      <c r="H309" s="18"/>
      <c r="I309" s="18"/>
      <c r="J309" s="18"/>
      <c r="L309" s="6"/>
      <c r="AF309" s="19"/>
      <c r="AG309" s="19"/>
      <c r="AH309" s="20"/>
      <c r="AI309" s="19"/>
      <c r="AK309" s="19"/>
      <c r="AL309" s="19"/>
      <c r="AM309" s="19"/>
      <c r="AN309" s="19"/>
      <c r="AO309" s="19"/>
      <c r="AZ309" s="19"/>
      <c r="BA309" s="19"/>
      <c r="BB309" s="20"/>
      <c r="BC309" s="19"/>
      <c r="BE309" s="19"/>
      <c r="BF309" s="19"/>
      <c r="BG309" s="19"/>
      <c r="BH309" s="19"/>
      <c r="BI309" s="19"/>
      <c r="BJ309" s="19"/>
      <c r="BK309" s="19"/>
      <c r="BL309" s="19"/>
    </row>
    <row r="310" spans="2:64" ht="14" x14ac:dyDescent="0.2">
      <c r="B310" s="1"/>
      <c r="C310" s="1"/>
      <c r="D310" s="1"/>
      <c r="E310" s="1"/>
      <c r="H310" s="18"/>
      <c r="I310" s="18"/>
      <c r="J310" s="18"/>
      <c r="L310" s="6"/>
      <c r="AF310" s="19"/>
      <c r="AG310" s="19"/>
      <c r="AH310" s="20"/>
      <c r="AI310" s="19"/>
      <c r="AK310" s="19"/>
      <c r="AL310" s="19"/>
      <c r="AM310" s="19"/>
      <c r="AN310" s="19"/>
      <c r="AO310" s="19"/>
      <c r="AZ310" s="19"/>
      <c r="BA310" s="19"/>
      <c r="BB310" s="20"/>
      <c r="BC310" s="19"/>
      <c r="BE310" s="19"/>
      <c r="BF310" s="19"/>
      <c r="BG310" s="19"/>
      <c r="BH310" s="19"/>
      <c r="BI310" s="19"/>
      <c r="BJ310" s="19"/>
      <c r="BK310" s="19"/>
      <c r="BL310" s="19"/>
    </row>
    <row r="311" spans="2:64" ht="14" x14ac:dyDescent="0.2">
      <c r="B311" s="1"/>
      <c r="C311" s="1"/>
      <c r="D311" s="1"/>
      <c r="E311" s="1"/>
      <c r="H311" s="18"/>
      <c r="I311" s="18"/>
      <c r="J311" s="18"/>
      <c r="L311" s="6"/>
      <c r="AF311" s="19"/>
      <c r="AG311" s="19"/>
      <c r="AH311" s="20"/>
      <c r="AI311" s="19"/>
      <c r="AK311" s="19"/>
      <c r="AL311" s="19"/>
      <c r="AM311" s="19"/>
      <c r="AN311" s="19"/>
      <c r="AO311" s="19"/>
      <c r="AZ311" s="19"/>
      <c r="BA311" s="19"/>
      <c r="BB311" s="20"/>
      <c r="BC311" s="19"/>
      <c r="BE311" s="19"/>
      <c r="BF311" s="19"/>
      <c r="BG311" s="19"/>
      <c r="BH311" s="19"/>
      <c r="BI311" s="19"/>
      <c r="BJ311" s="19"/>
      <c r="BK311" s="19"/>
      <c r="BL311" s="19"/>
    </row>
    <row r="312" spans="2:64" ht="14" x14ac:dyDescent="0.2">
      <c r="B312" s="1"/>
      <c r="C312" s="1"/>
      <c r="D312" s="1"/>
      <c r="E312" s="1"/>
      <c r="H312" s="18"/>
      <c r="I312" s="18"/>
      <c r="J312" s="18"/>
      <c r="L312" s="6"/>
      <c r="AF312" s="19"/>
      <c r="AG312" s="19"/>
      <c r="AH312" s="20"/>
      <c r="AI312" s="19"/>
      <c r="AK312" s="19"/>
      <c r="AL312" s="19"/>
      <c r="AM312" s="19"/>
      <c r="AN312" s="19"/>
      <c r="AO312" s="19"/>
      <c r="AZ312" s="19"/>
      <c r="BA312" s="19"/>
      <c r="BB312" s="20"/>
      <c r="BC312" s="19"/>
      <c r="BE312" s="19"/>
      <c r="BF312" s="19"/>
      <c r="BG312" s="19"/>
      <c r="BH312" s="19"/>
      <c r="BI312" s="19"/>
      <c r="BJ312" s="19"/>
      <c r="BK312" s="19"/>
      <c r="BL312" s="19"/>
    </row>
    <row r="313" spans="2:64" ht="14" x14ac:dyDescent="0.2">
      <c r="B313" s="1"/>
      <c r="C313" s="1"/>
      <c r="D313" s="1"/>
      <c r="E313" s="1"/>
      <c r="H313" s="18"/>
      <c r="I313" s="18"/>
      <c r="J313" s="18"/>
      <c r="L313" s="6"/>
      <c r="AF313" s="19"/>
      <c r="AG313" s="19"/>
      <c r="AH313" s="20"/>
      <c r="AI313" s="19"/>
      <c r="AK313" s="19"/>
      <c r="AL313" s="19"/>
      <c r="AM313" s="19"/>
      <c r="AN313" s="19"/>
      <c r="AO313" s="19"/>
      <c r="AZ313" s="19"/>
      <c r="BA313" s="19"/>
      <c r="BB313" s="20"/>
      <c r="BC313" s="19"/>
      <c r="BE313" s="19"/>
      <c r="BF313" s="19"/>
      <c r="BG313" s="19"/>
      <c r="BH313" s="19"/>
      <c r="BI313" s="19"/>
      <c r="BJ313" s="19"/>
      <c r="BK313" s="19"/>
      <c r="BL313" s="19"/>
    </row>
    <row r="314" spans="2:64" ht="14" x14ac:dyDescent="0.2">
      <c r="B314" s="1"/>
      <c r="C314" s="1"/>
      <c r="D314" s="1"/>
      <c r="E314" s="1"/>
      <c r="H314" s="18"/>
      <c r="I314" s="18"/>
      <c r="J314" s="18"/>
      <c r="L314" s="6"/>
      <c r="AF314" s="19"/>
      <c r="AG314" s="19"/>
      <c r="AH314" s="20"/>
      <c r="AI314" s="19"/>
      <c r="AK314" s="19"/>
      <c r="AL314" s="19"/>
      <c r="AM314" s="19"/>
      <c r="AN314" s="19"/>
      <c r="AO314" s="19"/>
      <c r="AZ314" s="19"/>
      <c r="BA314" s="19"/>
      <c r="BB314" s="20"/>
      <c r="BC314" s="19"/>
      <c r="BE314" s="19"/>
      <c r="BF314" s="19"/>
      <c r="BG314" s="19"/>
      <c r="BH314" s="19"/>
      <c r="BI314" s="19"/>
      <c r="BJ314" s="19"/>
      <c r="BK314" s="19"/>
      <c r="BL314" s="19"/>
    </row>
    <row r="315" spans="2:64" ht="14" x14ac:dyDescent="0.2">
      <c r="B315" s="1"/>
      <c r="C315" s="1"/>
      <c r="D315" s="1"/>
      <c r="E315" s="1"/>
      <c r="H315" s="18"/>
      <c r="I315" s="18"/>
      <c r="J315" s="18"/>
      <c r="L315" s="6"/>
      <c r="AF315" s="19"/>
      <c r="AG315" s="19"/>
      <c r="AH315" s="20"/>
      <c r="AI315" s="19"/>
      <c r="AK315" s="19"/>
      <c r="AL315" s="19"/>
      <c r="AM315" s="19"/>
      <c r="AN315" s="19"/>
      <c r="AO315" s="19"/>
      <c r="AZ315" s="19"/>
      <c r="BA315" s="19"/>
      <c r="BB315" s="20"/>
      <c r="BC315" s="19"/>
      <c r="BE315" s="19"/>
      <c r="BF315" s="19"/>
      <c r="BG315" s="19"/>
      <c r="BH315" s="19"/>
      <c r="BI315" s="19"/>
      <c r="BJ315" s="19"/>
      <c r="BK315" s="19"/>
      <c r="BL315" s="19"/>
    </row>
    <row r="316" spans="2:64" ht="14" x14ac:dyDescent="0.2">
      <c r="B316" s="1"/>
      <c r="C316" s="1"/>
      <c r="D316" s="1"/>
      <c r="E316" s="1"/>
      <c r="H316" s="18"/>
      <c r="I316" s="18"/>
      <c r="J316" s="18"/>
      <c r="L316" s="6"/>
      <c r="AF316" s="19"/>
      <c r="AG316" s="19"/>
      <c r="AH316" s="20"/>
      <c r="AI316" s="19"/>
      <c r="AK316" s="19"/>
      <c r="AL316" s="19"/>
      <c r="AM316" s="19"/>
      <c r="AN316" s="19"/>
      <c r="AO316" s="19"/>
      <c r="AZ316" s="19"/>
      <c r="BA316" s="19"/>
      <c r="BB316" s="20"/>
      <c r="BC316" s="19"/>
      <c r="BE316" s="19"/>
      <c r="BF316" s="19"/>
      <c r="BG316" s="19"/>
      <c r="BH316" s="19"/>
      <c r="BI316" s="19"/>
      <c r="BJ316" s="19"/>
      <c r="BK316" s="19"/>
      <c r="BL316" s="19"/>
    </row>
    <row r="317" spans="2:64" ht="14" x14ac:dyDescent="0.2">
      <c r="B317" s="1"/>
      <c r="C317" s="1"/>
      <c r="D317" s="1"/>
      <c r="E317" s="1"/>
      <c r="H317" s="18"/>
      <c r="I317" s="18"/>
      <c r="J317" s="18"/>
      <c r="L317" s="6"/>
      <c r="AF317" s="19"/>
      <c r="AG317" s="19"/>
      <c r="AH317" s="20"/>
      <c r="AI317" s="19"/>
      <c r="AK317" s="19"/>
      <c r="AL317" s="19"/>
      <c r="AM317" s="19"/>
      <c r="AN317" s="19"/>
      <c r="AO317" s="19"/>
      <c r="AZ317" s="19"/>
      <c r="BA317" s="19"/>
      <c r="BB317" s="20"/>
      <c r="BC317" s="19"/>
      <c r="BE317" s="19"/>
      <c r="BF317" s="19"/>
      <c r="BG317" s="19"/>
      <c r="BH317" s="19"/>
      <c r="BI317" s="19"/>
      <c r="BJ317" s="19"/>
      <c r="BK317" s="19"/>
      <c r="BL317" s="19"/>
    </row>
    <row r="318" spans="2:64" ht="14" x14ac:dyDescent="0.2">
      <c r="B318" s="1"/>
      <c r="C318" s="1"/>
      <c r="D318" s="1"/>
      <c r="E318" s="1"/>
      <c r="H318" s="18"/>
      <c r="I318" s="18"/>
      <c r="J318" s="18"/>
      <c r="L318" s="6"/>
      <c r="AF318" s="19"/>
      <c r="AG318" s="19"/>
      <c r="AH318" s="20"/>
      <c r="AI318" s="19"/>
      <c r="AK318" s="19"/>
      <c r="AL318" s="19"/>
      <c r="AM318" s="19"/>
      <c r="AN318" s="19"/>
      <c r="AO318" s="19"/>
      <c r="AZ318" s="19"/>
      <c r="BA318" s="19"/>
      <c r="BB318" s="20"/>
      <c r="BC318" s="19"/>
      <c r="BE318" s="19"/>
      <c r="BF318" s="19"/>
      <c r="BG318" s="19"/>
      <c r="BH318" s="19"/>
      <c r="BI318" s="19"/>
      <c r="BJ318" s="19"/>
      <c r="BK318" s="19"/>
      <c r="BL318" s="19"/>
    </row>
    <row r="319" spans="2:64" ht="14" x14ac:dyDescent="0.2">
      <c r="B319" s="1"/>
      <c r="C319" s="1"/>
      <c r="D319" s="1"/>
      <c r="E319" s="1"/>
      <c r="H319" s="18"/>
      <c r="I319" s="18"/>
      <c r="J319" s="18"/>
      <c r="L319" s="6"/>
      <c r="AF319" s="19"/>
      <c r="AG319" s="19"/>
      <c r="AH319" s="20"/>
      <c r="AI319" s="19"/>
      <c r="AK319" s="19"/>
      <c r="AL319" s="19"/>
      <c r="AM319" s="19"/>
      <c r="AN319" s="19"/>
      <c r="AO319" s="19"/>
      <c r="AZ319" s="19"/>
      <c r="BA319" s="19"/>
      <c r="BB319" s="20"/>
      <c r="BC319" s="19"/>
      <c r="BE319" s="19"/>
      <c r="BF319" s="19"/>
      <c r="BG319" s="19"/>
      <c r="BH319" s="19"/>
      <c r="BI319" s="19"/>
      <c r="BJ319" s="19"/>
      <c r="BK319" s="19"/>
      <c r="BL319" s="19"/>
    </row>
    <row r="320" spans="2:64" ht="14" x14ac:dyDescent="0.2">
      <c r="B320" s="1"/>
      <c r="C320" s="1"/>
      <c r="D320" s="1"/>
      <c r="E320" s="1"/>
      <c r="H320" s="18"/>
      <c r="I320" s="18"/>
      <c r="J320" s="18"/>
      <c r="L320" s="6"/>
      <c r="AF320" s="19"/>
      <c r="AG320" s="19"/>
      <c r="AH320" s="20"/>
      <c r="AI320" s="19"/>
      <c r="AK320" s="19"/>
      <c r="AL320" s="19"/>
      <c r="AM320" s="19"/>
      <c r="AN320" s="19"/>
      <c r="AO320" s="19"/>
      <c r="AZ320" s="19"/>
      <c r="BA320" s="19"/>
      <c r="BB320" s="20"/>
      <c r="BC320" s="19"/>
      <c r="BE320" s="19"/>
      <c r="BF320" s="19"/>
      <c r="BG320" s="19"/>
      <c r="BH320" s="19"/>
      <c r="BI320" s="19"/>
      <c r="BJ320" s="19"/>
      <c r="BK320" s="19"/>
      <c r="BL320" s="19"/>
    </row>
    <row r="321" spans="2:64" ht="14" x14ac:dyDescent="0.2">
      <c r="B321" s="1"/>
      <c r="C321" s="1"/>
      <c r="D321" s="1"/>
      <c r="E321" s="1"/>
      <c r="H321" s="18"/>
      <c r="I321" s="18"/>
      <c r="J321" s="18"/>
      <c r="L321" s="6"/>
      <c r="AF321" s="19"/>
      <c r="AG321" s="19"/>
      <c r="AH321" s="20"/>
      <c r="AI321" s="19"/>
      <c r="AK321" s="19"/>
      <c r="AL321" s="19"/>
      <c r="AM321" s="19"/>
      <c r="AN321" s="19"/>
      <c r="AO321" s="19"/>
      <c r="AZ321" s="19"/>
      <c r="BA321" s="19"/>
      <c r="BB321" s="20"/>
      <c r="BC321" s="19"/>
      <c r="BE321" s="19"/>
      <c r="BF321" s="19"/>
      <c r="BG321" s="19"/>
      <c r="BH321" s="19"/>
      <c r="BI321" s="19"/>
      <c r="BJ321" s="19"/>
      <c r="BK321" s="19"/>
      <c r="BL321" s="19"/>
    </row>
    <row r="322" spans="2:64" ht="14" x14ac:dyDescent="0.2">
      <c r="B322" s="1"/>
      <c r="C322" s="1"/>
      <c r="D322" s="1"/>
      <c r="E322" s="1"/>
      <c r="H322" s="18"/>
      <c r="I322" s="18"/>
      <c r="J322" s="18"/>
      <c r="L322" s="6"/>
      <c r="AF322" s="19"/>
      <c r="AG322" s="19"/>
      <c r="AH322" s="20"/>
      <c r="AI322" s="19"/>
      <c r="AK322" s="19"/>
      <c r="AL322" s="19"/>
      <c r="AM322" s="19"/>
      <c r="AN322" s="19"/>
      <c r="AO322" s="19"/>
      <c r="AZ322" s="19"/>
      <c r="BA322" s="19"/>
      <c r="BB322" s="20"/>
      <c r="BC322" s="19"/>
      <c r="BE322" s="19"/>
      <c r="BF322" s="19"/>
      <c r="BG322" s="19"/>
      <c r="BH322" s="19"/>
      <c r="BI322" s="19"/>
      <c r="BJ322" s="19"/>
      <c r="BK322" s="19"/>
      <c r="BL322" s="19"/>
    </row>
    <row r="323" spans="2:64" ht="14" x14ac:dyDescent="0.2">
      <c r="B323" s="1"/>
      <c r="C323" s="1"/>
      <c r="D323" s="1"/>
      <c r="E323" s="1"/>
      <c r="H323" s="18"/>
      <c r="I323" s="18"/>
      <c r="J323" s="18"/>
      <c r="L323" s="6"/>
      <c r="AF323" s="19"/>
      <c r="AG323" s="19"/>
      <c r="AH323" s="20"/>
      <c r="AI323" s="19"/>
      <c r="AK323" s="19"/>
      <c r="AL323" s="19"/>
      <c r="AM323" s="19"/>
      <c r="AN323" s="19"/>
      <c r="AO323" s="19"/>
      <c r="AZ323" s="19"/>
      <c r="BA323" s="19"/>
      <c r="BB323" s="20"/>
      <c r="BC323" s="19"/>
      <c r="BE323" s="19"/>
      <c r="BF323" s="19"/>
      <c r="BG323" s="19"/>
      <c r="BH323" s="19"/>
      <c r="BI323" s="19"/>
      <c r="BJ323" s="19"/>
      <c r="BK323" s="19"/>
      <c r="BL323" s="19"/>
    </row>
    <row r="324" spans="2:64" ht="14" x14ac:dyDescent="0.2">
      <c r="B324" s="1"/>
      <c r="C324" s="1"/>
      <c r="D324" s="1"/>
      <c r="E324" s="1"/>
      <c r="H324" s="18"/>
      <c r="I324" s="18"/>
      <c r="J324" s="18"/>
      <c r="L324" s="6"/>
      <c r="AF324" s="19"/>
      <c r="AG324" s="19"/>
      <c r="AH324" s="20"/>
      <c r="AI324" s="19"/>
      <c r="AK324" s="19"/>
      <c r="AL324" s="19"/>
      <c r="AM324" s="19"/>
      <c r="AN324" s="19"/>
      <c r="AO324" s="19"/>
      <c r="AZ324" s="19"/>
      <c r="BA324" s="19"/>
      <c r="BB324" s="20"/>
      <c r="BC324" s="19"/>
      <c r="BE324" s="19"/>
      <c r="BF324" s="19"/>
      <c r="BG324" s="19"/>
      <c r="BH324" s="19"/>
      <c r="BI324" s="19"/>
      <c r="BJ324" s="19"/>
      <c r="BK324" s="19"/>
      <c r="BL324" s="19"/>
    </row>
    <row r="325" spans="2:64" ht="14" x14ac:dyDescent="0.2">
      <c r="B325" s="1"/>
      <c r="C325" s="1"/>
      <c r="D325" s="1"/>
      <c r="E325" s="1"/>
      <c r="H325" s="18"/>
      <c r="I325" s="18"/>
      <c r="J325" s="18"/>
      <c r="L325" s="6"/>
      <c r="AF325" s="19"/>
      <c r="AG325" s="19"/>
      <c r="AH325" s="20"/>
      <c r="AI325" s="19"/>
      <c r="AK325" s="19"/>
      <c r="AL325" s="19"/>
      <c r="AM325" s="19"/>
      <c r="AN325" s="19"/>
      <c r="AO325" s="19"/>
      <c r="AZ325" s="19"/>
      <c r="BA325" s="19"/>
      <c r="BB325" s="20"/>
      <c r="BC325" s="19"/>
      <c r="BE325" s="19"/>
      <c r="BF325" s="19"/>
      <c r="BG325" s="19"/>
      <c r="BH325" s="19"/>
      <c r="BI325" s="19"/>
      <c r="BJ325" s="19"/>
      <c r="BK325" s="19"/>
      <c r="BL325" s="19"/>
    </row>
    <row r="326" spans="2:64" ht="14" x14ac:dyDescent="0.2">
      <c r="B326" s="1"/>
      <c r="C326" s="1"/>
      <c r="D326" s="1"/>
      <c r="E326" s="1"/>
      <c r="H326" s="18"/>
      <c r="I326" s="18"/>
      <c r="J326" s="18"/>
      <c r="L326" s="6"/>
      <c r="AF326" s="19"/>
      <c r="AG326" s="19"/>
      <c r="AH326" s="20"/>
      <c r="AI326" s="19"/>
      <c r="AK326" s="19"/>
      <c r="AL326" s="19"/>
      <c r="AM326" s="19"/>
      <c r="AN326" s="19"/>
      <c r="AO326" s="19"/>
      <c r="AZ326" s="19"/>
      <c r="BA326" s="19"/>
      <c r="BB326" s="20"/>
      <c r="BC326" s="19"/>
      <c r="BE326" s="19"/>
      <c r="BF326" s="19"/>
      <c r="BG326" s="19"/>
      <c r="BH326" s="19"/>
      <c r="BI326" s="19"/>
      <c r="BJ326" s="19"/>
      <c r="BK326" s="19"/>
      <c r="BL326" s="19"/>
    </row>
    <row r="327" spans="2:64" ht="14" x14ac:dyDescent="0.2">
      <c r="B327" s="1"/>
      <c r="C327" s="1"/>
      <c r="D327" s="1"/>
      <c r="E327" s="1"/>
      <c r="H327" s="18"/>
      <c r="I327" s="18"/>
      <c r="J327" s="18"/>
      <c r="L327" s="6"/>
      <c r="AF327" s="19"/>
      <c r="AG327" s="19"/>
      <c r="AH327" s="20"/>
      <c r="AI327" s="19"/>
      <c r="AK327" s="19"/>
      <c r="AL327" s="19"/>
      <c r="AM327" s="19"/>
      <c r="AN327" s="19"/>
      <c r="AO327" s="19"/>
      <c r="AZ327" s="19"/>
      <c r="BA327" s="19"/>
      <c r="BB327" s="20"/>
      <c r="BC327" s="19"/>
      <c r="BE327" s="19"/>
      <c r="BF327" s="19"/>
      <c r="BG327" s="19"/>
      <c r="BH327" s="19"/>
      <c r="BI327" s="19"/>
      <c r="BJ327" s="19"/>
      <c r="BK327" s="19"/>
      <c r="BL327" s="19"/>
    </row>
    <row r="328" spans="2:64" ht="14" x14ac:dyDescent="0.2">
      <c r="B328" s="1"/>
      <c r="C328" s="1"/>
      <c r="D328" s="1"/>
      <c r="E328" s="1"/>
      <c r="H328" s="18"/>
      <c r="I328" s="18"/>
      <c r="J328" s="18"/>
      <c r="L328" s="6"/>
      <c r="AF328" s="19"/>
      <c r="AG328" s="19"/>
      <c r="AH328" s="20"/>
      <c r="AI328" s="19"/>
      <c r="AK328" s="19"/>
      <c r="AL328" s="19"/>
      <c r="AM328" s="19"/>
      <c r="AN328" s="19"/>
      <c r="AO328" s="19"/>
      <c r="AZ328" s="19"/>
      <c r="BA328" s="19"/>
      <c r="BB328" s="20"/>
      <c r="BC328" s="19"/>
      <c r="BE328" s="19"/>
      <c r="BF328" s="19"/>
      <c r="BG328" s="19"/>
      <c r="BH328" s="19"/>
      <c r="BI328" s="19"/>
      <c r="BJ328" s="19"/>
      <c r="BK328" s="19"/>
      <c r="BL328" s="19"/>
    </row>
    <row r="329" spans="2:64" ht="14" x14ac:dyDescent="0.2">
      <c r="B329" s="1"/>
      <c r="C329" s="1"/>
      <c r="D329" s="1"/>
      <c r="E329" s="1"/>
      <c r="H329" s="18"/>
      <c r="I329" s="18"/>
      <c r="J329" s="18"/>
      <c r="L329" s="6"/>
      <c r="AF329" s="19"/>
      <c r="AG329" s="19"/>
      <c r="AH329" s="20"/>
      <c r="AI329" s="19"/>
      <c r="AK329" s="19"/>
      <c r="AL329" s="19"/>
      <c r="AM329" s="19"/>
      <c r="AN329" s="19"/>
      <c r="AO329" s="19"/>
      <c r="AZ329" s="19"/>
      <c r="BA329" s="19"/>
      <c r="BB329" s="20"/>
      <c r="BC329" s="19"/>
      <c r="BE329" s="19"/>
      <c r="BF329" s="19"/>
      <c r="BG329" s="19"/>
      <c r="BH329" s="19"/>
      <c r="BI329" s="19"/>
      <c r="BJ329" s="19"/>
      <c r="BK329" s="19"/>
      <c r="BL329" s="19"/>
    </row>
    <row r="330" spans="2:64" ht="14" x14ac:dyDescent="0.2">
      <c r="B330" s="1"/>
      <c r="C330" s="1"/>
      <c r="D330" s="1"/>
      <c r="E330" s="1"/>
      <c r="H330" s="18"/>
      <c r="I330" s="18"/>
      <c r="J330" s="18"/>
      <c r="L330" s="6"/>
      <c r="AF330" s="19"/>
      <c r="AG330" s="19"/>
      <c r="AH330" s="20"/>
      <c r="AI330" s="19"/>
      <c r="AK330" s="19"/>
      <c r="AL330" s="19"/>
      <c r="AM330" s="19"/>
      <c r="AN330" s="19"/>
      <c r="AO330" s="19"/>
      <c r="AZ330" s="19"/>
      <c r="BA330" s="19"/>
      <c r="BB330" s="20"/>
      <c r="BC330" s="19"/>
      <c r="BE330" s="19"/>
      <c r="BF330" s="19"/>
      <c r="BG330" s="19"/>
      <c r="BH330" s="19"/>
      <c r="BI330" s="19"/>
      <c r="BJ330" s="19"/>
      <c r="BK330" s="19"/>
      <c r="BL330" s="19"/>
    </row>
    <row r="331" spans="2:64" ht="14" x14ac:dyDescent="0.2">
      <c r="B331" s="1"/>
      <c r="C331" s="1"/>
      <c r="D331" s="1"/>
      <c r="E331" s="1"/>
      <c r="H331" s="18"/>
      <c r="I331" s="18"/>
      <c r="J331" s="18"/>
      <c r="L331" s="6"/>
      <c r="AF331" s="19"/>
      <c r="AG331" s="19"/>
      <c r="AH331" s="20"/>
      <c r="AI331" s="19"/>
      <c r="AK331" s="19"/>
      <c r="AL331" s="19"/>
      <c r="AM331" s="19"/>
      <c r="AN331" s="19"/>
      <c r="AO331" s="19"/>
      <c r="AZ331" s="19"/>
      <c r="BA331" s="19"/>
      <c r="BB331" s="20"/>
      <c r="BC331" s="19"/>
      <c r="BE331" s="19"/>
      <c r="BF331" s="19"/>
      <c r="BG331" s="19"/>
      <c r="BH331" s="19"/>
      <c r="BI331" s="19"/>
      <c r="BJ331" s="19"/>
      <c r="BK331" s="19"/>
      <c r="BL331" s="19"/>
    </row>
    <row r="332" spans="2:64" ht="14" x14ac:dyDescent="0.2">
      <c r="B332" s="1"/>
      <c r="C332" s="1"/>
      <c r="D332" s="1"/>
      <c r="E332" s="1"/>
      <c r="H332" s="18"/>
      <c r="I332" s="18"/>
      <c r="J332" s="18"/>
      <c r="L332" s="6"/>
      <c r="AF332" s="19"/>
      <c r="AG332" s="19"/>
      <c r="AH332" s="20"/>
      <c r="AI332" s="19"/>
      <c r="AK332" s="19"/>
      <c r="AL332" s="19"/>
      <c r="AM332" s="19"/>
      <c r="AN332" s="19"/>
      <c r="AO332" s="19"/>
      <c r="AZ332" s="19"/>
      <c r="BA332" s="19"/>
      <c r="BB332" s="20"/>
      <c r="BC332" s="19"/>
      <c r="BE332" s="19"/>
      <c r="BF332" s="19"/>
      <c r="BG332" s="19"/>
      <c r="BH332" s="19"/>
      <c r="BI332" s="19"/>
      <c r="BJ332" s="19"/>
      <c r="BK332" s="19"/>
      <c r="BL332" s="19"/>
    </row>
    <row r="333" spans="2:64" ht="14" x14ac:dyDescent="0.2">
      <c r="B333" s="1"/>
      <c r="C333" s="1"/>
      <c r="D333" s="1"/>
      <c r="E333" s="1"/>
      <c r="H333" s="18"/>
      <c r="I333" s="18"/>
      <c r="J333" s="18"/>
      <c r="L333" s="6"/>
      <c r="AF333" s="19"/>
      <c r="AG333" s="19"/>
      <c r="AH333" s="20"/>
      <c r="AI333" s="19"/>
      <c r="AK333" s="19"/>
      <c r="AL333" s="19"/>
      <c r="AM333" s="19"/>
      <c r="AN333" s="19"/>
      <c r="AO333" s="19"/>
      <c r="AZ333" s="19"/>
      <c r="BA333" s="19"/>
      <c r="BB333" s="20"/>
      <c r="BC333" s="19"/>
      <c r="BE333" s="19"/>
      <c r="BF333" s="19"/>
      <c r="BG333" s="19"/>
      <c r="BH333" s="19"/>
      <c r="BI333" s="19"/>
      <c r="BJ333" s="19"/>
      <c r="BK333" s="19"/>
      <c r="BL333" s="19"/>
    </row>
    <row r="334" spans="2:64" ht="14" x14ac:dyDescent="0.2">
      <c r="B334" s="1"/>
      <c r="C334" s="1"/>
      <c r="D334" s="1"/>
      <c r="E334" s="1"/>
      <c r="H334" s="18"/>
      <c r="I334" s="18"/>
      <c r="J334" s="18"/>
      <c r="L334" s="6"/>
      <c r="AF334" s="19"/>
      <c r="AG334" s="19"/>
      <c r="AH334" s="20"/>
      <c r="AI334" s="19"/>
      <c r="AK334" s="19"/>
      <c r="AL334" s="19"/>
      <c r="AM334" s="19"/>
      <c r="AN334" s="19"/>
      <c r="AO334" s="19"/>
      <c r="AZ334" s="19"/>
      <c r="BA334" s="19"/>
      <c r="BB334" s="20"/>
      <c r="BC334" s="19"/>
      <c r="BE334" s="19"/>
      <c r="BF334" s="19"/>
      <c r="BG334" s="19"/>
      <c r="BH334" s="19"/>
      <c r="BI334" s="19"/>
      <c r="BJ334" s="19"/>
      <c r="BK334" s="19"/>
      <c r="BL334" s="19"/>
    </row>
    <row r="335" spans="2:64" ht="14" x14ac:dyDescent="0.2">
      <c r="B335" s="1"/>
      <c r="C335" s="1"/>
      <c r="D335" s="1"/>
      <c r="E335" s="1"/>
      <c r="H335" s="18"/>
      <c r="I335" s="18"/>
      <c r="J335" s="18"/>
      <c r="L335" s="6"/>
      <c r="AF335" s="19"/>
      <c r="AG335" s="19"/>
      <c r="AH335" s="20"/>
      <c r="AI335" s="19"/>
      <c r="AK335" s="19"/>
      <c r="AL335" s="19"/>
      <c r="AM335" s="19"/>
      <c r="AN335" s="19"/>
      <c r="AO335" s="19"/>
      <c r="AZ335" s="19"/>
      <c r="BA335" s="19"/>
      <c r="BB335" s="20"/>
      <c r="BC335" s="19"/>
      <c r="BE335" s="19"/>
      <c r="BF335" s="19"/>
      <c r="BG335" s="19"/>
      <c r="BH335" s="19"/>
      <c r="BI335" s="19"/>
      <c r="BJ335" s="19"/>
      <c r="BK335" s="19"/>
      <c r="BL335" s="19"/>
    </row>
    <row r="336" spans="2:64" ht="14" x14ac:dyDescent="0.2">
      <c r="B336" s="1"/>
      <c r="C336" s="1"/>
      <c r="D336" s="1"/>
      <c r="E336" s="1"/>
      <c r="H336" s="18"/>
      <c r="I336" s="18"/>
      <c r="J336" s="18"/>
      <c r="L336" s="6"/>
      <c r="AF336" s="19"/>
      <c r="AG336" s="19"/>
      <c r="AH336" s="20"/>
      <c r="AI336" s="19"/>
      <c r="AK336" s="19"/>
      <c r="AL336" s="19"/>
      <c r="AM336" s="19"/>
      <c r="AN336" s="19"/>
      <c r="AO336" s="19"/>
      <c r="AZ336" s="19"/>
      <c r="BA336" s="19"/>
      <c r="BB336" s="20"/>
      <c r="BC336" s="19"/>
      <c r="BE336" s="19"/>
      <c r="BF336" s="19"/>
      <c r="BG336" s="19"/>
      <c r="BH336" s="19"/>
      <c r="BI336" s="19"/>
      <c r="BJ336" s="19"/>
      <c r="BK336" s="19"/>
      <c r="BL336" s="19"/>
    </row>
    <row r="337" spans="2:64" ht="14" x14ac:dyDescent="0.2">
      <c r="B337" s="1"/>
      <c r="C337" s="1"/>
      <c r="D337" s="1"/>
      <c r="E337" s="1"/>
      <c r="H337" s="18"/>
      <c r="I337" s="18"/>
      <c r="J337" s="18"/>
      <c r="L337" s="6"/>
      <c r="AF337" s="19"/>
      <c r="AG337" s="19"/>
      <c r="AH337" s="20"/>
      <c r="AI337" s="19"/>
      <c r="AK337" s="19"/>
      <c r="AL337" s="19"/>
      <c r="AM337" s="19"/>
      <c r="AN337" s="19"/>
      <c r="AO337" s="19"/>
      <c r="AZ337" s="19"/>
      <c r="BA337" s="19"/>
      <c r="BB337" s="20"/>
      <c r="BC337" s="19"/>
      <c r="BE337" s="19"/>
      <c r="BF337" s="19"/>
      <c r="BG337" s="19"/>
      <c r="BH337" s="19"/>
      <c r="BI337" s="19"/>
      <c r="BJ337" s="19"/>
      <c r="BK337" s="19"/>
      <c r="BL337" s="19"/>
    </row>
    <row r="338" spans="2:64" ht="14" x14ac:dyDescent="0.2">
      <c r="B338" s="1"/>
      <c r="C338" s="1"/>
      <c r="D338" s="1"/>
      <c r="E338" s="1"/>
      <c r="H338" s="18"/>
      <c r="I338" s="18"/>
      <c r="J338" s="18"/>
      <c r="L338" s="6"/>
      <c r="AF338" s="19"/>
      <c r="AG338" s="19"/>
      <c r="AH338" s="20"/>
      <c r="AI338" s="19"/>
      <c r="AK338" s="19"/>
      <c r="AL338" s="19"/>
      <c r="AM338" s="19"/>
      <c r="AN338" s="19"/>
      <c r="AO338" s="19"/>
      <c r="AZ338" s="19"/>
      <c r="BA338" s="19"/>
      <c r="BB338" s="20"/>
      <c r="BC338" s="19"/>
      <c r="BE338" s="19"/>
      <c r="BF338" s="19"/>
      <c r="BG338" s="19"/>
      <c r="BH338" s="19"/>
      <c r="BI338" s="19"/>
      <c r="BJ338" s="19"/>
      <c r="BK338" s="19"/>
      <c r="BL338" s="19"/>
    </row>
    <row r="339" spans="2:64" ht="14" x14ac:dyDescent="0.2">
      <c r="B339" s="1"/>
      <c r="C339" s="1"/>
      <c r="D339" s="1"/>
      <c r="E339" s="1"/>
      <c r="H339" s="18"/>
      <c r="I339" s="18"/>
      <c r="J339" s="18"/>
      <c r="L339" s="6"/>
      <c r="AF339" s="19"/>
      <c r="AG339" s="19"/>
      <c r="AH339" s="20"/>
      <c r="AI339" s="19"/>
      <c r="AK339" s="19"/>
      <c r="AL339" s="19"/>
      <c r="AM339" s="19"/>
      <c r="AN339" s="19"/>
      <c r="AO339" s="19"/>
      <c r="AZ339" s="19"/>
      <c r="BA339" s="19"/>
      <c r="BB339" s="20"/>
      <c r="BC339" s="19"/>
      <c r="BE339" s="19"/>
      <c r="BF339" s="19"/>
      <c r="BG339" s="19"/>
      <c r="BH339" s="19"/>
      <c r="BI339" s="19"/>
      <c r="BJ339" s="19"/>
      <c r="BK339" s="19"/>
      <c r="BL339" s="19"/>
    </row>
    <row r="340" spans="2:64" ht="14" x14ac:dyDescent="0.2">
      <c r="B340" s="1"/>
      <c r="C340" s="1"/>
      <c r="D340" s="1"/>
      <c r="E340" s="1"/>
      <c r="H340" s="18"/>
      <c r="I340" s="18"/>
      <c r="J340" s="18"/>
      <c r="L340" s="6"/>
      <c r="AF340" s="19"/>
      <c r="AG340" s="19"/>
      <c r="AH340" s="20"/>
      <c r="AI340" s="19"/>
      <c r="AK340" s="19"/>
      <c r="AL340" s="19"/>
      <c r="AM340" s="19"/>
      <c r="AN340" s="19"/>
      <c r="AO340" s="19"/>
      <c r="AZ340" s="19"/>
      <c r="BA340" s="19"/>
      <c r="BB340" s="20"/>
      <c r="BC340" s="19"/>
      <c r="BE340" s="19"/>
      <c r="BF340" s="19"/>
      <c r="BG340" s="19"/>
      <c r="BH340" s="19"/>
      <c r="BI340" s="19"/>
      <c r="BJ340" s="19"/>
      <c r="BK340" s="19"/>
      <c r="BL340" s="19"/>
    </row>
    <row r="341" spans="2:64" ht="14" x14ac:dyDescent="0.2">
      <c r="B341" s="1"/>
      <c r="C341" s="1"/>
      <c r="D341" s="1"/>
      <c r="E341" s="1"/>
      <c r="H341" s="18"/>
      <c r="I341" s="18"/>
      <c r="J341" s="18"/>
      <c r="L341" s="6"/>
      <c r="AF341" s="19"/>
      <c r="AG341" s="19"/>
      <c r="AH341" s="20"/>
      <c r="AI341" s="19"/>
      <c r="AK341" s="19"/>
      <c r="AL341" s="19"/>
      <c r="AM341" s="19"/>
      <c r="AN341" s="19"/>
      <c r="AO341" s="19"/>
      <c r="AZ341" s="19"/>
      <c r="BA341" s="19"/>
      <c r="BB341" s="20"/>
      <c r="BC341" s="19"/>
      <c r="BE341" s="19"/>
      <c r="BF341" s="19"/>
      <c r="BG341" s="19"/>
      <c r="BH341" s="19"/>
      <c r="BI341" s="19"/>
      <c r="BJ341" s="19"/>
      <c r="BK341" s="19"/>
      <c r="BL341" s="19"/>
    </row>
    <row r="342" spans="2:64" ht="14" x14ac:dyDescent="0.2">
      <c r="B342" s="1"/>
      <c r="C342" s="1"/>
      <c r="D342" s="1"/>
      <c r="E342" s="1"/>
      <c r="H342" s="18"/>
      <c r="I342" s="18"/>
      <c r="J342" s="18"/>
      <c r="L342" s="6"/>
      <c r="AF342" s="19"/>
      <c r="AG342" s="19"/>
      <c r="AH342" s="20"/>
      <c r="AI342" s="19"/>
      <c r="AK342" s="19"/>
      <c r="AL342" s="19"/>
      <c r="AM342" s="19"/>
      <c r="AN342" s="19"/>
      <c r="AO342" s="19"/>
      <c r="AZ342" s="19"/>
      <c r="BA342" s="19"/>
      <c r="BB342" s="20"/>
      <c r="BC342" s="19"/>
      <c r="BE342" s="19"/>
      <c r="BF342" s="19"/>
      <c r="BG342" s="19"/>
      <c r="BH342" s="19"/>
      <c r="BI342" s="19"/>
      <c r="BJ342" s="19"/>
      <c r="BK342" s="19"/>
      <c r="BL342" s="19"/>
    </row>
    <row r="343" spans="2:64" ht="14" x14ac:dyDescent="0.2">
      <c r="B343" s="1"/>
      <c r="C343" s="1"/>
      <c r="D343" s="1"/>
      <c r="E343" s="1"/>
      <c r="H343" s="18"/>
      <c r="I343" s="18"/>
      <c r="J343" s="18"/>
      <c r="L343" s="6"/>
      <c r="AF343" s="19"/>
      <c r="AG343" s="19"/>
      <c r="AH343" s="20"/>
      <c r="AI343" s="19"/>
      <c r="AK343" s="19"/>
      <c r="AL343" s="19"/>
      <c r="AM343" s="19"/>
      <c r="AN343" s="19"/>
      <c r="AO343" s="19"/>
      <c r="AZ343" s="19"/>
      <c r="BA343" s="19"/>
      <c r="BB343" s="20"/>
      <c r="BC343" s="19"/>
      <c r="BE343" s="19"/>
      <c r="BF343" s="19"/>
      <c r="BG343" s="19"/>
      <c r="BH343" s="19"/>
      <c r="BI343" s="19"/>
      <c r="BJ343" s="19"/>
      <c r="BK343" s="19"/>
      <c r="BL343" s="19"/>
    </row>
    <row r="344" spans="2:64" ht="14" x14ac:dyDescent="0.2">
      <c r="B344" s="1"/>
      <c r="C344" s="1"/>
      <c r="D344" s="1"/>
      <c r="E344" s="1"/>
      <c r="H344" s="18"/>
      <c r="I344" s="18"/>
      <c r="J344" s="18"/>
      <c r="L344" s="6"/>
      <c r="AF344" s="19"/>
      <c r="AG344" s="19"/>
      <c r="AH344" s="20"/>
      <c r="AI344" s="19"/>
      <c r="AK344" s="19"/>
      <c r="AL344" s="19"/>
      <c r="AM344" s="19"/>
      <c r="AN344" s="19"/>
      <c r="AO344" s="19"/>
      <c r="AZ344" s="19"/>
      <c r="BA344" s="19"/>
      <c r="BB344" s="20"/>
      <c r="BC344" s="19"/>
      <c r="BE344" s="19"/>
      <c r="BF344" s="19"/>
      <c r="BG344" s="19"/>
      <c r="BH344" s="19"/>
      <c r="BI344" s="19"/>
      <c r="BJ344" s="19"/>
      <c r="BK344" s="19"/>
      <c r="BL344" s="19"/>
    </row>
    <row r="345" spans="2:64" ht="14" x14ac:dyDescent="0.2">
      <c r="B345" s="1"/>
      <c r="C345" s="1"/>
      <c r="D345" s="1"/>
      <c r="E345" s="1"/>
      <c r="H345" s="18"/>
      <c r="I345" s="18"/>
      <c r="J345" s="18"/>
      <c r="L345" s="6"/>
      <c r="AF345" s="19"/>
      <c r="AG345" s="19"/>
      <c r="AH345" s="20"/>
      <c r="AI345" s="19"/>
      <c r="AK345" s="19"/>
      <c r="AL345" s="19"/>
      <c r="AM345" s="19"/>
      <c r="AN345" s="19"/>
      <c r="AO345" s="19"/>
      <c r="AZ345" s="19"/>
      <c r="BA345" s="19"/>
      <c r="BB345" s="20"/>
      <c r="BC345" s="19"/>
      <c r="BE345" s="19"/>
      <c r="BF345" s="19"/>
      <c r="BG345" s="19"/>
      <c r="BH345" s="19"/>
      <c r="BI345" s="19"/>
      <c r="BJ345" s="19"/>
      <c r="BK345" s="19"/>
      <c r="BL345" s="19"/>
    </row>
    <row r="346" spans="2:64" ht="14" x14ac:dyDescent="0.2">
      <c r="B346" s="1"/>
      <c r="C346" s="1"/>
      <c r="D346" s="1"/>
      <c r="E346" s="1"/>
      <c r="H346" s="18"/>
      <c r="I346" s="18"/>
      <c r="J346" s="18"/>
      <c r="L346" s="6"/>
      <c r="AF346" s="19"/>
      <c r="AG346" s="19"/>
      <c r="AH346" s="20"/>
      <c r="AI346" s="19"/>
      <c r="AK346" s="19"/>
      <c r="AL346" s="19"/>
      <c r="AM346" s="19"/>
      <c r="AN346" s="19"/>
      <c r="AO346" s="19"/>
      <c r="AZ346" s="19"/>
      <c r="BA346" s="19"/>
      <c r="BB346" s="20"/>
      <c r="BC346" s="19"/>
      <c r="BE346" s="19"/>
      <c r="BF346" s="19"/>
      <c r="BG346" s="19"/>
      <c r="BH346" s="19"/>
      <c r="BI346" s="19"/>
      <c r="BJ346" s="19"/>
      <c r="BK346" s="19"/>
      <c r="BL346" s="19"/>
    </row>
    <row r="347" spans="2:64" ht="14" x14ac:dyDescent="0.2">
      <c r="B347" s="1"/>
      <c r="C347" s="1"/>
      <c r="D347" s="1"/>
      <c r="E347" s="1"/>
      <c r="H347" s="18"/>
      <c r="I347" s="18"/>
      <c r="J347" s="18"/>
      <c r="L347" s="6"/>
      <c r="AF347" s="19"/>
      <c r="AG347" s="19"/>
      <c r="AH347" s="20"/>
      <c r="AI347" s="19"/>
      <c r="AK347" s="19"/>
      <c r="AL347" s="19"/>
      <c r="AM347" s="19"/>
      <c r="AN347" s="19"/>
      <c r="AO347" s="19"/>
      <c r="AZ347" s="19"/>
      <c r="BA347" s="19"/>
      <c r="BB347" s="20"/>
      <c r="BC347" s="19"/>
      <c r="BE347" s="19"/>
      <c r="BF347" s="19"/>
      <c r="BG347" s="19"/>
      <c r="BH347" s="19"/>
      <c r="BI347" s="19"/>
      <c r="BJ347" s="19"/>
      <c r="BK347" s="19"/>
      <c r="BL347" s="19"/>
    </row>
    <row r="348" spans="2:64" ht="14" x14ac:dyDescent="0.2">
      <c r="B348" s="1"/>
      <c r="C348" s="1"/>
      <c r="D348" s="1"/>
      <c r="E348" s="1"/>
      <c r="H348" s="18"/>
      <c r="I348" s="18"/>
      <c r="J348" s="18"/>
      <c r="L348" s="6"/>
      <c r="AF348" s="19"/>
      <c r="AG348" s="19"/>
      <c r="AH348" s="20"/>
      <c r="AI348" s="19"/>
      <c r="AK348" s="19"/>
      <c r="AL348" s="19"/>
      <c r="AM348" s="19"/>
      <c r="AN348" s="19"/>
      <c r="AO348" s="19"/>
      <c r="AZ348" s="19"/>
      <c r="BA348" s="19"/>
      <c r="BB348" s="20"/>
      <c r="BC348" s="19"/>
      <c r="BE348" s="19"/>
      <c r="BF348" s="19"/>
      <c r="BG348" s="19"/>
      <c r="BH348" s="19"/>
      <c r="BI348" s="19"/>
      <c r="BJ348" s="19"/>
      <c r="BK348" s="19"/>
      <c r="BL348" s="19"/>
    </row>
    <row r="349" spans="2:64" ht="14" x14ac:dyDescent="0.2">
      <c r="B349" s="1"/>
      <c r="C349" s="1"/>
      <c r="D349" s="1"/>
      <c r="E349" s="1"/>
      <c r="H349" s="18"/>
      <c r="I349" s="18"/>
      <c r="J349" s="18"/>
      <c r="L349" s="6"/>
      <c r="AF349" s="19"/>
      <c r="AG349" s="19"/>
      <c r="AH349" s="20"/>
      <c r="AI349" s="19"/>
      <c r="AK349" s="19"/>
      <c r="AL349" s="19"/>
      <c r="AM349" s="19"/>
      <c r="AN349" s="19"/>
      <c r="AO349" s="19"/>
      <c r="AZ349" s="19"/>
      <c r="BA349" s="19"/>
      <c r="BB349" s="20"/>
      <c r="BC349" s="19"/>
      <c r="BE349" s="19"/>
      <c r="BF349" s="19"/>
      <c r="BG349" s="19"/>
      <c r="BH349" s="19"/>
      <c r="BI349" s="19"/>
      <c r="BJ349" s="19"/>
      <c r="BK349" s="19"/>
      <c r="BL349" s="19"/>
    </row>
    <row r="350" spans="2:64" ht="14" x14ac:dyDescent="0.2">
      <c r="B350" s="1"/>
      <c r="C350" s="1"/>
      <c r="D350" s="1"/>
      <c r="E350" s="1"/>
      <c r="H350" s="18"/>
      <c r="I350" s="18"/>
      <c r="J350" s="18"/>
      <c r="L350" s="6"/>
      <c r="AF350" s="19"/>
      <c r="AG350" s="19"/>
      <c r="AH350" s="20"/>
      <c r="AI350" s="19"/>
      <c r="AK350" s="19"/>
      <c r="AL350" s="19"/>
      <c r="AM350" s="19"/>
      <c r="AN350" s="19"/>
      <c r="AO350" s="19"/>
      <c r="AZ350" s="19"/>
      <c r="BA350" s="19"/>
      <c r="BB350" s="20"/>
      <c r="BC350" s="19"/>
      <c r="BE350" s="19"/>
      <c r="BF350" s="19"/>
      <c r="BG350" s="19"/>
      <c r="BH350" s="19"/>
      <c r="BI350" s="19"/>
      <c r="BJ350" s="19"/>
      <c r="BK350" s="19"/>
      <c r="BL350" s="19"/>
    </row>
    <row r="351" spans="2:64" ht="14" x14ac:dyDescent="0.2">
      <c r="B351" s="1"/>
      <c r="C351" s="1"/>
      <c r="D351" s="1"/>
      <c r="E351" s="1"/>
      <c r="H351" s="18"/>
      <c r="I351" s="18"/>
      <c r="J351" s="18"/>
      <c r="L351" s="6"/>
      <c r="AF351" s="19"/>
      <c r="AG351" s="19"/>
      <c r="AH351" s="20"/>
      <c r="AI351" s="19"/>
      <c r="AK351" s="19"/>
      <c r="AL351" s="19"/>
      <c r="AM351" s="19"/>
      <c r="AN351" s="19"/>
      <c r="AO351" s="19"/>
      <c r="AZ351" s="19"/>
      <c r="BA351" s="19"/>
      <c r="BB351" s="20"/>
      <c r="BC351" s="19"/>
      <c r="BE351" s="19"/>
      <c r="BF351" s="19"/>
      <c r="BG351" s="19"/>
      <c r="BH351" s="19"/>
      <c r="BI351" s="19"/>
      <c r="BJ351" s="19"/>
      <c r="BK351" s="19"/>
      <c r="BL351" s="19"/>
    </row>
    <row r="352" spans="2:64" ht="14" x14ac:dyDescent="0.2">
      <c r="B352" s="1"/>
      <c r="C352" s="1"/>
      <c r="D352" s="1"/>
      <c r="E352" s="1"/>
      <c r="H352" s="18"/>
      <c r="I352" s="18"/>
      <c r="J352" s="18"/>
      <c r="L352" s="6"/>
      <c r="AF352" s="19"/>
      <c r="AG352" s="19"/>
      <c r="AH352" s="20"/>
      <c r="AI352" s="19"/>
      <c r="AK352" s="19"/>
      <c r="AL352" s="19"/>
      <c r="AM352" s="19"/>
      <c r="AN352" s="19"/>
      <c r="AO352" s="19"/>
      <c r="AZ352" s="19"/>
      <c r="BA352" s="19"/>
      <c r="BB352" s="20"/>
      <c r="BC352" s="19"/>
      <c r="BE352" s="19"/>
      <c r="BF352" s="19"/>
      <c r="BG352" s="19"/>
      <c r="BH352" s="19"/>
      <c r="BI352" s="19"/>
      <c r="BJ352" s="19"/>
      <c r="BK352" s="19"/>
      <c r="BL352" s="19"/>
    </row>
    <row r="353" spans="2:64" ht="14" x14ac:dyDescent="0.2">
      <c r="B353" s="1"/>
      <c r="C353" s="1"/>
      <c r="D353" s="1"/>
      <c r="E353" s="1"/>
      <c r="H353" s="18"/>
      <c r="I353" s="18"/>
      <c r="J353" s="18"/>
      <c r="L353" s="6"/>
      <c r="AF353" s="19"/>
      <c r="AG353" s="19"/>
      <c r="AH353" s="20"/>
      <c r="AI353" s="19"/>
      <c r="AK353" s="19"/>
      <c r="AL353" s="19"/>
      <c r="AM353" s="19"/>
      <c r="AN353" s="19"/>
      <c r="AO353" s="19"/>
      <c r="AZ353" s="19"/>
      <c r="BA353" s="19"/>
      <c r="BB353" s="20"/>
      <c r="BC353" s="19"/>
      <c r="BE353" s="19"/>
      <c r="BF353" s="19"/>
      <c r="BG353" s="19"/>
      <c r="BH353" s="19"/>
      <c r="BI353" s="19"/>
      <c r="BJ353" s="19"/>
      <c r="BK353" s="19"/>
      <c r="BL353" s="19"/>
    </row>
    <row r="354" spans="2:64" ht="14" x14ac:dyDescent="0.2">
      <c r="B354" s="1"/>
      <c r="C354" s="1"/>
      <c r="D354" s="1"/>
      <c r="E354" s="1"/>
      <c r="H354" s="18"/>
      <c r="I354" s="18"/>
      <c r="J354" s="18"/>
      <c r="L354" s="6"/>
      <c r="AF354" s="19"/>
      <c r="AG354" s="19"/>
      <c r="AH354" s="20"/>
      <c r="AI354" s="19"/>
      <c r="AK354" s="19"/>
      <c r="AL354" s="19"/>
      <c r="AM354" s="19"/>
      <c r="AN354" s="19"/>
      <c r="AO354" s="19"/>
      <c r="AZ354" s="19"/>
      <c r="BA354" s="19"/>
      <c r="BB354" s="20"/>
      <c r="BC354" s="19"/>
      <c r="BE354" s="19"/>
      <c r="BF354" s="19"/>
      <c r="BG354" s="19"/>
      <c r="BH354" s="19"/>
      <c r="BI354" s="19"/>
      <c r="BJ354" s="19"/>
      <c r="BK354" s="19"/>
      <c r="BL354" s="19"/>
    </row>
    <row r="355" spans="2:64" ht="14" x14ac:dyDescent="0.2">
      <c r="B355" s="1"/>
      <c r="C355" s="1"/>
      <c r="D355" s="1"/>
      <c r="E355" s="1"/>
      <c r="H355" s="18"/>
      <c r="I355" s="18"/>
      <c r="J355" s="18"/>
      <c r="L355" s="6"/>
      <c r="AF355" s="19"/>
      <c r="AG355" s="19"/>
      <c r="AH355" s="20"/>
      <c r="AI355" s="19"/>
      <c r="AK355" s="19"/>
      <c r="AL355" s="19"/>
      <c r="AM355" s="19"/>
      <c r="AN355" s="19"/>
      <c r="AO355" s="19"/>
      <c r="AZ355" s="19"/>
      <c r="BA355" s="19"/>
      <c r="BB355" s="20"/>
      <c r="BC355" s="19"/>
      <c r="BE355" s="19"/>
      <c r="BF355" s="19"/>
      <c r="BG355" s="19"/>
      <c r="BH355" s="19"/>
      <c r="BI355" s="19"/>
      <c r="BJ355" s="19"/>
      <c r="BK355" s="19"/>
      <c r="BL355" s="19"/>
    </row>
    <row r="356" spans="2:64" ht="14" x14ac:dyDescent="0.2">
      <c r="B356" s="1"/>
      <c r="C356" s="1"/>
      <c r="D356" s="1"/>
      <c r="E356" s="1"/>
      <c r="H356" s="18"/>
      <c r="I356" s="18"/>
      <c r="J356" s="18"/>
      <c r="L356" s="6"/>
      <c r="AF356" s="19"/>
      <c r="AG356" s="19"/>
      <c r="AH356" s="20"/>
      <c r="AI356" s="19"/>
      <c r="AK356" s="19"/>
      <c r="AL356" s="19"/>
      <c r="AM356" s="19"/>
      <c r="AN356" s="19"/>
      <c r="AO356" s="19"/>
      <c r="AZ356" s="19"/>
      <c r="BA356" s="19"/>
      <c r="BB356" s="20"/>
      <c r="BC356" s="19"/>
      <c r="BE356" s="19"/>
      <c r="BF356" s="19"/>
      <c r="BG356" s="19"/>
      <c r="BH356" s="19"/>
      <c r="BI356" s="19"/>
      <c r="BJ356" s="19"/>
      <c r="BK356" s="19"/>
      <c r="BL356" s="19"/>
    </row>
    <row r="357" spans="2:64" ht="14" x14ac:dyDescent="0.2">
      <c r="B357" s="1"/>
      <c r="C357" s="1"/>
      <c r="D357" s="1"/>
      <c r="E357" s="1"/>
      <c r="H357" s="18"/>
      <c r="I357" s="18"/>
      <c r="J357" s="18"/>
      <c r="L357" s="6"/>
      <c r="AF357" s="19"/>
      <c r="AG357" s="19"/>
      <c r="AH357" s="20"/>
      <c r="AI357" s="19"/>
      <c r="AK357" s="19"/>
      <c r="AL357" s="19"/>
      <c r="AM357" s="19"/>
      <c r="AN357" s="19"/>
      <c r="AO357" s="19"/>
      <c r="AZ357" s="19"/>
      <c r="BA357" s="19"/>
      <c r="BB357" s="20"/>
      <c r="BC357" s="19"/>
      <c r="BE357" s="19"/>
      <c r="BF357" s="19"/>
      <c r="BG357" s="19"/>
      <c r="BH357" s="19"/>
      <c r="BI357" s="19"/>
      <c r="BJ357" s="19"/>
      <c r="BK357" s="19"/>
      <c r="BL357" s="19"/>
    </row>
    <row r="358" spans="2:64" ht="14" x14ac:dyDescent="0.2">
      <c r="B358" s="1"/>
      <c r="C358" s="1"/>
      <c r="D358" s="1"/>
      <c r="E358" s="1"/>
      <c r="H358" s="18"/>
      <c r="I358" s="18"/>
      <c r="J358" s="18"/>
      <c r="L358" s="6"/>
      <c r="AF358" s="19"/>
      <c r="AG358" s="19"/>
      <c r="AH358" s="20"/>
      <c r="AI358" s="19"/>
      <c r="AK358" s="19"/>
      <c r="AL358" s="19"/>
      <c r="AM358" s="19"/>
      <c r="AN358" s="19"/>
      <c r="AO358" s="19"/>
      <c r="AZ358" s="19"/>
      <c r="BA358" s="19"/>
      <c r="BB358" s="20"/>
      <c r="BC358" s="19"/>
      <c r="BE358" s="19"/>
      <c r="BF358" s="19"/>
      <c r="BG358" s="19"/>
      <c r="BH358" s="19"/>
      <c r="BI358" s="19"/>
      <c r="BJ358" s="19"/>
      <c r="BK358" s="19"/>
      <c r="BL358" s="19"/>
    </row>
    <row r="359" spans="2:64" ht="14" x14ac:dyDescent="0.2">
      <c r="B359" s="1"/>
      <c r="C359" s="1"/>
      <c r="D359" s="1"/>
      <c r="E359" s="1"/>
      <c r="H359" s="18"/>
      <c r="I359" s="18"/>
      <c r="J359" s="18"/>
      <c r="L359" s="6"/>
      <c r="AF359" s="19"/>
      <c r="AG359" s="19"/>
      <c r="AH359" s="20"/>
      <c r="AI359" s="19"/>
      <c r="AK359" s="19"/>
      <c r="AL359" s="19"/>
      <c r="AM359" s="19"/>
      <c r="AN359" s="19"/>
      <c r="AO359" s="19"/>
      <c r="AZ359" s="19"/>
      <c r="BA359" s="19"/>
      <c r="BB359" s="20"/>
      <c r="BC359" s="19"/>
      <c r="BE359" s="19"/>
      <c r="BF359" s="19"/>
      <c r="BG359" s="19"/>
      <c r="BH359" s="19"/>
      <c r="BI359" s="19"/>
      <c r="BJ359" s="19"/>
      <c r="BK359" s="19"/>
      <c r="BL359" s="19"/>
    </row>
    <row r="360" spans="2:64" ht="14" x14ac:dyDescent="0.2">
      <c r="B360" s="1"/>
      <c r="C360" s="1"/>
      <c r="D360" s="1"/>
      <c r="E360" s="1"/>
      <c r="H360" s="18"/>
      <c r="I360" s="18"/>
      <c r="J360" s="18"/>
      <c r="L360" s="6"/>
      <c r="AF360" s="19"/>
      <c r="AG360" s="19"/>
      <c r="AH360" s="20"/>
      <c r="AI360" s="19"/>
      <c r="AK360" s="19"/>
      <c r="AL360" s="19"/>
      <c r="AM360" s="19"/>
      <c r="AN360" s="19"/>
      <c r="AO360" s="19"/>
      <c r="AZ360" s="19"/>
      <c r="BA360" s="19"/>
      <c r="BB360" s="20"/>
      <c r="BC360" s="19"/>
      <c r="BE360" s="19"/>
      <c r="BF360" s="19"/>
      <c r="BG360" s="19"/>
      <c r="BH360" s="19"/>
      <c r="BI360" s="19"/>
      <c r="BJ360" s="19"/>
      <c r="BK360" s="19"/>
      <c r="BL360" s="19"/>
    </row>
    <row r="361" spans="2:64" ht="14" x14ac:dyDescent="0.2">
      <c r="B361" s="1"/>
      <c r="C361" s="1"/>
      <c r="D361" s="1"/>
      <c r="E361" s="1"/>
      <c r="H361" s="18"/>
      <c r="I361" s="18"/>
      <c r="J361" s="18"/>
      <c r="L361" s="6"/>
      <c r="AF361" s="19"/>
      <c r="AG361" s="19"/>
      <c r="AH361" s="20"/>
      <c r="AI361" s="19"/>
      <c r="AK361" s="19"/>
      <c r="AL361" s="19"/>
      <c r="AM361" s="19"/>
      <c r="AN361" s="19"/>
      <c r="AO361" s="19"/>
      <c r="AZ361" s="19"/>
      <c r="BA361" s="19"/>
      <c r="BB361" s="20"/>
      <c r="BC361" s="19"/>
      <c r="BE361" s="19"/>
      <c r="BF361" s="19"/>
      <c r="BG361" s="19"/>
      <c r="BH361" s="19"/>
      <c r="BI361" s="19"/>
      <c r="BJ361" s="19"/>
      <c r="BK361" s="19"/>
      <c r="BL361" s="19"/>
    </row>
    <row r="362" spans="2:64" ht="14" x14ac:dyDescent="0.2">
      <c r="B362" s="1"/>
      <c r="C362" s="1"/>
      <c r="D362" s="1"/>
      <c r="E362" s="1"/>
      <c r="H362" s="18"/>
      <c r="I362" s="18"/>
      <c r="J362" s="18"/>
      <c r="L362" s="6"/>
      <c r="AF362" s="19"/>
      <c r="AG362" s="19"/>
      <c r="AH362" s="20"/>
      <c r="AI362" s="19"/>
      <c r="AK362" s="19"/>
      <c r="AL362" s="19"/>
      <c r="AM362" s="19"/>
      <c r="AN362" s="19"/>
      <c r="AO362" s="19"/>
      <c r="AZ362" s="19"/>
      <c r="BA362" s="19"/>
      <c r="BB362" s="20"/>
      <c r="BC362" s="19"/>
      <c r="BE362" s="19"/>
      <c r="BF362" s="19"/>
      <c r="BG362" s="19"/>
      <c r="BH362" s="19"/>
      <c r="BI362" s="19"/>
      <c r="BJ362" s="19"/>
      <c r="BK362" s="19"/>
      <c r="BL362" s="19"/>
    </row>
    <row r="363" spans="2:64" ht="14" x14ac:dyDescent="0.2">
      <c r="B363" s="1"/>
      <c r="C363" s="1"/>
      <c r="D363" s="1"/>
      <c r="E363" s="1"/>
      <c r="H363" s="18"/>
      <c r="I363" s="18"/>
      <c r="J363" s="18"/>
      <c r="L363" s="6"/>
      <c r="AF363" s="19"/>
      <c r="AG363" s="19"/>
      <c r="AH363" s="20"/>
      <c r="AI363" s="19"/>
      <c r="AK363" s="19"/>
      <c r="AL363" s="19"/>
      <c r="AM363" s="19"/>
      <c r="AN363" s="19"/>
      <c r="AO363" s="19"/>
      <c r="AZ363" s="19"/>
      <c r="BA363" s="19"/>
      <c r="BB363" s="20"/>
      <c r="BC363" s="19"/>
      <c r="BE363" s="19"/>
      <c r="BF363" s="19"/>
      <c r="BG363" s="19"/>
      <c r="BH363" s="19"/>
      <c r="BI363" s="19"/>
      <c r="BJ363" s="19"/>
      <c r="BK363" s="19"/>
      <c r="BL363" s="19"/>
    </row>
    <row r="364" spans="2:64" ht="14" x14ac:dyDescent="0.2">
      <c r="B364" s="1"/>
      <c r="C364" s="1"/>
      <c r="D364" s="1"/>
      <c r="E364" s="1"/>
      <c r="H364" s="18"/>
      <c r="I364" s="18"/>
      <c r="J364" s="18"/>
      <c r="L364" s="6"/>
      <c r="AF364" s="19"/>
      <c r="AG364" s="19"/>
      <c r="AH364" s="20"/>
      <c r="AI364" s="19"/>
      <c r="AK364" s="19"/>
      <c r="AL364" s="19"/>
      <c r="AM364" s="19"/>
      <c r="AN364" s="19"/>
      <c r="AO364" s="19"/>
      <c r="AZ364" s="19"/>
      <c r="BA364" s="19"/>
      <c r="BB364" s="20"/>
      <c r="BC364" s="19"/>
      <c r="BE364" s="19"/>
      <c r="BF364" s="19"/>
      <c r="BG364" s="19"/>
      <c r="BH364" s="19"/>
      <c r="BI364" s="19"/>
      <c r="BJ364" s="19"/>
      <c r="BK364" s="19"/>
      <c r="BL364" s="19"/>
    </row>
    <row r="365" spans="2:64" ht="14" x14ac:dyDescent="0.2">
      <c r="B365" s="1"/>
      <c r="C365" s="1"/>
      <c r="D365" s="1"/>
      <c r="E365" s="1"/>
      <c r="H365" s="18"/>
      <c r="I365" s="18"/>
      <c r="J365" s="18"/>
      <c r="L365" s="6"/>
      <c r="AF365" s="19"/>
      <c r="AG365" s="19"/>
      <c r="AH365" s="20"/>
      <c r="AI365" s="19"/>
      <c r="AK365" s="19"/>
      <c r="AL365" s="19"/>
      <c r="AM365" s="19"/>
      <c r="AN365" s="19"/>
      <c r="AO365" s="19"/>
      <c r="AZ365" s="19"/>
      <c r="BA365" s="19"/>
      <c r="BB365" s="20"/>
      <c r="BC365" s="19"/>
      <c r="BE365" s="19"/>
      <c r="BF365" s="19"/>
      <c r="BG365" s="19"/>
      <c r="BH365" s="19"/>
      <c r="BI365" s="19"/>
      <c r="BJ365" s="19"/>
      <c r="BK365" s="19"/>
      <c r="BL365" s="19"/>
    </row>
    <row r="366" spans="2:64" ht="14" x14ac:dyDescent="0.2">
      <c r="B366" s="1"/>
      <c r="C366" s="1"/>
      <c r="D366" s="1"/>
      <c r="E366" s="1"/>
      <c r="H366" s="18"/>
      <c r="I366" s="18"/>
      <c r="J366" s="18"/>
      <c r="L366" s="6"/>
      <c r="AF366" s="19"/>
      <c r="AG366" s="19"/>
      <c r="AH366" s="20"/>
      <c r="AI366" s="19"/>
      <c r="AK366" s="19"/>
      <c r="AL366" s="19"/>
      <c r="AM366" s="19"/>
      <c r="AN366" s="19"/>
      <c r="AO366" s="19"/>
      <c r="AZ366" s="19"/>
      <c r="BA366" s="19"/>
      <c r="BB366" s="20"/>
      <c r="BC366" s="19"/>
      <c r="BE366" s="19"/>
      <c r="BF366" s="19"/>
      <c r="BG366" s="19"/>
      <c r="BH366" s="19"/>
      <c r="BI366" s="19"/>
      <c r="BJ366" s="19"/>
      <c r="BK366" s="19"/>
      <c r="BL366" s="19"/>
    </row>
    <row r="367" spans="2:64" ht="14" x14ac:dyDescent="0.2">
      <c r="B367" s="1"/>
      <c r="C367" s="1"/>
      <c r="D367" s="1"/>
      <c r="E367" s="1"/>
      <c r="H367" s="18"/>
      <c r="I367" s="18"/>
      <c r="J367" s="18"/>
      <c r="L367" s="6"/>
      <c r="AF367" s="19"/>
      <c r="AG367" s="19"/>
      <c r="AH367" s="20"/>
      <c r="AI367" s="19"/>
      <c r="AK367" s="19"/>
      <c r="AL367" s="19"/>
      <c r="AM367" s="19"/>
      <c r="AN367" s="19"/>
      <c r="AO367" s="19"/>
      <c r="AZ367" s="19"/>
      <c r="BA367" s="19"/>
      <c r="BB367" s="20"/>
      <c r="BC367" s="19"/>
      <c r="BE367" s="19"/>
      <c r="BF367" s="19"/>
      <c r="BG367" s="19"/>
      <c r="BH367" s="19"/>
      <c r="BI367" s="19"/>
      <c r="BJ367" s="19"/>
      <c r="BK367" s="19"/>
      <c r="BL367" s="19"/>
    </row>
    <row r="368" spans="2:64" ht="14" x14ac:dyDescent="0.2">
      <c r="B368" s="1"/>
      <c r="C368" s="1"/>
      <c r="D368" s="1"/>
      <c r="E368" s="1"/>
      <c r="H368" s="18"/>
      <c r="I368" s="18"/>
      <c r="J368" s="18"/>
      <c r="L368" s="6"/>
      <c r="AF368" s="19"/>
      <c r="AG368" s="19"/>
      <c r="AH368" s="20"/>
      <c r="AI368" s="19"/>
      <c r="AK368" s="19"/>
      <c r="AL368" s="19"/>
      <c r="AM368" s="19"/>
      <c r="AN368" s="19"/>
      <c r="AO368" s="19"/>
      <c r="AZ368" s="19"/>
      <c r="BA368" s="19"/>
      <c r="BB368" s="20"/>
      <c r="BC368" s="19"/>
      <c r="BE368" s="19"/>
      <c r="BF368" s="19"/>
      <c r="BG368" s="19"/>
      <c r="BH368" s="19"/>
      <c r="BI368" s="19"/>
      <c r="BJ368" s="19"/>
      <c r="BK368" s="19"/>
      <c r="BL368" s="19"/>
    </row>
    <row r="369" spans="2:64" ht="14" x14ac:dyDescent="0.2">
      <c r="B369" s="1"/>
      <c r="C369" s="1"/>
      <c r="D369" s="1"/>
      <c r="E369" s="1"/>
      <c r="H369" s="18"/>
      <c r="I369" s="18"/>
      <c r="J369" s="18"/>
      <c r="L369" s="6"/>
      <c r="AF369" s="19"/>
      <c r="AG369" s="19"/>
      <c r="AH369" s="20"/>
      <c r="AI369" s="19"/>
      <c r="AK369" s="19"/>
      <c r="AL369" s="19"/>
      <c r="AM369" s="19"/>
      <c r="AN369" s="19"/>
      <c r="AO369" s="19"/>
      <c r="AZ369" s="19"/>
      <c r="BA369" s="19"/>
      <c r="BB369" s="20"/>
      <c r="BC369" s="19"/>
      <c r="BE369" s="19"/>
      <c r="BF369" s="19"/>
      <c r="BG369" s="19"/>
      <c r="BH369" s="19"/>
      <c r="BI369" s="19"/>
      <c r="BJ369" s="19"/>
      <c r="BK369" s="19"/>
      <c r="BL369" s="19"/>
    </row>
    <row r="370" spans="2:64" ht="14" x14ac:dyDescent="0.2">
      <c r="B370" s="1"/>
      <c r="C370" s="1"/>
      <c r="D370" s="1"/>
      <c r="E370" s="1"/>
      <c r="H370" s="18"/>
      <c r="I370" s="18"/>
      <c r="J370" s="18"/>
      <c r="L370" s="6"/>
      <c r="AF370" s="19"/>
      <c r="AG370" s="19"/>
      <c r="AH370" s="20"/>
      <c r="AI370" s="19"/>
      <c r="AK370" s="19"/>
      <c r="AL370" s="19"/>
      <c r="AM370" s="19"/>
      <c r="AN370" s="19"/>
      <c r="AO370" s="19"/>
      <c r="AZ370" s="19"/>
      <c r="BA370" s="19"/>
      <c r="BB370" s="20"/>
      <c r="BC370" s="19"/>
      <c r="BE370" s="19"/>
      <c r="BF370" s="19"/>
      <c r="BG370" s="19"/>
      <c r="BH370" s="19"/>
      <c r="BI370" s="19"/>
      <c r="BJ370" s="19"/>
      <c r="BK370" s="19"/>
      <c r="BL370" s="19"/>
    </row>
    <row r="371" spans="2:64" ht="14" x14ac:dyDescent="0.2">
      <c r="B371" s="1"/>
      <c r="C371" s="1"/>
      <c r="D371" s="1"/>
      <c r="E371" s="1"/>
      <c r="H371" s="18"/>
      <c r="I371" s="18"/>
      <c r="J371" s="18"/>
      <c r="L371" s="6"/>
      <c r="AF371" s="19"/>
      <c r="AG371" s="19"/>
      <c r="AH371" s="20"/>
      <c r="AI371" s="19"/>
      <c r="AK371" s="19"/>
      <c r="AL371" s="19"/>
      <c r="AM371" s="19"/>
      <c r="AN371" s="19"/>
      <c r="AO371" s="19"/>
      <c r="AZ371" s="19"/>
      <c r="BA371" s="19"/>
      <c r="BB371" s="20"/>
      <c r="BC371" s="19"/>
      <c r="BE371" s="19"/>
      <c r="BF371" s="19"/>
      <c r="BG371" s="19"/>
      <c r="BH371" s="19"/>
      <c r="BI371" s="19"/>
      <c r="BJ371" s="19"/>
      <c r="BK371" s="19"/>
      <c r="BL371" s="19"/>
    </row>
    <row r="372" spans="2:64" ht="14" x14ac:dyDescent="0.2">
      <c r="B372" s="1"/>
      <c r="C372" s="1"/>
      <c r="D372" s="1"/>
      <c r="E372" s="1"/>
      <c r="H372" s="18"/>
      <c r="I372" s="18"/>
      <c r="J372" s="18"/>
      <c r="L372" s="6"/>
      <c r="AF372" s="19"/>
      <c r="AG372" s="19"/>
      <c r="AH372" s="20"/>
      <c r="AI372" s="19"/>
      <c r="AK372" s="19"/>
      <c r="AL372" s="19"/>
      <c r="AM372" s="19"/>
      <c r="AN372" s="19"/>
      <c r="AO372" s="19"/>
      <c r="AZ372" s="19"/>
      <c r="BA372" s="19"/>
      <c r="BB372" s="20"/>
      <c r="BC372" s="19"/>
      <c r="BE372" s="19"/>
      <c r="BF372" s="19"/>
      <c r="BG372" s="19"/>
      <c r="BH372" s="19"/>
      <c r="BI372" s="19"/>
      <c r="BJ372" s="19"/>
      <c r="BK372" s="19"/>
      <c r="BL372" s="19"/>
    </row>
    <row r="373" spans="2:64" ht="14" x14ac:dyDescent="0.2">
      <c r="B373" s="1"/>
      <c r="C373" s="1"/>
      <c r="D373" s="1"/>
      <c r="E373" s="1"/>
      <c r="H373" s="18"/>
      <c r="I373" s="18"/>
      <c r="J373" s="18"/>
      <c r="L373" s="6"/>
      <c r="AF373" s="19"/>
      <c r="AG373" s="19"/>
      <c r="AH373" s="20"/>
      <c r="AI373" s="19"/>
      <c r="AK373" s="19"/>
      <c r="AL373" s="19"/>
      <c r="AM373" s="19"/>
      <c r="AN373" s="19"/>
      <c r="AO373" s="19"/>
      <c r="AZ373" s="19"/>
      <c r="BA373" s="19"/>
      <c r="BB373" s="20"/>
      <c r="BC373" s="19"/>
      <c r="BE373" s="19"/>
      <c r="BF373" s="19"/>
      <c r="BG373" s="19"/>
      <c r="BH373" s="19"/>
      <c r="BI373" s="19"/>
      <c r="BJ373" s="19"/>
      <c r="BK373" s="19"/>
      <c r="BL373" s="19"/>
    </row>
    <row r="374" spans="2:64" ht="14" x14ac:dyDescent="0.2">
      <c r="B374" s="1"/>
      <c r="C374" s="1"/>
      <c r="D374" s="1"/>
      <c r="E374" s="1"/>
      <c r="H374" s="18"/>
      <c r="I374" s="18"/>
      <c r="J374" s="18"/>
      <c r="L374" s="6"/>
      <c r="AF374" s="19"/>
      <c r="AG374" s="19"/>
      <c r="AH374" s="20"/>
      <c r="AI374" s="19"/>
      <c r="AK374" s="19"/>
      <c r="AL374" s="19"/>
      <c r="AM374" s="19"/>
      <c r="AN374" s="19"/>
      <c r="AO374" s="19"/>
      <c r="AZ374" s="19"/>
      <c r="BA374" s="19"/>
      <c r="BB374" s="20"/>
      <c r="BC374" s="19"/>
      <c r="BE374" s="19"/>
      <c r="BF374" s="19"/>
      <c r="BG374" s="19"/>
      <c r="BH374" s="19"/>
      <c r="BI374" s="19"/>
      <c r="BJ374" s="19"/>
      <c r="BK374" s="19"/>
      <c r="BL374" s="19"/>
    </row>
    <row r="375" spans="2:64" ht="14" x14ac:dyDescent="0.2">
      <c r="B375" s="1"/>
      <c r="C375" s="1"/>
      <c r="D375" s="1"/>
      <c r="E375" s="1"/>
      <c r="H375" s="18"/>
      <c r="I375" s="18"/>
      <c r="J375" s="18"/>
      <c r="L375" s="6"/>
      <c r="AF375" s="19"/>
      <c r="AG375" s="19"/>
      <c r="AH375" s="20"/>
      <c r="AI375" s="19"/>
      <c r="AK375" s="19"/>
      <c r="AL375" s="19"/>
      <c r="AM375" s="19"/>
      <c r="AN375" s="19"/>
      <c r="AO375" s="19"/>
      <c r="AZ375" s="19"/>
      <c r="BA375" s="19"/>
      <c r="BB375" s="20"/>
      <c r="BC375" s="19"/>
      <c r="BE375" s="19"/>
      <c r="BF375" s="19"/>
      <c r="BG375" s="19"/>
      <c r="BH375" s="19"/>
      <c r="BI375" s="19"/>
      <c r="BJ375" s="19"/>
      <c r="BK375" s="19"/>
      <c r="BL375" s="19"/>
    </row>
    <row r="376" spans="2:64" ht="14" x14ac:dyDescent="0.2">
      <c r="B376" s="1"/>
      <c r="C376" s="1"/>
      <c r="D376" s="1"/>
      <c r="E376" s="1"/>
      <c r="H376" s="18"/>
      <c r="I376" s="18"/>
      <c r="J376" s="18"/>
      <c r="L376" s="6"/>
      <c r="AF376" s="19"/>
      <c r="AG376" s="19"/>
      <c r="AH376" s="20"/>
      <c r="AI376" s="19"/>
      <c r="AK376" s="19"/>
      <c r="AL376" s="19"/>
      <c r="AM376" s="19"/>
      <c r="AN376" s="19"/>
      <c r="AO376" s="19"/>
      <c r="AZ376" s="19"/>
      <c r="BA376" s="19"/>
      <c r="BB376" s="20"/>
      <c r="BC376" s="19"/>
      <c r="BE376" s="19"/>
      <c r="BF376" s="19"/>
      <c r="BG376" s="19"/>
      <c r="BH376" s="19"/>
      <c r="BI376" s="19"/>
      <c r="BJ376" s="19"/>
      <c r="BK376" s="19"/>
      <c r="BL376" s="19"/>
    </row>
    <row r="377" spans="2:64" ht="14" x14ac:dyDescent="0.2">
      <c r="B377" s="1"/>
      <c r="C377" s="1"/>
      <c r="D377" s="1"/>
      <c r="E377" s="1"/>
      <c r="H377" s="18"/>
      <c r="I377" s="18"/>
      <c r="J377" s="18"/>
      <c r="L377" s="6"/>
      <c r="AF377" s="19"/>
      <c r="AG377" s="19"/>
      <c r="AH377" s="20"/>
      <c r="AI377" s="19"/>
      <c r="AK377" s="19"/>
      <c r="AL377" s="19"/>
      <c r="AM377" s="19"/>
      <c r="AN377" s="19"/>
      <c r="AO377" s="19"/>
      <c r="AZ377" s="19"/>
      <c r="BA377" s="19"/>
      <c r="BB377" s="20"/>
      <c r="BC377" s="19"/>
      <c r="BE377" s="19"/>
      <c r="BF377" s="19"/>
      <c r="BG377" s="19"/>
      <c r="BH377" s="19"/>
      <c r="BI377" s="19"/>
      <c r="BJ377" s="19"/>
      <c r="BK377" s="19"/>
      <c r="BL377" s="19"/>
    </row>
    <row r="378" spans="2:64" ht="14" x14ac:dyDescent="0.2">
      <c r="B378" s="1"/>
      <c r="C378" s="1"/>
      <c r="D378" s="1"/>
      <c r="E378" s="1"/>
      <c r="H378" s="18"/>
      <c r="I378" s="18"/>
      <c r="J378" s="18"/>
      <c r="L378" s="6"/>
      <c r="AF378" s="19"/>
      <c r="AG378" s="19"/>
      <c r="AH378" s="20"/>
      <c r="AI378" s="19"/>
      <c r="AK378" s="19"/>
      <c r="AL378" s="19"/>
      <c r="AM378" s="19"/>
      <c r="AN378" s="19"/>
      <c r="AO378" s="19"/>
      <c r="AZ378" s="19"/>
      <c r="BA378" s="19"/>
      <c r="BB378" s="20"/>
      <c r="BC378" s="19"/>
      <c r="BE378" s="19"/>
      <c r="BF378" s="19"/>
      <c r="BG378" s="19"/>
      <c r="BH378" s="19"/>
      <c r="BI378" s="19"/>
      <c r="BJ378" s="19"/>
      <c r="BK378" s="19"/>
      <c r="BL378" s="19"/>
    </row>
    <row r="379" spans="2:64" ht="14" x14ac:dyDescent="0.2">
      <c r="B379" s="1"/>
      <c r="C379" s="1"/>
      <c r="D379" s="1"/>
      <c r="E379" s="1"/>
      <c r="H379" s="18"/>
      <c r="I379" s="18"/>
      <c r="J379" s="18"/>
      <c r="L379" s="6"/>
      <c r="AF379" s="19"/>
      <c r="AG379" s="19"/>
      <c r="AH379" s="20"/>
      <c r="AI379" s="19"/>
      <c r="AK379" s="19"/>
      <c r="AL379" s="19"/>
      <c r="AM379" s="19"/>
      <c r="AN379" s="19"/>
      <c r="AO379" s="19"/>
      <c r="AZ379" s="19"/>
      <c r="BA379" s="19"/>
      <c r="BB379" s="20"/>
      <c r="BC379" s="19"/>
      <c r="BE379" s="19"/>
      <c r="BF379" s="19"/>
      <c r="BG379" s="19"/>
      <c r="BH379" s="19"/>
      <c r="BI379" s="19"/>
      <c r="BJ379" s="19"/>
      <c r="BK379" s="19"/>
      <c r="BL379" s="19"/>
    </row>
    <row r="380" spans="2:64" ht="14" x14ac:dyDescent="0.2">
      <c r="B380" s="1"/>
      <c r="C380" s="1"/>
      <c r="D380" s="1"/>
      <c r="E380" s="1"/>
      <c r="H380" s="18"/>
      <c r="I380" s="18"/>
      <c r="J380" s="18"/>
      <c r="L380" s="6"/>
      <c r="AF380" s="19"/>
      <c r="AG380" s="19"/>
      <c r="AH380" s="20"/>
      <c r="AI380" s="19"/>
      <c r="AK380" s="19"/>
      <c r="AL380" s="19"/>
      <c r="AM380" s="19"/>
      <c r="AN380" s="19"/>
      <c r="AO380" s="19"/>
      <c r="AZ380" s="19"/>
      <c r="BA380" s="19"/>
      <c r="BB380" s="20"/>
      <c r="BC380" s="19"/>
      <c r="BE380" s="19"/>
      <c r="BF380" s="19"/>
      <c r="BG380" s="19"/>
      <c r="BH380" s="19"/>
      <c r="BI380" s="19"/>
      <c r="BJ380" s="19"/>
      <c r="BK380" s="19"/>
      <c r="BL380" s="19"/>
    </row>
    <row r="381" spans="2:64" ht="14" x14ac:dyDescent="0.2">
      <c r="B381" s="1"/>
      <c r="C381" s="1"/>
      <c r="D381" s="1"/>
      <c r="E381" s="1"/>
      <c r="H381" s="18"/>
      <c r="I381" s="18"/>
      <c r="J381" s="18"/>
      <c r="L381" s="6"/>
      <c r="AF381" s="19"/>
      <c r="AG381" s="19"/>
      <c r="AH381" s="20"/>
      <c r="AI381" s="19"/>
      <c r="AK381" s="19"/>
      <c r="AL381" s="19"/>
      <c r="AM381" s="19"/>
      <c r="AN381" s="19"/>
      <c r="AO381" s="19"/>
      <c r="AZ381" s="19"/>
      <c r="BA381" s="19"/>
      <c r="BB381" s="20"/>
      <c r="BC381" s="19"/>
      <c r="BE381" s="19"/>
      <c r="BF381" s="19"/>
      <c r="BG381" s="19"/>
      <c r="BH381" s="19"/>
      <c r="BI381" s="19"/>
      <c r="BJ381" s="19"/>
      <c r="BK381" s="19"/>
      <c r="BL381" s="19"/>
    </row>
    <row r="382" spans="2:64" ht="14" x14ac:dyDescent="0.2">
      <c r="B382" s="1"/>
      <c r="C382" s="1"/>
      <c r="D382" s="1"/>
      <c r="E382" s="1"/>
      <c r="H382" s="18"/>
      <c r="I382" s="18"/>
      <c r="J382" s="18"/>
      <c r="L382" s="6"/>
      <c r="AF382" s="19"/>
      <c r="AG382" s="19"/>
      <c r="AH382" s="20"/>
      <c r="AI382" s="19"/>
      <c r="AK382" s="19"/>
      <c r="AL382" s="19"/>
      <c r="AM382" s="19"/>
      <c r="AN382" s="19"/>
      <c r="AO382" s="19"/>
      <c r="AZ382" s="19"/>
      <c r="BA382" s="19"/>
      <c r="BB382" s="20"/>
      <c r="BC382" s="19"/>
      <c r="BE382" s="19"/>
      <c r="BF382" s="19"/>
      <c r="BG382" s="19"/>
      <c r="BH382" s="19"/>
      <c r="BI382" s="19"/>
      <c r="BJ382" s="19"/>
      <c r="BK382" s="19"/>
      <c r="BL382" s="19"/>
    </row>
    <row r="383" spans="2:64" ht="14" x14ac:dyDescent="0.2">
      <c r="B383" s="1"/>
      <c r="C383" s="1"/>
      <c r="D383" s="1"/>
      <c r="E383" s="1"/>
      <c r="H383" s="18"/>
      <c r="I383" s="18"/>
      <c r="J383" s="18"/>
      <c r="L383" s="6"/>
      <c r="AF383" s="19"/>
      <c r="AG383" s="19"/>
      <c r="AH383" s="20"/>
      <c r="AI383" s="19"/>
      <c r="AK383" s="19"/>
      <c r="AL383" s="19"/>
      <c r="AM383" s="19"/>
      <c r="AN383" s="19"/>
      <c r="AO383" s="19"/>
      <c r="AZ383" s="19"/>
      <c r="BA383" s="19"/>
      <c r="BB383" s="20"/>
      <c r="BC383" s="19"/>
      <c r="BE383" s="19"/>
      <c r="BF383" s="19"/>
      <c r="BG383" s="19"/>
      <c r="BH383" s="19"/>
      <c r="BI383" s="19"/>
      <c r="BJ383" s="19"/>
      <c r="BK383" s="19"/>
      <c r="BL383" s="19"/>
    </row>
    <row r="384" spans="2:64" ht="14" x14ac:dyDescent="0.2">
      <c r="B384" s="1"/>
      <c r="C384" s="1"/>
      <c r="D384" s="1"/>
      <c r="E384" s="1"/>
      <c r="H384" s="18"/>
      <c r="I384" s="18"/>
      <c r="J384" s="18"/>
      <c r="L384" s="6"/>
      <c r="AF384" s="19"/>
      <c r="AG384" s="19"/>
      <c r="AH384" s="20"/>
      <c r="AI384" s="19"/>
      <c r="AK384" s="19"/>
      <c r="AL384" s="19"/>
      <c r="AM384" s="19"/>
      <c r="AN384" s="19"/>
      <c r="AO384" s="19"/>
      <c r="AZ384" s="19"/>
      <c r="BA384" s="19"/>
      <c r="BB384" s="20"/>
      <c r="BC384" s="19"/>
      <c r="BE384" s="19"/>
      <c r="BF384" s="19"/>
      <c r="BG384" s="19"/>
      <c r="BH384" s="19"/>
      <c r="BI384" s="19"/>
      <c r="BJ384" s="19"/>
      <c r="BK384" s="19"/>
      <c r="BL384" s="19"/>
    </row>
    <row r="385" spans="2:64" ht="14" x14ac:dyDescent="0.2">
      <c r="B385" s="1"/>
      <c r="C385" s="1"/>
      <c r="D385" s="1"/>
      <c r="E385" s="1"/>
      <c r="H385" s="18"/>
      <c r="I385" s="18"/>
      <c r="J385" s="18"/>
      <c r="L385" s="6"/>
      <c r="AF385" s="19"/>
      <c r="AG385" s="19"/>
      <c r="AH385" s="20"/>
      <c r="AI385" s="19"/>
      <c r="AK385" s="19"/>
      <c r="AL385" s="19"/>
      <c r="AM385" s="19"/>
      <c r="AN385" s="19"/>
      <c r="AO385" s="19"/>
      <c r="AZ385" s="19"/>
      <c r="BA385" s="19"/>
      <c r="BB385" s="20"/>
      <c r="BC385" s="19"/>
      <c r="BE385" s="19"/>
      <c r="BF385" s="19"/>
      <c r="BG385" s="19"/>
      <c r="BH385" s="19"/>
      <c r="BI385" s="19"/>
      <c r="BJ385" s="19"/>
      <c r="BK385" s="19"/>
      <c r="BL385" s="19"/>
    </row>
    <row r="386" spans="2:64" ht="14" x14ac:dyDescent="0.2">
      <c r="B386" s="1"/>
      <c r="C386" s="1"/>
      <c r="D386" s="1"/>
      <c r="E386" s="1"/>
      <c r="H386" s="18"/>
      <c r="I386" s="18"/>
      <c r="J386" s="18"/>
      <c r="L386" s="6"/>
      <c r="AF386" s="19"/>
      <c r="AG386" s="19"/>
      <c r="AH386" s="20"/>
      <c r="AI386" s="19"/>
      <c r="AK386" s="19"/>
      <c r="AL386" s="19"/>
      <c r="AM386" s="19"/>
      <c r="AN386" s="19"/>
      <c r="AO386" s="19"/>
      <c r="AZ386" s="19"/>
      <c r="BA386" s="19"/>
      <c r="BB386" s="20"/>
      <c r="BC386" s="19"/>
      <c r="BE386" s="19"/>
      <c r="BF386" s="19"/>
      <c r="BG386" s="19"/>
      <c r="BH386" s="19"/>
      <c r="BI386" s="19"/>
      <c r="BJ386" s="19"/>
      <c r="BK386" s="19"/>
      <c r="BL386" s="19"/>
    </row>
    <row r="387" spans="2:64" ht="14" x14ac:dyDescent="0.2">
      <c r="B387" s="1"/>
      <c r="C387" s="1"/>
      <c r="D387" s="1"/>
      <c r="E387" s="1"/>
      <c r="H387" s="18"/>
      <c r="I387" s="18"/>
      <c r="J387" s="18"/>
      <c r="L387" s="6"/>
      <c r="AF387" s="19"/>
      <c r="AG387" s="19"/>
      <c r="AH387" s="20"/>
      <c r="AI387" s="19"/>
      <c r="AK387" s="19"/>
      <c r="AL387" s="19"/>
      <c r="AM387" s="19"/>
      <c r="AN387" s="19"/>
      <c r="AO387" s="19"/>
      <c r="AZ387" s="19"/>
      <c r="BA387" s="19"/>
      <c r="BB387" s="20"/>
      <c r="BC387" s="19"/>
      <c r="BE387" s="19"/>
      <c r="BF387" s="19"/>
      <c r="BG387" s="19"/>
      <c r="BH387" s="19"/>
      <c r="BI387" s="19"/>
      <c r="BJ387" s="19"/>
      <c r="BK387" s="19"/>
      <c r="BL387" s="19"/>
    </row>
    <row r="388" spans="2:64" ht="14" x14ac:dyDescent="0.2">
      <c r="B388" s="1"/>
      <c r="C388" s="1"/>
      <c r="D388" s="1"/>
      <c r="E388" s="1"/>
      <c r="H388" s="18"/>
      <c r="I388" s="18"/>
      <c r="J388" s="18"/>
      <c r="L388" s="6"/>
      <c r="AF388" s="19"/>
      <c r="AG388" s="19"/>
      <c r="AH388" s="20"/>
      <c r="AI388" s="19"/>
      <c r="AK388" s="19"/>
      <c r="AL388" s="19"/>
      <c r="AM388" s="19"/>
      <c r="AN388" s="19"/>
      <c r="AO388" s="19"/>
      <c r="AZ388" s="19"/>
      <c r="BA388" s="19"/>
      <c r="BB388" s="20"/>
      <c r="BC388" s="19"/>
      <c r="BE388" s="19"/>
      <c r="BF388" s="19"/>
      <c r="BG388" s="19"/>
      <c r="BH388" s="19"/>
      <c r="BI388" s="19"/>
      <c r="BJ388" s="19"/>
      <c r="BK388" s="19"/>
      <c r="BL388" s="19"/>
    </row>
    <row r="389" spans="2:64" ht="14" x14ac:dyDescent="0.2">
      <c r="B389" s="1"/>
      <c r="C389" s="1"/>
      <c r="D389" s="1"/>
      <c r="E389" s="1"/>
      <c r="H389" s="18"/>
      <c r="I389" s="18"/>
      <c r="J389" s="18"/>
      <c r="L389" s="6"/>
      <c r="AF389" s="19"/>
      <c r="AG389" s="19"/>
      <c r="AH389" s="20"/>
      <c r="AI389" s="19"/>
      <c r="AK389" s="19"/>
      <c r="AL389" s="19"/>
      <c r="AM389" s="19"/>
      <c r="AN389" s="19"/>
      <c r="AO389" s="19"/>
      <c r="AZ389" s="19"/>
      <c r="BA389" s="19"/>
      <c r="BB389" s="20"/>
      <c r="BC389" s="19"/>
      <c r="BE389" s="19"/>
      <c r="BF389" s="19"/>
      <c r="BG389" s="19"/>
      <c r="BH389" s="19"/>
      <c r="BI389" s="19"/>
      <c r="BJ389" s="19"/>
      <c r="BK389" s="19"/>
      <c r="BL389" s="19"/>
    </row>
    <row r="390" spans="2:64" ht="14" x14ac:dyDescent="0.2">
      <c r="B390" s="1"/>
      <c r="C390" s="1"/>
      <c r="D390" s="1"/>
      <c r="E390" s="1"/>
      <c r="H390" s="18"/>
      <c r="I390" s="18"/>
      <c r="J390" s="18"/>
      <c r="L390" s="6"/>
      <c r="AF390" s="19"/>
      <c r="AG390" s="19"/>
      <c r="AH390" s="20"/>
      <c r="AI390" s="19"/>
      <c r="AK390" s="19"/>
      <c r="AL390" s="19"/>
      <c r="AM390" s="19"/>
      <c r="AN390" s="19"/>
      <c r="AO390" s="19"/>
      <c r="AZ390" s="19"/>
      <c r="BA390" s="19"/>
      <c r="BB390" s="20"/>
      <c r="BC390" s="19"/>
      <c r="BE390" s="19"/>
      <c r="BF390" s="19"/>
      <c r="BG390" s="19"/>
      <c r="BH390" s="19"/>
      <c r="BI390" s="19"/>
      <c r="BJ390" s="19"/>
      <c r="BK390" s="19"/>
      <c r="BL390" s="19"/>
    </row>
    <row r="391" spans="2:64" ht="14" x14ac:dyDescent="0.2">
      <c r="B391" s="1"/>
      <c r="C391" s="1"/>
      <c r="D391" s="1"/>
      <c r="E391" s="1"/>
      <c r="H391" s="18"/>
      <c r="I391" s="18"/>
      <c r="J391" s="18"/>
      <c r="L391" s="6"/>
      <c r="AF391" s="19"/>
      <c r="AG391" s="19"/>
      <c r="AH391" s="20"/>
      <c r="AI391" s="19"/>
      <c r="AK391" s="19"/>
      <c r="AL391" s="19"/>
      <c r="AM391" s="19"/>
      <c r="AN391" s="19"/>
      <c r="AO391" s="19"/>
      <c r="AZ391" s="19"/>
      <c r="BA391" s="19"/>
      <c r="BB391" s="20"/>
      <c r="BC391" s="19"/>
      <c r="BE391" s="19"/>
      <c r="BF391" s="19"/>
      <c r="BG391" s="19"/>
      <c r="BH391" s="19"/>
      <c r="BI391" s="19"/>
      <c r="BJ391" s="19"/>
      <c r="BK391" s="19"/>
      <c r="BL391" s="19"/>
    </row>
    <row r="392" spans="2:64" ht="14" x14ac:dyDescent="0.2">
      <c r="B392" s="1"/>
      <c r="C392" s="1"/>
      <c r="D392" s="1"/>
      <c r="E392" s="1"/>
      <c r="H392" s="18"/>
      <c r="I392" s="18"/>
      <c r="J392" s="18"/>
      <c r="L392" s="6"/>
      <c r="AF392" s="19"/>
      <c r="AG392" s="19"/>
      <c r="AH392" s="20"/>
      <c r="AI392" s="19"/>
      <c r="AK392" s="19"/>
      <c r="AL392" s="19"/>
      <c r="AM392" s="19"/>
      <c r="AN392" s="19"/>
      <c r="AO392" s="19"/>
      <c r="AZ392" s="19"/>
      <c r="BA392" s="19"/>
      <c r="BB392" s="20"/>
      <c r="BC392" s="19"/>
      <c r="BE392" s="19"/>
      <c r="BF392" s="19"/>
      <c r="BG392" s="19"/>
      <c r="BH392" s="19"/>
      <c r="BI392" s="19"/>
      <c r="BJ392" s="19"/>
      <c r="BK392" s="19"/>
      <c r="BL392" s="19"/>
    </row>
    <row r="393" spans="2:64" ht="14" x14ac:dyDescent="0.2">
      <c r="B393" s="1"/>
      <c r="C393" s="1"/>
      <c r="D393" s="1"/>
      <c r="E393" s="1"/>
      <c r="H393" s="18"/>
      <c r="I393" s="18"/>
      <c r="J393" s="18"/>
      <c r="L393" s="6"/>
      <c r="AF393" s="19"/>
      <c r="AG393" s="19"/>
      <c r="AH393" s="20"/>
      <c r="AI393" s="19"/>
      <c r="AK393" s="19"/>
      <c r="AL393" s="19"/>
      <c r="AM393" s="19"/>
      <c r="AN393" s="19"/>
      <c r="AO393" s="19"/>
      <c r="AZ393" s="19"/>
      <c r="BA393" s="19"/>
      <c r="BB393" s="20"/>
      <c r="BC393" s="19"/>
      <c r="BE393" s="19"/>
      <c r="BF393" s="19"/>
      <c r="BG393" s="19"/>
      <c r="BH393" s="19"/>
      <c r="BI393" s="19"/>
      <c r="BJ393" s="19"/>
      <c r="BK393" s="19"/>
      <c r="BL393" s="19"/>
    </row>
    <row r="394" spans="2:64" ht="14" x14ac:dyDescent="0.2">
      <c r="B394" s="1"/>
      <c r="C394" s="1"/>
      <c r="D394" s="1"/>
      <c r="E394" s="1"/>
      <c r="H394" s="18"/>
      <c r="I394" s="18"/>
      <c r="J394" s="18"/>
      <c r="L394" s="6"/>
      <c r="AF394" s="19"/>
      <c r="AG394" s="19"/>
      <c r="AH394" s="20"/>
      <c r="AI394" s="19"/>
      <c r="AK394" s="19"/>
      <c r="AL394" s="19"/>
      <c r="AM394" s="19"/>
      <c r="AN394" s="19"/>
      <c r="AO394" s="19"/>
      <c r="AZ394" s="19"/>
      <c r="BA394" s="19"/>
      <c r="BB394" s="20"/>
      <c r="BC394" s="19"/>
      <c r="BE394" s="19"/>
      <c r="BF394" s="19"/>
      <c r="BG394" s="19"/>
      <c r="BH394" s="19"/>
      <c r="BI394" s="19"/>
      <c r="BJ394" s="19"/>
      <c r="BK394" s="19"/>
      <c r="BL394" s="19"/>
    </row>
    <row r="395" spans="2:64" ht="14" x14ac:dyDescent="0.2">
      <c r="B395" s="1"/>
      <c r="C395" s="1"/>
      <c r="D395" s="1"/>
      <c r="E395" s="1"/>
      <c r="H395" s="18"/>
      <c r="I395" s="18"/>
      <c r="J395" s="18"/>
      <c r="L395" s="6"/>
      <c r="AF395" s="19"/>
      <c r="AG395" s="19"/>
      <c r="AH395" s="20"/>
      <c r="AI395" s="19"/>
      <c r="AK395" s="19"/>
      <c r="AL395" s="19"/>
      <c r="AM395" s="19"/>
      <c r="AN395" s="19"/>
      <c r="AO395" s="19"/>
      <c r="AZ395" s="19"/>
      <c r="BA395" s="19"/>
      <c r="BB395" s="20"/>
      <c r="BC395" s="19"/>
      <c r="BE395" s="19"/>
      <c r="BF395" s="19"/>
      <c r="BG395" s="19"/>
      <c r="BH395" s="19"/>
      <c r="BI395" s="19"/>
      <c r="BJ395" s="19"/>
      <c r="BK395" s="19"/>
      <c r="BL395" s="19"/>
    </row>
    <row r="396" spans="2:64" ht="14" x14ac:dyDescent="0.2">
      <c r="B396" s="1"/>
      <c r="C396" s="1"/>
      <c r="D396" s="1"/>
      <c r="E396" s="1"/>
      <c r="H396" s="18"/>
      <c r="I396" s="18"/>
      <c r="J396" s="18"/>
      <c r="L396" s="6"/>
      <c r="AF396" s="19"/>
      <c r="AG396" s="19"/>
      <c r="AH396" s="20"/>
      <c r="AI396" s="19"/>
      <c r="AK396" s="19"/>
      <c r="AL396" s="19"/>
      <c r="AM396" s="19"/>
      <c r="AN396" s="19"/>
      <c r="AO396" s="19"/>
      <c r="AZ396" s="19"/>
      <c r="BA396" s="19"/>
      <c r="BB396" s="20"/>
      <c r="BC396" s="19"/>
      <c r="BE396" s="19"/>
      <c r="BF396" s="19"/>
      <c r="BG396" s="19"/>
      <c r="BH396" s="19"/>
      <c r="BI396" s="19"/>
      <c r="BJ396" s="19"/>
      <c r="BK396" s="19"/>
      <c r="BL396" s="19"/>
    </row>
    <row r="397" spans="2:64" ht="14" x14ac:dyDescent="0.2">
      <c r="B397" s="1"/>
      <c r="C397" s="1"/>
      <c r="D397" s="1"/>
      <c r="E397" s="1"/>
      <c r="H397" s="18"/>
      <c r="I397" s="18"/>
      <c r="J397" s="18"/>
      <c r="L397" s="6"/>
      <c r="AF397" s="19"/>
      <c r="AG397" s="19"/>
      <c r="AH397" s="20"/>
      <c r="AI397" s="19"/>
      <c r="AK397" s="19"/>
      <c r="AL397" s="19"/>
      <c r="AM397" s="19"/>
      <c r="AN397" s="19"/>
      <c r="AO397" s="19"/>
      <c r="AZ397" s="19"/>
      <c r="BA397" s="19"/>
      <c r="BB397" s="20"/>
      <c r="BC397" s="19"/>
      <c r="BE397" s="19"/>
      <c r="BF397" s="19"/>
      <c r="BG397" s="19"/>
      <c r="BH397" s="19"/>
      <c r="BI397" s="19"/>
      <c r="BJ397" s="19"/>
      <c r="BK397" s="19"/>
      <c r="BL397" s="19"/>
    </row>
    <row r="398" spans="2:64" ht="14" x14ac:dyDescent="0.2">
      <c r="B398" s="1"/>
      <c r="C398" s="1"/>
      <c r="D398" s="1"/>
      <c r="E398" s="1"/>
      <c r="H398" s="18"/>
      <c r="I398" s="18"/>
      <c r="J398" s="18"/>
      <c r="L398" s="6"/>
      <c r="AF398" s="19"/>
      <c r="AG398" s="19"/>
      <c r="AH398" s="20"/>
      <c r="AI398" s="19"/>
      <c r="AK398" s="19"/>
      <c r="AL398" s="19"/>
      <c r="AM398" s="19"/>
      <c r="AN398" s="19"/>
      <c r="AO398" s="19"/>
      <c r="AZ398" s="19"/>
      <c r="BA398" s="19"/>
      <c r="BB398" s="20"/>
      <c r="BC398" s="19"/>
      <c r="BE398" s="19"/>
      <c r="BF398" s="19"/>
      <c r="BG398" s="19"/>
      <c r="BH398" s="19"/>
      <c r="BI398" s="19"/>
      <c r="BJ398" s="19"/>
      <c r="BK398" s="19"/>
      <c r="BL398" s="19"/>
    </row>
    <row r="399" spans="2:64" ht="14" x14ac:dyDescent="0.2">
      <c r="B399" s="1"/>
      <c r="C399" s="1"/>
      <c r="D399" s="1"/>
      <c r="E399" s="1"/>
      <c r="H399" s="18"/>
      <c r="I399" s="18"/>
      <c r="J399" s="18"/>
      <c r="L399" s="6"/>
      <c r="AF399" s="19"/>
      <c r="AG399" s="19"/>
      <c r="AH399" s="20"/>
      <c r="AI399" s="19"/>
      <c r="AK399" s="19"/>
      <c r="AL399" s="19"/>
      <c r="AM399" s="19"/>
      <c r="AN399" s="19"/>
      <c r="AO399" s="19"/>
      <c r="AZ399" s="19"/>
      <c r="BA399" s="19"/>
      <c r="BB399" s="20"/>
      <c r="BC399" s="19"/>
      <c r="BE399" s="19"/>
      <c r="BF399" s="19"/>
      <c r="BG399" s="19"/>
      <c r="BH399" s="19"/>
      <c r="BI399" s="19"/>
      <c r="BJ399" s="19"/>
      <c r="BK399" s="19"/>
      <c r="BL399" s="19"/>
    </row>
    <row r="400" spans="2:64" ht="14" x14ac:dyDescent="0.2">
      <c r="B400" s="1"/>
      <c r="C400" s="1"/>
      <c r="D400" s="1"/>
      <c r="E400" s="1"/>
      <c r="H400" s="18"/>
      <c r="I400" s="18"/>
      <c r="J400" s="18"/>
      <c r="L400" s="6"/>
      <c r="AF400" s="19"/>
      <c r="AG400" s="19"/>
      <c r="AH400" s="20"/>
      <c r="AI400" s="19"/>
      <c r="AK400" s="19"/>
      <c r="AL400" s="19"/>
      <c r="AM400" s="19"/>
      <c r="AN400" s="19"/>
      <c r="AO400" s="19"/>
      <c r="AZ400" s="19"/>
      <c r="BA400" s="19"/>
      <c r="BB400" s="20"/>
      <c r="BC400" s="19"/>
      <c r="BE400" s="19"/>
      <c r="BF400" s="19"/>
      <c r="BG400" s="19"/>
      <c r="BH400" s="19"/>
      <c r="BI400" s="19"/>
      <c r="BJ400" s="19"/>
      <c r="BK400" s="19"/>
      <c r="BL400" s="19"/>
    </row>
    <row r="401" spans="2:64" ht="14" x14ac:dyDescent="0.2">
      <c r="B401" s="1"/>
      <c r="C401" s="1"/>
      <c r="D401" s="1"/>
      <c r="E401" s="1"/>
      <c r="H401" s="18"/>
      <c r="I401" s="18"/>
      <c r="J401" s="18"/>
      <c r="L401" s="6"/>
      <c r="AF401" s="19"/>
      <c r="AG401" s="19"/>
      <c r="AH401" s="20"/>
      <c r="AI401" s="19"/>
      <c r="AK401" s="19"/>
      <c r="AL401" s="19"/>
      <c r="AM401" s="19"/>
      <c r="AN401" s="19"/>
      <c r="AO401" s="19"/>
      <c r="AZ401" s="19"/>
      <c r="BA401" s="19"/>
      <c r="BB401" s="20"/>
      <c r="BC401" s="19"/>
      <c r="BE401" s="19"/>
      <c r="BF401" s="19"/>
      <c r="BG401" s="19"/>
      <c r="BH401" s="19"/>
      <c r="BI401" s="19"/>
      <c r="BJ401" s="19"/>
      <c r="BK401" s="19"/>
      <c r="BL401" s="19"/>
    </row>
    <row r="402" spans="2:64" ht="14" x14ac:dyDescent="0.2">
      <c r="B402" s="1"/>
      <c r="C402" s="1"/>
      <c r="D402" s="1"/>
      <c r="E402" s="1"/>
      <c r="H402" s="18"/>
      <c r="I402" s="18"/>
      <c r="J402" s="18"/>
      <c r="L402" s="6"/>
      <c r="AF402" s="19"/>
      <c r="AG402" s="19"/>
      <c r="AH402" s="20"/>
      <c r="AI402" s="19"/>
      <c r="AK402" s="19"/>
      <c r="AL402" s="19"/>
      <c r="AM402" s="19"/>
      <c r="AN402" s="19"/>
      <c r="AO402" s="19"/>
      <c r="AZ402" s="19"/>
      <c r="BA402" s="19"/>
      <c r="BB402" s="20"/>
      <c r="BC402" s="19"/>
      <c r="BE402" s="19"/>
      <c r="BF402" s="19"/>
      <c r="BG402" s="19"/>
      <c r="BH402" s="19"/>
      <c r="BI402" s="19"/>
      <c r="BJ402" s="19"/>
      <c r="BK402" s="19"/>
      <c r="BL402" s="19"/>
    </row>
    <row r="403" spans="2:64" ht="14" x14ac:dyDescent="0.2">
      <c r="B403" s="1"/>
      <c r="C403" s="1"/>
      <c r="D403" s="1"/>
      <c r="E403" s="1"/>
      <c r="H403" s="18"/>
      <c r="I403" s="18"/>
      <c r="J403" s="18"/>
      <c r="L403" s="6"/>
      <c r="AF403" s="19"/>
      <c r="AG403" s="19"/>
      <c r="AH403" s="20"/>
      <c r="AI403" s="19"/>
      <c r="AK403" s="19"/>
      <c r="AL403" s="19"/>
      <c r="AM403" s="19"/>
      <c r="AN403" s="19"/>
      <c r="AO403" s="19"/>
      <c r="AZ403" s="19"/>
      <c r="BA403" s="19"/>
      <c r="BB403" s="20"/>
      <c r="BC403" s="19"/>
      <c r="BE403" s="19"/>
      <c r="BF403" s="19"/>
      <c r="BG403" s="19"/>
      <c r="BH403" s="19"/>
      <c r="BI403" s="19"/>
      <c r="BJ403" s="19"/>
      <c r="BK403" s="19"/>
      <c r="BL403" s="19"/>
    </row>
    <row r="404" spans="2:64" ht="14" x14ac:dyDescent="0.2">
      <c r="B404" s="1"/>
      <c r="C404" s="1"/>
      <c r="D404" s="1"/>
      <c r="E404" s="1"/>
      <c r="H404" s="18"/>
      <c r="I404" s="18"/>
      <c r="J404" s="18"/>
      <c r="L404" s="6"/>
      <c r="AF404" s="19"/>
      <c r="AG404" s="19"/>
      <c r="AH404" s="20"/>
      <c r="AI404" s="19"/>
      <c r="AK404" s="19"/>
      <c r="AL404" s="19"/>
      <c r="AM404" s="19"/>
      <c r="AN404" s="19"/>
      <c r="AO404" s="19"/>
      <c r="AZ404" s="19"/>
      <c r="BA404" s="19"/>
      <c r="BB404" s="20"/>
      <c r="BC404" s="19"/>
      <c r="BE404" s="19"/>
      <c r="BF404" s="19"/>
      <c r="BG404" s="19"/>
      <c r="BH404" s="19"/>
      <c r="BI404" s="19"/>
      <c r="BJ404" s="19"/>
      <c r="BK404" s="19"/>
      <c r="BL404" s="19"/>
    </row>
    <row r="405" spans="2:64" ht="14" x14ac:dyDescent="0.2">
      <c r="B405" s="1"/>
      <c r="C405" s="1"/>
      <c r="D405" s="1"/>
      <c r="E405" s="1"/>
      <c r="H405" s="18"/>
      <c r="I405" s="18"/>
      <c r="J405" s="18"/>
      <c r="L405" s="6"/>
      <c r="AF405" s="19"/>
      <c r="AG405" s="19"/>
      <c r="AH405" s="20"/>
      <c r="AI405" s="19"/>
      <c r="AK405" s="19"/>
      <c r="AL405" s="19"/>
      <c r="AM405" s="19"/>
      <c r="AN405" s="19"/>
      <c r="AO405" s="19"/>
      <c r="AZ405" s="19"/>
      <c r="BA405" s="19"/>
      <c r="BB405" s="20"/>
      <c r="BC405" s="19"/>
      <c r="BE405" s="19"/>
      <c r="BF405" s="19"/>
      <c r="BG405" s="19"/>
      <c r="BH405" s="19"/>
      <c r="BI405" s="19"/>
      <c r="BJ405" s="19"/>
      <c r="BK405" s="19"/>
      <c r="BL405" s="19"/>
    </row>
    <row r="406" spans="2:64" ht="14" x14ac:dyDescent="0.2">
      <c r="B406" s="1"/>
      <c r="C406" s="1"/>
      <c r="D406" s="1"/>
      <c r="E406" s="1"/>
      <c r="H406" s="18"/>
      <c r="I406" s="18"/>
      <c r="J406" s="18"/>
      <c r="L406" s="6"/>
      <c r="AF406" s="19"/>
      <c r="AG406" s="19"/>
      <c r="AH406" s="20"/>
      <c r="AI406" s="19"/>
      <c r="AK406" s="19"/>
      <c r="AL406" s="19"/>
      <c r="AM406" s="19"/>
      <c r="AN406" s="19"/>
      <c r="AO406" s="19"/>
      <c r="AZ406" s="19"/>
      <c r="BA406" s="19"/>
      <c r="BB406" s="20"/>
      <c r="BC406" s="19"/>
      <c r="BE406" s="19"/>
      <c r="BF406" s="19"/>
      <c r="BG406" s="19"/>
      <c r="BH406" s="19"/>
      <c r="BI406" s="19"/>
      <c r="BJ406" s="19"/>
      <c r="BK406" s="19"/>
      <c r="BL406" s="19"/>
    </row>
    <row r="407" spans="2:64" ht="14" x14ac:dyDescent="0.2">
      <c r="B407" s="1"/>
      <c r="C407" s="1"/>
      <c r="D407" s="1"/>
      <c r="E407" s="1"/>
      <c r="H407" s="18"/>
      <c r="I407" s="18"/>
      <c r="J407" s="18"/>
      <c r="L407" s="6"/>
      <c r="AF407" s="19"/>
      <c r="AG407" s="19"/>
      <c r="AH407" s="20"/>
      <c r="AI407" s="19"/>
      <c r="AK407" s="19"/>
      <c r="AL407" s="19"/>
      <c r="AM407" s="19"/>
      <c r="AN407" s="19"/>
      <c r="AO407" s="19"/>
      <c r="AZ407" s="19"/>
      <c r="BA407" s="19"/>
      <c r="BB407" s="20"/>
      <c r="BC407" s="19"/>
      <c r="BE407" s="19"/>
      <c r="BF407" s="19"/>
      <c r="BG407" s="19"/>
      <c r="BH407" s="19"/>
      <c r="BI407" s="19"/>
      <c r="BJ407" s="19"/>
      <c r="BK407" s="19"/>
      <c r="BL407" s="19"/>
    </row>
    <row r="408" spans="2:64" ht="14" x14ac:dyDescent="0.2">
      <c r="B408" s="1"/>
      <c r="C408" s="1"/>
      <c r="D408" s="1"/>
      <c r="E408" s="1"/>
      <c r="H408" s="18"/>
      <c r="I408" s="18"/>
      <c r="J408" s="18"/>
      <c r="L408" s="6"/>
      <c r="AF408" s="19"/>
      <c r="AG408" s="19"/>
      <c r="AH408" s="20"/>
      <c r="AI408" s="19"/>
      <c r="AK408" s="19"/>
      <c r="AL408" s="19"/>
      <c r="AM408" s="19"/>
      <c r="AN408" s="19"/>
      <c r="AO408" s="19"/>
      <c r="AZ408" s="19"/>
      <c r="BA408" s="19"/>
      <c r="BB408" s="20"/>
      <c r="BC408" s="19"/>
      <c r="BE408" s="19"/>
      <c r="BF408" s="19"/>
      <c r="BG408" s="19"/>
      <c r="BH408" s="19"/>
      <c r="BI408" s="19"/>
      <c r="BJ408" s="19"/>
      <c r="BK408" s="19"/>
      <c r="BL408" s="19"/>
    </row>
    <row r="409" spans="2:64" ht="14" x14ac:dyDescent="0.2">
      <c r="B409" s="1"/>
      <c r="C409" s="1"/>
      <c r="D409" s="1"/>
      <c r="E409" s="1"/>
      <c r="H409" s="18"/>
      <c r="I409" s="18"/>
      <c r="J409" s="18"/>
      <c r="L409" s="6"/>
      <c r="AF409" s="19"/>
      <c r="AG409" s="19"/>
      <c r="AH409" s="20"/>
      <c r="AI409" s="19"/>
      <c r="AK409" s="19"/>
      <c r="AL409" s="19"/>
      <c r="AM409" s="19"/>
      <c r="AN409" s="19"/>
      <c r="AO409" s="19"/>
      <c r="AZ409" s="19"/>
      <c r="BA409" s="19"/>
      <c r="BB409" s="20"/>
      <c r="BC409" s="19"/>
      <c r="BE409" s="19"/>
      <c r="BF409" s="19"/>
      <c r="BG409" s="19"/>
      <c r="BH409" s="19"/>
      <c r="BI409" s="19"/>
      <c r="BJ409" s="19"/>
      <c r="BK409" s="19"/>
      <c r="BL409" s="19"/>
    </row>
    <row r="410" spans="2:64" ht="14" x14ac:dyDescent="0.2">
      <c r="B410" s="1"/>
      <c r="C410" s="1"/>
      <c r="D410" s="1"/>
      <c r="E410" s="1"/>
      <c r="H410" s="18"/>
      <c r="I410" s="18"/>
      <c r="J410" s="18"/>
      <c r="L410" s="6"/>
      <c r="AF410" s="19"/>
      <c r="AG410" s="19"/>
      <c r="AH410" s="20"/>
      <c r="AI410" s="19"/>
      <c r="AK410" s="19"/>
      <c r="AL410" s="19"/>
      <c r="AM410" s="19"/>
      <c r="AN410" s="19"/>
      <c r="AO410" s="19"/>
      <c r="AZ410" s="19"/>
      <c r="BA410" s="19"/>
      <c r="BB410" s="20"/>
      <c r="BC410" s="19"/>
      <c r="BE410" s="19"/>
      <c r="BF410" s="19"/>
      <c r="BG410" s="19"/>
      <c r="BH410" s="19"/>
      <c r="BI410" s="19"/>
      <c r="BJ410" s="19"/>
      <c r="BK410" s="19"/>
      <c r="BL410" s="19"/>
    </row>
    <row r="411" spans="2:64" ht="14" x14ac:dyDescent="0.2">
      <c r="B411" s="1"/>
      <c r="C411" s="1"/>
      <c r="D411" s="1"/>
      <c r="E411" s="1"/>
      <c r="H411" s="18"/>
      <c r="I411" s="18"/>
      <c r="J411" s="18"/>
      <c r="L411" s="6"/>
      <c r="AF411" s="19"/>
      <c r="AG411" s="19"/>
      <c r="AH411" s="20"/>
      <c r="AI411" s="19"/>
      <c r="AK411" s="19"/>
      <c r="AL411" s="19"/>
      <c r="AM411" s="19"/>
      <c r="AN411" s="19"/>
      <c r="AO411" s="19"/>
      <c r="AZ411" s="19"/>
      <c r="BA411" s="19"/>
      <c r="BB411" s="20"/>
      <c r="BC411" s="19"/>
      <c r="BE411" s="19"/>
      <c r="BF411" s="19"/>
      <c r="BG411" s="19"/>
      <c r="BH411" s="19"/>
      <c r="BI411" s="19"/>
      <c r="BJ411" s="19"/>
      <c r="BK411" s="19"/>
      <c r="BL411" s="19"/>
    </row>
    <row r="412" spans="2:64" ht="14" x14ac:dyDescent="0.2">
      <c r="B412" s="1"/>
      <c r="C412" s="1"/>
      <c r="D412" s="1"/>
      <c r="E412" s="1"/>
      <c r="H412" s="18"/>
      <c r="I412" s="18"/>
      <c r="J412" s="18"/>
      <c r="L412" s="6"/>
      <c r="AF412" s="19"/>
      <c r="AG412" s="19"/>
      <c r="AH412" s="20"/>
      <c r="AI412" s="19"/>
      <c r="AK412" s="19"/>
      <c r="AL412" s="19"/>
      <c r="AM412" s="19"/>
      <c r="AN412" s="19"/>
      <c r="AO412" s="19"/>
      <c r="AZ412" s="19"/>
      <c r="BA412" s="19"/>
      <c r="BB412" s="20"/>
      <c r="BC412" s="19"/>
      <c r="BE412" s="19"/>
      <c r="BF412" s="19"/>
      <c r="BG412" s="19"/>
      <c r="BH412" s="19"/>
      <c r="BI412" s="19"/>
      <c r="BJ412" s="19"/>
      <c r="BK412" s="19"/>
      <c r="BL412" s="19"/>
    </row>
    <row r="413" spans="2:64" ht="14" x14ac:dyDescent="0.2">
      <c r="B413" s="1"/>
      <c r="C413" s="1"/>
      <c r="D413" s="1"/>
      <c r="E413" s="1"/>
      <c r="H413" s="18"/>
      <c r="I413" s="18"/>
      <c r="J413" s="18"/>
      <c r="L413" s="6"/>
      <c r="AF413" s="19"/>
      <c r="AG413" s="19"/>
      <c r="AH413" s="20"/>
      <c r="AI413" s="19"/>
      <c r="AK413" s="19"/>
      <c r="AL413" s="19"/>
      <c r="AM413" s="19"/>
      <c r="AN413" s="19"/>
      <c r="AO413" s="19"/>
      <c r="AZ413" s="19"/>
      <c r="BA413" s="19"/>
      <c r="BB413" s="20"/>
      <c r="BC413" s="19"/>
      <c r="BE413" s="19"/>
      <c r="BF413" s="19"/>
      <c r="BG413" s="19"/>
      <c r="BH413" s="19"/>
      <c r="BI413" s="19"/>
      <c r="BJ413" s="19"/>
      <c r="BK413" s="19"/>
      <c r="BL413" s="19"/>
    </row>
    <row r="414" spans="2:64" ht="14" x14ac:dyDescent="0.2">
      <c r="B414" s="1"/>
      <c r="C414" s="1"/>
      <c r="D414" s="1"/>
      <c r="E414" s="1"/>
      <c r="H414" s="18"/>
      <c r="I414" s="18"/>
      <c r="J414" s="18"/>
      <c r="L414" s="6"/>
      <c r="AF414" s="19"/>
      <c r="AG414" s="19"/>
      <c r="AH414" s="20"/>
      <c r="AI414" s="19"/>
      <c r="AK414" s="19"/>
      <c r="AL414" s="19"/>
      <c r="AM414" s="19"/>
      <c r="AN414" s="19"/>
      <c r="AO414" s="19"/>
      <c r="AZ414" s="19"/>
      <c r="BA414" s="19"/>
      <c r="BB414" s="20"/>
      <c r="BC414" s="19"/>
      <c r="BE414" s="19"/>
      <c r="BF414" s="19"/>
      <c r="BG414" s="19"/>
      <c r="BH414" s="19"/>
      <c r="BI414" s="19"/>
      <c r="BJ414" s="19"/>
      <c r="BK414" s="19"/>
      <c r="BL414" s="19"/>
    </row>
    <row r="415" spans="2:64" ht="14" x14ac:dyDescent="0.2">
      <c r="B415" s="1"/>
      <c r="C415" s="1"/>
      <c r="D415" s="1"/>
      <c r="E415" s="1"/>
      <c r="H415" s="18"/>
      <c r="I415" s="18"/>
      <c r="J415" s="18"/>
      <c r="L415" s="6"/>
      <c r="AF415" s="19"/>
      <c r="AG415" s="19"/>
      <c r="AH415" s="20"/>
      <c r="AI415" s="19"/>
      <c r="AK415" s="19"/>
      <c r="AL415" s="19"/>
      <c r="AM415" s="19"/>
      <c r="AN415" s="19"/>
      <c r="AO415" s="19"/>
      <c r="AZ415" s="19"/>
      <c r="BA415" s="19"/>
      <c r="BB415" s="20"/>
      <c r="BC415" s="19"/>
      <c r="BE415" s="19"/>
      <c r="BF415" s="19"/>
      <c r="BG415" s="19"/>
      <c r="BH415" s="19"/>
      <c r="BI415" s="19"/>
      <c r="BJ415" s="19"/>
      <c r="BK415" s="19"/>
      <c r="BL415" s="19"/>
    </row>
    <row r="416" spans="2:64" ht="14" x14ac:dyDescent="0.2">
      <c r="B416" s="1"/>
      <c r="C416" s="1"/>
      <c r="D416" s="1"/>
      <c r="E416" s="1"/>
      <c r="H416" s="18"/>
      <c r="I416" s="18"/>
      <c r="J416" s="18"/>
      <c r="L416" s="6"/>
      <c r="AF416" s="19"/>
      <c r="AG416" s="19"/>
      <c r="AH416" s="20"/>
      <c r="AI416" s="19"/>
      <c r="AK416" s="19"/>
      <c r="AL416" s="19"/>
      <c r="AM416" s="19"/>
      <c r="AN416" s="19"/>
      <c r="AO416" s="19"/>
      <c r="AZ416" s="19"/>
      <c r="BA416" s="19"/>
      <c r="BB416" s="20"/>
      <c r="BC416" s="19"/>
      <c r="BE416" s="19"/>
      <c r="BF416" s="19"/>
      <c r="BG416" s="19"/>
      <c r="BH416" s="19"/>
      <c r="BI416" s="19"/>
      <c r="BJ416" s="19"/>
      <c r="BK416" s="19"/>
      <c r="BL416" s="19"/>
    </row>
    <row r="417" spans="2:64" ht="14" x14ac:dyDescent="0.2">
      <c r="B417" s="1"/>
      <c r="C417" s="1"/>
      <c r="D417" s="1"/>
      <c r="E417" s="1"/>
      <c r="H417" s="18"/>
      <c r="I417" s="18"/>
      <c r="J417" s="18"/>
      <c r="L417" s="6"/>
      <c r="AF417" s="19"/>
      <c r="AG417" s="19"/>
      <c r="AH417" s="20"/>
      <c r="AI417" s="19"/>
      <c r="AK417" s="19"/>
      <c r="AL417" s="19"/>
      <c r="AM417" s="19"/>
      <c r="AN417" s="19"/>
      <c r="AO417" s="19"/>
      <c r="AZ417" s="19"/>
      <c r="BA417" s="19"/>
      <c r="BB417" s="20"/>
      <c r="BC417" s="19"/>
      <c r="BE417" s="19"/>
      <c r="BF417" s="19"/>
      <c r="BG417" s="19"/>
      <c r="BH417" s="19"/>
      <c r="BI417" s="19"/>
      <c r="BJ417" s="19"/>
      <c r="BK417" s="19"/>
      <c r="BL417" s="19"/>
    </row>
    <row r="418" spans="2:64" ht="14" x14ac:dyDescent="0.2">
      <c r="B418" s="1"/>
      <c r="C418" s="1"/>
      <c r="D418" s="1"/>
      <c r="E418" s="1"/>
      <c r="H418" s="18"/>
      <c r="I418" s="18"/>
      <c r="J418" s="18"/>
      <c r="L418" s="6"/>
      <c r="AF418" s="19"/>
      <c r="AG418" s="19"/>
      <c r="AH418" s="20"/>
      <c r="AI418" s="19"/>
      <c r="AK418" s="19"/>
      <c r="AL418" s="19"/>
      <c r="AM418" s="19"/>
      <c r="AN418" s="19"/>
      <c r="AO418" s="19"/>
      <c r="AZ418" s="19"/>
      <c r="BA418" s="19"/>
      <c r="BB418" s="20"/>
      <c r="BC418" s="19"/>
      <c r="BE418" s="19"/>
      <c r="BF418" s="19"/>
      <c r="BG418" s="19"/>
      <c r="BH418" s="19"/>
      <c r="BI418" s="19"/>
      <c r="BJ418" s="19"/>
      <c r="BK418" s="19"/>
      <c r="BL418" s="19"/>
    </row>
    <row r="419" spans="2:64" ht="14" x14ac:dyDescent="0.2">
      <c r="B419" s="1"/>
      <c r="C419" s="1"/>
      <c r="D419" s="1"/>
      <c r="E419" s="1"/>
      <c r="H419" s="18"/>
      <c r="I419" s="18"/>
      <c r="J419" s="18"/>
      <c r="L419" s="6"/>
      <c r="AF419" s="19"/>
      <c r="AG419" s="19"/>
      <c r="AH419" s="20"/>
      <c r="AI419" s="19"/>
      <c r="AK419" s="19"/>
      <c r="AL419" s="19"/>
      <c r="AM419" s="19"/>
      <c r="AN419" s="19"/>
      <c r="AO419" s="19"/>
      <c r="AZ419" s="19"/>
      <c r="BA419" s="19"/>
      <c r="BB419" s="20"/>
      <c r="BC419" s="19"/>
      <c r="BE419" s="19"/>
      <c r="BF419" s="19"/>
      <c r="BG419" s="19"/>
      <c r="BH419" s="19"/>
      <c r="BI419" s="19"/>
      <c r="BJ419" s="19"/>
      <c r="BK419" s="19"/>
      <c r="BL419" s="19"/>
    </row>
    <row r="420" spans="2:64" ht="14" x14ac:dyDescent="0.2">
      <c r="B420" s="1"/>
      <c r="C420" s="1"/>
      <c r="D420" s="1"/>
      <c r="E420" s="1"/>
      <c r="H420" s="18"/>
      <c r="I420" s="18"/>
      <c r="J420" s="18"/>
      <c r="L420" s="6"/>
      <c r="AF420" s="19"/>
      <c r="AG420" s="19"/>
      <c r="AH420" s="20"/>
      <c r="AI420" s="19"/>
      <c r="AK420" s="19"/>
      <c r="AL420" s="19"/>
      <c r="AM420" s="19"/>
      <c r="AN420" s="19"/>
      <c r="AO420" s="19"/>
      <c r="AZ420" s="19"/>
      <c r="BA420" s="19"/>
      <c r="BB420" s="20"/>
      <c r="BC420" s="19"/>
      <c r="BE420" s="19"/>
      <c r="BF420" s="19"/>
      <c r="BG420" s="19"/>
      <c r="BH420" s="19"/>
      <c r="BI420" s="19"/>
      <c r="BJ420" s="19"/>
      <c r="BK420" s="19"/>
      <c r="BL420" s="19"/>
    </row>
    <row r="421" spans="2:64" ht="14" x14ac:dyDescent="0.2">
      <c r="B421" s="1"/>
      <c r="C421" s="1"/>
      <c r="D421" s="1"/>
      <c r="E421" s="1"/>
      <c r="H421" s="18"/>
      <c r="I421" s="18"/>
      <c r="J421" s="18"/>
      <c r="L421" s="6"/>
      <c r="AF421" s="19"/>
      <c r="AG421" s="19"/>
      <c r="AH421" s="20"/>
      <c r="AI421" s="19"/>
      <c r="AK421" s="19"/>
      <c r="AL421" s="19"/>
      <c r="AM421" s="19"/>
      <c r="AN421" s="19"/>
      <c r="AO421" s="19"/>
      <c r="AZ421" s="19"/>
      <c r="BA421" s="19"/>
      <c r="BB421" s="20"/>
      <c r="BC421" s="19"/>
      <c r="BE421" s="19"/>
      <c r="BF421" s="19"/>
      <c r="BG421" s="19"/>
      <c r="BH421" s="19"/>
      <c r="BI421" s="19"/>
      <c r="BJ421" s="19"/>
      <c r="BK421" s="19"/>
      <c r="BL421" s="19"/>
    </row>
    <row r="422" spans="2:64" ht="14" x14ac:dyDescent="0.2">
      <c r="B422" s="1"/>
      <c r="C422" s="1"/>
      <c r="D422" s="1"/>
      <c r="E422" s="1"/>
      <c r="H422" s="18"/>
      <c r="I422" s="18"/>
      <c r="J422" s="18"/>
      <c r="L422" s="6"/>
      <c r="AF422" s="19"/>
      <c r="AG422" s="19"/>
      <c r="AH422" s="20"/>
      <c r="AI422" s="19"/>
      <c r="AK422" s="19"/>
      <c r="AL422" s="19"/>
      <c r="AM422" s="19"/>
      <c r="AN422" s="19"/>
      <c r="AO422" s="19"/>
      <c r="AZ422" s="19"/>
      <c r="BA422" s="19"/>
      <c r="BB422" s="20"/>
      <c r="BC422" s="19"/>
      <c r="BE422" s="19"/>
      <c r="BF422" s="19"/>
      <c r="BG422" s="19"/>
      <c r="BH422" s="19"/>
      <c r="BI422" s="19"/>
      <c r="BJ422" s="19"/>
      <c r="BK422" s="19"/>
      <c r="BL422" s="19"/>
    </row>
    <row r="423" spans="2:64" ht="14" x14ac:dyDescent="0.2">
      <c r="B423" s="1"/>
      <c r="C423" s="1"/>
      <c r="D423" s="1"/>
      <c r="E423" s="1"/>
      <c r="H423" s="18"/>
      <c r="I423" s="18"/>
      <c r="J423" s="18"/>
      <c r="L423" s="6"/>
      <c r="AF423" s="19"/>
      <c r="AG423" s="19"/>
      <c r="AH423" s="20"/>
      <c r="AI423" s="19"/>
      <c r="AK423" s="19"/>
      <c r="AL423" s="19"/>
      <c r="AM423" s="19"/>
      <c r="AN423" s="19"/>
      <c r="AO423" s="19"/>
      <c r="AZ423" s="19"/>
      <c r="BA423" s="19"/>
      <c r="BB423" s="20"/>
      <c r="BC423" s="19"/>
      <c r="BE423" s="19"/>
      <c r="BF423" s="19"/>
      <c r="BG423" s="19"/>
      <c r="BH423" s="19"/>
      <c r="BI423" s="19"/>
      <c r="BJ423" s="19"/>
      <c r="BK423" s="19"/>
      <c r="BL423" s="19"/>
    </row>
    <row r="424" spans="2:64" ht="14" x14ac:dyDescent="0.2">
      <c r="B424" s="1"/>
      <c r="C424" s="1"/>
      <c r="D424" s="1"/>
      <c r="E424" s="1"/>
      <c r="H424" s="18"/>
      <c r="I424" s="18"/>
      <c r="J424" s="18"/>
      <c r="L424" s="6"/>
      <c r="AF424" s="19"/>
      <c r="AG424" s="19"/>
      <c r="AH424" s="20"/>
      <c r="AI424" s="19"/>
      <c r="AK424" s="19"/>
      <c r="AL424" s="19"/>
      <c r="AM424" s="19"/>
      <c r="AN424" s="19"/>
      <c r="AO424" s="19"/>
      <c r="AZ424" s="19"/>
      <c r="BA424" s="19"/>
      <c r="BB424" s="20"/>
      <c r="BC424" s="19"/>
      <c r="BE424" s="19"/>
      <c r="BF424" s="19"/>
      <c r="BG424" s="19"/>
      <c r="BH424" s="19"/>
      <c r="BI424" s="19"/>
      <c r="BJ424" s="19"/>
      <c r="BK424" s="19"/>
      <c r="BL424" s="19"/>
    </row>
    <row r="425" spans="2:64" ht="14" x14ac:dyDescent="0.2">
      <c r="B425" s="1"/>
      <c r="C425" s="1"/>
      <c r="D425" s="1"/>
      <c r="E425" s="1"/>
      <c r="H425" s="18"/>
      <c r="I425" s="18"/>
      <c r="J425" s="18"/>
      <c r="L425" s="6"/>
      <c r="AF425" s="19"/>
      <c r="AG425" s="19"/>
      <c r="AH425" s="20"/>
      <c r="AI425" s="19"/>
      <c r="AK425" s="19"/>
      <c r="AL425" s="19"/>
      <c r="AM425" s="19"/>
      <c r="AN425" s="19"/>
      <c r="AO425" s="19"/>
      <c r="AZ425" s="19"/>
      <c r="BA425" s="19"/>
      <c r="BB425" s="20"/>
      <c r="BC425" s="19"/>
      <c r="BE425" s="19"/>
      <c r="BF425" s="19"/>
      <c r="BG425" s="19"/>
      <c r="BH425" s="19"/>
      <c r="BI425" s="19"/>
      <c r="BJ425" s="19"/>
      <c r="BK425" s="19"/>
      <c r="BL425" s="19"/>
    </row>
    <row r="426" spans="2:64" ht="14" x14ac:dyDescent="0.2">
      <c r="B426" s="1"/>
      <c r="C426" s="1"/>
      <c r="D426" s="1"/>
      <c r="E426" s="1"/>
      <c r="H426" s="18"/>
      <c r="I426" s="18"/>
      <c r="J426" s="18"/>
      <c r="L426" s="6"/>
      <c r="AF426" s="19"/>
      <c r="AG426" s="19"/>
      <c r="AH426" s="20"/>
      <c r="AI426" s="19"/>
      <c r="AK426" s="19"/>
      <c r="AL426" s="19"/>
      <c r="AM426" s="19"/>
      <c r="AN426" s="19"/>
      <c r="AO426" s="19"/>
      <c r="AZ426" s="19"/>
      <c r="BA426" s="19"/>
      <c r="BB426" s="20"/>
      <c r="BC426" s="19"/>
      <c r="BE426" s="19"/>
      <c r="BF426" s="19"/>
      <c r="BG426" s="19"/>
      <c r="BH426" s="19"/>
      <c r="BI426" s="19"/>
      <c r="BJ426" s="19"/>
      <c r="BK426" s="19"/>
      <c r="BL426" s="19"/>
    </row>
    <row r="427" spans="2:64" ht="14" x14ac:dyDescent="0.2">
      <c r="B427" s="1"/>
      <c r="C427" s="1"/>
      <c r="D427" s="1"/>
      <c r="E427" s="1"/>
      <c r="H427" s="18"/>
      <c r="I427" s="18"/>
      <c r="J427" s="18"/>
      <c r="L427" s="6"/>
      <c r="AF427" s="19"/>
      <c r="AG427" s="19"/>
      <c r="AH427" s="20"/>
      <c r="AI427" s="19"/>
      <c r="AK427" s="19"/>
      <c r="AL427" s="19"/>
      <c r="AM427" s="19"/>
      <c r="AN427" s="19"/>
      <c r="AO427" s="19"/>
      <c r="AZ427" s="19"/>
      <c r="BA427" s="19"/>
      <c r="BB427" s="20"/>
      <c r="BC427" s="19"/>
      <c r="BE427" s="19"/>
      <c r="BF427" s="19"/>
      <c r="BG427" s="19"/>
      <c r="BH427" s="19"/>
      <c r="BI427" s="19"/>
      <c r="BJ427" s="19"/>
      <c r="BK427" s="19"/>
      <c r="BL427" s="19"/>
    </row>
    <row r="428" spans="2:64" ht="14" x14ac:dyDescent="0.2">
      <c r="B428" s="1"/>
      <c r="C428" s="1"/>
      <c r="D428" s="1"/>
      <c r="E428" s="1"/>
      <c r="H428" s="18"/>
      <c r="I428" s="18"/>
      <c r="J428" s="18"/>
      <c r="L428" s="6"/>
      <c r="AF428" s="19"/>
      <c r="AG428" s="19"/>
      <c r="AH428" s="20"/>
      <c r="AI428" s="19"/>
      <c r="AK428" s="19"/>
      <c r="AL428" s="19"/>
      <c r="AM428" s="19"/>
      <c r="AN428" s="19"/>
      <c r="AO428" s="19"/>
      <c r="AZ428" s="19"/>
      <c r="BA428" s="19"/>
      <c r="BB428" s="20"/>
      <c r="BC428" s="19"/>
      <c r="BE428" s="19"/>
      <c r="BF428" s="19"/>
      <c r="BG428" s="19"/>
      <c r="BH428" s="19"/>
      <c r="BI428" s="19"/>
      <c r="BJ428" s="19"/>
      <c r="BK428" s="19"/>
      <c r="BL428" s="19"/>
    </row>
    <row r="429" spans="2:64" ht="14" x14ac:dyDescent="0.2">
      <c r="B429" s="1"/>
      <c r="C429" s="1"/>
      <c r="D429" s="1"/>
      <c r="E429" s="1"/>
      <c r="H429" s="18"/>
      <c r="I429" s="18"/>
      <c r="J429" s="18"/>
      <c r="L429" s="6"/>
      <c r="AF429" s="19"/>
      <c r="AG429" s="19"/>
      <c r="AH429" s="20"/>
      <c r="AI429" s="19"/>
      <c r="AK429" s="19"/>
      <c r="AL429" s="19"/>
      <c r="AM429" s="19"/>
      <c r="AN429" s="19"/>
      <c r="AO429" s="19"/>
      <c r="AZ429" s="19"/>
      <c r="BA429" s="19"/>
      <c r="BB429" s="20"/>
      <c r="BC429" s="19"/>
      <c r="BE429" s="19"/>
      <c r="BF429" s="19"/>
      <c r="BG429" s="19"/>
      <c r="BH429" s="19"/>
      <c r="BI429" s="19"/>
      <c r="BJ429" s="19"/>
      <c r="BK429" s="19"/>
      <c r="BL429" s="19"/>
    </row>
    <row r="430" spans="2:64" ht="14" x14ac:dyDescent="0.2">
      <c r="B430" s="1"/>
      <c r="C430" s="1"/>
      <c r="D430" s="1"/>
      <c r="E430" s="1"/>
      <c r="H430" s="18"/>
      <c r="I430" s="18"/>
      <c r="J430" s="18"/>
      <c r="L430" s="6"/>
      <c r="AF430" s="19"/>
      <c r="AG430" s="19"/>
      <c r="AH430" s="20"/>
      <c r="AI430" s="19"/>
      <c r="AK430" s="19"/>
      <c r="AL430" s="19"/>
      <c r="AM430" s="19"/>
      <c r="AN430" s="19"/>
      <c r="AO430" s="19"/>
      <c r="AZ430" s="19"/>
      <c r="BA430" s="19"/>
      <c r="BB430" s="20"/>
      <c r="BC430" s="19"/>
      <c r="BE430" s="19"/>
      <c r="BF430" s="19"/>
      <c r="BG430" s="19"/>
      <c r="BH430" s="19"/>
      <c r="BI430" s="19"/>
      <c r="BJ430" s="19"/>
      <c r="BK430" s="19"/>
      <c r="BL430" s="19"/>
    </row>
    <row r="431" spans="2:64" ht="14" x14ac:dyDescent="0.2">
      <c r="B431" s="1"/>
      <c r="C431" s="1"/>
      <c r="D431" s="1"/>
      <c r="E431" s="1"/>
      <c r="H431" s="18"/>
      <c r="I431" s="18"/>
      <c r="J431" s="18"/>
      <c r="L431" s="6"/>
      <c r="AF431" s="19"/>
      <c r="AG431" s="19"/>
      <c r="AH431" s="20"/>
      <c r="AI431" s="19"/>
      <c r="AK431" s="19"/>
      <c r="AL431" s="19"/>
      <c r="AM431" s="19"/>
      <c r="AN431" s="19"/>
      <c r="AO431" s="19"/>
      <c r="AZ431" s="19"/>
      <c r="BA431" s="19"/>
      <c r="BB431" s="20"/>
      <c r="BC431" s="19"/>
      <c r="BE431" s="19"/>
      <c r="BF431" s="19"/>
      <c r="BG431" s="19"/>
      <c r="BH431" s="19"/>
      <c r="BI431" s="19"/>
      <c r="BJ431" s="19"/>
      <c r="BK431" s="19"/>
      <c r="BL431" s="19"/>
    </row>
    <row r="432" spans="2:64" ht="14" x14ac:dyDescent="0.2">
      <c r="B432" s="1"/>
      <c r="C432" s="1"/>
      <c r="D432" s="1"/>
      <c r="E432" s="1"/>
      <c r="H432" s="18"/>
      <c r="I432" s="18"/>
      <c r="J432" s="18"/>
      <c r="L432" s="6"/>
      <c r="AF432" s="19"/>
      <c r="AG432" s="19"/>
      <c r="AH432" s="20"/>
      <c r="AI432" s="19"/>
      <c r="AK432" s="19"/>
      <c r="AL432" s="19"/>
      <c r="AM432" s="19"/>
      <c r="AN432" s="19"/>
      <c r="AO432" s="19"/>
      <c r="AZ432" s="19"/>
      <c r="BA432" s="19"/>
      <c r="BB432" s="20"/>
      <c r="BC432" s="19"/>
      <c r="BE432" s="19"/>
      <c r="BF432" s="19"/>
      <c r="BG432" s="19"/>
      <c r="BH432" s="19"/>
      <c r="BI432" s="19"/>
      <c r="BJ432" s="19"/>
      <c r="BK432" s="19"/>
      <c r="BL432" s="19"/>
    </row>
    <row r="433" spans="2:64" ht="14" x14ac:dyDescent="0.2">
      <c r="B433" s="1"/>
      <c r="C433" s="1"/>
      <c r="D433" s="1"/>
      <c r="E433" s="1"/>
      <c r="H433" s="18"/>
      <c r="I433" s="18"/>
      <c r="J433" s="18"/>
      <c r="L433" s="6"/>
      <c r="AF433" s="19"/>
      <c r="AG433" s="19"/>
      <c r="AH433" s="20"/>
      <c r="AI433" s="19"/>
      <c r="AK433" s="19"/>
      <c r="AL433" s="19"/>
      <c r="AM433" s="19"/>
      <c r="AN433" s="19"/>
      <c r="AO433" s="19"/>
      <c r="AZ433" s="19"/>
      <c r="BA433" s="19"/>
      <c r="BB433" s="20"/>
      <c r="BC433" s="19"/>
      <c r="BE433" s="19"/>
      <c r="BF433" s="19"/>
      <c r="BG433" s="19"/>
      <c r="BH433" s="19"/>
      <c r="BI433" s="19"/>
      <c r="BJ433" s="19"/>
      <c r="BK433" s="19"/>
      <c r="BL433" s="19"/>
    </row>
    <row r="434" spans="2:64" ht="14" x14ac:dyDescent="0.2">
      <c r="B434" s="1"/>
      <c r="C434" s="1"/>
      <c r="D434" s="1"/>
      <c r="E434" s="1"/>
      <c r="H434" s="18"/>
      <c r="I434" s="18"/>
      <c r="J434" s="18"/>
      <c r="L434" s="6"/>
      <c r="AF434" s="19"/>
      <c r="AG434" s="19"/>
      <c r="AH434" s="20"/>
      <c r="AI434" s="19"/>
      <c r="AK434" s="19"/>
      <c r="AL434" s="19"/>
      <c r="AM434" s="19"/>
      <c r="AN434" s="19"/>
      <c r="AO434" s="19"/>
      <c r="AZ434" s="19"/>
      <c r="BA434" s="19"/>
      <c r="BB434" s="20"/>
      <c r="BC434" s="19"/>
      <c r="BE434" s="19"/>
      <c r="BF434" s="19"/>
      <c r="BG434" s="19"/>
      <c r="BH434" s="19"/>
      <c r="BI434" s="19"/>
      <c r="BJ434" s="19"/>
      <c r="BK434" s="19"/>
      <c r="BL434" s="19"/>
    </row>
    <row r="435" spans="2:64" ht="14" x14ac:dyDescent="0.2">
      <c r="B435" s="1"/>
      <c r="C435" s="1"/>
      <c r="D435" s="1"/>
      <c r="E435" s="1"/>
      <c r="H435" s="18"/>
      <c r="I435" s="18"/>
      <c r="J435" s="18"/>
      <c r="L435" s="6"/>
      <c r="AF435" s="19"/>
      <c r="AG435" s="19"/>
      <c r="AH435" s="20"/>
      <c r="AI435" s="19"/>
      <c r="AK435" s="19"/>
      <c r="AL435" s="19"/>
      <c r="AM435" s="19"/>
      <c r="AN435" s="19"/>
      <c r="AO435" s="19"/>
      <c r="AZ435" s="19"/>
      <c r="BA435" s="19"/>
      <c r="BB435" s="20"/>
      <c r="BC435" s="19"/>
      <c r="BE435" s="19"/>
      <c r="BF435" s="19"/>
      <c r="BG435" s="19"/>
      <c r="BH435" s="19"/>
      <c r="BI435" s="19"/>
      <c r="BJ435" s="19"/>
      <c r="BK435" s="19"/>
      <c r="BL435" s="19"/>
    </row>
    <row r="436" spans="2:64" ht="14" x14ac:dyDescent="0.2">
      <c r="B436" s="1"/>
      <c r="C436" s="1"/>
      <c r="D436" s="1"/>
      <c r="E436" s="1"/>
      <c r="H436" s="18"/>
      <c r="I436" s="18"/>
      <c r="J436" s="18"/>
      <c r="L436" s="6"/>
      <c r="AF436" s="19"/>
      <c r="AG436" s="19"/>
      <c r="AH436" s="20"/>
      <c r="AI436" s="19"/>
      <c r="AK436" s="19"/>
      <c r="AL436" s="19"/>
      <c r="AM436" s="19"/>
      <c r="AN436" s="19"/>
      <c r="AO436" s="19"/>
      <c r="AZ436" s="19"/>
      <c r="BA436" s="19"/>
      <c r="BB436" s="20"/>
      <c r="BC436" s="19"/>
      <c r="BE436" s="19"/>
      <c r="BF436" s="19"/>
      <c r="BG436" s="19"/>
      <c r="BH436" s="19"/>
      <c r="BI436" s="19"/>
      <c r="BJ436" s="19"/>
      <c r="BK436" s="19"/>
      <c r="BL436" s="19"/>
    </row>
    <row r="437" spans="2:64" ht="14" x14ac:dyDescent="0.2">
      <c r="B437" s="1"/>
      <c r="C437" s="1"/>
      <c r="D437" s="1"/>
      <c r="E437" s="1"/>
      <c r="H437" s="18"/>
      <c r="I437" s="18"/>
      <c r="J437" s="18"/>
      <c r="L437" s="6"/>
      <c r="AF437" s="19"/>
      <c r="AG437" s="19"/>
      <c r="AH437" s="20"/>
      <c r="AI437" s="19"/>
      <c r="AK437" s="19"/>
      <c r="AL437" s="19"/>
      <c r="AM437" s="19"/>
      <c r="AN437" s="19"/>
      <c r="AO437" s="19"/>
      <c r="AZ437" s="19"/>
      <c r="BA437" s="19"/>
      <c r="BB437" s="20"/>
      <c r="BC437" s="19"/>
      <c r="BE437" s="19"/>
      <c r="BF437" s="19"/>
      <c r="BG437" s="19"/>
      <c r="BH437" s="19"/>
      <c r="BI437" s="19"/>
      <c r="BJ437" s="19"/>
      <c r="BK437" s="19"/>
      <c r="BL437" s="19"/>
    </row>
    <row r="438" spans="2:64" ht="14" x14ac:dyDescent="0.2">
      <c r="B438" s="1"/>
      <c r="C438" s="1"/>
      <c r="D438" s="1"/>
      <c r="E438" s="1"/>
      <c r="H438" s="18"/>
      <c r="I438" s="18"/>
      <c r="J438" s="18"/>
      <c r="L438" s="6"/>
      <c r="AF438" s="19"/>
      <c r="AG438" s="19"/>
      <c r="AH438" s="20"/>
      <c r="AI438" s="19"/>
      <c r="AK438" s="19"/>
      <c r="AL438" s="19"/>
      <c r="AM438" s="19"/>
      <c r="AN438" s="19"/>
      <c r="AO438" s="19"/>
      <c r="AZ438" s="19"/>
      <c r="BA438" s="19"/>
      <c r="BB438" s="20"/>
      <c r="BC438" s="19"/>
      <c r="BE438" s="19"/>
      <c r="BF438" s="19"/>
      <c r="BG438" s="19"/>
      <c r="BH438" s="19"/>
      <c r="BI438" s="19"/>
      <c r="BJ438" s="19"/>
      <c r="BK438" s="19"/>
      <c r="BL438" s="19"/>
    </row>
    <row r="439" spans="2:64" ht="14" x14ac:dyDescent="0.2">
      <c r="B439" s="1"/>
      <c r="C439" s="1"/>
      <c r="D439" s="1"/>
      <c r="E439" s="1"/>
      <c r="H439" s="18"/>
      <c r="I439" s="18"/>
      <c r="J439" s="18"/>
      <c r="L439" s="6"/>
      <c r="AF439" s="19"/>
      <c r="AG439" s="19"/>
      <c r="AH439" s="20"/>
      <c r="AI439" s="19"/>
      <c r="AK439" s="19"/>
      <c r="AL439" s="19"/>
      <c r="AM439" s="19"/>
      <c r="AN439" s="19"/>
      <c r="AO439" s="19"/>
      <c r="AZ439" s="19"/>
      <c r="BA439" s="19"/>
      <c r="BB439" s="20"/>
      <c r="BC439" s="19"/>
      <c r="BE439" s="19"/>
      <c r="BF439" s="19"/>
      <c r="BG439" s="19"/>
      <c r="BH439" s="19"/>
      <c r="BI439" s="19"/>
      <c r="BJ439" s="19"/>
      <c r="BK439" s="19"/>
      <c r="BL439" s="19"/>
    </row>
    <row r="440" spans="2:64" ht="14" x14ac:dyDescent="0.2">
      <c r="B440" s="1"/>
      <c r="C440" s="1"/>
      <c r="D440" s="1"/>
      <c r="E440" s="1"/>
      <c r="H440" s="18"/>
      <c r="I440" s="18"/>
      <c r="J440" s="18"/>
      <c r="L440" s="6"/>
      <c r="AF440" s="19"/>
      <c r="AG440" s="19"/>
      <c r="AH440" s="20"/>
      <c r="AI440" s="19"/>
      <c r="AK440" s="19"/>
      <c r="AL440" s="19"/>
      <c r="AM440" s="19"/>
      <c r="AN440" s="19"/>
      <c r="AO440" s="19"/>
      <c r="AZ440" s="19"/>
      <c r="BA440" s="19"/>
      <c r="BB440" s="20"/>
      <c r="BC440" s="19"/>
      <c r="BE440" s="19"/>
      <c r="BF440" s="19"/>
      <c r="BG440" s="19"/>
      <c r="BH440" s="19"/>
      <c r="BI440" s="19"/>
      <c r="BJ440" s="19"/>
      <c r="BK440" s="19"/>
      <c r="BL440" s="19"/>
    </row>
    <row r="441" spans="2:64" ht="14" x14ac:dyDescent="0.2">
      <c r="B441" s="1"/>
      <c r="C441" s="1"/>
      <c r="D441" s="1"/>
      <c r="E441" s="1"/>
      <c r="H441" s="18"/>
      <c r="I441" s="18"/>
      <c r="J441" s="18"/>
      <c r="L441" s="6"/>
      <c r="AF441" s="19"/>
      <c r="AG441" s="19"/>
      <c r="AH441" s="20"/>
      <c r="AI441" s="19"/>
      <c r="AK441" s="19"/>
      <c r="AL441" s="19"/>
      <c r="AM441" s="19"/>
      <c r="AN441" s="19"/>
      <c r="AO441" s="19"/>
      <c r="AZ441" s="19"/>
      <c r="BA441" s="19"/>
      <c r="BB441" s="20"/>
      <c r="BC441" s="19"/>
      <c r="BE441" s="19"/>
      <c r="BF441" s="19"/>
      <c r="BG441" s="19"/>
      <c r="BH441" s="19"/>
      <c r="BI441" s="19"/>
      <c r="BJ441" s="19"/>
      <c r="BK441" s="19"/>
      <c r="BL441" s="19"/>
    </row>
    <row r="442" spans="2:64" ht="14" x14ac:dyDescent="0.2">
      <c r="B442" s="1"/>
      <c r="C442" s="1"/>
      <c r="D442" s="1"/>
      <c r="E442" s="1"/>
      <c r="H442" s="18"/>
      <c r="I442" s="18"/>
      <c r="J442" s="18"/>
      <c r="L442" s="6"/>
      <c r="AF442" s="19"/>
      <c r="AG442" s="19"/>
      <c r="AH442" s="20"/>
      <c r="AI442" s="19"/>
      <c r="AK442" s="19"/>
      <c r="AL442" s="19"/>
      <c r="AM442" s="19"/>
      <c r="AN442" s="19"/>
      <c r="AO442" s="19"/>
      <c r="AZ442" s="19"/>
      <c r="BA442" s="19"/>
      <c r="BB442" s="20"/>
      <c r="BC442" s="19"/>
      <c r="BE442" s="19"/>
      <c r="BF442" s="19"/>
      <c r="BG442" s="19"/>
      <c r="BH442" s="19"/>
      <c r="BI442" s="19"/>
      <c r="BJ442" s="19"/>
      <c r="BK442" s="19"/>
      <c r="BL442" s="19"/>
    </row>
    <row r="443" spans="2:64" ht="14" x14ac:dyDescent="0.2">
      <c r="B443" s="1"/>
      <c r="C443" s="1"/>
      <c r="D443" s="1"/>
      <c r="E443" s="1"/>
      <c r="H443" s="18"/>
      <c r="I443" s="18"/>
      <c r="J443" s="18"/>
      <c r="L443" s="6"/>
      <c r="AF443" s="19"/>
      <c r="AG443" s="19"/>
      <c r="AH443" s="20"/>
      <c r="AI443" s="19"/>
      <c r="AK443" s="19"/>
      <c r="AL443" s="19"/>
      <c r="AM443" s="19"/>
      <c r="AN443" s="19"/>
      <c r="AO443" s="19"/>
      <c r="AZ443" s="19"/>
      <c r="BA443" s="19"/>
      <c r="BB443" s="20"/>
      <c r="BC443" s="19"/>
      <c r="BE443" s="19"/>
      <c r="BF443" s="19"/>
      <c r="BG443" s="19"/>
      <c r="BH443" s="19"/>
      <c r="BI443" s="19"/>
      <c r="BJ443" s="19"/>
      <c r="BK443" s="19"/>
      <c r="BL443" s="19"/>
    </row>
    <row r="444" spans="2:64" ht="14" x14ac:dyDescent="0.2">
      <c r="B444" s="1"/>
      <c r="C444" s="1"/>
      <c r="D444" s="1"/>
      <c r="E444" s="1"/>
      <c r="H444" s="18"/>
      <c r="I444" s="18"/>
      <c r="J444" s="18"/>
      <c r="L444" s="6"/>
      <c r="AF444" s="19"/>
      <c r="AG444" s="19"/>
      <c r="AH444" s="20"/>
      <c r="AI444" s="19"/>
      <c r="AK444" s="19"/>
      <c r="AL444" s="19"/>
      <c r="AM444" s="19"/>
      <c r="AN444" s="19"/>
      <c r="AO444" s="19"/>
      <c r="AZ444" s="19"/>
      <c r="BA444" s="19"/>
      <c r="BB444" s="20"/>
      <c r="BC444" s="19"/>
      <c r="BE444" s="19"/>
      <c r="BF444" s="19"/>
      <c r="BG444" s="19"/>
      <c r="BH444" s="19"/>
      <c r="BI444" s="19"/>
      <c r="BJ444" s="19"/>
      <c r="BK444" s="19"/>
      <c r="BL444" s="19"/>
    </row>
    <row r="445" spans="2:64" ht="14" x14ac:dyDescent="0.2">
      <c r="B445" s="1"/>
      <c r="C445" s="1"/>
      <c r="D445" s="1"/>
      <c r="E445" s="1"/>
      <c r="H445" s="18"/>
      <c r="I445" s="18"/>
      <c r="J445" s="18"/>
      <c r="L445" s="6"/>
      <c r="AF445" s="19"/>
      <c r="AG445" s="19"/>
      <c r="AH445" s="20"/>
      <c r="AI445" s="19"/>
      <c r="AK445" s="19"/>
      <c r="AL445" s="19"/>
      <c r="AM445" s="19"/>
      <c r="AN445" s="19"/>
      <c r="AO445" s="19"/>
      <c r="AZ445" s="19"/>
      <c r="BA445" s="19"/>
      <c r="BB445" s="20"/>
      <c r="BC445" s="19"/>
      <c r="BE445" s="19"/>
      <c r="BF445" s="19"/>
      <c r="BG445" s="19"/>
      <c r="BH445" s="19"/>
      <c r="BI445" s="19"/>
      <c r="BJ445" s="19"/>
      <c r="BK445" s="19"/>
      <c r="BL445" s="19"/>
    </row>
    <row r="446" spans="2:64" ht="14" x14ac:dyDescent="0.2">
      <c r="B446" s="1"/>
      <c r="C446" s="1"/>
      <c r="D446" s="1"/>
      <c r="E446" s="1"/>
      <c r="H446" s="18"/>
      <c r="I446" s="18"/>
      <c r="J446" s="18"/>
      <c r="L446" s="6"/>
      <c r="AF446" s="19"/>
      <c r="AG446" s="19"/>
      <c r="AH446" s="20"/>
      <c r="AI446" s="19"/>
      <c r="AK446" s="19"/>
      <c r="AL446" s="19"/>
      <c r="AM446" s="19"/>
      <c r="AN446" s="19"/>
      <c r="AO446" s="19"/>
      <c r="AZ446" s="19"/>
      <c r="BA446" s="19"/>
      <c r="BB446" s="20"/>
      <c r="BC446" s="19"/>
      <c r="BE446" s="19"/>
      <c r="BF446" s="19"/>
      <c r="BG446" s="19"/>
      <c r="BH446" s="19"/>
      <c r="BI446" s="19"/>
      <c r="BJ446" s="19"/>
      <c r="BK446" s="19"/>
      <c r="BL446" s="19"/>
    </row>
    <row r="447" spans="2:64" ht="14" x14ac:dyDescent="0.2">
      <c r="B447" s="1"/>
      <c r="C447" s="1"/>
      <c r="D447" s="1"/>
      <c r="E447" s="1"/>
      <c r="H447" s="18"/>
      <c r="I447" s="18"/>
      <c r="J447" s="18"/>
      <c r="L447" s="6"/>
      <c r="AF447" s="19"/>
      <c r="AG447" s="19"/>
      <c r="AH447" s="20"/>
      <c r="AI447" s="19"/>
      <c r="AK447" s="19"/>
      <c r="AL447" s="19"/>
      <c r="AM447" s="19"/>
      <c r="AN447" s="19"/>
      <c r="AO447" s="19"/>
      <c r="AZ447" s="19"/>
      <c r="BA447" s="19"/>
      <c r="BB447" s="20"/>
      <c r="BC447" s="19"/>
      <c r="BE447" s="19"/>
      <c r="BF447" s="19"/>
      <c r="BG447" s="19"/>
      <c r="BH447" s="19"/>
      <c r="BI447" s="19"/>
      <c r="BJ447" s="19"/>
      <c r="BK447" s="19"/>
      <c r="BL447" s="19"/>
    </row>
    <row r="448" spans="2:64" ht="14" x14ac:dyDescent="0.2">
      <c r="B448" s="1"/>
      <c r="C448" s="1"/>
      <c r="D448" s="1"/>
      <c r="E448" s="1"/>
      <c r="H448" s="18"/>
      <c r="I448" s="18"/>
      <c r="J448" s="18"/>
      <c r="L448" s="6"/>
      <c r="AF448" s="19"/>
      <c r="AG448" s="19"/>
      <c r="AH448" s="20"/>
      <c r="AI448" s="19"/>
      <c r="AK448" s="19"/>
      <c r="AL448" s="19"/>
      <c r="AM448" s="19"/>
      <c r="AN448" s="19"/>
      <c r="AO448" s="19"/>
      <c r="AZ448" s="19"/>
      <c r="BA448" s="19"/>
      <c r="BB448" s="20"/>
      <c r="BC448" s="19"/>
      <c r="BE448" s="19"/>
      <c r="BF448" s="19"/>
      <c r="BG448" s="19"/>
      <c r="BH448" s="19"/>
      <c r="BI448" s="19"/>
      <c r="BJ448" s="19"/>
      <c r="BK448" s="19"/>
      <c r="BL448" s="19"/>
    </row>
    <row r="449" spans="2:64" ht="14" x14ac:dyDescent="0.2">
      <c r="B449" s="1"/>
      <c r="C449" s="1"/>
      <c r="D449" s="1"/>
      <c r="E449" s="1"/>
      <c r="H449" s="18"/>
      <c r="I449" s="18"/>
      <c r="J449" s="18"/>
      <c r="L449" s="6"/>
      <c r="AF449" s="19"/>
      <c r="AG449" s="19"/>
      <c r="AH449" s="20"/>
      <c r="AI449" s="19"/>
      <c r="AK449" s="19"/>
      <c r="AL449" s="19"/>
      <c r="AM449" s="19"/>
      <c r="AN449" s="19"/>
      <c r="AO449" s="19"/>
      <c r="AZ449" s="19"/>
      <c r="BA449" s="19"/>
      <c r="BB449" s="20"/>
      <c r="BC449" s="19"/>
      <c r="BE449" s="19"/>
      <c r="BF449" s="19"/>
      <c r="BG449" s="19"/>
      <c r="BH449" s="19"/>
      <c r="BI449" s="19"/>
      <c r="BJ449" s="19"/>
      <c r="BK449" s="19"/>
      <c r="BL449" s="19"/>
    </row>
    <row r="450" spans="2:64" ht="14" x14ac:dyDescent="0.2">
      <c r="B450" s="1"/>
      <c r="C450" s="1"/>
      <c r="D450" s="1"/>
      <c r="E450" s="1"/>
      <c r="H450" s="18"/>
      <c r="I450" s="18"/>
      <c r="J450" s="18"/>
      <c r="L450" s="6"/>
      <c r="AF450" s="19"/>
      <c r="AG450" s="19"/>
      <c r="AH450" s="20"/>
      <c r="AI450" s="19"/>
      <c r="AK450" s="19"/>
      <c r="AL450" s="19"/>
      <c r="AM450" s="19"/>
      <c r="AN450" s="19"/>
      <c r="AO450" s="19"/>
      <c r="AZ450" s="19"/>
      <c r="BA450" s="19"/>
      <c r="BB450" s="20"/>
      <c r="BC450" s="19"/>
      <c r="BE450" s="19"/>
      <c r="BF450" s="19"/>
      <c r="BG450" s="19"/>
      <c r="BH450" s="19"/>
      <c r="BI450" s="19"/>
      <c r="BJ450" s="19"/>
      <c r="BK450" s="19"/>
      <c r="BL450" s="19"/>
    </row>
    <row r="451" spans="2:64" ht="14" x14ac:dyDescent="0.2">
      <c r="B451" s="1"/>
      <c r="C451" s="1"/>
      <c r="D451" s="1"/>
      <c r="E451" s="1"/>
      <c r="H451" s="18"/>
      <c r="I451" s="18"/>
      <c r="J451" s="18"/>
      <c r="L451" s="6"/>
      <c r="AF451" s="19"/>
      <c r="AG451" s="19"/>
      <c r="AH451" s="20"/>
      <c r="AI451" s="19"/>
      <c r="AK451" s="19"/>
      <c r="AL451" s="19"/>
      <c r="AM451" s="19"/>
      <c r="AN451" s="19"/>
      <c r="AO451" s="19"/>
      <c r="AZ451" s="19"/>
      <c r="BA451" s="19"/>
      <c r="BB451" s="20"/>
      <c r="BC451" s="19"/>
      <c r="BE451" s="19"/>
      <c r="BF451" s="19"/>
      <c r="BG451" s="19"/>
      <c r="BH451" s="19"/>
      <c r="BI451" s="19"/>
      <c r="BJ451" s="19"/>
      <c r="BK451" s="19"/>
      <c r="BL451" s="19"/>
    </row>
    <row r="452" spans="2:64" ht="14" x14ac:dyDescent="0.2">
      <c r="B452" s="1"/>
      <c r="C452" s="1"/>
      <c r="D452" s="1"/>
      <c r="E452" s="1"/>
      <c r="H452" s="18"/>
      <c r="I452" s="18"/>
      <c r="J452" s="18"/>
      <c r="L452" s="6"/>
      <c r="AF452" s="19"/>
      <c r="AG452" s="19"/>
      <c r="AH452" s="20"/>
      <c r="AI452" s="19"/>
      <c r="AK452" s="19"/>
      <c r="AL452" s="19"/>
      <c r="AM452" s="19"/>
      <c r="AN452" s="19"/>
      <c r="AO452" s="19"/>
      <c r="AZ452" s="19"/>
      <c r="BA452" s="19"/>
      <c r="BB452" s="20"/>
      <c r="BC452" s="19"/>
      <c r="BE452" s="19"/>
      <c r="BF452" s="19"/>
      <c r="BG452" s="19"/>
      <c r="BH452" s="19"/>
      <c r="BI452" s="19"/>
      <c r="BJ452" s="19"/>
      <c r="BK452" s="19"/>
      <c r="BL452" s="19"/>
    </row>
    <row r="453" spans="2:64" ht="14" x14ac:dyDescent="0.2">
      <c r="B453" s="1"/>
      <c r="C453" s="1"/>
      <c r="D453" s="1"/>
      <c r="E453" s="1"/>
      <c r="H453" s="18"/>
      <c r="I453" s="18"/>
      <c r="J453" s="18"/>
      <c r="L453" s="6"/>
      <c r="AF453" s="19"/>
      <c r="AG453" s="19"/>
      <c r="AH453" s="20"/>
      <c r="AI453" s="19"/>
      <c r="AK453" s="19"/>
      <c r="AL453" s="19"/>
      <c r="AM453" s="19"/>
      <c r="AN453" s="19"/>
      <c r="AO453" s="19"/>
      <c r="AZ453" s="19"/>
      <c r="BA453" s="19"/>
      <c r="BB453" s="20"/>
      <c r="BC453" s="19"/>
      <c r="BE453" s="19"/>
      <c r="BF453" s="19"/>
      <c r="BG453" s="19"/>
      <c r="BH453" s="19"/>
      <c r="BI453" s="19"/>
      <c r="BJ453" s="19"/>
      <c r="BK453" s="19"/>
      <c r="BL453" s="19"/>
    </row>
    <row r="454" spans="2:64" ht="14" x14ac:dyDescent="0.2">
      <c r="B454" s="1"/>
      <c r="C454" s="1"/>
      <c r="D454" s="1"/>
      <c r="E454" s="1"/>
      <c r="H454" s="18"/>
      <c r="I454" s="18"/>
      <c r="J454" s="18"/>
      <c r="L454" s="6"/>
      <c r="AF454" s="19"/>
      <c r="AG454" s="19"/>
      <c r="AH454" s="20"/>
      <c r="AI454" s="19"/>
      <c r="AK454" s="19"/>
      <c r="AL454" s="19"/>
      <c r="AM454" s="19"/>
      <c r="AN454" s="19"/>
      <c r="AO454" s="19"/>
      <c r="AZ454" s="19"/>
      <c r="BA454" s="19"/>
      <c r="BB454" s="20"/>
      <c r="BC454" s="19"/>
      <c r="BE454" s="19"/>
      <c r="BF454" s="19"/>
      <c r="BG454" s="19"/>
      <c r="BH454" s="19"/>
      <c r="BI454" s="19"/>
      <c r="BJ454" s="19"/>
      <c r="BK454" s="19"/>
      <c r="BL454" s="19"/>
    </row>
    <row r="455" spans="2:64" ht="14" x14ac:dyDescent="0.2">
      <c r="B455" s="1"/>
      <c r="C455" s="1"/>
      <c r="D455" s="1"/>
      <c r="E455" s="1"/>
      <c r="H455" s="18"/>
      <c r="I455" s="18"/>
      <c r="J455" s="18"/>
      <c r="L455" s="6"/>
      <c r="AF455" s="19"/>
      <c r="AG455" s="19"/>
      <c r="AH455" s="20"/>
      <c r="AI455" s="19"/>
      <c r="AK455" s="19"/>
      <c r="AL455" s="19"/>
      <c r="AM455" s="19"/>
      <c r="AN455" s="19"/>
      <c r="AO455" s="19"/>
      <c r="AZ455" s="19"/>
      <c r="BA455" s="19"/>
      <c r="BB455" s="20"/>
      <c r="BC455" s="19"/>
      <c r="BE455" s="19"/>
      <c r="BF455" s="19"/>
      <c r="BG455" s="19"/>
      <c r="BH455" s="19"/>
      <c r="BI455" s="19"/>
      <c r="BJ455" s="19"/>
      <c r="BK455" s="19"/>
      <c r="BL455" s="19"/>
    </row>
    <row r="456" spans="2:64" ht="14" x14ac:dyDescent="0.2">
      <c r="B456" s="1"/>
      <c r="C456" s="1"/>
      <c r="D456" s="1"/>
      <c r="E456" s="1"/>
      <c r="H456" s="18"/>
      <c r="I456" s="18"/>
      <c r="J456" s="18"/>
      <c r="L456" s="6"/>
      <c r="AF456" s="19"/>
      <c r="AG456" s="19"/>
      <c r="AH456" s="20"/>
      <c r="AI456" s="19"/>
      <c r="AK456" s="19"/>
      <c r="AL456" s="19"/>
      <c r="AM456" s="19"/>
      <c r="AN456" s="19"/>
      <c r="AO456" s="19"/>
      <c r="AZ456" s="19"/>
      <c r="BA456" s="19"/>
      <c r="BB456" s="20"/>
      <c r="BC456" s="19"/>
      <c r="BE456" s="19"/>
      <c r="BF456" s="19"/>
      <c r="BG456" s="19"/>
      <c r="BH456" s="19"/>
      <c r="BI456" s="19"/>
      <c r="BJ456" s="19"/>
      <c r="BK456" s="19"/>
      <c r="BL456" s="19"/>
    </row>
    <row r="457" spans="2:64" ht="14" x14ac:dyDescent="0.2">
      <c r="B457" s="1"/>
      <c r="C457" s="1"/>
      <c r="D457" s="1"/>
      <c r="E457" s="1"/>
      <c r="H457" s="18"/>
      <c r="I457" s="18"/>
      <c r="J457" s="18"/>
      <c r="L457" s="6"/>
      <c r="AF457" s="19"/>
      <c r="AG457" s="19"/>
      <c r="AH457" s="20"/>
      <c r="AI457" s="19"/>
      <c r="AK457" s="19"/>
      <c r="AL457" s="19"/>
      <c r="AM457" s="19"/>
      <c r="AN457" s="19"/>
      <c r="AO457" s="19"/>
      <c r="AZ457" s="19"/>
      <c r="BA457" s="19"/>
      <c r="BB457" s="20"/>
      <c r="BC457" s="19"/>
      <c r="BE457" s="19"/>
      <c r="BF457" s="19"/>
      <c r="BG457" s="19"/>
      <c r="BH457" s="19"/>
      <c r="BI457" s="19"/>
      <c r="BJ457" s="19"/>
      <c r="BK457" s="19"/>
      <c r="BL457" s="19"/>
    </row>
    <row r="458" spans="2:64" ht="14" x14ac:dyDescent="0.2">
      <c r="B458" s="1"/>
      <c r="C458" s="1"/>
      <c r="D458" s="1"/>
      <c r="E458" s="1"/>
      <c r="H458" s="18"/>
      <c r="I458" s="18"/>
      <c r="J458" s="18"/>
      <c r="L458" s="6"/>
      <c r="AF458" s="19"/>
      <c r="AG458" s="19"/>
      <c r="AH458" s="20"/>
      <c r="AI458" s="19"/>
      <c r="AK458" s="19"/>
      <c r="AL458" s="19"/>
      <c r="AM458" s="19"/>
      <c r="AN458" s="19"/>
      <c r="AO458" s="19"/>
      <c r="AZ458" s="19"/>
      <c r="BA458" s="19"/>
      <c r="BB458" s="20"/>
      <c r="BC458" s="19"/>
      <c r="BE458" s="19"/>
      <c r="BF458" s="19"/>
      <c r="BG458" s="19"/>
      <c r="BH458" s="19"/>
      <c r="BI458" s="19"/>
      <c r="BJ458" s="19"/>
      <c r="BK458" s="19"/>
      <c r="BL458" s="19"/>
    </row>
    <row r="459" spans="2:64" ht="14" x14ac:dyDescent="0.2">
      <c r="B459" s="1"/>
      <c r="C459" s="1"/>
      <c r="D459" s="1"/>
      <c r="E459" s="1"/>
      <c r="H459" s="18"/>
      <c r="I459" s="18"/>
      <c r="J459" s="18"/>
      <c r="L459" s="6"/>
      <c r="AF459" s="19"/>
      <c r="AG459" s="19"/>
      <c r="AH459" s="20"/>
      <c r="AI459" s="19"/>
      <c r="AK459" s="19"/>
      <c r="AL459" s="19"/>
      <c r="AM459" s="19"/>
      <c r="AN459" s="19"/>
      <c r="AO459" s="19"/>
      <c r="AZ459" s="19"/>
      <c r="BA459" s="19"/>
      <c r="BB459" s="20"/>
      <c r="BC459" s="19"/>
      <c r="BE459" s="19"/>
      <c r="BF459" s="19"/>
      <c r="BG459" s="19"/>
      <c r="BH459" s="19"/>
      <c r="BI459" s="19"/>
      <c r="BJ459" s="19"/>
      <c r="BK459" s="19"/>
      <c r="BL459" s="19"/>
    </row>
    <row r="460" spans="2:64" ht="14" x14ac:dyDescent="0.2">
      <c r="B460" s="1"/>
      <c r="C460" s="1"/>
      <c r="D460" s="1"/>
      <c r="E460" s="1"/>
      <c r="H460" s="18"/>
      <c r="I460" s="18"/>
      <c r="J460" s="18"/>
      <c r="L460" s="6"/>
      <c r="AF460" s="19"/>
      <c r="AG460" s="19"/>
      <c r="AH460" s="20"/>
      <c r="AI460" s="19"/>
      <c r="AK460" s="19"/>
      <c r="AL460" s="19"/>
      <c r="AM460" s="19"/>
      <c r="AN460" s="19"/>
      <c r="AO460" s="19"/>
      <c r="AZ460" s="19"/>
      <c r="BA460" s="19"/>
      <c r="BB460" s="20"/>
      <c r="BC460" s="19"/>
      <c r="BE460" s="19"/>
      <c r="BF460" s="19"/>
      <c r="BG460" s="19"/>
      <c r="BH460" s="19"/>
      <c r="BI460" s="19"/>
      <c r="BJ460" s="19"/>
      <c r="BK460" s="19"/>
      <c r="BL460" s="19"/>
    </row>
    <row r="461" spans="2:64" ht="14" x14ac:dyDescent="0.2">
      <c r="B461" s="1"/>
      <c r="C461" s="1"/>
      <c r="D461" s="1"/>
      <c r="E461" s="1"/>
      <c r="H461" s="18"/>
      <c r="I461" s="18"/>
      <c r="J461" s="18"/>
      <c r="L461" s="6"/>
      <c r="AF461" s="19"/>
      <c r="AG461" s="19"/>
      <c r="AH461" s="20"/>
      <c r="AI461" s="19"/>
      <c r="AK461" s="19"/>
      <c r="AL461" s="19"/>
      <c r="AM461" s="19"/>
      <c r="AN461" s="19"/>
      <c r="AO461" s="19"/>
      <c r="AZ461" s="19"/>
      <c r="BA461" s="19"/>
      <c r="BB461" s="20"/>
      <c r="BC461" s="19"/>
      <c r="BE461" s="19"/>
      <c r="BF461" s="19"/>
      <c r="BG461" s="19"/>
      <c r="BH461" s="19"/>
      <c r="BI461" s="19"/>
      <c r="BJ461" s="19"/>
      <c r="BK461" s="19"/>
      <c r="BL461" s="19"/>
    </row>
    <row r="462" spans="2:64" ht="14" x14ac:dyDescent="0.2">
      <c r="B462" s="1"/>
      <c r="C462" s="1"/>
      <c r="D462" s="1"/>
      <c r="E462" s="1"/>
      <c r="H462" s="18"/>
      <c r="I462" s="18"/>
      <c r="J462" s="18"/>
      <c r="L462" s="6"/>
      <c r="AF462" s="19"/>
      <c r="AG462" s="19"/>
      <c r="AH462" s="20"/>
      <c r="AI462" s="19"/>
      <c r="AK462" s="19"/>
      <c r="AL462" s="19"/>
      <c r="AM462" s="19"/>
      <c r="AN462" s="19"/>
      <c r="AO462" s="19"/>
      <c r="AZ462" s="19"/>
      <c r="BA462" s="19"/>
      <c r="BB462" s="20"/>
      <c r="BC462" s="19"/>
      <c r="BE462" s="19"/>
      <c r="BF462" s="19"/>
      <c r="BG462" s="19"/>
      <c r="BH462" s="19"/>
      <c r="BI462" s="19"/>
      <c r="BJ462" s="19"/>
      <c r="BK462" s="19"/>
      <c r="BL462" s="19"/>
    </row>
    <row r="463" spans="2:64" ht="14" x14ac:dyDescent="0.2">
      <c r="B463" s="1"/>
      <c r="C463" s="1"/>
      <c r="D463" s="1"/>
      <c r="E463" s="1"/>
      <c r="H463" s="18"/>
      <c r="I463" s="18"/>
      <c r="J463" s="18"/>
      <c r="L463" s="6"/>
      <c r="AF463" s="19"/>
      <c r="AG463" s="19"/>
      <c r="AH463" s="20"/>
      <c r="AI463" s="19"/>
      <c r="AK463" s="19"/>
      <c r="AL463" s="19"/>
      <c r="AM463" s="19"/>
      <c r="AN463" s="19"/>
      <c r="AO463" s="19"/>
      <c r="AZ463" s="19"/>
      <c r="BA463" s="19"/>
      <c r="BB463" s="20"/>
      <c r="BC463" s="19"/>
      <c r="BE463" s="19"/>
      <c r="BF463" s="19"/>
      <c r="BG463" s="19"/>
      <c r="BH463" s="19"/>
      <c r="BI463" s="19"/>
      <c r="BJ463" s="19"/>
      <c r="BK463" s="19"/>
      <c r="BL463" s="19"/>
    </row>
    <row r="464" spans="2:64" ht="14" x14ac:dyDescent="0.2">
      <c r="B464" s="1"/>
      <c r="C464" s="1"/>
      <c r="D464" s="1"/>
      <c r="E464" s="1"/>
      <c r="H464" s="18"/>
      <c r="I464" s="18"/>
      <c r="J464" s="18"/>
      <c r="L464" s="6"/>
      <c r="AF464" s="19"/>
      <c r="AG464" s="19"/>
      <c r="AH464" s="20"/>
      <c r="AI464" s="19"/>
      <c r="AK464" s="19"/>
      <c r="AL464" s="19"/>
      <c r="AM464" s="19"/>
      <c r="AN464" s="19"/>
      <c r="AO464" s="19"/>
      <c r="AZ464" s="19"/>
      <c r="BA464" s="19"/>
      <c r="BB464" s="20"/>
      <c r="BC464" s="19"/>
      <c r="BE464" s="19"/>
      <c r="BF464" s="19"/>
      <c r="BG464" s="19"/>
      <c r="BH464" s="19"/>
      <c r="BI464" s="19"/>
      <c r="BJ464" s="19"/>
      <c r="BK464" s="19"/>
      <c r="BL464" s="19"/>
    </row>
    <row r="465" spans="2:64" ht="14" x14ac:dyDescent="0.2">
      <c r="B465" s="1"/>
      <c r="C465" s="1"/>
      <c r="D465" s="1"/>
      <c r="E465" s="1"/>
      <c r="H465" s="18"/>
      <c r="I465" s="18"/>
      <c r="J465" s="18"/>
      <c r="L465" s="6"/>
      <c r="AF465" s="19"/>
      <c r="AG465" s="19"/>
      <c r="AH465" s="20"/>
      <c r="AI465" s="19"/>
      <c r="AK465" s="19"/>
      <c r="AL465" s="19"/>
      <c r="AM465" s="19"/>
      <c r="AN465" s="19"/>
      <c r="AO465" s="19"/>
      <c r="AZ465" s="19"/>
      <c r="BA465" s="19"/>
      <c r="BB465" s="20"/>
      <c r="BC465" s="19"/>
      <c r="BE465" s="19"/>
      <c r="BF465" s="19"/>
      <c r="BG465" s="19"/>
      <c r="BH465" s="19"/>
      <c r="BI465" s="19"/>
      <c r="BJ465" s="19"/>
      <c r="BK465" s="19"/>
      <c r="BL465" s="19"/>
    </row>
    <row r="466" spans="2:64" ht="14" x14ac:dyDescent="0.2">
      <c r="B466" s="1"/>
      <c r="C466" s="1"/>
      <c r="D466" s="1"/>
      <c r="E466" s="1"/>
      <c r="H466" s="18"/>
      <c r="I466" s="18"/>
      <c r="J466" s="18"/>
      <c r="L466" s="6"/>
      <c r="AF466" s="19"/>
      <c r="AG466" s="19"/>
      <c r="AH466" s="20"/>
      <c r="AI466" s="19"/>
      <c r="AK466" s="19"/>
      <c r="AL466" s="19"/>
      <c r="AM466" s="19"/>
      <c r="AN466" s="19"/>
      <c r="AO466" s="19"/>
      <c r="AZ466" s="19"/>
      <c r="BA466" s="19"/>
      <c r="BB466" s="20"/>
      <c r="BC466" s="19"/>
      <c r="BE466" s="19"/>
      <c r="BF466" s="19"/>
      <c r="BG466" s="19"/>
      <c r="BH466" s="19"/>
      <c r="BI466" s="19"/>
      <c r="BJ466" s="19"/>
      <c r="BK466" s="19"/>
      <c r="BL466" s="19"/>
    </row>
    <row r="467" spans="2:64" ht="14" x14ac:dyDescent="0.2">
      <c r="B467" s="1"/>
      <c r="C467" s="1"/>
      <c r="D467" s="1"/>
      <c r="E467" s="1"/>
      <c r="H467" s="18"/>
      <c r="I467" s="18"/>
      <c r="J467" s="18"/>
      <c r="L467" s="6"/>
      <c r="AF467" s="19"/>
      <c r="AG467" s="19"/>
      <c r="AH467" s="20"/>
      <c r="AI467" s="19"/>
      <c r="AK467" s="19"/>
      <c r="AL467" s="19"/>
      <c r="AM467" s="19"/>
      <c r="AN467" s="19"/>
      <c r="AO467" s="19"/>
      <c r="AZ467" s="19"/>
      <c r="BA467" s="19"/>
      <c r="BB467" s="20"/>
      <c r="BC467" s="19"/>
      <c r="BE467" s="19"/>
      <c r="BF467" s="19"/>
      <c r="BG467" s="19"/>
      <c r="BH467" s="19"/>
      <c r="BI467" s="19"/>
      <c r="BJ467" s="19"/>
      <c r="BK467" s="19"/>
      <c r="BL467" s="19"/>
    </row>
    <row r="468" spans="2:64" ht="14" x14ac:dyDescent="0.2">
      <c r="B468" s="1"/>
      <c r="C468" s="1"/>
      <c r="D468" s="1"/>
      <c r="E468" s="1"/>
      <c r="H468" s="18"/>
      <c r="I468" s="18"/>
      <c r="J468" s="18"/>
      <c r="L468" s="6"/>
      <c r="AF468" s="19"/>
      <c r="AG468" s="19"/>
      <c r="AH468" s="20"/>
      <c r="AI468" s="19"/>
      <c r="AK468" s="19"/>
      <c r="AL468" s="19"/>
      <c r="AM468" s="19"/>
      <c r="AN468" s="19"/>
      <c r="AO468" s="19"/>
      <c r="AZ468" s="19"/>
      <c r="BA468" s="19"/>
      <c r="BB468" s="20"/>
      <c r="BC468" s="19"/>
      <c r="BE468" s="19"/>
      <c r="BF468" s="19"/>
      <c r="BG468" s="19"/>
      <c r="BH468" s="19"/>
      <c r="BI468" s="19"/>
      <c r="BJ468" s="19"/>
      <c r="BK468" s="19"/>
      <c r="BL468" s="19"/>
    </row>
    <row r="469" spans="2:64" ht="14" x14ac:dyDescent="0.2">
      <c r="B469" s="1"/>
      <c r="C469" s="1"/>
      <c r="D469" s="1"/>
      <c r="E469" s="1"/>
      <c r="H469" s="18"/>
      <c r="I469" s="18"/>
      <c r="J469" s="18"/>
      <c r="L469" s="6"/>
      <c r="AF469" s="19"/>
      <c r="AG469" s="19"/>
      <c r="AH469" s="20"/>
      <c r="AI469" s="19"/>
      <c r="AK469" s="19"/>
      <c r="AL469" s="19"/>
      <c r="AM469" s="19"/>
      <c r="AN469" s="19"/>
      <c r="AO469" s="19"/>
      <c r="AZ469" s="19"/>
      <c r="BA469" s="19"/>
      <c r="BB469" s="20"/>
      <c r="BC469" s="19"/>
      <c r="BE469" s="19"/>
      <c r="BF469" s="19"/>
      <c r="BG469" s="19"/>
      <c r="BH469" s="19"/>
      <c r="BI469" s="19"/>
      <c r="BJ469" s="19"/>
      <c r="BK469" s="19"/>
      <c r="BL469" s="19"/>
    </row>
    <row r="470" spans="2:64" ht="14" x14ac:dyDescent="0.2">
      <c r="B470" s="1"/>
      <c r="C470" s="1"/>
      <c r="D470" s="1"/>
      <c r="E470" s="1"/>
      <c r="H470" s="18"/>
      <c r="I470" s="18"/>
      <c r="J470" s="18"/>
      <c r="L470" s="6"/>
      <c r="AF470" s="19"/>
      <c r="AG470" s="19"/>
      <c r="AH470" s="20"/>
      <c r="AI470" s="19"/>
      <c r="AK470" s="19"/>
      <c r="AL470" s="19"/>
      <c r="AM470" s="19"/>
      <c r="AN470" s="19"/>
      <c r="AO470" s="19"/>
      <c r="AZ470" s="19"/>
      <c r="BA470" s="19"/>
      <c r="BB470" s="20"/>
      <c r="BC470" s="19"/>
      <c r="BE470" s="19"/>
      <c r="BF470" s="19"/>
      <c r="BG470" s="19"/>
      <c r="BH470" s="19"/>
      <c r="BI470" s="19"/>
      <c r="BJ470" s="19"/>
      <c r="BK470" s="19"/>
      <c r="BL470" s="19"/>
    </row>
    <row r="471" spans="2:64" ht="14" x14ac:dyDescent="0.2">
      <c r="B471" s="1"/>
      <c r="C471" s="1"/>
      <c r="D471" s="1"/>
      <c r="E471" s="1"/>
      <c r="H471" s="18"/>
      <c r="I471" s="18"/>
      <c r="J471" s="18"/>
      <c r="L471" s="6"/>
      <c r="AF471" s="19"/>
      <c r="AG471" s="19"/>
      <c r="AH471" s="20"/>
      <c r="AI471" s="19"/>
      <c r="AK471" s="19"/>
      <c r="AL471" s="19"/>
      <c r="AM471" s="19"/>
      <c r="AN471" s="19"/>
      <c r="AO471" s="19"/>
      <c r="AZ471" s="19"/>
      <c r="BA471" s="19"/>
      <c r="BB471" s="20"/>
      <c r="BC471" s="19"/>
      <c r="BE471" s="19"/>
      <c r="BF471" s="19"/>
      <c r="BG471" s="19"/>
      <c r="BH471" s="19"/>
      <c r="BI471" s="19"/>
      <c r="BJ471" s="19"/>
      <c r="BK471" s="19"/>
      <c r="BL471" s="19"/>
    </row>
    <row r="472" spans="2:64" ht="14" x14ac:dyDescent="0.2">
      <c r="B472" s="1"/>
      <c r="C472" s="1"/>
      <c r="D472" s="1"/>
      <c r="E472" s="1"/>
      <c r="H472" s="18"/>
      <c r="I472" s="18"/>
      <c r="J472" s="18"/>
      <c r="L472" s="6"/>
      <c r="AF472" s="19"/>
      <c r="AG472" s="19"/>
      <c r="AH472" s="20"/>
      <c r="AI472" s="19"/>
      <c r="AK472" s="19"/>
      <c r="AL472" s="19"/>
      <c r="AM472" s="19"/>
      <c r="AN472" s="19"/>
      <c r="AO472" s="19"/>
      <c r="AZ472" s="19"/>
      <c r="BA472" s="19"/>
      <c r="BB472" s="20"/>
      <c r="BC472" s="19"/>
      <c r="BE472" s="19"/>
      <c r="BF472" s="19"/>
      <c r="BG472" s="19"/>
      <c r="BH472" s="19"/>
      <c r="BI472" s="19"/>
      <c r="BJ472" s="19"/>
      <c r="BK472" s="19"/>
      <c r="BL472" s="19"/>
    </row>
    <row r="473" spans="2:64" ht="14" x14ac:dyDescent="0.2">
      <c r="B473" s="1"/>
      <c r="C473" s="1"/>
      <c r="D473" s="1"/>
      <c r="E473" s="1"/>
      <c r="H473" s="18"/>
      <c r="I473" s="18"/>
      <c r="J473" s="18"/>
      <c r="L473" s="6"/>
      <c r="AF473" s="19"/>
      <c r="AG473" s="19"/>
      <c r="AH473" s="20"/>
      <c r="AI473" s="19"/>
      <c r="AK473" s="19"/>
      <c r="AL473" s="19"/>
      <c r="AM473" s="19"/>
      <c r="AN473" s="19"/>
      <c r="AO473" s="19"/>
      <c r="AZ473" s="19"/>
      <c r="BA473" s="19"/>
      <c r="BB473" s="20"/>
      <c r="BC473" s="19"/>
      <c r="BE473" s="19"/>
      <c r="BF473" s="19"/>
      <c r="BG473" s="19"/>
      <c r="BH473" s="19"/>
      <c r="BI473" s="19"/>
      <c r="BJ473" s="19"/>
      <c r="BK473" s="19"/>
      <c r="BL473" s="19"/>
    </row>
    <row r="474" spans="2:64" ht="14" x14ac:dyDescent="0.2">
      <c r="B474" s="1"/>
      <c r="C474" s="1"/>
      <c r="D474" s="1"/>
      <c r="E474" s="1"/>
      <c r="H474" s="18"/>
      <c r="I474" s="18"/>
      <c r="J474" s="18"/>
      <c r="L474" s="6"/>
      <c r="AF474" s="19"/>
      <c r="AG474" s="19"/>
      <c r="AH474" s="20"/>
      <c r="AI474" s="19"/>
      <c r="AK474" s="19"/>
      <c r="AL474" s="19"/>
      <c r="AM474" s="19"/>
      <c r="AN474" s="19"/>
      <c r="AO474" s="19"/>
      <c r="AZ474" s="19"/>
      <c r="BA474" s="19"/>
      <c r="BB474" s="20"/>
      <c r="BC474" s="19"/>
      <c r="BE474" s="19"/>
      <c r="BF474" s="19"/>
      <c r="BG474" s="19"/>
      <c r="BH474" s="19"/>
      <c r="BI474" s="19"/>
      <c r="BJ474" s="19"/>
      <c r="BK474" s="19"/>
      <c r="BL474" s="19"/>
    </row>
    <row r="475" spans="2:64" ht="14" x14ac:dyDescent="0.2">
      <c r="B475" s="1"/>
      <c r="C475" s="1"/>
      <c r="D475" s="1"/>
      <c r="E475" s="1"/>
      <c r="H475" s="18"/>
      <c r="I475" s="18"/>
      <c r="J475" s="18"/>
      <c r="L475" s="6"/>
      <c r="AF475" s="19"/>
      <c r="AG475" s="19"/>
      <c r="AH475" s="20"/>
      <c r="AI475" s="19"/>
      <c r="AK475" s="19"/>
      <c r="AL475" s="19"/>
      <c r="AM475" s="19"/>
      <c r="AN475" s="19"/>
      <c r="AO475" s="19"/>
      <c r="AZ475" s="19"/>
      <c r="BA475" s="19"/>
      <c r="BB475" s="20"/>
      <c r="BC475" s="19"/>
      <c r="BE475" s="19"/>
      <c r="BF475" s="19"/>
      <c r="BG475" s="19"/>
      <c r="BH475" s="19"/>
      <c r="BI475" s="19"/>
      <c r="BJ475" s="19"/>
      <c r="BK475" s="19"/>
      <c r="BL475" s="19"/>
    </row>
    <row r="476" spans="2:64" ht="14" x14ac:dyDescent="0.2">
      <c r="B476" s="1"/>
      <c r="C476" s="1"/>
      <c r="D476" s="1"/>
      <c r="E476" s="1"/>
      <c r="H476" s="18"/>
      <c r="I476" s="18"/>
      <c r="J476" s="18"/>
      <c r="L476" s="6"/>
      <c r="AF476" s="19"/>
      <c r="AG476" s="19"/>
      <c r="AH476" s="20"/>
      <c r="AI476" s="19"/>
      <c r="AK476" s="19"/>
      <c r="AL476" s="19"/>
      <c r="AM476" s="19"/>
      <c r="AN476" s="19"/>
      <c r="AO476" s="19"/>
      <c r="AZ476" s="19"/>
      <c r="BA476" s="19"/>
      <c r="BB476" s="20"/>
      <c r="BC476" s="19"/>
      <c r="BE476" s="19"/>
      <c r="BF476" s="19"/>
      <c r="BG476" s="19"/>
      <c r="BH476" s="19"/>
      <c r="BI476" s="19"/>
      <c r="BJ476" s="19"/>
      <c r="BK476" s="19"/>
      <c r="BL476" s="19"/>
    </row>
    <row r="477" spans="2:64" ht="14" x14ac:dyDescent="0.2">
      <c r="B477" s="1"/>
      <c r="C477" s="1"/>
      <c r="D477" s="1"/>
      <c r="E477" s="1"/>
      <c r="H477" s="18"/>
      <c r="I477" s="18"/>
      <c r="J477" s="18"/>
      <c r="L477" s="6"/>
      <c r="AF477" s="19"/>
      <c r="AG477" s="19"/>
      <c r="AH477" s="20"/>
      <c r="AI477" s="19"/>
      <c r="AK477" s="19"/>
      <c r="AL477" s="19"/>
      <c r="AM477" s="19"/>
      <c r="AN477" s="19"/>
      <c r="AO477" s="19"/>
      <c r="AZ477" s="19"/>
      <c r="BA477" s="19"/>
      <c r="BB477" s="20"/>
      <c r="BC477" s="19"/>
      <c r="BE477" s="19"/>
      <c r="BF477" s="19"/>
      <c r="BG477" s="19"/>
      <c r="BH477" s="19"/>
      <c r="BI477" s="19"/>
      <c r="BJ477" s="19"/>
      <c r="BK477" s="19"/>
      <c r="BL477" s="19"/>
    </row>
    <row r="478" spans="2:64" ht="14" x14ac:dyDescent="0.2">
      <c r="B478" s="1"/>
      <c r="C478" s="1"/>
      <c r="D478" s="1"/>
      <c r="E478" s="1"/>
      <c r="H478" s="18"/>
      <c r="I478" s="18"/>
      <c r="J478" s="18"/>
      <c r="L478" s="6"/>
      <c r="AF478" s="19"/>
      <c r="AG478" s="19"/>
      <c r="AH478" s="20"/>
      <c r="AI478" s="19"/>
      <c r="AK478" s="19"/>
      <c r="AL478" s="19"/>
      <c r="AM478" s="19"/>
      <c r="AN478" s="19"/>
      <c r="AO478" s="19"/>
      <c r="AZ478" s="19"/>
      <c r="BA478" s="19"/>
      <c r="BB478" s="20"/>
      <c r="BC478" s="19"/>
      <c r="BE478" s="19"/>
      <c r="BF478" s="19"/>
      <c r="BG478" s="19"/>
      <c r="BH478" s="19"/>
      <c r="BI478" s="19"/>
      <c r="BJ478" s="19"/>
      <c r="BK478" s="19"/>
      <c r="BL478" s="19"/>
    </row>
    <row r="479" spans="2:64" ht="14" x14ac:dyDescent="0.2">
      <c r="B479" s="1"/>
      <c r="C479" s="1"/>
      <c r="D479" s="1"/>
      <c r="E479" s="1"/>
      <c r="H479" s="18"/>
      <c r="I479" s="18"/>
      <c r="J479" s="18"/>
      <c r="L479" s="6"/>
      <c r="AF479" s="19"/>
      <c r="AG479" s="19"/>
      <c r="AH479" s="20"/>
      <c r="AI479" s="19"/>
      <c r="AK479" s="19"/>
      <c r="AL479" s="19"/>
      <c r="AM479" s="19"/>
      <c r="AN479" s="19"/>
      <c r="AO479" s="19"/>
      <c r="AZ479" s="19"/>
      <c r="BA479" s="19"/>
      <c r="BB479" s="20"/>
      <c r="BC479" s="19"/>
      <c r="BE479" s="19"/>
      <c r="BF479" s="19"/>
      <c r="BG479" s="19"/>
      <c r="BH479" s="19"/>
      <c r="BI479" s="19"/>
      <c r="BJ479" s="19"/>
      <c r="BK479" s="19"/>
      <c r="BL479" s="19"/>
    </row>
    <row r="480" spans="2:64" ht="14" x14ac:dyDescent="0.2">
      <c r="B480" s="1"/>
      <c r="C480" s="1"/>
      <c r="D480" s="1"/>
      <c r="E480" s="1"/>
      <c r="H480" s="18"/>
      <c r="I480" s="18"/>
      <c r="J480" s="18"/>
      <c r="L480" s="6"/>
      <c r="AF480" s="19"/>
      <c r="AG480" s="19"/>
      <c r="AH480" s="20"/>
      <c r="AI480" s="19"/>
      <c r="AK480" s="19"/>
      <c r="AL480" s="19"/>
      <c r="AM480" s="19"/>
      <c r="AN480" s="19"/>
      <c r="AO480" s="19"/>
      <c r="AZ480" s="19"/>
      <c r="BA480" s="19"/>
      <c r="BB480" s="20"/>
      <c r="BC480" s="19"/>
      <c r="BE480" s="19"/>
      <c r="BF480" s="19"/>
      <c r="BG480" s="19"/>
      <c r="BH480" s="19"/>
      <c r="BI480" s="19"/>
      <c r="BJ480" s="19"/>
      <c r="BK480" s="19"/>
      <c r="BL480" s="19"/>
    </row>
    <row r="481" spans="2:64" ht="14" x14ac:dyDescent="0.2">
      <c r="B481" s="1"/>
      <c r="C481" s="1"/>
      <c r="D481" s="1"/>
      <c r="E481" s="1"/>
      <c r="H481" s="18"/>
      <c r="I481" s="18"/>
      <c r="J481" s="18"/>
      <c r="L481" s="6"/>
      <c r="AF481" s="19"/>
      <c r="AG481" s="19"/>
      <c r="AH481" s="20"/>
      <c r="AI481" s="19"/>
      <c r="AK481" s="19"/>
      <c r="AL481" s="19"/>
      <c r="AM481" s="19"/>
      <c r="AN481" s="19"/>
      <c r="AO481" s="19"/>
      <c r="AZ481" s="19"/>
      <c r="BA481" s="19"/>
      <c r="BB481" s="20"/>
      <c r="BC481" s="19"/>
      <c r="BE481" s="19"/>
      <c r="BF481" s="19"/>
      <c r="BG481" s="19"/>
      <c r="BH481" s="19"/>
      <c r="BI481" s="19"/>
      <c r="BJ481" s="19"/>
      <c r="BK481" s="19"/>
      <c r="BL481" s="19"/>
    </row>
    <row r="482" spans="2:64" ht="14" x14ac:dyDescent="0.2">
      <c r="B482" s="1"/>
      <c r="C482" s="1"/>
      <c r="D482" s="1"/>
      <c r="E482" s="1"/>
      <c r="H482" s="18"/>
      <c r="I482" s="18"/>
      <c r="J482" s="18"/>
      <c r="L482" s="6"/>
      <c r="AF482" s="19"/>
      <c r="AG482" s="19"/>
      <c r="AH482" s="20"/>
      <c r="AI482" s="19"/>
      <c r="AK482" s="19"/>
      <c r="AL482" s="19"/>
      <c r="AM482" s="19"/>
      <c r="AN482" s="19"/>
      <c r="AO482" s="19"/>
      <c r="AZ482" s="19"/>
      <c r="BA482" s="19"/>
      <c r="BB482" s="20"/>
      <c r="BC482" s="19"/>
      <c r="BE482" s="19"/>
      <c r="BF482" s="19"/>
      <c r="BG482" s="19"/>
      <c r="BH482" s="19"/>
      <c r="BI482" s="19"/>
      <c r="BJ482" s="19"/>
      <c r="BK482" s="19"/>
      <c r="BL482" s="19"/>
    </row>
    <row r="483" spans="2:64" ht="14" x14ac:dyDescent="0.2">
      <c r="B483" s="1"/>
      <c r="C483" s="1"/>
      <c r="D483" s="1"/>
      <c r="E483" s="1"/>
      <c r="H483" s="18"/>
      <c r="I483" s="18"/>
      <c r="J483" s="18"/>
      <c r="L483" s="6"/>
      <c r="AF483" s="19"/>
      <c r="AG483" s="19"/>
      <c r="AH483" s="20"/>
      <c r="AI483" s="19"/>
      <c r="AK483" s="19"/>
      <c r="AL483" s="19"/>
      <c r="AM483" s="19"/>
      <c r="AN483" s="19"/>
      <c r="AO483" s="19"/>
      <c r="AZ483" s="19"/>
      <c r="BA483" s="19"/>
      <c r="BB483" s="20"/>
      <c r="BC483" s="19"/>
      <c r="BE483" s="19"/>
      <c r="BF483" s="19"/>
      <c r="BG483" s="19"/>
      <c r="BH483" s="19"/>
      <c r="BI483" s="19"/>
      <c r="BJ483" s="19"/>
      <c r="BK483" s="19"/>
      <c r="BL483" s="19"/>
    </row>
    <row r="484" spans="2:64" ht="14" x14ac:dyDescent="0.2">
      <c r="B484" s="1"/>
      <c r="C484" s="1"/>
      <c r="D484" s="1"/>
      <c r="E484" s="1"/>
      <c r="H484" s="18"/>
      <c r="I484" s="18"/>
      <c r="J484" s="18"/>
      <c r="L484" s="6"/>
      <c r="AF484" s="19"/>
      <c r="AG484" s="19"/>
      <c r="AH484" s="20"/>
      <c r="AI484" s="19"/>
      <c r="AK484" s="19"/>
      <c r="AL484" s="19"/>
      <c r="AM484" s="19"/>
      <c r="AN484" s="19"/>
      <c r="AO484" s="19"/>
      <c r="AZ484" s="19"/>
      <c r="BA484" s="19"/>
      <c r="BB484" s="20"/>
      <c r="BC484" s="19"/>
      <c r="BE484" s="19"/>
      <c r="BF484" s="19"/>
      <c r="BG484" s="19"/>
      <c r="BH484" s="19"/>
      <c r="BI484" s="19"/>
      <c r="BJ484" s="19"/>
      <c r="BK484" s="19"/>
      <c r="BL484" s="19"/>
    </row>
    <row r="485" spans="2:64" ht="14" x14ac:dyDescent="0.2">
      <c r="B485" s="1"/>
      <c r="C485" s="1"/>
      <c r="D485" s="1"/>
      <c r="E485" s="1"/>
      <c r="H485" s="18"/>
      <c r="I485" s="18"/>
      <c r="J485" s="18"/>
      <c r="L485" s="6"/>
      <c r="AF485" s="19"/>
      <c r="AG485" s="19"/>
      <c r="AH485" s="20"/>
      <c r="AI485" s="19"/>
      <c r="AK485" s="19"/>
      <c r="AL485" s="19"/>
      <c r="AM485" s="19"/>
      <c r="AN485" s="19"/>
      <c r="AO485" s="19"/>
      <c r="AZ485" s="19"/>
      <c r="BA485" s="19"/>
      <c r="BB485" s="20"/>
      <c r="BC485" s="19"/>
      <c r="BE485" s="19"/>
      <c r="BF485" s="19"/>
      <c r="BG485" s="19"/>
      <c r="BH485" s="19"/>
      <c r="BI485" s="19"/>
      <c r="BJ485" s="19"/>
      <c r="BK485" s="19"/>
      <c r="BL485" s="19"/>
    </row>
    <row r="486" spans="2:64" ht="14" x14ac:dyDescent="0.2">
      <c r="B486" s="1"/>
      <c r="C486" s="1"/>
      <c r="D486" s="1"/>
      <c r="E486" s="1"/>
      <c r="H486" s="18"/>
      <c r="I486" s="18"/>
      <c r="J486" s="18"/>
      <c r="L486" s="6"/>
      <c r="AF486" s="19"/>
      <c r="AG486" s="19"/>
      <c r="AH486" s="20"/>
      <c r="AI486" s="19"/>
      <c r="AK486" s="19"/>
      <c r="AL486" s="19"/>
      <c r="AM486" s="19"/>
      <c r="AN486" s="19"/>
      <c r="AO486" s="19"/>
      <c r="AZ486" s="19"/>
      <c r="BA486" s="19"/>
      <c r="BB486" s="20"/>
      <c r="BC486" s="19"/>
      <c r="BE486" s="19"/>
      <c r="BF486" s="19"/>
      <c r="BG486" s="19"/>
      <c r="BH486" s="19"/>
      <c r="BI486" s="19"/>
      <c r="BJ486" s="19"/>
      <c r="BK486" s="19"/>
      <c r="BL486" s="19"/>
    </row>
    <row r="487" spans="2:64" ht="14" x14ac:dyDescent="0.2">
      <c r="B487" s="1"/>
      <c r="C487" s="1"/>
      <c r="D487" s="1"/>
      <c r="E487" s="1"/>
      <c r="H487" s="18"/>
      <c r="I487" s="18"/>
      <c r="J487" s="18"/>
      <c r="L487" s="6"/>
      <c r="AF487" s="19"/>
      <c r="AG487" s="19"/>
      <c r="AH487" s="20"/>
      <c r="AI487" s="19"/>
      <c r="AK487" s="19"/>
      <c r="AL487" s="19"/>
      <c r="AM487" s="19"/>
      <c r="AN487" s="19"/>
      <c r="AO487" s="19"/>
      <c r="AZ487" s="19"/>
      <c r="BA487" s="19"/>
      <c r="BB487" s="20"/>
      <c r="BC487" s="19"/>
      <c r="BE487" s="19"/>
      <c r="BF487" s="19"/>
      <c r="BG487" s="19"/>
      <c r="BH487" s="19"/>
      <c r="BI487" s="19"/>
      <c r="BJ487" s="19"/>
      <c r="BK487" s="19"/>
      <c r="BL487" s="19"/>
    </row>
    <row r="488" spans="2:64" ht="14" x14ac:dyDescent="0.2">
      <c r="B488" s="1"/>
      <c r="C488" s="1"/>
      <c r="D488" s="1"/>
      <c r="E488" s="1"/>
      <c r="H488" s="18"/>
      <c r="I488" s="18"/>
      <c r="J488" s="18"/>
      <c r="L488" s="6"/>
      <c r="AF488" s="19"/>
      <c r="AG488" s="19"/>
      <c r="AH488" s="20"/>
      <c r="AI488" s="19"/>
      <c r="AK488" s="19"/>
      <c r="AL488" s="19"/>
      <c r="AM488" s="19"/>
      <c r="AN488" s="19"/>
      <c r="AO488" s="19"/>
      <c r="AZ488" s="19"/>
      <c r="BA488" s="19"/>
      <c r="BB488" s="20"/>
      <c r="BC488" s="19"/>
      <c r="BE488" s="19"/>
      <c r="BF488" s="19"/>
      <c r="BG488" s="19"/>
      <c r="BH488" s="19"/>
      <c r="BI488" s="19"/>
      <c r="BJ488" s="19"/>
      <c r="BK488" s="19"/>
      <c r="BL488" s="19"/>
    </row>
    <row r="489" spans="2:64" ht="14" x14ac:dyDescent="0.2">
      <c r="B489" s="1"/>
      <c r="C489" s="1"/>
      <c r="D489" s="1"/>
      <c r="E489" s="1"/>
      <c r="H489" s="18"/>
      <c r="I489" s="18"/>
      <c r="J489" s="18"/>
      <c r="L489" s="6"/>
      <c r="AF489" s="19"/>
      <c r="AG489" s="19"/>
      <c r="AH489" s="20"/>
      <c r="AI489" s="19"/>
      <c r="AK489" s="19"/>
      <c r="AL489" s="19"/>
      <c r="AM489" s="19"/>
      <c r="AN489" s="19"/>
      <c r="AO489" s="19"/>
      <c r="AZ489" s="19"/>
      <c r="BA489" s="19"/>
      <c r="BB489" s="20"/>
      <c r="BC489" s="19"/>
      <c r="BE489" s="19"/>
      <c r="BF489" s="19"/>
      <c r="BG489" s="19"/>
      <c r="BH489" s="19"/>
      <c r="BI489" s="19"/>
      <c r="BJ489" s="19"/>
      <c r="BK489" s="19"/>
      <c r="BL489" s="19"/>
    </row>
    <row r="490" spans="2:64" ht="14" x14ac:dyDescent="0.2">
      <c r="B490" s="1"/>
      <c r="C490" s="1"/>
      <c r="D490" s="1"/>
      <c r="E490" s="1"/>
      <c r="H490" s="18"/>
      <c r="I490" s="18"/>
      <c r="J490" s="18"/>
      <c r="L490" s="6"/>
      <c r="AF490" s="19"/>
      <c r="AG490" s="19"/>
      <c r="AH490" s="20"/>
      <c r="AI490" s="19"/>
      <c r="AK490" s="19"/>
      <c r="AL490" s="19"/>
      <c r="AM490" s="19"/>
      <c r="AN490" s="19"/>
      <c r="AO490" s="19"/>
      <c r="AZ490" s="19"/>
      <c r="BA490" s="19"/>
      <c r="BB490" s="20"/>
      <c r="BC490" s="19"/>
      <c r="BE490" s="19"/>
      <c r="BF490" s="19"/>
      <c r="BG490" s="19"/>
      <c r="BH490" s="19"/>
      <c r="BI490" s="19"/>
      <c r="BJ490" s="19"/>
      <c r="BK490" s="19"/>
      <c r="BL490" s="19"/>
    </row>
    <row r="491" spans="2:64" ht="14" x14ac:dyDescent="0.2">
      <c r="B491" s="1"/>
      <c r="C491" s="1"/>
      <c r="D491" s="1"/>
      <c r="E491" s="1"/>
      <c r="H491" s="18"/>
      <c r="I491" s="18"/>
      <c r="J491" s="18"/>
      <c r="L491" s="6"/>
      <c r="AF491" s="19"/>
      <c r="AG491" s="19"/>
      <c r="AH491" s="20"/>
      <c r="AI491" s="19"/>
      <c r="AK491" s="19"/>
      <c r="AL491" s="19"/>
      <c r="AM491" s="19"/>
      <c r="AN491" s="19"/>
      <c r="AO491" s="19"/>
      <c r="AZ491" s="19"/>
      <c r="BA491" s="19"/>
      <c r="BB491" s="20"/>
      <c r="BC491" s="19"/>
      <c r="BE491" s="19"/>
      <c r="BF491" s="19"/>
      <c r="BG491" s="19"/>
      <c r="BH491" s="19"/>
      <c r="BI491" s="19"/>
      <c r="BJ491" s="19"/>
      <c r="BK491" s="19"/>
      <c r="BL491" s="19"/>
    </row>
    <row r="492" spans="2:64" ht="14" x14ac:dyDescent="0.2">
      <c r="B492" s="1"/>
      <c r="C492" s="1"/>
      <c r="D492" s="1"/>
      <c r="E492" s="1"/>
      <c r="H492" s="18"/>
      <c r="I492" s="18"/>
      <c r="J492" s="18"/>
      <c r="L492" s="6"/>
      <c r="AF492" s="19"/>
      <c r="AG492" s="19"/>
      <c r="AH492" s="20"/>
      <c r="AI492" s="19"/>
      <c r="AK492" s="19"/>
      <c r="AL492" s="19"/>
      <c r="AM492" s="19"/>
      <c r="AN492" s="19"/>
      <c r="AO492" s="19"/>
      <c r="AZ492" s="19"/>
      <c r="BA492" s="19"/>
      <c r="BB492" s="20"/>
      <c r="BC492" s="19"/>
      <c r="BE492" s="19"/>
      <c r="BF492" s="19"/>
      <c r="BG492" s="19"/>
      <c r="BH492" s="19"/>
      <c r="BI492" s="19"/>
      <c r="BJ492" s="19"/>
      <c r="BK492" s="19"/>
      <c r="BL492" s="19"/>
    </row>
    <row r="493" spans="2:64" ht="14" x14ac:dyDescent="0.2">
      <c r="B493" s="1"/>
      <c r="C493" s="1"/>
      <c r="D493" s="1"/>
      <c r="E493" s="1"/>
      <c r="H493" s="18"/>
      <c r="I493" s="18"/>
      <c r="J493" s="18"/>
      <c r="L493" s="6"/>
      <c r="AF493" s="19"/>
      <c r="AG493" s="19"/>
      <c r="AH493" s="20"/>
      <c r="AI493" s="19"/>
      <c r="AK493" s="19"/>
      <c r="AL493" s="19"/>
      <c r="AM493" s="19"/>
      <c r="AN493" s="19"/>
      <c r="AO493" s="19"/>
      <c r="AZ493" s="19"/>
      <c r="BA493" s="19"/>
      <c r="BB493" s="20"/>
      <c r="BC493" s="19"/>
      <c r="BE493" s="19"/>
      <c r="BF493" s="19"/>
      <c r="BG493" s="19"/>
      <c r="BH493" s="19"/>
      <c r="BI493" s="19"/>
      <c r="BJ493" s="19"/>
      <c r="BK493" s="19"/>
      <c r="BL493" s="19"/>
    </row>
    <row r="494" spans="2:64" ht="14" x14ac:dyDescent="0.2">
      <c r="B494" s="1"/>
      <c r="C494" s="1"/>
      <c r="D494" s="1"/>
      <c r="E494" s="1"/>
      <c r="H494" s="18"/>
      <c r="I494" s="18"/>
      <c r="J494" s="18"/>
      <c r="L494" s="6"/>
      <c r="AF494" s="19"/>
      <c r="AG494" s="19"/>
      <c r="AH494" s="20"/>
      <c r="AI494" s="19"/>
      <c r="AK494" s="19"/>
      <c r="AL494" s="19"/>
      <c r="AM494" s="19"/>
      <c r="AN494" s="19"/>
      <c r="AO494" s="19"/>
      <c r="AZ494" s="19"/>
      <c r="BA494" s="19"/>
      <c r="BB494" s="20"/>
      <c r="BC494" s="19"/>
      <c r="BE494" s="19"/>
      <c r="BF494" s="19"/>
      <c r="BG494" s="19"/>
      <c r="BH494" s="19"/>
      <c r="BI494" s="19"/>
      <c r="BJ494" s="19"/>
      <c r="BK494" s="19"/>
      <c r="BL494" s="19"/>
    </row>
    <row r="495" spans="2:64" ht="14" x14ac:dyDescent="0.2">
      <c r="B495" s="1"/>
      <c r="C495" s="1"/>
      <c r="D495" s="1"/>
      <c r="E495" s="1"/>
      <c r="H495" s="18"/>
      <c r="I495" s="18"/>
      <c r="J495" s="18"/>
      <c r="L495" s="6"/>
      <c r="AF495" s="19"/>
      <c r="AG495" s="19"/>
      <c r="AH495" s="20"/>
      <c r="AI495" s="19"/>
      <c r="AK495" s="19"/>
      <c r="AL495" s="19"/>
      <c r="AM495" s="19"/>
      <c r="AN495" s="19"/>
      <c r="AO495" s="19"/>
      <c r="AZ495" s="19"/>
      <c r="BA495" s="19"/>
      <c r="BB495" s="20"/>
      <c r="BC495" s="19"/>
      <c r="BE495" s="19"/>
      <c r="BF495" s="19"/>
      <c r="BG495" s="19"/>
      <c r="BH495" s="19"/>
      <c r="BI495" s="19"/>
      <c r="BJ495" s="19"/>
      <c r="BK495" s="19"/>
      <c r="BL495" s="19"/>
    </row>
    <row r="496" spans="2:64" ht="14" x14ac:dyDescent="0.2">
      <c r="B496" s="1"/>
      <c r="C496" s="1"/>
      <c r="D496" s="1"/>
      <c r="E496" s="1"/>
      <c r="H496" s="18"/>
      <c r="I496" s="18"/>
      <c r="J496" s="18"/>
      <c r="L496" s="6"/>
      <c r="AF496" s="19"/>
      <c r="AG496" s="19"/>
      <c r="AH496" s="20"/>
      <c r="AI496" s="19"/>
      <c r="AK496" s="19"/>
      <c r="AL496" s="19"/>
      <c r="AM496" s="19"/>
      <c r="AN496" s="19"/>
      <c r="AO496" s="19"/>
      <c r="AZ496" s="19"/>
      <c r="BA496" s="19"/>
      <c r="BB496" s="20"/>
      <c r="BC496" s="19"/>
      <c r="BE496" s="19"/>
      <c r="BF496" s="19"/>
      <c r="BG496" s="19"/>
      <c r="BH496" s="19"/>
      <c r="BI496" s="19"/>
      <c r="BJ496" s="19"/>
      <c r="BK496" s="19"/>
      <c r="BL496" s="19"/>
    </row>
    <row r="497" spans="2:64" ht="14" x14ac:dyDescent="0.2">
      <c r="B497" s="1"/>
      <c r="C497" s="1"/>
      <c r="D497" s="1"/>
      <c r="E497" s="1"/>
      <c r="H497" s="18"/>
      <c r="I497" s="18"/>
      <c r="J497" s="18"/>
      <c r="L497" s="6"/>
      <c r="AF497" s="19"/>
      <c r="AG497" s="19"/>
      <c r="AH497" s="20"/>
      <c r="AI497" s="19"/>
      <c r="AK497" s="19"/>
      <c r="AL497" s="19"/>
      <c r="AM497" s="19"/>
      <c r="AN497" s="19"/>
      <c r="AO497" s="19"/>
      <c r="AZ497" s="19"/>
      <c r="BA497" s="19"/>
      <c r="BB497" s="20"/>
      <c r="BC497" s="19"/>
      <c r="BE497" s="19"/>
      <c r="BF497" s="19"/>
      <c r="BG497" s="19"/>
      <c r="BH497" s="19"/>
      <c r="BI497" s="19"/>
      <c r="BJ497" s="19"/>
      <c r="BK497" s="19"/>
      <c r="BL497" s="19"/>
    </row>
    <row r="498" spans="2:64" ht="14" x14ac:dyDescent="0.2">
      <c r="B498" s="1"/>
      <c r="C498" s="1"/>
      <c r="D498" s="1"/>
      <c r="E498" s="1"/>
      <c r="H498" s="18"/>
      <c r="I498" s="18"/>
      <c r="J498" s="18"/>
      <c r="L498" s="6"/>
      <c r="AF498" s="19"/>
      <c r="AG498" s="19"/>
      <c r="AH498" s="20"/>
      <c r="AI498" s="19"/>
      <c r="AK498" s="19"/>
      <c r="AL498" s="19"/>
      <c r="AM498" s="19"/>
      <c r="AN498" s="19"/>
      <c r="AO498" s="19"/>
      <c r="AZ498" s="19"/>
      <c r="BA498" s="19"/>
      <c r="BB498" s="20"/>
      <c r="BC498" s="19"/>
      <c r="BE498" s="19"/>
      <c r="BF498" s="19"/>
      <c r="BG498" s="19"/>
      <c r="BH498" s="19"/>
      <c r="BI498" s="19"/>
      <c r="BJ498" s="19"/>
      <c r="BK498" s="19"/>
      <c r="BL498" s="19"/>
    </row>
    <row r="499" spans="2:64" ht="14" x14ac:dyDescent="0.2">
      <c r="B499" s="1"/>
      <c r="C499" s="1"/>
      <c r="D499" s="1"/>
      <c r="E499" s="1"/>
      <c r="H499" s="18"/>
      <c r="I499" s="18"/>
      <c r="J499" s="18"/>
      <c r="L499" s="6"/>
      <c r="AF499" s="19"/>
      <c r="AG499" s="19"/>
      <c r="AH499" s="20"/>
      <c r="AI499" s="19"/>
      <c r="AK499" s="19"/>
      <c r="AL499" s="19"/>
      <c r="AM499" s="19"/>
      <c r="AN499" s="19"/>
      <c r="AO499" s="19"/>
      <c r="AZ499" s="19"/>
      <c r="BA499" s="19"/>
      <c r="BB499" s="20"/>
      <c r="BC499" s="19"/>
      <c r="BE499" s="19"/>
      <c r="BF499" s="19"/>
      <c r="BG499" s="19"/>
      <c r="BH499" s="19"/>
      <c r="BI499" s="19"/>
      <c r="BJ499" s="19"/>
      <c r="BK499" s="19"/>
      <c r="BL499" s="19"/>
    </row>
    <row r="500" spans="2:64" ht="14" x14ac:dyDescent="0.2">
      <c r="B500" s="1"/>
      <c r="C500" s="1"/>
      <c r="D500" s="1"/>
      <c r="E500" s="1"/>
      <c r="H500" s="18"/>
      <c r="I500" s="18"/>
      <c r="J500" s="18"/>
      <c r="L500" s="6"/>
      <c r="AF500" s="19"/>
      <c r="AG500" s="19"/>
      <c r="AH500" s="20"/>
      <c r="AI500" s="19"/>
      <c r="AK500" s="19"/>
      <c r="AL500" s="19"/>
      <c r="AM500" s="19"/>
      <c r="AN500" s="19"/>
      <c r="AO500" s="19"/>
      <c r="AZ500" s="19"/>
      <c r="BA500" s="19"/>
      <c r="BB500" s="20"/>
      <c r="BC500" s="19"/>
      <c r="BE500" s="19"/>
      <c r="BF500" s="19"/>
      <c r="BG500" s="19"/>
      <c r="BH500" s="19"/>
      <c r="BI500" s="19"/>
      <c r="BJ500" s="19"/>
      <c r="BK500" s="19"/>
      <c r="BL500" s="19"/>
    </row>
    <row r="501" spans="2:64" ht="14" x14ac:dyDescent="0.2">
      <c r="B501" s="1"/>
      <c r="C501" s="1"/>
      <c r="D501" s="1"/>
      <c r="E501" s="1"/>
      <c r="H501" s="18"/>
      <c r="I501" s="18"/>
      <c r="J501" s="18"/>
      <c r="L501" s="6"/>
      <c r="AF501" s="19"/>
      <c r="AG501" s="19"/>
      <c r="AH501" s="20"/>
      <c r="AI501" s="19"/>
      <c r="AK501" s="19"/>
      <c r="AL501" s="19"/>
      <c r="AM501" s="19"/>
      <c r="AN501" s="19"/>
      <c r="AO501" s="19"/>
      <c r="AZ501" s="19"/>
      <c r="BA501" s="19"/>
      <c r="BB501" s="20"/>
      <c r="BC501" s="19"/>
      <c r="BE501" s="19"/>
      <c r="BF501" s="19"/>
      <c r="BG501" s="19"/>
      <c r="BH501" s="19"/>
      <c r="BI501" s="19"/>
      <c r="BJ501" s="19"/>
      <c r="BK501" s="19"/>
      <c r="BL501" s="19"/>
    </row>
    <row r="502" spans="2:64" ht="14" x14ac:dyDescent="0.2">
      <c r="B502" s="1"/>
      <c r="C502" s="1"/>
      <c r="D502" s="1"/>
      <c r="E502" s="1"/>
      <c r="H502" s="18"/>
      <c r="I502" s="18"/>
      <c r="J502" s="18"/>
      <c r="L502" s="6"/>
      <c r="AF502" s="19"/>
      <c r="AG502" s="19"/>
      <c r="AH502" s="20"/>
      <c r="AI502" s="19"/>
      <c r="AK502" s="19"/>
      <c r="AL502" s="19"/>
      <c r="AM502" s="19"/>
      <c r="AN502" s="19"/>
      <c r="AO502" s="19"/>
      <c r="AZ502" s="19"/>
      <c r="BA502" s="19"/>
      <c r="BB502" s="20"/>
      <c r="BC502" s="19"/>
      <c r="BE502" s="19"/>
      <c r="BF502" s="19"/>
      <c r="BG502" s="19"/>
      <c r="BH502" s="19"/>
      <c r="BI502" s="19"/>
      <c r="BJ502" s="19"/>
      <c r="BK502" s="19"/>
      <c r="BL502" s="19"/>
    </row>
    <row r="503" spans="2:64" ht="14" x14ac:dyDescent="0.2">
      <c r="B503" s="1"/>
      <c r="C503" s="1"/>
      <c r="D503" s="1"/>
      <c r="E503" s="1"/>
      <c r="H503" s="18"/>
      <c r="I503" s="18"/>
      <c r="J503" s="18"/>
      <c r="L503" s="6"/>
      <c r="AF503" s="19"/>
      <c r="AG503" s="19"/>
      <c r="AH503" s="20"/>
      <c r="AI503" s="19"/>
      <c r="AK503" s="19"/>
      <c r="AL503" s="19"/>
      <c r="AM503" s="19"/>
      <c r="AN503" s="19"/>
      <c r="AO503" s="19"/>
      <c r="AZ503" s="19"/>
      <c r="BA503" s="19"/>
      <c r="BB503" s="20"/>
      <c r="BC503" s="19"/>
      <c r="BE503" s="19"/>
      <c r="BF503" s="19"/>
      <c r="BG503" s="19"/>
      <c r="BH503" s="19"/>
      <c r="BI503" s="19"/>
      <c r="BJ503" s="19"/>
      <c r="BK503" s="19"/>
      <c r="BL503" s="19"/>
    </row>
    <row r="504" spans="2:64" ht="14" x14ac:dyDescent="0.2">
      <c r="B504" s="1"/>
      <c r="C504" s="1"/>
      <c r="D504" s="1"/>
      <c r="E504" s="1"/>
      <c r="H504" s="18"/>
      <c r="I504" s="18"/>
      <c r="J504" s="18"/>
      <c r="L504" s="6"/>
      <c r="AF504" s="19"/>
      <c r="AG504" s="19"/>
      <c r="AH504" s="20"/>
      <c r="AI504" s="19"/>
      <c r="AK504" s="19"/>
      <c r="AL504" s="19"/>
      <c r="AM504" s="19"/>
      <c r="AN504" s="19"/>
      <c r="AO504" s="19"/>
      <c r="AZ504" s="19"/>
      <c r="BA504" s="19"/>
      <c r="BB504" s="20"/>
      <c r="BC504" s="19"/>
      <c r="BE504" s="19"/>
      <c r="BF504" s="19"/>
      <c r="BG504" s="19"/>
      <c r="BH504" s="19"/>
      <c r="BI504" s="19"/>
      <c r="BJ504" s="19"/>
      <c r="BK504" s="19"/>
      <c r="BL504" s="19"/>
    </row>
    <row r="505" spans="2:64" ht="14" x14ac:dyDescent="0.2">
      <c r="B505" s="1"/>
      <c r="C505" s="1"/>
      <c r="D505" s="1"/>
      <c r="E505" s="1"/>
      <c r="H505" s="18"/>
      <c r="I505" s="18"/>
      <c r="J505" s="18"/>
      <c r="L505" s="6"/>
      <c r="AF505" s="19"/>
      <c r="AG505" s="19"/>
      <c r="AH505" s="20"/>
      <c r="AI505" s="19"/>
      <c r="AK505" s="19"/>
      <c r="AL505" s="19"/>
      <c r="AM505" s="19"/>
      <c r="AN505" s="19"/>
      <c r="AO505" s="19"/>
      <c r="AZ505" s="19"/>
      <c r="BA505" s="19"/>
      <c r="BB505" s="20"/>
      <c r="BC505" s="19"/>
      <c r="BE505" s="19"/>
      <c r="BF505" s="19"/>
      <c r="BG505" s="19"/>
      <c r="BH505" s="19"/>
      <c r="BI505" s="19"/>
      <c r="BJ505" s="19"/>
      <c r="BK505" s="19"/>
      <c r="BL505" s="19"/>
    </row>
    <row r="506" spans="2:64" ht="14" x14ac:dyDescent="0.2">
      <c r="B506" s="1"/>
      <c r="C506" s="1"/>
      <c r="D506" s="1"/>
      <c r="E506" s="1"/>
      <c r="H506" s="18"/>
      <c r="I506" s="18"/>
      <c r="J506" s="18"/>
      <c r="L506" s="6"/>
      <c r="AF506" s="19"/>
      <c r="AG506" s="19"/>
      <c r="AH506" s="20"/>
      <c r="AI506" s="19"/>
      <c r="AK506" s="19"/>
      <c r="AL506" s="19"/>
      <c r="AM506" s="19"/>
      <c r="AN506" s="19"/>
      <c r="AO506" s="19"/>
      <c r="AZ506" s="19"/>
      <c r="BA506" s="19"/>
      <c r="BB506" s="20"/>
      <c r="BC506" s="19"/>
      <c r="BE506" s="19"/>
      <c r="BF506" s="19"/>
      <c r="BG506" s="19"/>
      <c r="BH506" s="19"/>
      <c r="BI506" s="19"/>
      <c r="BJ506" s="19"/>
      <c r="BK506" s="19"/>
      <c r="BL506" s="19"/>
    </row>
    <row r="507" spans="2:64" ht="14" x14ac:dyDescent="0.2">
      <c r="B507" s="1"/>
      <c r="C507" s="1"/>
      <c r="D507" s="1"/>
      <c r="E507" s="1"/>
      <c r="H507" s="18"/>
      <c r="I507" s="18"/>
      <c r="J507" s="18"/>
      <c r="L507" s="6"/>
      <c r="AF507" s="19"/>
      <c r="AG507" s="19"/>
      <c r="AH507" s="20"/>
      <c r="AI507" s="19"/>
      <c r="AK507" s="19"/>
      <c r="AL507" s="19"/>
      <c r="AM507" s="19"/>
      <c r="AN507" s="19"/>
      <c r="AO507" s="19"/>
      <c r="AZ507" s="19"/>
      <c r="BA507" s="19"/>
      <c r="BB507" s="20"/>
      <c r="BC507" s="19"/>
      <c r="BE507" s="19"/>
      <c r="BF507" s="19"/>
      <c r="BG507" s="19"/>
      <c r="BH507" s="19"/>
      <c r="BI507" s="19"/>
      <c r="BJ507" s="19"/>
      <c r="BK507" s="19"/>
      <c r="BL507" s="19"/>
    </row>
    <row r="508" spans="2:64" ht="14" x14ac:dyDescent="0.2">
      <c r="B508" s="1"/>
      <c r="C508" s="1"/>
      <c r="D508" s="1"/>
      <c r="E508" s="1"/>
      <c r="H508" s="18"/>
      <c r="I508" s="18"/>
      <c r="J508" s="18"/>
      <c r="L508" s="6"/>
      <c r="AF508" s="19"/>
      <c r="AG508" s="19"/>
      <c r="AH508" s="20"/>
      <c r="AI508" s="19"/>
      <c r="AK508" s="19"/>
      <c r="AL508" s="19"/>
      <c r="AM508" s="19"/>
      <c r="AN508" s="19"/>
      <c r="AO508" s="19"/>
      <c r="AZ508" s="19"/>
      <c r="BA508" s="19"/>
      <c r="BB508" s="20"/>
      <c r="BC508" s="19"/>
      <c r="BE508" s="19"/>
      <c r="BF508" s="19"/>
      <c r="BG508" s="19"/>
      <c r="BH508" s="19"/>
      <c r="BI508" s="19"/>
      <c r="BJ508" s="19"/>
      <c r="BK508" s="19"/>
      <c r="BL508" s="19"/>
    </row>
    <row r="509" spans="2:64" ht="14" x14ac:dyDescent="0.2">
      <c r="B509" s="1"/>
      <c r="C509" s="1"/>
      <c r="D509" s="1"/>
      <c r="E509" s="1"/>
      <c r="H509" s="18"/>
      <c r="I509" s="18"/>
      <c r="J509" s="18"/>
      <c r="L509" s="6"/>
      <c r="AF509" s="19"/>
      <c r="AG509" s="19"/>
      <c r="AH509" s="20"/>
      <c r="AI509" s="19"/>
      <c r="AK509" s="19"/>
      <c r="AL509" s="19"/>
      <c r="AM509" s="19"/>
      <c r="AN509" s="19"/>
      <c r="AO509" s="19"/>
      <c r="AZ509" s="19"/>
      <c r="BA509" s="19"/>
      <c r="BB509" s="20"/>
      <c r="BC509" s="19"/>
      <c r="BE509" s="19"/>
      <c r="BF509" s="19"/>
      <c r="BG509" s="19"/>
      <c r="BH509" s="19"/>
      <c r="BI509" s="19"/>
      <c r="BJ509" s="19"/>
      <c r="BK509" s="19"/>
      <c r="BL509" s="19"/>
    </row>
    <row r="510" spans="2:64" ht="14" x14ac:dyDescent="0.2">
      <c r="B510" s="1"/>
      <c r="C510" s="1"/>
      <c r="D510" s="1"/>
      <c r="E510" s="1"/>
      <c r="H510" s="18"/>
      <c r="I510" s="18"/>
      <c r="J510" s="18"/>
      <c r="L510" s="6"/>
      <c r="AF510" s="19"/>
      <c r="AG510" s="19"/>
      <c r="AH510" s="20"/>
      <c r="AI510" s="19"/>
      <c r="AK510" s="19"/>
      <c r="AL510" s="19"/>
      <c r="AM510" s="19"/>
      <c r="AN510" s="19"/>
      <c r="AO510" s="19"/>
      <c r="AZ510" s="19"/>
      <c r="BA510" s="19"/>
      <c r="BB510" s="20"/>
      <c r="BC510" s="19"/>
      <c r="BE510" s="19"/>
      <c r="BF510" s="19"/>
      <c r="BG510" s="19"/>
      <c r="BH510" s="19"/>
      <c r="BI510" s="19"/>
      <c r="BJ510" s="19"/>
      <c r="BK510" s="19"/>
      <c r="BL510" s="19"/>
    </row>
    <row r="511" spans="2:64" ht="14" x14ac:dyDescent="0.2">
      <c r="B511" s="1"/>
      <c r="C511" s="1"/>
      <c r="D511" s="1"/>
      <c r="E511" s="1"/>
      <c r="H511" s="18"/>
      <c r="I511" s="18"/>
      <c r="J511" s="18"/>
      <c r="L511" s="6"/>
      <c r="AF511" s="19"/>
      <c r="AG511" s="19"/>
      <c r="AH511" s="20"/>
      <c r="AI511" s="19"/>
      <c r="AK511" s="19"/>
      <c r="AL511" s="19"/>
      <c r="AM511" s="19"/>
      <c r="AN511" s="19"/>
      <c r="AO511" s="19"/>
      <c r="AZ511" s="19"/>
      <c r="BA511" s="19"/>
      <c r="BB511" s="20"/>
      <c r="BC511" s="19"/>
      <c r="BE511" s="19"/>
      <c r="BF511" s="19"/>
      <c r="BG511" s="19"/>
      <c r="BH511" s="19"/>
      <c r="BI511" s="19"/>
      <c r="BJ511" s="19"/>
      <c r="BK511" s="19"/>
      <c r="BL511" s="19"/>
    </row>
    <row r="512" spans="2:64" ht="14" x14ac:dyDescent="0.2">
      <c r="B512" s="1"/>
      <c r="C512" s="1"/>
      <c r="D512" s="1"/>
      <c r="E512" s="1"/>
      <c r="H512" s="18"/>
      <c r="I512" s="18"/>
      <c r="J512" s="18"/>
      <c r="L512" s="6"/>
      <c r="AF512" s="19"/>
      <c r="AG512" s="19"/>
      <c r="AH512" s="20"/>
      <c r="AI512" s="19"/>
      <c r="AK512" s="19"/>
      <c r="AL512" s="19"/>
      <c r="AM512" s="19"/>
      <c r="AN512" s="19"/>
      <c r="AO512" s="19"/>
      <c r="AZ512" s="19"/>
      <c r="BA512" s="19"/>
      <c r="BB512" s="20"/>
      <c r="BC512" s="19"/>
      <c r="BE512" s="19"/>
      <c r="BF512" s="19"/>
      <c r="BG512" s="19"/>
      <c r="BH512" s="19"/>
      <c r="BI512" s="19"/>
      <c r="BJ512" s="19"/>
      <c r="BK512" s="19"/>
      <c r="BL512" s="19"/>
    </row>
    <row r="513" spans="2:64" ht="14" x14ac:dyDescent="0.2">
      <c r="B513" s="1"/>
      <c r="C513" s="1"/>
      <c r="D513" s="1"/>
      <c r="E513" s="1"/>
      <c r="H513" s="18"/>
      <c r="I513" s="18"/>
      <c r="J513" s="18"/>
      <c r="L513" s="6"/>
      <c r="AF513" s="19"/>
      <c r="AG513" s="19"/>
      <c r="AH513" s="20"/>
      <c r="AI513" s="19"/>
      <c r="AK513" s="19"/>
      <c r="AL513" s="19"/>
      <c r="AM513" s="19"/>
      <c r="AN513" s="19"/>
      <c r="AO513" s="19"/>
      <c r="AZ513" s="19"/>
      <c r="BA513" s="19"/>
      <c r="BB513" s="20"/>
      <c r="BC513" s="19"/>
      <c r="BE513" s="19"/>
      <c r="BF513" s="19"/>
      <c r="BG513" s="19"/>
      <c r="BH513" s="19"/>
      <c r="BI513" s="19"/>
      <c r="BJ513" s="19"/>
      <c r="BK513" s="19"/>
      <c r="BL513" s="19"/>
    </row>
    <row r="514" spans="2:64" ht="14" x14ac:dyDescent="0.2">
      <c r="B514" s="1"/>
      <c r="C514" s="1"/>
      <c r="D514" s="1"/>
      <c r="E514" s="1"/>
      <c r="H514" s="18"/>
      <c r="I514" s="18"/>
      <c r="J514" s="18"/>
      <c r="L514" s="6"/>
      <c r="AF514" s="19"/>
      <c r="AG514" s="19"/>
      <c r="AH514" s="20"/>
      <c r="AI514" s="19"/>
      <c r="AK514" s="19"/>
      <c r="AL514" s="19"/>
      <c r="AM514" s="19"/>
      <c r="AN514" s="19"/>
      <c r="AO514" s="19"/>
      <c r="AZ514" s="19"/>
      <c r="BA514" s="19"/>
      <c r="BB514" s="20"/>
      <c r="BC514" s="19"/>
      <c r="BE514" s="19"/>
      <c r="BF514" s="19"/>
      <c r="BG514" s="19"/>
      <c r="BH514" s="19"/>
      <c r="BI514" s="19"/>
      <c r="BJ514" s="19"/>
      <c r="BK514" s="19"/>
      <c r="BL514" s="19"/>
    </row>
    <row r="515" spans="2:64" ht="14" x14ac:dyDescent="0.2">
      <c r="B515" s="1"/>
      <c r="C515" s="1"/>
      <c r="D515" s="1"/>
      <c r="E515" s="1"/>
      <c r="H515" s="18"/>
      <c r="I515" s="18"/>
      <c r="J515" s="18"/>
      <c r="L515" s="6"/>
      <c r="AF515" s="19"/>
      <c r="AG515" s="19"/>
      <c r="AH515" s="20"/>
      <c r="AI515" s="19"/>
      <c r="AK515" s="19"/>
      <c r="AL515" s="19"/>
      <c r="AM515" s="19"/>
      <c r="AN515" s="19"/>
      <c r="AO515" s="19"/>
      <c r="AZ515" s="19"/>
      <c r="BA515" s="19"/>
      <c r="BB515" s="20"/>
      <c r="BC515" s="19"/>
      <c r="BE515" s="19"/>
      <c r="BF515" s="19"/>
      <c r="BG515" s="19"/>
      <c r="BH515" s="19"/>
      <c r="BI515" s="19"/>
      <c r="BJ515" s="19"/>
      <c r="BK515" s="19"/>
      <c r="BL515" s="19"/>
    </row>
    <row r="516" spans="2:64" ht="14" x14ac:dyDescent="0.2">
      <c r="B516" s="1"/>
      <c r="C516" s="1"/>
      <c r="D516" s="1"/>
      <c r="E516" s="1"/>
      <c r="H516" s="18"/>
      <c r="I516" s="18"/>
      <c r="J516" s="18"/>
      <c r="L516" s="6"/>
      <c r="AF516" s="19"/>
      <c r="AG516" s="19"/>
      <c r="AH516" s="20"/>
      <c r="AI516" s="19"/>
      <c r="AK516" s="19"/>
      <c r="AL516" s="19"/>
      <c r="AM516" s="19"/>
      <c r="AN516" s="19"/>
      <c r="AO516" s="19"/>
      <c r="AZ516" s="19"/>
      <c r="BA516" s="19"/>
      <c r="BB516" s="20"/>
      <c r="BC516" s="19"/>
      <c r="BE516" s="19"/>
      <c r="BF516" s="19"/>
      <c r="BG516" s="19"/>
      <c r="BH516" s="19"/>
      <c r="BI516" s="19"/>
      <c r="BJ516" s="19"/>
      <c r="BK516" s="19"/>
      <c r="BL516" s="19"/>
    </row>
    <row r="517" spans="2:64" ht="14" x14ac:dyDescent="0.2">
      <c r="B517" s="1"/>
      <c r="C517" s="1"/>
      <c r="D517" s="1"/>
      <c r="E517" s="1"/>
      <c r="H517" s="18"/>
      <c r="I517" s="18"/>
      <c r="J517" s="18"/>
      <c r="L517" s="6"/>
      <c r="AF517" s="19"/>
      <c r="AG517" s="19"/>
      <c r="AH517" s="20"/>
      <c r="AI517" s="19"/>
      <c r="AK517" s="19"/>
      <c r="AL517" s="19"/>
      <c r="AM517" s="19"/>
      <c r="AN517" s="19"/>
      <c r="AO517" s="19"/>
      <c r="AZ517" s="19"/>
      <c r="BA517" s="19"/>
      <c r="BB517" s="20"/>
      <c r="BC517" s="19"/>
      <c r="BE517" s="19"/>
      <c r="BF517" s="19"/>
      <c r="BG517" s="19"/>
      <c r="BH517" s="19"/>
      <c r="BI517" s="19"/>
      <c r="BJ517" s="19"/>
      <c r="BK517" s="19"/>
      <c r="BL517" s="19"/>
    </row>
    <row r="518" spans="2:64" ht="14" x14ac:dyDescent="0.2">
      <c r="B518" s="1"/>
      <c r="C518" s="1"/>
      <c r="D518" s="1"/>
      <c r="E518" s="1"/>
      <c r="H518" s="18"/>
      <c r="I518" s="18"/>
      <c r="J518" s="18"/>
      <c r="L518" s="6"/>
      <c r="AF518" s="19"/>
      <c r="AG518" s="19"/>
      <c r="AH518" s="20"/>
      <c r="AI518" s="19"/>
      <c r="AK518" s="19"/>
      <c r="AL518" s="19"/>
      <c r="AM518" s="19"/>
      <c r="AN518" s="19"/>
      <c r="AO518" s="19"/>
      <c r="AZ518" s="19"/>
      <c r="BA518" s="19"/>
      <c r="BB518" s="20"/>
      <c r="BC518" s="19"/>
      <c r="BE518" s="19"/>
      <c r="BF518" s="19"/>
      <c r="BG518" s="19"/>
      <c r="BH518" s="19"/>
      <c r="BI518" s="19"/>
      <c r="BJ518" s="19"/>
      <c r="BK518" s="19"/>
      <c r="BL518" s="19"/>
    </row>
    <row r="519" spans="2:64" ht="14" x14ac:dyDescent="0.2">
      <c r="B519" s="1"/>
      <c r="C519" s="1"/>
      <c r="D519" s="1"/>
      <c r="E519" s="1"/>
      <c r="H519" s="18"/>
      <c r="I519" s="18"/>
      <c r="J519" s="18"/>
      <c r="L519" s="6"/>
      <c r="AF519" s="19"/>
      <c r="AG519" s="19"/>
      <c r="AH519" s="20"/>
      <c r="AI519" s="19"/>
      <c r="AK519" s="19"/>
      <c r="AL519" s="19"/>
      <c r="AM519" s="19"/>
      <c r="AN519" s="19"/>
      <c r="AO519" s="19"/>
      <c r="AZ519" s="19"/>
      <c r="BA519" s="19"/>
      <c r="BB519" s="20"/>
      <c r="BC519" s="19"/>
      <c r="BE519" s="19"/>
      <c r="BF519" s="19"/>
      <c r="BG519" s="19"/>
      <c r="BH519" s="19"/>
      <c r="BI519" s="19"/>
      <c r="BJ519" s="19"/>
      <c r="BK519" s="19"/>
      <c r="BL519" s="19"/>
    </row>
    <row r="520" spans="2:64" ht="14" x14ac:dyDescent="0.2">
      <c r="B520" s="1"/>
      <c r="C520" s="1"/>
      <c r="D520" s="1"/>
      <c r="E520" s="1"/>
      <c r="H520" s="18"/>
      <c r="I520" s="18"/>
      <c r="J520" s="18"/>
      <c r="L520" s="6"/>
      <c r="AF520" s="19"/>
      <c r="AG520" s="19"/>
      <c r="AH520" s="20"/>
      <c r="AI520" s="19"/>
      <c r="AK520" s="19"/>
      <c r="AL520" s="19"/>
      <c r="AM520" s="19"/>
      <c r="AN520" s="19"/>
      <c r="AO520" s="19"/>
      <c r="AZ520" s="19"/>
      <c r="BA520" s="19"/>
      <c r="BB520" s="20"/>
      <c r="BC520" s="19"/>
      <c r="BE520" s="19"/>
      <c r="BF520" s="19"/>
      <c r="BG520" s="19"/>
      <c r="BH520" s="19"/>
      <c r="BI520" s="19"/>
      <c r="BJ520" s="19"/>
      <c r="BK520" s="19"/>
      <c r="BL520" s="19"/>
    </row>
    <row r="521" spans="2:64" ht="14" x14ac:dyDescent="0.2">
      <c r="B521" s="1"/>
      <c r="C521" s="1"/>
      <c r="D521" s="1"/>
      <c r="E521" s="1"/>
      <c r="H521" s="18"/>
      <c r="I521" s="18"/>
      <c r="J521" s="18"/>
      <c r="L521" s="6"/>
      <c r="AF521" s="19"/>
      <c r="AG521" s="19"/>
      <c r="AH521" s="20"/>
      <c r="AI521" s="19"/>
      <c r="AK521" s="19"/>
      <c r="AL521" s="19"/>
      <c r="AM521" s="19"/>
      <c r="AN521" s="19"/>
      <c r="AO521" s="19"/>
      <c r="AZ521" s="19"/>
      <c r="BA521" s="19"/>
      <c r="BB521" s="20"/>
      <c r="BC521" s="19"/>
      <c r="BE521" s="19"/>
      <c r="BF521" s="19"/>
      <c r="BG521" s="19"/>
      <c r="BH521" s="19"/>
      <c r="BI521" s="19"/>
      <c r="BJ521" s="19"/>
      <c r="BK521" s="19"/>
      <c r="BL521" s="19"/>
    </row>
    <row r="522" spans="2:64" ht="14" x14ac:dyDescent="0.2">
      <c r="B522" s="1"/>
      <c r="C522" s="1"/>
      <c r="D522" s="1"/>
      <c r="E522" s="1"/>
      <c r="H522" s="18"/>
      <c r="I522" s="18"/>
      <c r="J522" s="18"/>
      <c r="L522" s="6"/>
      <c r="AF522" s="19"/>
      <c r="AG522" s="19"/>
      <c r="AH522" s="20"/>
      <c r="AI522" s="19"/>
      <c r="AK522" s="19"/>
      <c r="AL522" s="19"/>
      <c r="AM522" s="19"/>
      <c r="AN522" s="19"/>
      <c r="AO522" s="19"/>
      <c r="AZ522" s="19"/>
      <c r="BA522" s="19"/>
      <c r="BB522" s="20"/>
      <c r="BC522" s="19"/>
      <c r="BE522" s="19"/>
      <c r="BF522" s="19"/>
      <c r="BG522" s="19"/>
      <c r="BH522" s="19"/>
      <c r="BI522" s="19"/>
      <c r="BJ522" s="19"/>
      <c r="BK522" s="19"/>
      <c r="BL522" s="19"/>
    </row>
    <row r="523" spans="2:64" ht="14" x14ac:dyDescent="0.2">
      <c r="B523" s="1"/>
      <c r="C523" s="1"/>
      <c r="D523" s="1"/>
      <c r="E523" s="1"/>
      <c r="H523" s="18"/>
      <c r="I523" s="18"/>
      <c r="J523" s="18"/>
      <c r="L523" s="6"/>
      <c r="AF523" s="19"/>
      <c r="AG523" s="19"/>
      <c r="AH523" s="20"/>
      <c r="AI523" s="19"/>
      <c r="AK523" s="19"/>
      <c r="AL523" s="19"/>
      <c r="AM523" s="19"/>
      <c r="AN523" s="19"/>
      <c r="AO523" s="19"/>
      <c r="AZ523" s="19"/>
      <c r="BA523" s="19"/>
      <c r="BB523" s="20"/>
      <c r="BC523" s="19"/>
      <c r="BE523" s="19"/>
      <c r="BF523" s="19"/>
      <c r="BG523" s="19"/>
      <c r="BH523" s="19"/>
      <c r="BI523" s="19"/>
      <c r="BJ523" s="19"/>
      <c r="BK523" s="19"/>
      <c r="BL523" s="19"/>
    </row>
    <row r="524" spans="2:64" ht="14" x14ac:dyDescent="0.2">
      <c r="B524" s="1"/>
      <c r="C524" s="1"/>
      <c r="D524" s="1"/>
      <c r="E524" s="1"/>
      <c r="H524" s="18"/>
      <c r="I524" s="18"/>
      <c r="J524" s="18"/>
      <c r="L524" s="6"/>
      <c r="AF524" s="19"/>
      <c r="AG524" s="19"/>
      <c r="AH524" s="20"/>
      <c r="AI524" s="19"/>
      <c r="AK524" s="19"/>
      <c r="AL524" s="19"/>
      <c r="AM524" s="19"/>
      <c r="AN524" s="19"/>
      <c r="AO524" s="19"/>
      <c r="AZ524" s="19"/>
      <c r="BA524" s="19"/>
      <c r="BB524" s="20"/>
      <c r="BC524" s="19"/>
      <c r="BE524" s="19"/>
      <c r="BF524" s="19"/>
      <c r="BG524" s="19"/>
      <c r="BH524" s="19"/>
      <c r="BI524" s="19"/>
      <c r="BJ524" s="19"/>
      <c r="BK524" s="19"/>
      <c r="BL524" s="19"/>
    </row>
    <row r="525" spans="2:64" ht="14" x14ac:dyDescent="0.2">
      <c r="B525" s="1"/>
      <c r="C525" s="1"/>
      <c r="D525" s="1"/>
      <c r="E525" s="1"/>
      <c r="H525" s="18"/>
      <c r="I525" s="18"/>
      <c r="J525" s="18"/>
      <c r="L525" s="6"/>
      <c r="AF525" s="19"/>
      <c r="AG525" s="19"/>
      <c r="AH525" s="20"/>
      <c r="AI525" s="19"/>
      <c r="AK525" s="19"/>
      <c r="AL525" s="19"/>
      <c r="AM525" s="19"/>
      <c r="AN525" s="19"/>
      <c r="AO525" s="19"/>
      <c r="AZ525" s="19"/>
      <c r="BA525" s="19"/>
      <c r="BB525" s="20"/>
      <c r="BC525" s="19"/>
      <c r="BE525" s="19"/>
      <c r="BF525" s="19"/>
      <c r="BG525" s="19"/>
      <c r="BH525" s="19"/>
      <c r="BI525" s="19"/>
      <c r="BJ525" s="19"/>
      <c r="BK525" s="19"/>
      <c r="BL525" s="19"/>
    </row>
    <row r="526" spans="2:64" ht="14" x14ac:dyDescent="0.2">
      <c r="B526" s="1"/>
      <c r="C526" s="1"/>
      <c r="D526" s="1"/>
      <c r="E526" s="1"/>
      <c r="H526" s="18"/>
      <c r="I526" s="18"/>
      <c r="J526" s="18"/>
      <c r="L526" s="6"/>
      <c r="AF526" s="19"/>
      <c r="AG526" s="19"/>
      <c r="AH526" s="20"/>
      <c r="AI526" s="19"/>
      <c r="AK526" s="19"/>
      <c r="AL526" s="19"/>
      <c r="AM526" s="19"/>
      <c r="AN526" s="19"/>
      <c r="AO526" s="19"/>
      <c r="AZ526" s="19"/>
      <c r="BA526" s="19"/>
      <c r="BB526" s="20"/>
      <c r="BC526" s="19"/>
      <c r="BE526" s="19"/>
      <c r="BF526" s="19"/>
      <c r="BG526" s="19"/>
      <c r="BH526" s="19"/>
      <c r="BI526" s="19"/>
      <c r="BJ526" s="19"/>
      <c r="BK526" s="19"/>
      <c r="BL526" s="19"/>
    </row>
    <row r="527" spans="2:64" ht="14" x14ac:dyDescent="0.2">
      <c r="B527" s="1"/>
      <c r="C527" s="1"/>
      <c r="D527" s="1"/>
      <c r="E527" s="1"/>
      <c r="H527" s="18"/>
      <c r="I527" s="18"/>
      <c r="J527" s="18"/>
      <c r="L527" s="6"/>
      <c r="AF527" s="19"/>
      <c r="AG527" s="19"/>
      <c r="AH527" s="20"/>
      <c r="AI527" s="19"/>
      <c r="AK527" s="19"/>
      <c r="AL527" s="19"/>
      <c r="AM527" s="19"/>
      <c r="AN527" s="19"/>
      <c r="AO527" s="19"/>
      <c r="AZ527" s="19"/>
      <c r="BA527" s="19"/>
      <c r="BB527" s="20"/>
      <c r="BC527" s="19"/>
      <c r="BE527" s="19"/>
      <c r="BF527" s="19"/>
      <c r="BG527" s="19"/>
      <c r="BH527" s="19"/>
      <c r="BI527" s="19"/>
      <c r="BJ527" s="19"/>
      <c r="BK527" s="19"/>
      <c r="BL527" s="19"/>
    </row>
    <row r="528" spans="2:64" ht="14" x14ac:dyDescent="0.2">
      <c r="B528" s="1"/>
      <c r="C528" s="1"/>
      <c r="D528" s="1"/>
      <c r="E528" s="1"/>
      <c r="H528" s="18"/>
      <c r="I528" s="18"/>
      <c r="J528" s="18"/>
      <c r="L528" s="6"/>
      <c r="AF528" s="19"/>
      <c r="AG528" s="19"/>
      <c r="AH528" s="20"/>
      <c r="AI528" s="19"/>
      <c r="AK528" s="19"/>
      <c r="AL528" s="19"/>
      <c r="AM528" s="19"/>
      <c r="AN528" s="19"/>
      <c r="AO528" s="19"/>
      <c r="AZ528" s="19"/>
      <c r="BA528" s="19"/>
      <c r="BB528" s="20"/>
      <c r="BC528" s="19"/>
      <c r="BE528" s="19"/>
      <c r="BF528" s="19"/>
      <c r="BG528" s="19"/>
      <c r="BH528" s="19"/>
      <c r="BI528" s="19"/>
      <c r="BJ528" s="19"/>
      <c r="BK528" s="19"/>
      <c r="BL528" s="19"/>
    </row>
    <row r="529" spans="2:64" ht="14" x14ac:dyDescent="0.2">
      <c r="B529" s="1"/>
      <c r="C529" s="1"/>
      <c r="D529" s="1"/>
      <c r="E529" s="1"/>
      <c r="H529" s="18"/>
      <c r="I529" s="18"/>
      <c r="J529" s="18"/>
      <c r="L529" s="6"/>
      <c r="AF529" s="19"/>
      <c r="AG529" s="19"/>
      <c r="AH529" s="20"/>
      <c r="AI529" s="19"/>
      <c r="AK529" s="19"/>
      <c r="AL529" s="19"/>
      <c r="AM529" s="19"/>
      <c r="AN529" s="19"/>
      <c r="AO529" s="19"/>
      <c r="AZ529" s="19"/>
      <c r="BA529" s="19"/>
      <c r="BB529" s="20"/>
      <c r="BC529" s="19"/>
      <c r="BE529" s="19"/>
      <c r="BF529" s="19"/>
      <c r="BG529" s="19"/>
      <c r="BH529" s="19"/>
      <c r="BI529" s="19"/>
      <c r="BJ529" s="19"/>
      <c r="BK529" s="19"/>
      <c r="BL529" s="19"/>
    </row>
    <row r="530" spans="2:64" ht="14" x14ac:dyDescent="0.2">
      <c r="B530" s="1"/>
      <c r="C530" s="1"/>
      <c r="D530" s="1"/>
      <c r="E530" s="1"/>
      <c r="H530" s="18"/>
      <c r="I530" s="18"/>
      <c r="J530" s="18"/>
      <c r="L530" s="6"/>
      <c r="AF530" s="19"/>
      <c r="AG530" s="19"/>
      <c r="AH530" s="20"/>
      <c r="AI530" s="19"/>
      <c r="AK530" s="19"/>
      <c r="AL530" s="19"/>
      <c r="AM530" s="19"/>
      <c r="AN530" s="19"/>
      <c r="AO530" s="19"/>
      <c r="AZ530" s="19"/>
      <c r="BA530" s="19"/>
      <c r="BB530" s="20"/>
      <c r="BC530" s="19"/>
      <c r="BE530" s="19"/>
      <c r="BF530" s="19"/>
      <c r="BG530" s="19"/>
      <c r="BH530" s="19"/>
      <c r="BI530" s="19"/>
      <c r="BJ530" s="19"/>
      <c r="BK530" s="19"/>
      <c r="BL530" s="19"/>
    </row>
    <row r="531" spans="2:64" ht="14" x14ac:dyDescent="0.2">
      <c r="B531" s="1"/>
      <c r="C531" s="1"/>
      <c r="D531" s="1"/>
      <c r="E531" s="1"/>
      <c r="H531" s="18"/>
      <c r="I531" s="18"/>
      <c r="J531" s="18"/>
      <c r="L531" s="6"/>
      <c r="AF531" s="19"/>
      <c r="AG531" s="19"/>
      <c r="AH531" s="20"/>
      <c r="AI531" s="19"/>
      <c r="AK531" s="19"/>
      <c r="AL531" s="19"/>
      <c r="AM531" s="19"/>
      <c r="AN531" s="19"/>
      <c r="AO531" s="19"/>
      <c r="AZ531" s="19"/>
      <c r="BA531" s="19"/>
      <c r="BB531" s="20"/>
      <c r="BC531" s="19"/>
      <c r="BE531" s="19"/>
      <c r="BF531" s="19"/>
      <c r="BG531" s="19"/>
      <c r="BH531" s="19"/>
      <c r="BI531" s="19"/>
      <c r="BJ531" s="19"/>
      <c r="BK531" s="19"/>
      <c r="BL531" s="19"/>
    </row>
    <row r="532" spans="2:64" ht="14" x14ac:dyDescent="0.2">
      <c r="B532" s="1"/>
      <c r="C532" s="1"/>
      <c r="D532" s="1"/>
      <c r="E532" s="1"/>
      <c r="H532" s="18"/>
      <c r="I532" s="18"/>
      <c r="J532" s="18"/>
      <c r="L532" s="6"/>
      <c r="AF532" s="19"/>
      <c r="AG532" s="19"/>
      <c r="AH532" s="20"/>
      <c r="AI532" s="19"/>
      <c r="AK532" s="19"/>
      <c r="AL532" s="19"/>
      <c r="AM532" s="19"/>
      <c r="AN532" s="19"/>
      <c r="AO532" s="19"/>
      <c r="AZ532" s="19"/>
      <c r="BA532" s="19"/>
      <c r="BB532" s="20"/>
      <c r="BC532" s="19"/>
      <c r="BE532" s="19"/>
      <c r="BF532" s="19"/>
      <c r="BG532" s="19"/>
      <c r="BH532" s="19"/>
      <c r="BI532" s="19"/>
      <c r="BJ532" s="19"/>
      <c r="BK532" s="19"/>
      <c r="BL532" s="19"/>
    </row>
    <row r="533" spans="2:64" ht="14" x14ac:dyDescent="0.2">
      <c r="B533" s="1"/>
      <c r="C533" s="1"/>
      <c r="D533" s="1"/>
      <c r="E533" s="1"/>
      <c r="H533" s="18"/>
      <c r="I533" s="18"/>
      <c r="J533" s="18"/>
      <c r="L533" s="6"/>
      <c r="AF533" s="19"/>
      <c r="AG533" s="19"/>
      <c r="AH533" s="20"/>
      <c r="AI533" s="19"/>
      <c r="AK533" s="19"/>
      <c r="AL533" s="19"/>
      <c r="AM533" s="19"/>
      <c r="AN533" s="19"/>
      <c r="AO533" s="19"/>
      <c r="AZ533" s="19"/>
      <c r="BA533" s="19"/>
      <c r="BB533" s="20"/>
      <c r="BC533" s="19"/>
      <c r="BE533" s="19"/>
      <c r="BF533" s="19"/>
      <c r="BG533" s="19"/>
      <c r="BH533" s="19"/>
      <c r="BI533" s="19"/>
      <c r="BJ533" s="19"/>
      <c r="BK533" s="19"/>
      <c r="BL533" s="19"/>
    </row>
    <row r="534" spans="2:64" ht="14" x14ac:dyDescent="0.2">
      <c r="B534" s="1"/>
      <c r="C534" s="1"/>
      <c r="D534" s="1"/>
      <c r="E534" s="1"/>
      <c r="H534" s="18"/>
      <c r="I534" s="18"/>
      <c r="J534" s="18"/>
      <c r="L534" s="6"/>
      <c r="AF534" s="19"/>
      <c r="AG534" s="19"/>
      <c r="AH534" s="20"/>
      <c r="AI534" s="19"/>
      <c r="AK534" s="19"/>
      <c r="AL534" s="19"/>
      <c r="AM534" s="19"/>
      <c r="AN534" s="19"/>
      <c r="AO534" s="19"/>
      <c r="AZ534" s="19"/>
      <c r="BA534" s="19"/>
      <c r="BB534" s="20"/>
      <c r="BC534" s="19"/>
      <c r="BE534" s="19"/>
      <c r="BF534" s="19"/>
      <c r="BG534" s="19"/>
      <c r="BH534" s="19"/>
      <c r="BI534" s="19"/>
      <c r="BJ534" s="19"/>
      <c r="BK534" s="19"/>
      <c r="BL534" s="19"/>
    </row>
    <row r="535" spans="2:64" ht="14" x14ac:dyDescent="0.2">
      <c r="B535" s="1"/>
      <c r="C535" s="1"/>
      <c r="D535" s="1"/>
      <c r="E535" s="1"/>
      <c r="H535" s="18"/>
      <c r="I535" s="18"/>
      <c r="J535" s="18"/>
      <c r="L535" s="6"/>
      <c r="AF535" s="19"/>
      <c r="AG535" s="19"/>
      <c r="AH535" s="20"/>
      <c r="AI535" s="19"/>
      <c r="AK535" s="19"/>
      <c r="AL535" s="19"/>
      <c r="AM535" s="19"/>
      <c r="AN535" s="19"/>
      <c r="AO535" s="19"/>
      <c r="AZ535" s="19"/>
      <c r="BA535" s="19"/>
      <c r="BB535" s="20"/>
      <c r="BC535" s="19"/>
      <c r="BE535" s="19"/>
      <c r="BF535" s="19"/>
      <c r="BG535" s="19"/>
      <c r="BH535" s="19"/>
      <c r="BI535" s="19"/>
      <c r="BJ535" s="19"/>
      <c r="BK535" s="19"/>
      <c r="BL535" s="19"/>
    </row>
    <row r="536" spans="2:64" ht="14" x14ac:dyDescent="0.2">
      <c r="B536" s="1"/>
      <c r="C536" s="1"/>
      <c r="D536" s="1"/>
      <c r="E536" s="1"/>
      <c r="H536" s="18"/>
      <c r="I536" s="18"/>
      <c r="J536" s="18"/>
      <c r="L536" s="6"/>
      <c r="AF536" s="19"/>
      <c r="AG536" s="19"/>
      <c r="AH536" s="20"/>
      <c r="AI536" s="19"/>
      <c r="AK536" s="19"/>
      <c r="AL536" s="19"/>
      <c r="AM536" s="19"/>
      <c r="AN536" s="19"/>
      <c r="AO536" s="19"/>
      <c r="AZ536" s="19"/>
      <c r="BA536" s="19"/>
      <c r="BB536" s="20"/>
      <c r="BC536" s="19"/>
      <c r="BE536" s="19"/>
      <c r="BF536" s="19"/>
      <c r="BG536" s="19"/>
      <c r="BH536" s="19"/>
      <c r="BI536" s="19"/>
      <c r="BJ536" s="19"/>
      <c r="BK536" s="19"/>
      <c r="BL536" s="19"/>
    </row>
    <row r="537" spans="2:64" ht="14" x14ac:dyDescent="0.2">
      <c r="B537" s="1"/>
      <c r="C537" s="1"/>
      <c r="D537" s="1"/>
      <c r="E537" s="1"/>
      <c r="H537" s="18"/>
      <c r="I537" s="18"/>
      <c r="J537" s="18"/>
      <c r="L537" s="6"/>
      <c r="AF537" s="19"/>
      <c r="AG537" s="19"/>
      <c r="AH537" s="20"/>
      <c r="AI537" s="19"/>
      <c r="AK537" s="19"/>
      <c r="AL537" s="19"/>
      <c r="AM537" s="19"/>
      <c r="AN537" s="19"/>
      <c r="AO537" s="19"/>
      <c r="AZ537" s="19"/>
      <c r="BA537" s="19"/>
      <c r="BB537" s="20"/>
      <c r="BC537" s="19"/>
      <c r="BE537" s="19"/>
      <c r="BF537" s="19"/>
      <c r="BG537" s="19"/>
      <c r="BH537" s="19"/>
      <c r="BI537" s="19"/>
      <c r="BJ537" s="19"/>
      <c r="BK537" s="19"/>
      <c r="BL537" s="19"/>
    </row>
    <row r="538" spans="2:64" ht="14" x14ac:dyDescent="0.2">
      <c r="B538" s="1"/>
      <c r="C538" s="1"/>
      <c r="D538" s="1"/>
      <c r="E538" s="1"/>
      <c r="H538" s="18"/>
      <c r="I538" s="18"/>
      <c r="J538" s="18"/>
      <c r="L538" s="6"/>
      <c r="AF538" s="19"/>
      <c r="AG538" s="19"/>
      <c r="AH538" s="20"/>
      <c r="AI538" s="19"/>
      <c r="AK538" s="19"/>
      <c r="AL538" s="19"/>
      <c r="AM538" s="19"/>
      <c r="AN538" s="19"/>
      <c r="AO538" s="19"/>
      <c r="AZ538" s="19"/>
      <c r="BA538" s="19"/>
      <c r="BB538" s="20"/>
      <c r="BC538" s="19"/>
      <c r="BE538" s="19"/>
      <c r="BF538" s="19"/>
      <c r="BG538" s="19"/>
      <c r="BH538" s="19"/>
      <c r="BI538" s="19"/>
      <c r="BJ538" s="19"/>
      <c r="BK538" s="19"/>
      <c r="BL538" s="19"/>
    </row>
    <row r="539" spans="2:64" ht="14" x14ac:dyDescent="0.2">
      <c r="B539" s="1"/>
      <c r="C539" s="1"/>
      <c r="D539" s="1"/>
      <c r="E539" s="1"/>
      <c r="H539" s="18"/>
      <c r="I539" s="18"/>
      <c r="J539" s="18"/>
      <c r="L539" s="6"/>
      <c r="AF539" s="19"/>
      <c r="AG539" s="19"/>
      <c r="AH539" s="20"/>
      <c r="AI539" s="19"/>
      <c r="AK539" s="19"/>
      <c r="AL539" s="19"/>
      <c r="AM539" s="19"/>
      <c r="AN539" s="19"/>
      <c r="AO539" s="19"/>
      <c r="AZ539" s="19"/>
      <c r="BA539" s="19"/>
      <c r="BB539" s="20"/>
      <c r="BC539" s="19"/>
      <c r="BE539" s="19"/>
      <c r="BF539" s="19"/>
      <c r="BG539" s="19"/>
      <c r="BH539" s="19"/>
      <c r="BI539" s="19"/>
      <c r="BJ539" s="19"/>
      <c r="BK539" s="19"/>
      <c r="BL539" s="19"/>
    </row>
    <row r="540" spans="2:64" ht="14" x14ac:dyDescent="0.2">
      <c r="B540" s="1"/>
      <c r="C540" s="1"/>
      <c r="D540" s="1"/>
      <c r="E540" s="1"/>
      <c r="H540" s="18"/>
      <c r="I540" s="18"/>
      <c r="J540" s="18"/>
      <c r="L540" s="6"/>
      <c r="AF540" s="19"/>
      <c r="AG540" s="19"/>
      <c r="AH540" s="20"/>
      <c r="AI540" s="19"/>
      <c r="AK540" s="19"/>
      <c r="AL540" s="19"/>
      <c r="AM540" s="19"/>
      <c r="AN540" s="19"/>
      <c r="AO540" s="19"/>
      <c r="AZ540" s="19"/>
      <c r="BA540" s="19"/>
      <c r="BB540" s="20"/>
      <c r="BC540" s="19"/>
      <c r="BE540" s="19"/>
      <c r="BF540" s="19"/>
      <c r="BG540" s="19"/>
      <c r="BH540" s="19"/>
      <c r="BI540" s="19"/>
      <c r="BJ540" s="19"/>
      <c r="BK540" s="19"/>
      <c r="BL540" s="19"/>
    </row>
    <row r="541" spans="2:64" ht="14" x14ac:dyDescent="0.2">
      <c r="B541" s="1"/>
      <c r="C541" s="1"/>
      <c r="D541" s="1"/>
      <c r="E541" s="1"/>
      <c r="H541" s="18"/>
      <c r="I541" s="18"/>
      <c r="J541" s="18"/>
      <c r="L541" s="6"/>
      <c r="AF541" s="19"/>
      <c r="AG541" s="19"/>
      <c r="AH541" s="20"/>
      <c r="AI541" s="19"/>
      <c r="AK541" s="19"/>
      <c r="AL541" s="19"/>
      <c r="AM541" s="19"/>
      <c r="AN541" s="19"/>
      <c r="AO541" s="19"/>
      <c r="AZ541" s="19"/>
      <c r="BA541" s="19"/>
      <c r="BB541" s="20"/>
      <c r="BC541" s="19"/>
      <c r="BE541" s="19"/>
      <c r="BF541" s="19"/>
      <c r="BG541" s="19"/>
      <c r="BH541" s="19"/>
      <c r="BI541" s="19"/>
      <c r="BJ541" s="19"/>
      <c r="BK541" s="19"/>
      <c r="BL541" s="19"/>
    </row>
    <row r="542" spans="2:64" ht="14" x14ac:dyDescent="0.2">
      <c r="B542" s="1"/>
      <c r="C542" s="1"/>
      <c r="D542" s="1"/>
      <c r="E542" s="1"/>
      <c r="H542" s="18"/>
      <c r="I542" s="18"/>
      <c r="J542" s="18"/>
      <c r="L542" s="6"/>
      <c r="AF542" s="19"/>
      <c r="AG542" s="19"/>
      <c r="AH542" s="20"/>
      <c r="AI542" s="19"/>
      <c r="AK542" s="19"/>
      <c r="AL542" s="19"/>
      <c r="AM542" s="19"/>
      <c r="AN542" s="19"/>
      <c r="AO542" s="19"/>
      <c r="AZ542" s="19"/>
      <c r="BA542" s="19"/>
      <c r="BB542" s="20"/>
      <c r="BC542" s="19"/>
      <c r="BE542" s="19"/>
      <c r="BF542" s="19"/>
      <c r="BG542" s="19"/>
      <c r="BH542" s="19"/>
      <c r="BI542" s="19"/>
      <c r="BJ542" s="19"/>
      <c r="BK542" s="19"/>
      <c r="BL542" s="19"/>
    </row>
    <row r="543" spans="2:64" ht="14" x14ac:dyDescent="0.2">
      <c r="B543" s="1"/>
      <c r="C543" s="1"/>
      <c r="D543" s="1"/>
      <c r="E543" s="1"/>
      <c r="H543" s="18"/>
      <c r="I543" s="18"/>
      <c r="J543" s="18"/>
      <c r="L543" s="6"/>
      <c r="AF543" s="19"/>
      <c r="AG543" s="19"/>
      <c r="AH543" s="20"/>
      <c r="AI543" s="19"/>
      <c r="AK543" s="19"/>
      <c r="AL543" s="19"/>
      <c r="AM543" s="19"/>
      <c r="AN543" s="19"/>
      <c r="AO543" s="19"/>
      <c r="AZ543" s="19"/>
      <c r="BA543" s="19"/>
      <c r="BB543" s="20"/>
      <c r="BC543" s="19"/>
      <c r="BE543" s="19"/>
      <c r="BF543" s="19"/>
      <c r="BG543" s="19"/>
      <c r="BH543" s="19"/>
      <c r="BI543" s="19"/>
      <c r="BJ543" s="19"/>
      <c r="BK543" s="19"/>
      <c r="BL543" s="19"/>
    </row>
    <row r="544" spans="2:64" ht="14" x14ac:dyDescent="0.2">
      <c r="B544" s="1"/>
      <c r="C544" s="1"/>
      <c r="D544" s="1"/>
      <c r="E544" s="1"/>
      <c r="H544" s="18"/>
      <c r="I544" s="18"/>
      <c r="J544" s="18"/>
      <c r="L544" s="6"/>
      <c r="AF544" s="19"/>
      <c r="AG544" s="19"/>
      <c r="AH544" s="20"/>
      <c r="AI544" s="19"/>
      <c r="AK544" s="19"/>
      <c r="AL544" s="19"/>
      <c r="AM544" s="19"/>
      <c r="AN544" s="19"/>
      <c r="AO544" s="19"/>
      <c r="AZ544" s="19"/>
      <c r="BA544" s="19"/>
      <c r="BB544" s="20"/>
      <c r="BC544" s="19"/>
      <c r="BE544" s="19"/>
      <c r="BF544" s="19"/>
      <c r="BG544" s="19"/>
      <c r="BH544" s="19"/>
      <c r="BI544" s="19"/>
      <c r="BJ544" s="19"/>
      <c r="BK544" s="19"/>
      <c r="BL544" s="19"/>
    </row>
    <row r="545" spans="2:64" ht="14" x14ac:dyDescent="0.2">
      <c r="B545" s="1"/>
      <c r="C545" s="1"/>
      <c r="D545" s="1"/>
      <c r="E545" s="1"/>
      <c r="H545" s="18"/>
      <c r="I545" s="18"/>
      <c r="J545" s="18"/>
      <c r="L545" s="6"/>
      <c r="AF545" s="19"/>
      <c r="AG545" s="19"/>
      <c r="AH545" s="20"/>
      <c r="AI545" s="19"/>
      <c r="AK545" s="19"/>
      <c r="AL545" s="19"/>
      <c r="AM545" s="19"/>
      <c r="AN545" s="19"/>
      <c r="AO545" s="19"/>
      <c r="AZ545" s="19"/>
      <c r="BA545" s="19"/>
      <c r="BB545" s="20"/>
      <c r="BC545" s="19"/>
      <c r="BE545" s="19"/>
      <c r="BF545" s="19"/>
      <c r="BG545" s="19"/>
      <c r="BH545" s="19"/>
      <c r="BI545" s="19"/>
      <c r="BJ545" s="19"/>
      <c r="BK545" s="19"/>
      <c r="BL545" s="19"/>
    </row>
    <row r="546" spans="2:64" ht="14" x14ac:dyDescent="0.2">
      <c r="B546" s="1"/>
      <c r="C546" s="1"/>
      <c r="D546" s="1"/>
      <c r="E546" s="1"/>
      <c r="H546" s="18"/>
      <c r="I546" s="18"/>
      <c r="J546" s="18"/>
      <c r="L546" s="6"/>
      <c r="AF546" s="19"/>
      <c r="AG546" s="19"/>
      <c r="AH546" s="20"/>
      <c r="AI546" s="19"/>
      <c r="AK546" s="19"/>
      <c r="AL546" s="19"/>
      <c r="AM546" s="19"/>
      <c r="AN546" s="19"/>
      <c r="AO546" s="19"/>
      <c r="AZ546" s="19"/>
      <c r="BA546" s="19"/>
      <c r="BB546" s="20"/>
      <c r="BC546" s="19"/>
      <c r="BE546" s="19"/>
      <c r="BF546" s="19"/>
      <c r="BG546" s="19"/>
      <c r="BH546" s="19"/>
      <c r="BI546" s="19"/>
      <c r="BJ546" s="19"/>
      <c r="BK546" s="19"/>
      <c r="BL546" s="19"/>
    </row>
    <row r="547" spans="2:64" ht="14" x14ac:dyDescent="0.2">
      <c r="B547" s="1"/>
      <c r="C547" s="1"/>
      <c r="D547" s="1"/>
      <c r="E547" s="1"/>
      <c r="H547" s="18"/>
      <c r="I547" s="18"/>
      <c r="J547" s="18"/>
      <c r="L547" s="6"/>
      <c r="AF547" s="19"/>
      <c r="AG547" s="19"/>
      <c r="AH547" s="20"/>
      <c r="AI547" s="19"/>
      <c r="AK547" s="19"/>
      <c r="AL547" s="19"/>
      <c r="AM547" s="19"/>
      <c r="AN547" s="19"/>
      <c r="AO547" s="19"/>
      <c r="AZ547" s="19"/>
      <c r="BA547" s="19"/>
      <c r="BB547" s="20"/>
      <c r="BC547" s="19"/>
      <c r="BE547" s="19"/>
      <c r="BF547" s="19"/>
      <c r="BG547" s="19"/>
      <c r="BH547" s="19"/>
      <c r="BI547" s="19"/>
      <c r="BJ547" s="19"/>
      <c r="BK547" s="19"/>
      <c r="BL547" s="19"/>
    </row>
    <row r="548" spans="2:64" ht="14" x14ac:dyDescent="0.2">
      <c r="B548" s="1"/>
      <c r="C548" s="1"/>
      <c r="D548" s="1"/>
      <c r="E548" s="1"/>
      <c r="H548" s="18"/>
      <c r="I548" s="18"/>
      <c r="J548" s="18"/>
      <c r="L548" s="6"/>
      <c r="AF548" s="19"/>
      <c r="AG548" s="19"/>
      <c r="AH548" s="20"/>
      <c r="AI548" s="19"/>
      <c r="AK548" s="19"/>
      <c r="AL548" s="19"/>
      <c r="AM548" s="19"/>
      <c r="AN548" s="19"/>
      <c r="AO548" s="19"/>
      <c r="AZ548" s="19"/>
      <c r="BA548" s="19"/>
      <c r="BB548" s="20"/>
      <c r="BC548" s="19"/>
      <c r="BE548" s="19"/>
      <c r="BF548" s="19"/>
      <c r="BG548" s="19"/>
      <c r="BH548" s="19"/>
      <c r="BI548" s="19"/>
      <c r="BJ548" s="19"/>
      <c r="BK548" s="19"/>
      <c r="BL548" s="19"/>
    </row>
    <row r="549" spans="2:64" ht="14" x14ac:dyDescent="0.2">
      <c r="B549" s="1"/>
      <c r="C549" s="1"/>
      <c r="D549" s="1"/>
      <c r="E549" s="1"/>
      <c r="H549" s="18"/>
      <c r="I549" s="18"/>
      <c r="J549" s="18"/>
      <c r="L549" s="6"/>
      <c r="AF549" s="19"/>
      <c r="AG549" s="19"/>
      <c r="AH549" s="20"/>
      <c r="AI549" s="19"/>
      <c r="AK549" s="19"/>
      <c r="AL549" s="19"/>
      <c r="AM549" s="19"/>
      <c r="AN549" s="19"/>
      <c r="AO549" s="19"/>
      <c r="AZ549" s="19"/>
      <c r="BA549" s="19"/>
      <c r="BB549" s="20"/>
      <c r="BC549" s="19"/>
      <c r="BE549" s="19"/>
      <c r="BF549" s="19"/>
      <c r="BG549" s="19"/>
      <c r="BH549" s="19"/>
      <c r="BI549" s="19"/>
      <c r="BJ549" s="19"/>
      <c r="BK549" s="19"/>
      <c r="BL549" s="19"/>
    </row>
    <row r="550" spans="2:64" ht="14" x14ac:dyDescent="0.2">
      <c r="B550" s="1"/>
      <c r="C550" s="1"/>
      <c r="D550" s="1"/>
      <c r="E550" s="1"/>
      <c r="H550" s="18"/>
      <c r="I550" s="18"/>
      <c r="J550" s="18"/>
      <c r="L550" s="6"/>
      <c r="AF550" s="19"/>
      <c r="AG550" s="19"/>
      <c r="AH550" s="20"/>
      <c r="AI550" s="19"/>
      <c r="AK550" s="19"/>
      <c r="AL550" s="19"/>
      <c r="AM550" s="19"/>
      <c r="AN550" s="19"/>
      <c r="AO550" s="19"/>
      <c r="AZ550" s="19"/>
      <c r="BA550" s="19"/>
      <c r="BB550" s="20"/>
      <c r="BC550" s="19"/>
      <c r="BE550" s="19"/>
      <c r="BF550" s="19"/>
      <c r="BG550" s="19"/>
      <c r="BH550" s="19"/>
      <c r="BI550" s="19"/>
      <c r="BJ550" s="19"/>
      <c r="BK550" s="19"/>
      <c r="BL550" s="19"/>
    </row>
    <row r="551" spans="2:64" ht="14" x14ac:dyDescent="0.2">
      <c r="B551" s="1"/>
      <c r="C551" s="1"/>
      <c r="D551" s="1"/>
      <c r="E551" s="1"/>
      <c r="H551" s="18"/>
      <c r="I551" s="18"/>
      <c r="J551" s="18"/>
      <c r="L551" s="6"/>
      <c r="AF551" s="19"/>
      <c r="AG551" s="19"/>
      <c r="AH551" s="20"/>
      <c r="AI551" s="19"/>
      <c r="AK551" s="19"/>
      <c r="AL551" s="19"/>
      <c r="AM551" s="19"/>
      <c r="AN551" s="19"/>
      <c r="AO551" s="19"/>
      <c r="AZ551" s="19"/>
      <c r="BA551" s="19"/>
      <c r="BB551" s="20"/>
      <c r="BC551" s="19"/>
      <c r="BE551" s="19"/>
      <c r="BF551" s="19"/>
      <c r="BG551" s="19"/>
      <c r="BH551" s="19"/>
      <c r="BI551" s="19"/>
      <c r="BJ551" s="19"/>
      <c r="BK551" s="19"/>
      <c r="BL551" s="19"/>
    </row>
    <row r="552" spans="2:64" ht="14" x14ac:dyDescent="0.2">
      <c r="B552" s="1"/>
      <c r="C552" s="1"/>
      <c r="D552" s="1"/>
      <c r="E552" s="1"/>
      <c r="H552" s="18"/>
      <c r="I552" s="18"/>
      <c r="J552" s="18"/>
      <c r="L552" s="6"/>
      <c r="AF552" s="19"/>
      <c r="AG552" s="19"/>
      <c r="AH552" s="20"/>
      <c r="AI552" s="19"/>
      <c r="AK552" s="19"/>
      <c r="AL552" s="19"/>
      <c r="AM552" s="19"/>
      <c r="AN552" s="19"/>
      <c r="AO552" s="19"/>
      <c r="AZ552" s="19"/>
      <c r="BA552" s="19"/>
      <c r="BB552" s="20"/>
      <c r="BC552" s="19"/>
      <c r="BE552" s="19"/>
      <c r="BF552" s="19"/>
      <c r="BG552" s="19"/>
      <c r="BH552" s="19"/>
      <c r="BI552" s="19"/>
      <c r="BJ552" s="19"/>
      <c r="BK552" s="19"/>
      <c r="BL552" s="19"/>
    </row>
    <row r="553" spans="2:64" ht="14" x14ac:dyDescent="0.2">
      <c r="B553" s="1"/>
      <c r="C553" s="1"/>
      <c r="D553" s="1"/>
      <c r="E553" s="1"/>
      <c r="H553" s="18"/>
      <c r="I553" s="18"/>
      <c r="J553" s="18"/>
      <c r="L553" s="6"/>
      <c r="AF553" s="19"/>
      <c r="AG553" s="19"/>
      <c r="AH553" s="20"/>
      <c r="AI553" s="19"/>
      <c r="AK553" s="19"/>
      <c r="AL553" s="19"/>
      <c r="AM553" s="19"/>
      <c r="AN553" s="19"/>
      <c r="AO553" s="19"/>
      <c r="AZ553" s="19"/>
      <c r="BA553" s="19"/>
      <c r="BB553" s="20"/>
      <c r="BC553" s="19"/>
      <c r="BE553" s="19"/>
      <c r="BF553" s="19"/>
      <c r="BG553" s="19"/>
      <c r="BH553" s="19"/>
      <c r="BI553" s="19"/>
      <c r="BJ553" s="19"/>
      <c r="BK553" s="19"/>
      <c r="BL553" s="19"/>
    </row>
    <row r="554" spans="2:64" ht="14" x14ac:dyDescent="0.2">
      <c r="B554" s="1"/>
      <c r="C554" s="1"/>
      <c r="D554" s="1"/>
      <c r="E554" s="1"/>
      <c r="H554" s="18"/>
      <c r="I554" s="18"/>
      <c r="J554" s="18"/>
      <c r="L554" s="6"/>
      <c r="AF554" s="19"/>
      <c r="AG554" s="19"/>
      <c r="AH554" s="20"/>
      <c r="AI554" s="19"/>
      <c r="AK554" s="19"/>
      <c r="AL554" s="19"/>
      <c r="AM554" s="19"/>
      <c r="AN554" s="19"/>
      <c r="AO554" s="19"/>
      <c r="AZ554" s="19"/>
      <c r="BA554" s="19"/>
      <c r="BB554" s="20"/>
      <c r="BC554" s="19"/>
      <c r="BE554" s="19"/>
      <c r="BF554" s="19"/>
      <c r="BG554" s="19"/>
      <c r="BH554" s="19"/>
      <c r="BI554" s="19"/>
      <c r="BJ554" s="19"/>
      <c r="BK554" s="19"/>
      <c r="BL554" s="19"/>
    </row>
    <row r="555" spans="2:64" ht="14" x14ac:dyDescent="0.2">
      <c r="B555" s="1"/>
      <c r="C555" s="1"/>
      <c r="D555" s="1"/>
      <c r="E555" s="1"/>
      <c r="H555" s="18"/>
      <c r="I555" s="18"/>
      <c r="J555" s="18"/>
      <c r="L555" s="6"/>
      <c r="AF555" s="19"/>
      <c r="AG555" s="19"/>
      <c r="AH555" s="20"/>
      <c r="AI555" s="19"/>
      <c r="AK555" s="19"/>
      <c r="AL555" s="19"/>
      <c r="AM555" s="19"/>
      <c r="AN555" s="19"/>
      <c r="AO555" s="19"/>
      <c r="AZ555" s="19"/>
      <c r="BA555" s="19"/>
      <c r="BB555" s="20"/>
      <c r="BC555" s="19"/>
      <c r="BE555" s="19"/>
      <c r="BF555" s="19"/>
      <c r="BG555" s="19"/>
      <c r="BH555" s="19"/>
      <c r="BI555" s="19"/>
      <c r="BJ555" s="19"/>
      <c r="BK555" s="19"/>
      <c r="BL555" s="19"/>
    </row>
    <row r="556" spans="2:64" ht="14" x14ac:dyDescent="0.2">
      <c r="B556" s="1"/>
      <c r="C556" s="1"/>
      <c r="D556" s="1"/>
      <c r="E556" s="1"/>
      <c r="H556" s="18"/>
      <c r="I556" s="18"/>
      <c r="J556" s="18"/>
      <c r="L556" s="6"/>
      <c r="AF556" s="19"/>
      <c r="AG556" s="19"/>
      <c r="AH556" s="20"/>
      <c r="AI556" s="19"/>
      <c r="AK556" s="19"/>
      <c r="AL556" s="19"/>
      <c r="AM556" s="19"/>
      <c r="AN556" s="19"/>
      <c r="AO556" s="19"/>
      <c r="AZ556" s="19"/>
      <c r="BA556" s="19"/>
      <c r="BB556" s="20"/>
      <c r="BC556" s="19"/>
      <c r="BE556" s="19"/>
      <c r="BF556" s="19"/>
      <c r="BG556" s="19"/>
      <c r="BH556" s="19"/>
      <c r="BI556" s="19"/>
      <c r="BJ556" s="19"/>
      <c r="BK556" s="19"/>
      <c r="BL556" s="19"/>
    </row>
    <row r="557" spans="2:64" ht="14" x14ac:dyDescent="0.2">
      <c r="B557" s="1"/>
      <c r="C557" s="1"/>
      <c r="D557" s="1"/>
      <c r="E557" s="1"/>
      <c r="H557" s="18"/>
      <c r="I557" s="18"/>
      <c r="J557" s="18"/>
      <c r="L557" s="6"/>
      <c r="AF557" s="19"/>
      <c r="AG557" s="19"/>
      <c r="AH557" s="20"/>
      <c r="AI557" s="19"/>
      <c r="AK557" s="19"/>
      <c r="AL557" s="19"/>
      <c r="AM557" s="19"/>
      <c r="AN557" s="19"/>
      <c r="AO557" s="19"/>
      <c r="AZ557" s="19"/>
      <c r="BA557" s="19"/>
      <c r="BB557" s="20"/>
      <c r="BC557" s="19"/>
      <c r="BE557" s="19"/>
      <c r="BF557" s="19"/>
      <c r="BG557" s="19"/>
      <c r="BH557" s="19"/>
      <c r="BI557" s="19"/>
      <c r="BJ557" s="19"/>
      <c r="BK557" s="19"/>
      <c r="BL557" s="19"/>
    </row>
    <row r="558" spans="2:64" ht="14" x14ac:dyDescent="0.2">
      <c r="B558" s="1"/>
      <c r="C558" s="1"/>
      <c r="D558" s="1"/>
      <c r="E558" s="1"/>
      <c r="H558" s="18"/>
      <c r="I558" s="18"/>
      <c r="J558" s="18"/>
      <c r="L558" s="6"/>
      <c r="AF558" s="19"/>
      <c r="AG558" s="19"/>
      <c r="AH558" s="20"/>
      <c r="AI558" s="19"/>
      <c r="AK558" s="19"/>
      <c r="AL558" s="19"/>
      <c r="AM558" s="19"/>
      <c r="AN558" s="19"/>
      <c r="AO558" s="19"/>
      <c r="AZ558" s="19"/>
      <c r="BA558" s="19"/>
      <c r="BB558" s="20"/>
      <c r="BC558" s="19"/>
      <c r="BE558" s="19"/>
      <c r="BF558" s="19"/>
      <c r="BG558" s="19"/>
      <c r="BH558" s="19"/>
      <c r="BI558" s="19"/>
      <c r="BJ558" s="19"/>
      <c r="BK558" s="19"/>
      <c r="BL558" s="19"/>
    </row>
    <row r="559" spans="2:64" ht="14" x14ac:dyDescent="0.2">
      <c r="B559" s="1"/>
      <c r="C559" s="1"/>
      <c r="D559" s="1"/>
      <c r="E559" s="1"/>
      <c r="H559" s="18"/>
      <c r="I559" s="18"/>
      <c r="J559" s="18"/>
      <c r="L559" s="6"/>
      <c r="AF559" s="19"/>
      <c r="AG559" s="19"/>
      <c r="AH559" s="20"/>
      <c r="AI559" s="19"/>
      <c r="AK559" s="19"/>
      <c r="AL559" s="19"/>
      <c r="AM559" s="19"/>
      <c r="AN559" s="19"/>
      <c r="AO559" s="19"/>
      <c r="AZ559" s="19"/>
      <c r="BA559" s="19"/>
      <c r="BB559" s="20"/>
      <c r="BC559" s="19"/>
      <c r="BE559" s="19"/>
      <c r="BF559" s="19"/>
      <c r="BG559" s="19"/>
      <c r="BH559" s="19"/>
      <c r="BI559" s="19"/>
      <c r="BJ559" s="19"/>
      <c r="BK559" s="19"/>
      <c r="BL559" s="19"/>
    </row>
    <row r="560" spans="2:64" ht="14" x14ac:dyDescent="0.2">
      <c r="B560" s="1"/>
      <c r="C560" s="1"/>
      <c r="D560" s="1"/>
      <c r="E560" s="1"/>
      <c r="H560" s="18"/>
      <c r="I560" s="18"/>
      <c r="J560" s="18"/>
      <c r="L560" s="6"/>
      <c r="AF560" s="19"/>
      <c r="AG560" s="19"/>
      <c r="AH560" s="20"/>
      <c r="AI560" s="19"/>
      <c r="AK560" s="19"/>
      <c r="AL560" s="19"/>
      <c r="AM560" s="19"/>
      <c r="AN560" s="19"/>
      <c r="AO560" s="19"/>
      <c r="AZ560" s="19"/>
      <c r="BA560" s="19"/>
      <c r="BB560" s="20"/>
      <c r="BC560" s="19"/>
      <c r="BE560" s="19"/>
      <c r="BF560" s="19"/>
      <c r="BG560" s="19"/>
      <c r="BH560" s="19"/>
      <c r="BI560" s="19"/>
      <c r="BJ560" s="19"/>
      <c r="BK560" s="19"/>
      <c r="BL560" s="19"/>
    </row>
    <row r="561" spans="2:64" ht="14" x14ac:dyDescent="0.2">
      <c r="B561" s="1"/>
      <c r="C561" s="1"/>
      <c r="D561" s="1"/>
      <c r="E561" s="1"/>
      <c r="H561" s="18"/>
      <c r="I561" s="18"/>
      <c r="J561" s="18"/>
      <c r="L561" s="6"/>
      <c r="AF561" s="19"/>
      <c r="AG561" s="19"/>
      <c r="AH561" s="20"/>
      <c r="AI561" s="19"/>
      <c r="AK561" s="19"/>
      <c r="AL561" s="19"/>
      <c r="AM561" s="19"/>
      <c r="AN561" s="19"/>
      <c r="AO561" s="19"/>
      <c r="AZ561" s="19"/>
      <c r="BA561" s="19"/>
      <c r="BB561" s="20"/>
      <c r="BC561" s="19"/>
      <c r="BE561" s="19"/>
      <c r="BF561" s="19"/>
      <c r="BG561" s="19"/>
      <c r="BH561" s="19"/>
      <c r="BI561" s="19"/>
      <c r="BJ561" s="19"/>
      <c r="BK561" s="19"/>
      <c r="BL561" s="19"/>
    </row>
    <row r="562" spans="2:64" ht="14" x14ac:dyDescent="0.2">
      <c r="B562" s="1"/>
      <c r="C562" s="1"/>
      <c r="D562" s="1"/>
      <c r="E562" s="1"/>
      <c r="H562" s="18"/>
      <c r="I562" s="18"/>
      <c r="J562" s="18"/>
      <c r="L562" s="6"/>
      <c r="AF562" s="19"/>
      <c r="AG562" s="19"/>
      <c r="AH562" s="20"/>
      <c r="AI562" s="19"/>
      <c r="AK562" s="19"/>
      <c r="AL562" s="19"/>
      <c r="AM562" s="19"/>
      <c r="AN562" s="19"/>
      <c r="AO562" s="19"/>
      <c r="AZ562" s="19"/>
      <c r="BA562" s="19"/>
      <c r="BB562" s="20"/>
      <c r="BC562" s="19"/>
      <c r="BE562" s="19"/>
      <c r="BF562" s="19"/>
      <c r="BG562" s="19"/>
      <c r="BH562" s="19"/>
      <c r="BI562" s="19"/>
      <c r="BJ562" s="19"/>
      <c r="BK562" s="19"/>
      <c r="BL562" s="19"/>
    </row>
    <row r="563" spans="2:64" ht="14" x14ac:dyDescent="0.2">
      <c r="B563" s="1"/>
      <c r="C563" s="1"/>
      <c r="D563" s="1"/>
      <c r="E563" s="1"/>
      <c r="H563" s="18"/>
      <c r="I563" s="18"/>
      <c r="J563" s="18"/>
      <c r="L563" s="6"/>
      <c r="AF563" s="19"/>
      <c r="AG563" s="19"/>
      <c r="AH563" s="20"/>
      <c r="AI563" s="19"/>
      <c r="AK563" s="19"/>
      <c r="AL563" s="19"/>
      <c r="AM563" s="19"/>
      <c r="AN563" s="19"/>
      <c r="AO563" s="19"/>
      <c r="AZ563" s="19"/>
      <c r="BA563" s="19"/>
      <c r="BB563" s="20"/>
      <c r="BC563" s="19"/>
      <c r="BE563" s="19"/>
      <c r="BF563" s="19"/>
      <c r="BG563" s="19"/>
      <c r="BH563" s="19"/>
      <c r="BI563" s="19"/>
      <c r="BJ563" s="19"/>
      <c r="BK563" s="19"/>
      <c r="BL563" s="19"/>
    </row>
    <row r="564" spans="2:64" ht="14" x14ac:dyDescent="0.2">
      <c r="B564" s="1"/>
      <c r="C564" s="1"/>
      <c r="D564" s="1"/>
      <c r="E564" s="1"/>
      <c r="H564" s="18"/>
      <c r="I564" s="18"/>
      <c r="J564" s="18"/>
      <c r="L564" s="6"/>
      <c r="AF564" s="19"/>
      <c r="AG564" s="19"/>
      <c r="AH564" s="20"/>
      <c r="AI564" s="19"/>
      <c r="AK564" s="19"/>
      <c r="AL564" s="19"/>
      <c r="AM564" s="19"/>
      <c r="AN564" s="19"/>
      <c r="AO564" s="19"/>
      <c r="AZ564" s="19"/>
      <c r="BA564" s="19"/>
      <c r="BB564" s="20"/>
      <c r="BC564" s="19"/>
      <c r="BE564" s="19"/>
      <c r="BF564" s="19"/>
      <c r="BG564" s="19"/>
      <c r="BH564" s="19"/>
      <c r="BI564" s="19"/>
      <c r="BJ564" s="19"/>
      <c r="BK564" s="19"/>
      <c r="BL564" s="19"/>
    </row>
    <row r="565" spans="2:64" ht="14" x14ac:dyDescent="0.2">
      <c r="B565" s="1"/>
      <c r="C565" s="1"/>
      <c r="D565" s="1"/>
      <c r="E565" s="1"/>
      <c r="H565" s="18"/>
      <c r="I565" s="18"/>
      <c r="J565" s="18"/>
      <c r="L565" s="6"/>
      <c r="AF565" s="19"/>
      <c r="AG565" s="19"/>
      <c r="AH565" s="20"/>
      <c r="AI565" s="19"/>
      <c r="AK565" s="19"/>
      <c r="AL565" s="19"/>
      <c r="AM565" s="19"/>
      <c r="AN565" s="19"/>
      <c r="AO565" s="19"/>
      <c r="AZ565" s="19"/>
      <c r="BA565" s="19"/>
      <c r="BB565" s="20"/>
      <c r="BC565" s="19"/>
      <c r="BE565" s="19"/>
      <c r="BF565" s="19"/>
      <c r="BG565" s="19"/>
      <c r="BH565" s="19"/>
      <c r="BI565" s="19"/>
      <c r="BJ565" s="19"/>
      <c r="BK565" s="19"/>
      <c r="BL565" s="19"/>
    </row>
    <row r="566" spans="2:64" ht="14" x14ac:dyDescent="0.2">
      <c r="B566" s="1"/>
      <c r="C566" s="1"/>
      <c r="D566" s="1"/>
      <c r="E566" s="1"/>
      <c r="H566" s="18"/>
      <c r="I566" s="18"/>
      <c r="J566" s="18"/>
      <c r="L566" s="6"/>
      <c r="AF566" s="19"/>
      <c r="AG566" s="19"/>
      <c r="AH566" s="20"/>
      <c r="AI566" s="19"/>
      <c r="AK566" s="19"/>
      <c r="AL566" s="19"/>
      <c r="AM566" s="19"/>
      <c r="AN566" s="19"/>
      <c r="AO566" s="19"/>
      <c r="AZ566" s="19"/>
      <c r="BA566" s="19"/>
      <c r="BB566" s="20"/>
      <c r="BC566" s="19"/>
      <c r="BE566" s="19"/>
      <c r="BF566" s="19"/>
      <c r="BG566" s="19"/>
      <c r="BH566" s="19"/>
      <c r="BI566" s="19"/>
      <c r="BJ566" s="19"/>
      <c r="BK566" s="19"/>
      <c r="BL566" s="19"/>
    </row>
    <row r="567" spans="2:64" ht="14" x14ac:dyDescent="0.2">
      <c r="B567" s="1"/>
      <c r="C567" s="1"/>
      <c r="D567" s="1"/>
      <c r="E567" s="1"/>
      <c r="H567" s="18"/>
      <c r="I567" s="18"/>
      <c r="J567" s="18"/>
      <c r="L567" s="6"/>
      <c r="AF567" s="19"/>
      <c r="AG567" s="19"/>
      <c r="AH567" s="20"/>
      <c r="AI567" s="19"/>
      <c r="AK567" s="19"/>
      <c r="AL567" s="19"/>
      <c r="AM567" s="19"/>
      <c r="AN567" s="19"/>
      <c r="AO567" s="19"/>
      <c r="AZ567" s="19"/>
      <c r="BA567" s="19"/>
      <c r="BB567" s="20"/>
      <c r="BC567" s="19"/>
      <c r="BE567" s="19"/>
      <c r="BF567" s="19"/>
      <c r="BG567" s="19"/>
      <c r="BH567" s="19"/>
      <c r="BI567" s="19"/>
      <c r="BJ567" s="19"/>
      <c r="BK567" s="19"/>
      <c r="BL567" s="19"/>
    </row>
    <row r="568" spans="2:64" ht="14" x14ac:dyDescent="0.2">
      <c r="B568" s="1"/>
      <c r="C568" s="1"/>
      <c r="D568" s="1"/>
      <c r="E568" s="1"/>
      <c r="H568" s="18"/>
      <c r="I568" s="18"/>
      <c r="J568" s="18"/>
      <c r="L568" s="6"/>
      <c r="AF568" s="19"/>
      <c r="AG568" s="19"/>
      <c r="AH568" s="20"/>
      <c r="AI568" s="19"/>
      <c r="AK568" s="19"/>
      <c r="AL568" s="19"/>
      <c r="AM568" s="19"/>
      <c r="AN568" s="19"/>
      <c r="AO568" s="19"/>
      <c r="AZ568" s="19"/>
      <c r="BA568" s="19"/>
      <c r="BB568" s="20"/>
      <c r="BC568" s="19"/>
      <c r="BE568" s="19"/>
      <c r="BF568" s="19"/>
      <c r="BG568" s="19"/>
      <c r="BH568" s="19"/>
      <c r="BI568" s="19"/>
      <c r="BJ568" s="19"/>
      <c r="BK568" s="19"/>
      <c r="BL568" s="19"/>
    </row>
    <row r="569" spans="2:64" ht="14" x14ac:dyDescent="0.2">
      <c r="B569" s="1"/>
      <c r="C569" s="1"/>
      <c r="D569" s="1"/>
      <c r="E569" s="1"/>
      <c r="H569" s="18"/>
      <c r="I569" s="18"/>
      <c r="J569" s="18"/>
      <c r="L569" s="6"/>
      <c r="AF569" s="19"/>
      <c r="AG569" s="19"/>
      <c r="AH569" s="20"/>
      <c r="AI569" s="19"/>
      <c r="AK569" s="19"/>
      <c r="AL569" s="19"/>
      <c r="AM569" s="19"/>
      <c r="AN569" s="19"/>
      <c r="AO569" s="19"/>
      <c r="AZ569" s="19"/>
      <c r="BA569" s="19"/>
      <c r="BB569" s="20"/>
      <c r="BC569" s="19"/>
      <c r="BE569" s="19"/>
      <c r="BF569" s="19"/>
      <c r="BG569" s="19"/>
      <c r="BH569" s="19"/>
      <c r="BI569" s="19"/>
      <c r="BJ569" s="19"/>
      <c r="BK569" s="19"/>
      <c r="BL569" s="19"/>
    </row>
    <row r="570" spans="2:64" ht="14" x14ac:dyDescent="0.2">
      <c r="B570" s="1"/>
      <c r="C570" s="1"/>
      <c r="D570" s="1"/>
      <c r="E570" s="1"/>
      <c r="H570" s="18"/>
      <c r="I570" s="18"/>
      <c r="J570" s="18"/>
      <c r="L570" s="6"/>
      <c r="AF570" s="19"/>
      <c r="AG570" s="19"/>
      <c r="AH570" s="20"/>
      <c r="AI570" s="19"/>
      <c r="AK570" s="19"/>
      <c r="AL570" s="19"/>
      <c r="AM570" s="19"/>
      <c r="AN570" s="19"/>
      <c r="AO570" s="19"/>
      <c r="AZ570" s="19"/>
      <c r="BA570" s="19"/>
      <c r="BB570" s="20"/>
      <c r="BC570" s="19"/>
      <c r="BE570" s="19"/>
      <c r="BF570" s="19"/>
      <c r="BG570" s="19"/>
      <c r="BH570" s="19"/>
      <c r="BI570" s="19"/>
      <c r="BJ570" s="19"/>
      <c r="BK570" s="19"/>
      <c r="BL570" s="19"/>
    </row>
    <row r="571" spans="2:64" ht="14" x14ac:dyDescent="0.2">
      <c r="B571" s="1"/>
      <c r="C571" s="1"/>
      <c r="D571" s="1"/>
      <c r="E571" s="1"/>
      <c r="H571" s="18"/>
      <c r="I571" s="18"/>
      <c r="J571" s="18"/>
      <c r="L571" s="6"/>
      <c r="AF571" s="19"/>
      <c r="AG571" s="19"/>
      <c r="AH571" s="20"/>
      <c r="AI571" s="19"/>
      <c r="AK571" s="19"/>
      <c r="AL571" s="19"/>
      <c r="AM571" s="19"/>
      <c r="AN571" s="19"/>
      <c r="AO571" s="19"/>
      <c r="AZ571" s="19"/>
      <c r="BA571" s="19"/>
      <c r="BB571" s="20"/>
      <c r="BC571" s="19"/>
      <c r="BE571" s="19"/>
      <c r="BF571" s="19"/>
      <c r="BG571" s="19"/>
      <c r="BH571" s="19"/>
      <c r="BI571" s="19"/>
      <c r="BJ571" s="19"/>
      <c r="BK571" s="19"/>
      <c r="BL571" s="19"/>
    </row>
    <row r="572" spans="2:64" ht="14" x14ac:dyDescent="0.2">
      <c r="B572" s="1"/>
      <c r="C572" s="1"/>
      <c r="D572" s="1"/>
      <c r="E572" s="1"/>
      <c r="H572" s="18"/>
      <c r="I572" s="18"/>
      <c r="J572" s="18"/>
      <c r="L572" s="6"/>
      <c r="AF572" s="19"/>
      <c r="AG572" s="19"/>
      <c r="AH572" s="20"/>
      <c r="AI572" s="19"/>
      <c r="AK572" s="19"/>
      <c r="AL572" s="19"/>
      <c r="AM572" s="19"/>
      <c r="AN572" s="19"/>
      <c r="AO572" s="19"/>
      <c r="AZ572" s="19"/>
      <c r="BA572" s="19"/>
      <c r="BB572" s="20"/>
      <c r="BC572" s="19"/>
      <c r="BE572" s="19"/>
      <c r="BF572" s="19"/>
      <c r="BG572" s="19"/>
      <c r="BH572" s="19"/>
      <c r="BI572" s="19"/>
      <c r="BJ572" s="19"/>
      <c r="BK572" s="19"/>
      <c r="BL572" s="19"/>
    </row>
    <row r="573" spans="2:64" ht="14" x14ac:dyDescent="0.2">
      <c r="B573" s="1"/>
      <c r="C573" s="1"/>
      <c r="D573" s="1"/>
      <c r="E573" s="1"/>
      <c r="H573" s="18"/>
      <c r="I573" s="18"/>
      <c r="J573" s="18"/>
      <c r="L573" s="6"/>
      <c r="AF573" s="19"/>
      <c r="AG573" s="19"/>
      <c r="AH573" s="20"/>
      <c r="AI573" s="19"/>
      <c r="AK573" s="19"/>
      <c r="AL573" s="19"/>
      <c r="AM573" s="19"/>
      <c r="AN573" s="19"/>
      <c r="AO573" s="19"/>
      <c r="AZ573" s="19"/>
      <c r="BA573" s="19"/>
      <c r="BB573" s="20"/>
      <c r="BC573" s="19"/>
      <c r="BE573" s="19"/>
      <c r="BF573" s="19"/>
      <c r="BG573" s="19"/>
      <c r="BH573" s="19"/>
      <c r="BI573" s="19"/>
      <c r="BJ573" s="19"/>
      <c r="BK573" s="19"/>
      <c r="BL573" s="19"/>
    </row>
    <row r="574" spans="2:64" ht="14" x14ac:dyDescent="0.2">
      <c r="B574" s="1"/>
      <c r="C574" s="1"/>
      <c r="D574" s="1"/>
      <c r="E574" s="1"/>
      <c r="H574" s="18"/>
      <c r="I574" s="18"/>
      <c r="J574" s="18"/>
      <c r="L574" s="6"/>
      <c r="AF574" s="19"/>
      <c r="AG574" s="19"/>
      <c r="AH574" s="20"/>
      <c r="AI574" s="19"/>
      <c r="AK574" s="19"/>
      <c r="AL574" s="19"/>
      <c r="AM574" s="19"/>
      <c r="AN574" s="19"/>
      <c r="AO574" s="19"/>
      <c r="AZ574" s="19"/>
      <c r="BA574" s="19"/>
      <c r="BB574" s="20"/>
      <c r="BC574" s="19"/>
      <c r="BE574" s="19"/>
      <c r="BF574" s="19"/>
      <c r="BG574" s="19"/>
      <c r="BH574" s="19"/>
      <c r="BI574" s="19"/>
      <c r="BJ574" s="19"/>
      <c r="BK574" s="19"/>
      <c r="BL574" s="19"/>
    </row>
    <row r="575" spans="2:64" ht="14" x14ac:dyDescent="0.2">
      <c r="B575" s="1"/>
      <c r="C575" s="1"/>
      <c r="D575" s="1"/>
      <c r="E575" s="1"/>
      <c r="H575" s="18"/>
      <c r="I575" s="18"/>
      <c r="J575" s="18"/>
      <c r="L575" s="6"/>
      <c r="AF575" s="19"/>
      <c r="AG575" s="19"/>
      <c r="AH575" s="20"/>
      <c r="AI575" s="19"/>
      <c r="AK575" s="19"/>
      <c r="AL575" s="19"/>
      <c r="AM575" s="19"/>
      <c r="AN575" s="19"/>
      <c r="AO575" s="19"/>
      <c r="AZ575" s="19"/>
      <c r="BA575" s="19"/>
      <c r="BB575" s="20"/>
      <c r="BC575" s="19"/>
      <c r="BE575" s="19"/>
      <c r="BF575" s="19"/>
      <c r="BG575" s="19"/>
      <c r="BH575" s="19"/>
      <c r="BI575" s="19"/>
      <c r="BJ575" s="19"/>
      <c r="BK575" s="19"/>
      <c r="BL575" s="19"/>
    </row>
    <row r="576" spans="2:64" ht="14" x14ac:dyDescent="0.2">
      <c r="B576" s="1"/>
      <c r="C576" s="1"/>
      <c r="D576" s="1"/>
      <c r="E576" s="1"/>
      <c r="H576" s="18"/>
      <c r="I576" s="18"/>
      <c r="J576" s="18"/>
      <c r="L576" s="6"/>
      <c r="AF576" s="19"/>
      <c r="AG576" s="19"/>
      <c r="AH576" s="20"/>
      <c r="AI576" s="19"/>
      <c r="AK576" s="19"/>
      <c r="AL576" s="19"/>
      <c r="AM576" s="19"/>
      <c r="AN576" s="19"/>
      <c r="AO576" s="19"/>
      <c r="AZ576" s="19"/>
      <c r="BA576" s="19"/>
      <c r="BB576" s="20"/>
      <c r="BC576" s="19"/>
      <c r="BE576" s="19"/>
      <c r="BF576" s="19"/>
      <c r="BG576" s="19"/>
      <c r="BH576" s="19"/>
      <c r="BI576" s="19"/>
      <c r="BJ576" s="19"/>
      <c r="BK576" s="19"/>
      <c r="BL576" s="19"/>
    </row>
    <row r="577" spans="2:64" ht="14" x14ac:dyDescent="0.2">
      <c r="B577" s="1"/>
      <c r="C577" s="1"/>
      <c r="D577" s="1"/>
      <c r="E577" s="1"/>
      <c r="H577" s="18"/>
      <c r="I577" s="18"/>
      <c r="J577" s="18"/>
      <c r="L577" s="6"/>
      <c r="AF577" s="19"/>
      <c r="AG577" s="19"/>
      <c r="AH577" s="20"/>
      <c r="AI577" s="19"/>
      <c r="AK577" s="19"/>
      <c r="AL577" s="19"/>
      <c r="AM577" s="19"/>
      <c r="AN577" s="19"/>
      <c r="AO577" s="19"/>
      <c r="AZ577" s="19"/>
      <c r="BA577" s="19"/>
      <c r="BB577" s="20"/>
      <c r="BC577" s="19"/>
      <c r="BE577" s="19"/>
      <c r="BF577" s="19"/>
      <c r="BG577" s="19"/>
      <c r="BH577" s="19"/>
      <c r="BI577" s="19"/>
      <c r="BJ577" s="19"/>
      <c r="BK577" s="19"/>
      <c r="BL577" s="19"/>
    </row>
    <row r="578" spans="2:64" ht="14" x14ac:dyDescent="0.2">
      <c r="B578" s="1"/>
      <c r="C578" s="1"/>
      <c r="D578" s="1"/>
      <c r="E578" s="1"/>
      <c r="H578" s="18"/>
      <c r="I578" s="18"/>
      <c r="J578" s="18"/>
      <c r="L578" s="6"/>
      <c r="AF578" s="19"/>
      <c r="AG578" s="19"/>
      <c r="AH578" s="20"/>
      <c r="AI578" s="19"/>
      <c r="AK578" s="19"/>
      <c r="AL578" s="19"/>
      <c r="AM578" s="19"/>
      <c r="AN578" s="19"/>
      <c r="AO578" s="19"/>
      <c r="AZ578" s="19"/>
      <c r="BA578" s="19"/>
      <c r="BB578" s="20"/>
      <c r="BC578" s="19"/>
      <c r="BE578" s="19"/>
      <c r="BF578" s="19"/>
      <c r="BG578" s="19"/>
      <c r="BH578" s="19"/>
      <c r="BI578" s="19"/>
      <c r="BJ578" s="19"/>
      <c r="BK578" s="19"/>
      <c r="BL578" s="19"/>
    </row>
    <row r="579" spans="2:64" ht="14" x14ac:dyDescent="0.2">
      <c r="B579" s="1"/>
      <c r="C579" s="1"/>
      <c r="D579" s="1"/>
      <c r="E579" s="1"/>
      <c r="H579" s="18"/>
      <c r="I579" s="18"/>
      <c r="J579" s="18"/>
      <c r="L579" s="6"/>
      <c r="AF579" s="19"/>
      <c r="AG579" s="19"/>
      <c r="AH579" s="20"/>
      <c r="AI579" s="19"/>
      <c r="AK579" s="19"/>
      <c r="AL579" s="19"/>
      <c r="AM579" s="19"/>
      <c r="AN579" s="19"/>
      <c r="AO579" s="19"/>
      <c r="AZ579" s="19"/>
      <c r="BA579" s="19"/>
      <c r="BB579" s="20"/>
      <c r="BC579" s="19"/>
      <c r="BE579" s="19"/>
      <c r="BF579" s="19"/>
      <c r="BG579" s="19"/>
      <c r="BH579" s="19"/>
      <c r="BI579" s="19"/>
      <c r="BJ579" s="19"/>
      <c r="BK579" s="19"/>
      <c r="BL579" s="19"/>
    </row>
    <row r="580" spans="2:64" ht="14" x14ac:dyDescent="0.2">
      <c r="B580" s="1"/>
      <c r="C580" s="1"/>
      <c r="D580" s="1"/>
      <c r="E580" s="1"/>
      <c r="H580" s="18"/>
      <c r="I580" s="18"/>
      <c r="J580" s="18"/>
      <c r="L580" s="6"/>
      <c r="AF580" s="19"/>
      <c r="AG580" s="19"/>
      <c r="AH580" s="20"/>
      <c r="AI580" s="19"/>
      <c r="AK580" s="19"/>
      <c r="AL580" s="19"/>
      <c r="AM580" s="19"/>
      <c r="AN580" s="19"/>
      <c r="AO580" s="19"/>
      <c r="AZ580" s="19"/>
      <c r="BA580" s="19"/>
      <c r="BB580" s="20"/>
      <c r="BC580" s="19"/>
      <c r="BE580" s="19"/>
      <c r="BF580" s="19"/>
      <c r="BG580" s="19"/>
      <c r="BH580" s="19"/>
      <c r="BI580" s="19"/>
      <c r="BJ580" s="19"/>
      <c r="BK580" s="19"/>
      <c r="BL580" s="19"/>
    </row>
    <row r="581" spans="2:64" ht="14" x14ac:dyDescent="0.2">
      <c r="B581" s="1"/>
      <c r="C581" s="1"/>
      <c r="D581" s="1"/>
      <c r="E581" s="1"/>
      <c r="H581" s="18"/>
      <c r="I581" s="18"/>
      <c r="J581" s="18"/>
      <c r="L581" s="6"/>
      <c r="AF581" s="19"/>
      <c r="AG581" s="19"/>
      <c r="AH581" s="20"/>
      <c r="AI581" s="19"/>
      <c r="AK581" s="19"/>
      <c r="AL581" s="19"/>
      <c r="AM581" s="19"/>
      <c r="AN581" s="19"/>
      <c r="AO581" s="19"/>
      <c r="AZ581" s="19"/>
      <c r="BA581" s="19"/>
      <c r="BB581" s="20"/>
      <c r="BC581" s="19"/>
      <c r="BE581" s="19"/>
      <c r="BF581" s="19"/>
      <c r="BG581" s="19"/>
      <c r="BH581" s="19"/>
      <c r="BI581" s="19"/>
      <c r="BJ581" s="19"/>
      <c r="BK581" s="19"/>
      <c r="BL581" s="19"/>
    </row>
    <row r="582" spans="2:64" ht="14" x14ac:dyDescent="0.2">
      <c r="B582" s="1"/>
      <c r="C582" s="1"/>
      <c r="D582" s="1"/>
      <c r="E582" s="1"/>
      <c r="H582" s="18"/>
      <c r="I582" s="18"/>
      <c r="J582" s="18"/>
      <c r="L582" s="6"/>
      <c r="AF582" s="19"/>
      <c r="AG582" s="19"/>
      <c r="AH582" s="20"/>
      <c r="AI582" s="19"/>
      <c r="AK582" s="19"/>
      <c r="AL582" s="19"/>
      <c r="AM582" s="19"/>
      <c r="AN582" s="19"/>
      <c r="AO582" s="19"/>
      <c r="AZ582" s="19"/>
      <c r="BA582" s="19"/>
      <c r="BB582" s="20"/>
      <c r="BC582" s="19"/>
      <c r="BE582" s="19"/>
      <c r="BF582" s="19"/>
      <c r="BG582" s="19"/>
      <c r="BH582" s="19"/>
      <c r="BI582" s="19"/>
      <c r="BJ582" s="19"/>
      <c r="BK582" s="19"/>
      <c r="BL582" s="19"/>
    </row>
    <row r="583" spans="2:64" ht="14" x14ac:dyDescent="0.2">
      <c r="B583" s="1"/>
      <c r="C583" s="1"/>
      <c r="D583" s="1"/>
      <c r="E583" s="1"/>
      <c r="H583" s="18"/>
      <c r="I583" s="18"/>
      <c r="J583" s="18"/>
      <c r="L583" s="6"/>
      <c r="AF583" s="19"/>
      <c r="AG583" s="19"/>
      <c r="AH583" s="20"/>
      <c r="AI583" s="19"/>
      <c r="AK583" s="19"/>
      <c r="AL583" s="19"/>
      <c r="AM583" s="19"/>
      <c r="AN583" s="19"/>
      <c r="AO583" s="19"/>
      <c r="AZ583" s="19"/>
      <c r="BA583" s="19"/>
      <c r="BB583" s="20"/>
      <c r="BC583" s="19"/>
      <c r="BE583" s="19"/>
      <c r="BF583" s="19"/>
      <c r="BG583" s="19"/>
      <c r="BH583" s="19"/>
      <c r="BI583" s="19"/>
      <c r="BJ583" s="19"/>
      <c r="BK583" s="19"/>
      <c r="BL583" s="19"/>
    </row>
    <row r="584" spans="2:64" ht="14" x14ac:dyDescent="0.2">
      <c r="B584" s="1"/>
      <c r="C584" s="1"/>
      <c r="D584" s="1"/>
      <c r="E584" s="1"/>
      <c r="H584" s="18"/>
      <c r="I584" s="18"/>
      <c r="J584" s="18"/>
      <c r="L584" s="6"/>
      <c r="AF584" s="19"/>
      <c r="AG584" s="19"/>
      <c r="AH584" s="20"/>
      <c r="AI584" s="19"/>
      <c r="AK584" s="19"/>
      <c r="AL584" s="19"/>
      <c r="AM584" s="19"/>
      <c r="AN584" s="19"/>
      <c r="AO584" s="19"/>
      <c r="AZ584" s="19"/>
      <c r="BA584" s="19"/>
      <c r="BB584" s="20"/>
      <c r="BC584" s="19"/>
      <c r="BE584" s="19"/>
      <c r="BF584" s="19"/>
      <c r="BG584" s="19"/>
      <c r="BH584" s="19"/>
      <c r="BI584" s="19"/>
      <c r="BJ584" s="19"/>
      <c r="BK584" s="19"/>
      <c r="BL584" s="19"/>
    </row>
    <row r="585" spans="2:64" ht="14" x14ac:dyDescent="0.2">
      <c r="B585" s="1"/>
      <c r="C585" s="1"/>
      <c r="D585" s="1"/>
      <c r="E585" s="1"/>
      <c r="H585" s="18"/>
      <c r="I585" s="18"/>
      <c r="J585" s="18"/>
      <c r="L585" s="6"/>
      <c r="AF585" s="19"/>
      <c r="AG585" s="19"/>
      <c r="AH585" s="20"/>
      <c r="AI585" s="19"/>
      <c r="AK585" s="19"/>
      <c r="AL585" s="19"/>
      <c r="AM585" s="19"/>
      <c r="AN585" s="19"/>
      <c r="AO585" s="19"/>
      <c r="AZ585" s="19"/>
      <c r="BA585" s="19"/>
      <c r="BB585" s="20"/>
      <c r="BC585" s="19"/>
      <c r="BE585" s="19"/>
      <c r="BF585" s="19"/>
      <c r="BG585" s="19"/>
      <c r="BH585" s="19"/>
      <c r="BI585" s="19"/>
      <c r="BJ585" s="19"/>
      <c r="BK585" s="19"/>
      <c r="BL585" s="19"/>
    </row>
    <row r="586" spans="2:64" ht="14" x14ac:dyDescent="0.2">
      <c r="B586" s="1"/>
      <c r="C586" s="1"/>
      <c r="D586" s="1"/>
      <c r="E586" s="1"/>
      <c r="H586" s="18"/>
      <c r="I586" s="18"/>
      <c r="J586" s="18"/>
      <c r="L586" s="6"/>
      <c r="AF586" s="19"/>
      <c r="AG586" s="19"/>
      <c r="AH586" s="20"/>
      <c r="AI586" s="19"/>
      <c r="AK586" s="19"/>
      <c r="AL586" s="19"/>
      <c r="AM586" s="19"/>
      <c r="AN586" s="19"/>
      <c r="AO586" s="19"/>
      <c r="AZ586" s="19"/>
      <c r="BA586" s="19"/>
      <c r="BB586" s="20"/>
      <c r="BC586" s="19"/>
      <c r="BE586" s="19"/>
      <c r="BF586" s="19"/>
      <c r="BG586" s="19"/>
      <c r="BH586" s="19"/>
      <c r="BI586" s="19"/>
      <c r="BJ586" s="19"/>
      <c r="BK586" s="19"/>
      <c r="BL586" s="19"/>
    </row>
    <row r="587" spans="2:64" ht="14" x14ac:dyDescent="0.2">
      <c r="B587" s="1"/>
      <c r="C587" s="1"/>
      <c r="D587" s="1"/>
      <c r="E587" s="1"/>
      <c r="H587" s="18"/>
      <c r="I587" s="18"/>
      <c r="J587" s="18"/>
      <c r="L587" s="6"/>
      <c r="AF587" s="19"/>
      <c r="AG587" s="19"/>
      <c r="AH587" s="20"/>
      <c r="AI587" s="19"/>
      <c r="AK587" s="19"/>
      <c r="AL587" s="19"/>
      <c r="AM587" s="19"/>
      <c r="AN587" s="19"/>
      <c r="AO587" s="19"/>
      <c r="AZ587" s="19"/>
      <c r="BA587" s="19"/>
      <c r="BB587" s="20"/>
      <c r="BC587" s="19"/>
      <c r="BE587" s="19"/>
      <c r="BF587" s="19"/>
      <c r="BG587" s="19"/>
      <c r="BH587" s="19"/>
      <c r="BI587" s="19"/>
      <c r="BJ587" s="19"/>
      <c r="BK587" s="19"/>
      <c r="BL587" s="19"/>
    </row>
    <row r="588" spans="2:64" ht="14" x14ac:dyDescent="0.2">
      <c r="B588" s="1"/>
      <c r="C588" s="1"/>
      <c r="D588" s="1"/>
      <c r="E588" s="1"/>
      <c r="H588" s="18"/>
      <c r="I588" s="18"/>
      <c r="J588" s="18"/>
      <c r="L588" s="6"/>
      <c r="AF588" s="19"/>
      <c r="AG588" s="19"/>
      <c r="AH588" s="20"/>
      <c r="AI588" s="19"/>
      <c r="AK588" s="19"/>
      <c r="AL588" s="19"/>
      <c r="AM588" s="19"/>
      <c r="AN588" s="19"/>
      <c r="AO588" s="19"/>
      <c r="AZ588" s="19"/>
      <c r="BA588" s="19"/>
      <c r="BB588" s="20"/>
      <c r="BC588" s="19"/>
      <c r="BE588" s="19"/>
      <c r="BF588" s="19"/>
      <c r="BG588" s="19"/>
      <c r="BH588" s="19"/>
      <c r="BI588" s="19"/>
      <c r="BJ588" s="19"/>
      <c r="BK588" s="19"/>
      <c r="BL588" s="19"/>
    </row>
    <row r="589" spans="2:64" ht="14" x14ac:dyDescent="0.2">
      <c r="B589" s="1"/>
      <c r="C589" s="1"/>
      <c r="D589" s="1"/>
      <c r="E589" s="1"/>
      <c r="H589" s="18"/>
      <c r="I589" s="18"/>
      <c r="J589" s="18"/>
      <c r="L589" s="6"/>
      <c r="AF589" s="19"/>
      <c r="AG589" s="19"/>
      <c r="AH589" s="20"/>
      <c r="AI589" s="19"/>
      <c r="AK589" s="19"/>
      <c r="AL589" s="19"/>
      <c r="AM589" s="19"/>
      <c r="AN589" s="19"/>
      <c r="AO589" s="19"/>
      <c r="AZ589" s="19"/>
      <c r="BA589" s="19"/>
      <c r="BB589" s="20"/>
      <c r="BC589" s="19"/>
      <c r="BE589" s="19"/>
      <c r="BF589" s="19"/>
      <c r="BG589" s="19"/>
      <c r="BH589" s="19"/>
      <c r="BI589" s="19"/>
      <c r="BJ589" s="19"/>
      <c r="BK589" s="19"/>
      <c r="BL589" s="19"/>
    </row>
    <row r="590" spans="2:64" ht="14" x14ac:dyDescent="0.2">
      <c r="B590" s="1"/>
      <c r="C590" s="1"/>
      <c r="D590" s="1"/>
      <c r="E590" s="1"/>
      <c r="H590" s="18"/>
      <c r="I590" s="18"/>
      <c r="J590" s="18"/>
      <c r="L590" s="6"/>
      <c r="AF590" s="19"/>
      <c r="AG590" s="19"/>
      <c r="AH590" s="20"/>
      <c r="AI590" s="19"/>
      <c r="AK590" s="19"/>
      <c r="AL590" s="19"/>
      <c r="AM590" s="19"/>
      <c r="AN590" s="19"/>
      <c r="AO590" s="19"/>
      <c r="AZ590" s="19"/>
      <c r="BA590" s="19"/>
      <c r="BB590" s="20"/>
      <c r="BC590" s="19"/>
      <c r="BE590" s="19"/>
      <c r="BF590" s="19"/>
      <c r="BG590" s="19"/>
      <c r="BH590" s="19"/>
      <c r="BI590" s="19"/>
      <c r="BJ590" s="19"/>
      <c r="BK590" s="19"/>
      <c r="BL590" s="19"/>
    </row>
    <row r="591" spans="2:64" ht="14" x14ac:dyDescent="0.2">
      <c r="B591" s="1"/>
      <c r="C591" s="1"/>
      <c r="D591" s="1"/>
      <c r="E591" s="1"/>
      <c r="H591" s="18"/>
      <c r="I591" s="18"/>
      <c r="J591" s="18"/>
      <c r="L591" s="6"/>
      <c r="AF591" s="19"/>
      <c r="AG591" s="19"/>
      <c r="AH591" s="20"/>
      <c r="AI591" s="19"/>
      <c r="AK591" s="19"/>
      <c r="AL591" s="19"/>
      <c r="AM591" s="19"/>
      <c r="AN591" s="19"/>
      <c r="AO591" s="19"/>
      <c r="AZ591" s="19"/>
      <c r="BA591" s="19"/>
      <c r="BB591" s="20"/>
      <c r="BC591" s="19"/>
      <c r="BE591" s="19"/>
      <c r="BF591" s="19"/>
      <c r="BG591" s="19"/>
      <c r="BH591" s="19"/>
      <c r="BI591" s="19"/>
      <c r="BJ591" s="19"/>
      <c r="BK591" s="19"/>
      <c r="BL591" s="19"/>
    </row>
    <row r="592" spans="2:64" ht="14" x14ac:dyDescent="0.2">
      <c r="B592" s="1"/>
      <c r="C592" s="1"/>
      <c r="D592" s="1"/>
      <c r="E592" s="1"/>
      <c r="H592" s="18"/>
      <c r="I592" s="18"/>
      <c r="J592" s="18"/>
      <c r="L592" s="6"/>
      <c r="AF592" s="19"/>
      <c r="AG592" s="19"/>
      <c r="AH592" s="20"/>
      <c r="AI592" s="19"/>
      <c r="AK592" s="19"/>
      <c r="AL592" s="19"/>
      <c r="AM592" s="19"/>
      <c r="AN592" s="19"/>
      <c r="AO592" s="19"/>
      <c r="AZ592" s="19"/>
      <c r="BA592" s="19"/>
      <c r="BB592" s="20"/>
      <c r="BC592" s="19"/>
      <c r="BE592" s="19"/>
      <c r="BF592" s="19"/>
      <c r="BG592" s="19"/>
      <c r="BH592" s="19"/>
      <c r="BI592" s="19"/>
      <c r="BJ592" s="19"/>
      <c r="BK592" s="19"/>
      <c r="BL592" s="19"/>
    </row>
    <row r="593" spans="2:64" ht="14" x14ac:dyDescent="0.2">
      <c r="B593" s="1"/>
      <c r="C593" s="1"/>
      <c r="D593" s="1"/>
      <c r="E593" s="1"/>
      <c r="H593" s="18"/>
      <c r="I593" s="18"/>
      <c r="J593" s="18"/>
      <c r="L593" s="6"/>
      <c r="AF593" s="19"/>
      <c r="AG593" s="19"/>
      <c r="AH593" s="20"/>
      <c r="AI593" s="19"/>
      <c r="AK593" s="19"/>
      <c r="AL593" s="19"/>
      <c r="AM593" s="19"/>
      <c r="AN593" s="19"/>
      <c r="AO593" s="19"/>
      <c r="AZ593" s="19"/>
      <c r="BA593" s="19"/>
      <c r="BB593" s="20"/>
      <c r="BC593" s="19"/>
      <c r="BE593" s="19"/>
      <c r="BF593" s="19"/>
      <c r="BG593" s="19"/>
      <c r="BH593" s="19"/>
      <c r="BI593" s="19"/>
      <c r="BJ593" s="19"/>
      <c r="BK593" s="19"/>
      <c r="BL593" s="19"/>
    </row>
    <row r="594" spans="2:64" ht="14" x14ac:dyDescent="0.2">
      <c r="B594" s="1"/>
      <c r="C594" s="1"/>
      <c r="D594" s="1"/>
      <c r="E594" s="1"/>
      <c r="H594" s="18"/>
      <c r="I594" s="18"/>
      <c r="J594" s="18"/>
      <c r="L594" s="6"/>
      <c r="AF594" s="19"/>
      <c r="AG594" s="19"/>
      <c r="AH594" s="20"/>
      <c r="AI594" s="19"/>
      <c r="AK594" s="19"/>
      <c r="AL594" s="19"/>
      <c r="AM594" s="19"/>
      <c r="AN594" s="19"/>
      <c r="AO594" s="19"/>
      <c r="AZ594" s="19"/>
      <c r="BA594" s="19"/>
      <c r="BB594" s="20"/>
      <c r="BC594" s="19"/>
      <c r="BE594" s="19"/>
      <c r="BF594" s="19"/>
      <c r="BG594" s="19"/>
      <c r="BH594" s="19"/>
      <c r="BI594" s="19"/>
      <c r="BJ594" s="19"/>
      <c r="BK594" s="19"/>
      <c r="BL594" s="19"/>
    </row>
    <row r="595" spans="2:64" ht="14" x14ac:dyDescent="0.2">
      <c r="B595" s="1"/>
      <c r="C595" s="1"/>
      <c r="D595" s="1"/>
      <c r="E595" s="1"/>
      <c r="H595" s="18"/>
      <c r="I595" s="18"/>
      <c r="J595" s="18"/>
      <c r="L595" s="6"/>
      <c r="AF595" s="19"/>
      <c r="AG595" s="19"/>
      <c r="AH595" s="20"/>
      <c r="AI595" s="19"/>
      <c r="AK595" s="19"/>
      <c r="AL595" s="19"/>
      <c r="AM595" s="19"/>
      <c r="AN595" s="19"/>
      <c r="AO595" s="19"/>
      <c r="AZ595" s="19"/>
      <c r="BA595" s="19"/>
      <c r="BB595" s="20"/>
      <c r="BC595" s="19"/>
      <c r="BE595" s="19"/>
      <c r="BF595" s="19"/>
      <c r="BG595" s="19"/>
      <c r="BH595" s="19"/>
      <c r="BI595" s="19"/>
      <c r="BJ595" s="19"/>
      <c r="BK595" s="19"/>
      <c r="BL595" s="19"/>
    </row>
    <row r="596" spans="2:64" ht="14" x14ac:dyDescent="0.2">
      <c r="B596" s="1"/>
      <c r="C596" s="1"/>
      <c r="D596" s="1"/>
      <c r="E596" s="1"/>
      <c r="H596" s="18"/>
      <c r="I596" s="18"/>
      <c r="J596" s="18"/>
      <c r="L596" s="6"/>
      <c r="AF596" s="19"/>
      <c r="AG596" s="19"/>
      <c r="AH596" s="20"/>
      <c r="AI596" s="19"/>
      <c r="AK596" s="19"/>
      <c r="AL596" s="19"/>
      <c r="AM596" s="19"/>
      <c r="AN596" s="19"/>
      <c r="AO596" s="19"/>
      <c r="AZ596" s="19"/>
      <c r="BA596" s="19"/>
      <c r="BB596" s="20"/>
      <c r="BC596" s="19"/>
      <c r="BE596" s="19"/>
      <c r="BF596" s="19"/>
      <c r="BG596" s="19"/>
      <c r="BH596" s="19"/>
      <c r="BI596" s="19"/>
      <c r="BJ596" s="19"/>
      <c r="BK596" s="19"/>
      <c r="BL596" s="19"/>
    </row>
    <row r="597" spans="2:64" ht="14" x14ac:dyDescent="0.2">
      <c r="B597" s="1"/>
      <c r="C597" s="1"/>
      <c r="D597" s="1"/>
      <c r="E597" s="1"/>
      <c r="H597" s="18"/>
      <c r="I597" s="18"/>
      <c r="J597" s="18"/>
      <c r="L597" s="6"/>
      <c r="AF597" s="19"/>
      <c r="AG597" s="19"/>
      <c r="AH597" s="20"/>
      <c r="AI597" s="19"/>
      <c r="AK597" s="19"/>
      <c r="AL597" s="19"/>
      <c r="AM597" s="19"/>
      <c r="AN597" s="19"/>
      <c r="AO597" s="19"/>
      <c r="AZ597" s="19"/>
      <c r="BA597" s="19"/>
      <c r="BB597" s="20"/>
      <c r="BC597" s="19"/>
      <c r="BE597" s="19"/>
      <c r="BF597" s="19"/>
      <c r="BG597" s="19"/>
      <c r="BH597" s="19"/>
      <c r="BI597" s="19"/>
      <c r="BJ597" s="19"/>
      <c r="BK597" s="19"/>
      <c r="BL597" s="19"/>
    </row>
    <row r="598" spans="2:64" ht="14" x14ac:dyDescent="0.2">
      <c r="B598" s="1"/>
      <c r="C598" s="1"/>
      <c r="D598" s="1"/>
      <c r="E598" s="1"/>
      <c r="H598" s="18"/>
      <c r="I598" s="18"/>
      <c r="J598" s="18"/>
      <c r="L598" s="6"/>
      <c r="AF598" s="19"/>
      <c r="AG598" s="19"/>
      <c r="AH598" s="20"/>
      <c r="AI598" s="19"/>
      <c r="AK598" s="19"/>
      <c r="AL598" s="19"/>
      <c r="AM598" s="19"/>
      <c r="AN598" s="19"/>
      <c r="AO598" s="19"/>
      <c r="AZ598" s="19"/>
      <c r="BA598" s="19"/>
      <c r="BB598" s="20"/>
      <c r="BC598" s="19"/>
      <c r="BE598" s="19"/>
      <c r="BF598" s="19"/>
      <c r="BG598" s="19"/>
      <c r="BH598" s="19"/>
      <c r="BI598" s="19"/>
      <c r="BJ598" s="19"/>
      <c r="BK598" s="19"/>
      <c r="BL598" s="19"/>
    </row>
    <row r="599" spans="2:64" ht="14" x14ac:dyDescent="0.2">
      <c r="B599" s="1"/>
      <c r="C599" s="1"/>
      <c r="D599" s="1"/>
      <c r="E599" s="1"/>
      <c r="H599" s="18"/>
      <c r="I599" s="18"/>
      <c r="J599" s="18"/>
      <c r="L599" s="6"/>
      <c r="AF599" s="19"/>
      <c r="AG599" s="19"/>
      <c r="AH599" s="20"/>
      <c r="AI599" s="19"/>
      <c r="AK599" s="19"/>
      <c r="AL599" s="19"/>
      <c r="AM599" s="19"/>
      <c r="AN599" s="19"/>
      <c r="AO599" s="19"/>
      <c r="AZ599" s="19"/>
      <c r="BA599" s="19"/>
      <c r="BB599" s="20"/>
      <c r="BC599" s="19"/>
      <c r="BE599" s="19"/>
      <c r="BF599" s="19"/>
      <c r="BG599" s="19"/>
      <c r="BH599" s="19"/>
      <c r="BI599" s="19"/>
      <c r="BJ599" s="19"/>
      <c r="BK599" s="19"/>
      <c r="BL599" s="19"/>
    </row>
    <row r="600" spans="2:64" ht="14" x14ac:dyDescent="0.2">
      <c r="B600" s="1"/>
      <c r="C600" s="1"/>
      <c r="D600" s="1"/>
      <c r="E600" s="1"/>
      <c r="H600" s="18"/>
      <c r="I600" s="18"/>
      <c r="J600" s="18"/>
      <c r="L600" s="6"/>
      <c r="AF600" s="19"/>
      <c r="AG600" s="19"/>
      <c r="AH600" s="20"/>
      <c r="AI600" s="19"/>
      <c r="AK600" s="19"/>
      <c r="AL600" s="19"/>
      <c r="AM600" s="19"/>
      <c r="AN600" s="19"/>
      <c r="AO600" s="19"/>
      <c r="AZ600" s="19"/>
      <c r="BA600" s="19"/>
      <c r="BB600" s="20"/>
      <c r="BC600" s="19"/>
      <c r="BE600" s="19"/>
      <c r="BF600" s="19"/>
      <c r="BG600" s="19"/>
      <c r="BH600" s="19"/>
      <c r="BI600" s="19"/>
      <c r="BJ600" s="19"/>
      <c r="BK600" s="19"/>
      <c r="BL600" s="19"/>
    </row>
    <row r="601" spans="2:64" ht="14" x14ac:dyDescent="0.2">
      <c r="B601" s="1"/>
      <c r="C601" s="1"/>
      <c r="D601" s="1"/>
      <c r="E601" s="1"/>
      <c r="H601" s="18"/>
      <c r="I601" s="18"/>
      <c r="J601" s="18"/>
      <c r="L601" s="6"/>
      <c r="AF601" s="19"/>
      <c r="AG601" s="19"/>
      <c r="AH601" s="20"/>
      <c r="AI601" s="19"/>
      <c r="AK601" s="19"/>
      <c r="AL601" s="19"/>
      <c r="AM601" s="19"/>
      <c r="AN601" s="19"/>
      <c r="AO601" s="19"/>
      <c r="AZ601" s="19"/>
      <c r="BA601" s="19"/>
      <c r="BB601" s="20"/>
      <c r="BC601" s="19"/>
      <c r="BE601" s="19"/>
      <c r="BF601" s="19"/>
      <c r="BG601" s="19"/>
      <c r="BH601" s="19"/>
      <c r="BI601" s="19"/>
      <c r="BJ601" s="19"/>
      <c r="BK601" s="19"/>
      <c r="BL601" s="19"/>
    </row>
    <row r="602" spans="2:64" ht="14" x14ac:dyDescent="0.2">
      <c r="B602" s="1"/>
      <c r="C602" s="1"/>
      <c r="D602" s="1"/>
      <c r="E602" s="1"/>
      <c r="H602" s="18"/>
      <c r="I602" s="18"/>
      <c r="J602" s="18"/>
      <c r="L602" s="6"/>
      <c r="AF602" s="19"/>
      <c r="AG602" s="19"/>
      <c r="AH602" s="20"/>
      <c r="AI602" s="19"/>
      <c r="AK602" s="19"/>
      <c r="AL602" s="19"/>
      <c r="AM602" s="19"/>
      <c r="AN602" s="19"/>
      <c r="AO602" s="19"/>
      <c r="AZ602" s="19"/>
      <c r="BA602" s="19"/>
      <c r="BB602" s="20"/>
      <c r="BC602" s="19"/>
      <c r="BE602" s="19"/>
      <c r="BF602" s="19"/>
      <c r="BG602" s="19"/>
      <c r="BH602" s="19"/>
      <c r="BI602" s="19"/>
      <c r="BJ602" s="19"/>
      <c r="BK602" s="19"/>
      <c r="BL602" s="19"/>
    </row>
    <row r="603" spans="2:64" ht="14" x14ac:dyDescent="0.2">
      <c r="B603" s="1"/>
      <c r="C603" s="1"/>
      <c r="D603" s="1"/>
      <c r="E603" s="1"/>
      <c r="H603" s="18"/>
      <c r="I603" s="18"/>
      <c r="J603" s="18"/>
      <c r="L603" s="6"/>
      <c r="AF603" s="19"/>
      <c r="AG603" s="19"/>
      <c r="AH603" s="20"/>
      <c r="AI603" s="19"/>
      <c r="AK603" s="19"/>
      <c r="AL603" s="19"/>
      <c r="AM603" s="19"/>
      <c r="AN603" s="19"/>
      <c r="AO603" s="19"/>
      <c r="AZ603" s="19"/>
      <c r="BA603" s="19"/>
      <c r="BB603" s="20"/>
      <c r="BC603" s="19"/>
      <c r="BE603" s="19"/>
      <c r="BF603" s="19"/>
      <c r="BG603" s="19"/>
      <c r="BH603" s="19"/>
      <c r="BI603" s="19"/>
      <c r="BJ603" s="19"/>
      <c r="BK603" s="19"/>
      <c r="BL603" s="19"/>
    </row>
    <row r="604" spans="2:64" ht="14" x14ac:dyDescent="0.2">
      <c r="B604" s="1"/>
      <c r="C604" s="1"/>
      <c r="D604" s="1"/>
      <c r="E604" s="1"/>
      <c r="H604" s="18"/>
      <c r="I604" s="18"/>
      <c r="J604" s="18"/>
      <c r="L604" s="6"/>
      <c r="AF604" s="19"/>
      <c r="AG604" s="19"/>
      <c r="AH604" s="20"/>
      <c r="AI604" s="19"/>
      <c r="AK604" s="19"/>
      <c r="AL604" s="19"/>
      <c r="AM604" s="19"/>
      <c r="AN604" s="19"/>
      <c r="AO604" s="19"/>
      <c r="AZ604" s="19"/>
      <c r="BA604" s="19"/>
      <c r="BB604" s="20"/>
      <c r="BC604" s="19"/>
      <c r="BE604" s="19"/>
      <c r="BF604" s="19"/>
      <c r="BG604" s="19"/>
      <c r="BH604" s="19"/>
      <c r="BI604" s="19"/>
      <c r="BJ604" s="19"/>
      <c r="BK604" s="19"/>
      <c r="BL604" s="19"/>
    </row>
    <row r="605" spans="2:64" ht="14" x14ac:dyDescent="0.2">
      <c r="B605" s="1"/>
      <c r="C605" s="1"/>
      <c r="D605" s="1"/>
      <c r="E605" s="1"/>
      <c r="H605" s="18"/>
      <c r="I605" s="18"/>
      <c r="J605" s="18"/>
      <c r="L605" s="6"/>
      <c r="AF605" s="19"/>
      <c r="AG605" s="19"/>
      <c r="AH605" s="20"/>
      <c r="AI605" s="19"/>
      <c r="AK605" s="19"/>
      <c r="AL605" s="19"/>
      <c r="AM605" s="19"/>
      <c r="AN605" s="19"/>
      <c r="AO605" s="19"/>
      <c r="AZ605" s="19"/>
      <c r="BA605" s="19"/>
      <c r="BB605" s="20"/>
      <c r="BC605" s="19"/>
      <c r="BE605" s="19"/>
      <c r="BF605" s="19"/>
      <c r="BG605" s="19"/>
      <c r="BH605" s="19"/>
      <c r="BI605" s="19"/>
      <c r="BJ605" s="19"/>
      <c r="BK605" s="19"/>
      <c r="BL605" s="19"/>
    </row>
    <row r="606" spans="2:64" ht="14" x14ac:dyDescent="0.2">
      <c r="B606" s="1"/>
      <c r="C606" s="1"/>
      <c r="D606" s="1"/>
      <c r="E606" s="1"/>
      <c r="H606" s="18"/>
      <c r="I606" s="18"/>
      <c r="J606" s="18"/>
      <c r="L606" s="6"/>
      <c r="AF606" s="19"/>
      <c r="AG606" s="19"/>
      <c r="AH606" s="20"/>
      <c r="AI606" s="19"/>
      <c r="AK606" s="19"/>
      <c r="AL606" s="19"/>
      <c r="AM606" s="19"/>
      <c r="AN606" s="19"/>
      <c r="AO606" s="19"/>
      <c r="AZ606" s="19"/>
      <c r="BA606" s="19"/>
      <c r="BB606" s="20"/>
      <c r="BC606" s="19"/>
      <c r="BE606" s="19"/>
      <c r="BF606" s="19"/>
      <c r="BG606" s="19"/>
      <c r="BH606" s="19"/>
      <c r="BI606" s="19"/>
      <c r="BJ606" s="19"/>
      <c r="BK606" s="19"/>
      <c r="BL606" s="19"/>
    </row>
    <row r="607" spans="2:64" ht="14" x14ac:dyDescent="0.2">
      <c r="B607" s="1"/>
      <c r="C607" s="1"/>
      <c r="D607" s="1"/>
      <c r="E607" s="1"/>
      <c r="H607" s="18"/>
      <c r="I607" s="18"/>
      <c r="J607" s="18"/>
      <c r="L607" s="6"/>
      <c r="AF607" s="19"/>
      <c r="AG607" s="19"/>
      <c r="AH607" s="20"/>
      <c r="AI607" s="19"/>
      <c r="AK607" s="19"/>
      <c r="AL607" s="19"/>
      <c r="AM607" s="19"/>
      <c r="AN607" s="19"/>
      <c r="AO607" s="19"/>
      <c r="AZ607" s="19"/>
      <c r="BA607" s="19"/>
      <c r="BB607" s="20"/>
      <c r="BC607" s="19"/>
      <c r="BE607" s="19"/>
      <c r="BF607" s="19"/>
      <c r="BG607" s="19"/>
      <c r="BH607" s="19"/>
      <c r="BI607" s="19"/>
      <c r="BJ607" s="19"/>
      <c r="BK607" s="19"/>
      <c r="BL607" s="19"/>
    </row>
    <row r="608" spans="2:64" ht="14" x14ac:dyDescent="0.2">
      <c r="B608" s="1"/>
      <c r="C608" s="1"/>
      <c r="D608" s="1"/>
      <c r="E608" s="1"/>
      <c r="H608" s="18"/>
      <c r="I608" s="18"/>
      <c r="J608" s="18"/>
      <c r="L608" s="6"/>
      <c r="AF608" s="19"/>
      <c r="AG608" s="19"/>
      <c r="AH608" s="20"/>
      <c r="AI608" s="19"/>
      <c r="AK608" s="19"/>
      <c r="AL608" s="19"/>
      <c r="AM608" s="19"/>
      <c r="AN608" s="19"/>
      <c r="AO608" s="19"/>
      <c r="AZ608" s="19"/>
      <c r="BA608" s="19"/>
      <c r="BB608" s="20"/>
      <c r="BC608" s="19"/>
      <c r="BE608" s="19"/>
      <c r="BF608" s="19"/>
      <c r="BG608" s="19"/>
      <c r="BH608" s="19"/>
      <c r="BI608" s="19"/>
      <c r="BJ608" s="19"/>
      <c r="BK608" s="19"/>
      <c r="BL608" s="19"/>
    </row>
    <row r="609" spans="2:64" ht="14" x14ac:dyDescent="0.2">
      <c r="B609" s="1"/>
      <c r="C609" s="1"/>
      <c r="D609" s="1"/>
      <c r="E609" s="1"/>
      <c r="H609" s="18"/>
      <c r="I609" s="18"/>
      <c r="J609" s="18"/>
      <c r="L609" s="6"/>
      <c r="AF609" s="19"/>
      <c r="AG609" s="19"/>
      <c r="AH609" s="20"/>
      <c r="AI609" s="19"/>
      <c r="AK609" s="19"/>
      <c r="AL609" s="19"/>
      <c r="AM609" s="19"/>
      <c r="AN609" s="19"/>
      <c r="AO609" s="19"/>
      <c r="AZ609" s="19"/>
      <c r="BA609" s="19"/>
      <c r="BB609" s="20"/>
      <c r="BC609" s="19"/>
      <c r="BE609" s="19"/>
      <c r="BF609" s="19"/>
      <c r="BG609" s="19"/>
      <c r="BH609" s="19"/>
      <c r="BI609" s="19"/>
      <c r="BJ609" s="19"/>
      <c r="BK609" s="19"/>
      <c r="BL609" s="19"/>
    </row>
    <row r="610" spans="2:64" ht="14" x14ac:dyDescent="0.2">
      <c r="B610" s="1"/>
      <c r="C610" s="1"/>
      <c r="D610" s="1"/>
      <c r="E610" s="1"/>
      <c r="H610" s="18"/>
      <c r="I610" s="18"/>
      <c r="J610" s="18"/>
      <c r="L610" s="6"/>
      <c r="AF610" s="19"/>
      <c r="AG610" s="19"/>
      <c r="AH610" s="20"/>
      <c r="AI610" s="19"/>
      <c r="AK610" s="19"/>
      <c r="AL610" s="19"/>
      <c r="AM610" s="19"/>
      <c r="AN610" s="19"/>
      <c r="AO610" s="19"/>
      <c r="AZ610" s="19"/>
      <c r="BA610" s="19"/>
      <c r="BB610" s="20"/>
      <c r="BC610" s="19"/>
      <c r="BE610" s="19"/>
      <c r="BF610" s="19"/>
      <c r="BG610" s="19"/>
      <c r="BH610" s="19"/>
      <c r="BI610" s="19"/>
      <c r="BJ610" s="19"/>
      <c r="BK610" s="19"/>
      <c r="BL610" s="19"/>
    </row>
    <row r="611" spans="2:64" ht="14" x14ac:dyDescent="0.2">
      <c r="B611" s="1"/>
      <c r="C611" s="1"/>
      <c r="D611" s="1"/>
      <c r="E611" s="1"/>
      <c r="H611" s="18"/>
      <c r="I611" s="18"/>
      <c r="J611" s="18"/>
      <c r="L611" s="6"/>
      <c r="AF611" s="19"/>
      <c r="AG611" s="19"/>
      <c r="AH611" s="20"/>
      <c r="AI611" s="19"/>
      <c r="AK611" s="19"/>
      <c r="AL611" s="19"/>
      <c r="AM611" s="19"/>
      <c r="AN611" s="19"/>
      <c r="AO611" s="19"/>
      <c r="AZ611" s="19"/>
      <c r="BA611" s="19"/>
      <c r="BB611" s="20"/>
      <c r="BC611" s="19"/>
      <c r="BE611" s="19"/>
      <c r="BF611" s="19"/>
      <c r="BG611" s="19"/>
      <c r="BH611" s="19"/>
      <c r="BI611" s="19"/>
      <c r="BJ611" s="19"/>
      <c r="BK611" s="19"/>
      <c r="BL611" s="19"/>
    </row>
    <row r="612" spans="2:64" ht="14" x14ac:dyDescent="0.2">
      <c r="B612" s="1"/>
      <c r="C612" s="1"/>
      <c r="D612" s="1"/>
      <c r="E612" s="1"/>
      <c r="H612" s="18"/>
      <c r="I612" s="18"/>
      <c r="J612" s="18"/>
      <c r="L612" s="6"/>
      <c r="AF612" s="19"/>
      <c r="AG612" s="19"/>
      <c r="AH612" s="20"/>
      <c r="AI612" s="19"/>
      <c r="AK612" s="19"/>
      <c r="AL612" s="19"/>
      <c r="AM612" s="19"/>
      <c r="AN612" s="19"/>
      <c r="AO612" s="19"/>
      <c r="AZ612" s="19"/>
      <c r="BA612" s="19"/>
      <c r="BB612" s="20"/>
      <c r="BC612" s="19"/>
      <c r="BE612" s="19"/>
      <c r="BF612" s="19"/>
      <c r="BG612" s="19"/>
      <c r="BH612" s="19"/>
      <c r="BI612" s="19"/>
      <c r="BJ612" s="19"/>
      <c r="BK612" s="19"/>
      <c r="BL612" s="19"/>
    </row>
    <row r="613" spans="2:64" ht="14" x14ac:dyDescent="0.2">
      <c r="B613" s="1"/>
      <c r="C613" s="1"/>
      <c r="D613" s="1"/>
      <c r="E613" s="1"/>
      <c r="H613" s="18"/>
      <c r="I613" s="18"/>
      <c r="J613" s="18"/>
      <c r="L613" s="6"/>
      <c r="AF613" s="19"/>
      <c r="AG613" s="19"/>
      <c r="AH613" s="20"/>
      <c r="AI613" s="19"/>
      <c r="AK613" s="19"/>
      <c r="AL613" s="19"/>
      <c r="AM613" s="19"/>
      <c r="AN613" s="19"/>
      <c r="AO613" s="19"/>
      <c r="AZ613" s="19"/>
      <c r="BA613" s="19"/>
      <c r="BB613" s="20"/>
      <c r="BC613" s="19"/>
      <c r="BE613" s="19"/>
      <c r="BF613" s="19"/>
      <c r="BG613" s="19"/>
      <c r="BH613" s="19"/>
      <c r="BI613" s="19"/>
      <c r="BJ613" s="19"/>
      <c r="BK613" s="19"/>
      <c r="BL613" s="19"/>
    </row>
    <row r="614" spans="2:64" ht="14" x14ac:dyDescent="0.2">
      <c r="B614" s="1"/>
      <c r="C614" s="1"/>
      <c r="D614" s="1"/>
      <c r="E614" s="1"/>
      <c r="H614" s="18"/>
      <c r="I614" s="18"/>
      <c r="J614" s="18"/>
      <c r="L614" s="6"/>
      <c r="AF614" s="19"/>
      <c r="AG614" s="19"/>
      <c r="AH614" s="20"/>
      <c r="AI614" s="19"/>
      <c r="AK614" s="19"/>
      <c r="AL614" s="19"/>
      <c r="AM614" s="19"/>
      <c r="AN614" s="19"/>
      <c r="AO614" s="19"/>
      <c r="AZ614" s="19"/>
      <c r="BA614" s="19"/>
      <c r="BB614" s="20"/>
      <c r="BC614" s="19"/>
      <c r="BE614" s="19"/>
      <c r="BF614" s="19"/>
      <c r="BG614" s="19"/>
      <c r="BH614" s="19"/>
      <c r="BI614" s="19"/>
      <c r="BJ614" s="19"/>
      <c r="BK614" s="19"/>
      <c r="BL614" s="19"/>
    </row>
    <row r="615" spans="2:64" ht="14" x14ac:dyDescent="0.2">
      <c r="B615" s="1"/>
      <c r="C615" s="1"/>
      <c r="D615" s="1"/>
      <c r="E615" s="1"/>
      <c r="H615" s="18"/>
      <c r="I615" s="18"/>
      <c r="J615" s="18"/>
      <c r="L615" s="6"/>
      <c r="AF615" s="19"/>
      <c r="AG615" s="19"/>
      <c r="AH615" s="20"/>
      <c r="AI615" s="19"/>
      <c r="AK615" s="19"/>
      <c r="AL615" s="19"/>
      <c r="AM615" s="19"/>
      <c r="AN615" s="19"/>
      <c r="AO615" s="19"/>
      <c r="AZ615" s="19"/>
      <c r="BA615" s="19"/>
      <c r="BB615" s="20"/>
      <c r="BC615" s="19"/>
      <c r="BE615" s="19"/>
      <c r="BF615" s="19"/>
      <c r="BG615" s="19"/>
      <c r="BH615" s="19"/>
      <c r="BI615" s="19"/>
      <c r="BJ615" s="19"/>
      <c r="BK615" s="19"/>
      <c r="BL615" s="19"/>
    </row>
    <row r="616" spans="2:64" ht="14" x14ac:dyDescent="0.2">
      <c r="B616" s="1"/>
      <c r="C616" s="1"/>
      <c r="D616" s="1"/>
      <c r="E616" s="1"/>
      <c r="H616" s="18"/>
      <c r="I616" s="18"/>
      <c r="J616" s="18"/>
      <c r="L616" s="6"/>
      <c r="AF616" s="19"/>
      <c r="AG616" s="19"/>
      <c r="AH616" s="20"/>
      <c r="AI616" s="19"/>
      <c r="AK616" s="19"/>
      <c r="AL616" s="19"/>
      <c r="AM616" s="19"/>
      <c r="AN616" s="19"/>
      <c r="AO616" s="19"/>
      <c r="AZ616" s="19"/>
      <c r="BA616" s="19"/>
      <c r="BB616" s="20"/>
      <c r="BC616" s="19"/>
      <c r="BE616" s="19"/>
      <c r="BF616" s="19"/>
      <c r="BG616" s="19"/>
      <c r="BH616" s="19"/>
      <c r="BI616" s="19"/>
      <c r="BJ616" s="19"/>
      <c r="BK616" s="19"/>
      <c r="BL616" s="19"/>
    </row>
    <row r="617" spans="2:64" ht="14" x14ac:dyDescent="0.2">
      <c r="B617" s="1"/>
      <c r="C617" s="1"/>
      <c r="D617" s="1"/>
      <c r="E617" s="1"/>
      <c r="H617" s="18"/>
      <c r="I617" s="18"/>
      <c r="J617" s="18"/>
      <c r="L617" s="6"/>
      <c r="AF617" s="19"/>
      <c r="AG617" s="19"/>
      <c r="AH617" s="20"/>
      <c r="AI617" s="19"/>
      <c r="AK617" s="19"/>
      <c r="AL617" s="19"/>
      <c r="AM617" s="19"/>
      <c r="AN617" s="19"/>
      <c r="AO617" s="19"/>
      <c r="AZ617" s="19"/>
      <c r="BA617" s="19"/>
      <c r="BB617" s="20"/>
      <c r="BC617" s="19"/>
      <c r="BE617" s="19"/>
      <c r="BF617" s="19"/>
      <c r="BG617" s="19"/>
      <c r="BH617" s="19"/>
      <c r="BI617" s="19"/>
      <c r="BJ617" s="19"/>
      <c r="BK617" s="19"/>
      <c r="BL617" s="19"/>
    </row>
    <row r="618" spans="2:64" ht="14" x14ac:dyDescent="0.2">
      <c r="B618" s="1"/>
      <c r="C618" s="1"/>
      <c r="D618" s="1"/>
      <c r="E618" s="1"/>
      <c r="H618" s="18"/>
      <c r="I618" s="18"/>
      <c r="J618" s="18"/>
      <c r="L618" s="6"/>
      <c r="AF618" s="19"/>
      <c r="AG618" s="19"/>
      <c r="AH618" s="20"/>
      <c r="AI618" s="19"/>
      <c r="AK618" s="19"/>
      <c r="AL618" s="19"/>
      <c r="AM618" s="19"/>
      <c r="AN618" s="19"/>
      <c r="AO618" s="19"/>
      <c r="AZ618" s="19"/>
      <c r="BA618" s="19"/>
      <c r="BB618" s="20"/>
      <c r="BC618" s="19"/>
      <c r="BE618" s="19"/>
      <c r="BF618" s="19"/>
      <c r="BG618" s="19"/>
      <c r="BH618" s="19"/>
      <c r="BI618" s="19"/>
      <c r="BJ618" s="19"/>
      <c r="BK618" s="19"/>
      <c r="BL618" s="19"/>
    </row>
    <row r="619" spans="2:64" ht="14" x14ac:dyDescent="0.2">
      <c r="B619" s="1"/>
      <c r="C619" s="1"/>
      <c r="D619" s="1"/>
      <c r="E619" s="1"/>
      <c r="H619" s="18"/>
      <c r="I619" s="18"/>
      <c r="J619" s="18"/>
      <c r="L619" s="6"/>
      <c r="AF619" s="19"/>
      <c r="AG619" s="19"/>
      <c r="AH619" s="20"/>
      <c r="AI619" s="19"/>
      <c r="AK619" s="19"/>
      <c r="AL619" s="19"/>
      <c r="AM619" s="19"/>
      <c r="AN619" s="19"/>
      <c r="AO619" s="19"/>
      <c r="AZ619" s="19"/>
      <c r="BA619" s="19"/>
      <c r="BB619" s="20"/>
      <c r="BC619" s="19"/>
      <c r="BE619" s="19"/>
      <c r="BF619" s="19"/>
      <c r="BG619" s="19"/>
      <c r="BH619" s="19"/>
      <c r="BI619" s="19"/>
      <c r="BJ619" s="19"/>
      <c r="BK619" s="19"/>
      <c r="BL619" s="19"/>
    </row>
    <row r="620" spans="2:64" ht="14" x14ac:dyDescent="0.2">
      <c r="B620" s="1"/>
      <c r="C620" s="1"/>
      <c r="D620" s="1"/>
      <c r="E620" s="1"/>
      <c r="H620" s="18"/>
      <c r="I620" s="18"/>
      <c r="J620" s="18"/>
      <c r="L620" s="6"/>
      <c r="AF620" s="19"/>
      <c r="AG620" s="19"/>
      <c r="AH620" s="20"/>
      <c r="AI620" s="19"/>
      <c r="AK620" s="19"/>
      <c r="AL620" s="19"/>
      <c r="AM620" s="19"/>
      <c r="AN620" s="19"/>
      <c r="AO620" s="19"/>
      <c r="AZ620" s="19"/>
      <c r="BA620" s="19"/>
      <c r="BB620" s="20"/>
      <c r="BC620" s="19"/>
      <c r="BE620" s="19"/>
      <c r="BF620" s="19"/>
      <c r="BG620" s="19"/>
      <c r="BH620" s="19"/>
      <c r="BI620" s="19"/>
      <c r="BJ620" s="19"/>
      <c r="BK620" s="19"/>
      <c r="BL620" s="19"/>
    </row>
    <row r="621" spans="2:64" ht="14" x14ac:dyDescent="0.2">
      <c r="B621" s="1"/>
      <c r="C621" s="1"/>
      <c r="D621" s="1"/>
      <c r="E621" s="1"/>
      <c r="H621" s="18"/>
      <c r="I621" s="18"/>
      <c r="J621" s="18"/>
      <c r="L621" s="6"/>
      <c r="AF621" s="19"/>
      <c r="AG621" s="19"/>
      <c r="AH621" s="20"/>
      <c r="AI621" s="19"/>
      <c r="AK621" s="19"/>
      <c r="AL621" s="19"/>
      <c r="AM621" s="19"/>
      <c r="AN621" s="19"/>
      <c r="AO621" s="19"/>
      <c r="AZ621" s="19"/>
      <c r="BA621" s="19"/>
      <c r="BB621" s="20"/>
      <c r="BC621" s="19"/>
      <c r="BE621" s="19"/>
      <c r="BF621" s="19"/>
      <c r="BG621" s="19"/>
      <c r="BH621" s="19"/>
      <c r="BI621" s="19"/>
      <c r="BJ621" s="19"/>
      <c r="BK621" s="19"/>
      <c r="BL621" s="19"/>
    </row>
    <row r="622" spans="2:64" ht="14" x14ac:dyDescent="0.2">
      <c r="B622" s="1"/>
      <c r="C622" s="1"/>
      <c r="D622" s="1"/>
      <c r="E622" s="1"/>
      <c r="H622" s="18"/>
      <c r="I622" s="18"/>
      <c r="J622" s="18"/>
      <c r="L622" s="6"/>
      <c r="AF622" s="19"/>
      <c r="AG622" s="19"/>
      <c r="AH622" s="20"/>
      <c r="AI622" s="19"/>
      <c r="AK622" s="19"/>
      <c r="AL622" s="19"/>
      <c r="AM622" s="19"/>
      <c r="AN622" s="19"/>
      <c r="AO622" s="19"/>
      <c r="AZ622" s="19"/>
      <c r="BA622" s="19"/>
      <c r="BB622" s="20"/>
      <c r="BC622" s="19"/>
      <c r="BE622" s="19"/>
      <c r="BF622" s="19"/>
      <c r="BG622" s="19"/>
      <c r="BH622" s="19"/>
      <c r="BI622" s="19"/>
      <c r="BJ622" s="19"/>
      <c r="BK622" s="19"/>
      <c r="BL622" s="19"/>
    </row>
    <row r="623" spans="2:64" ht="14" x14ac:dyDescent="0.2">
      <c r="B623" s="1"/>
      <c r="C623" s="1"/>
      <c r="D623" s="1"/>
      <c r="E623" s="1"/>
      <c r="H623" s="18"/>
      <c r="I623" s="18"/>
      <c r="J623" s="18"/>
      <c r="L623" s="6"/>
      <c r="AF623" s="19"/>
      <c r="AG623" s="19"/>
      <c r="AH623" s="20"/>
      <c r="AI623" s="19"/>
      <c r="AK623" s="19"/>
      <c r="AL623" s="19"/>
      <c r="AM623" s="19"/>
      <c r="AN623" s="19"/>
      <c r="AO623" s="19"/>
      <c r="AZ623" s="19"/>
      <c r="BA623" s="19"/>
      <c r="BB623" s="20"/>
      <c r="BC623" s="19"/>
      <c r="BE623" s="19"/>
      <c r="BF623" s="19"/>
      <c r="BG623" s="19"/>
      <c r="BH623" s="19"/>
      <c r="BI623" s="19"/>
      <c r="BJ623" s="19"/>
      <c r="BK623" s="19"/>
      <c r="BL623" s="19"/>
    </row>
    <row r="624" spans="2:64" ht="14" x14ac:dyDescent="0.2">
      <c r="B624" s="1"/>
      <c r="C624" s="1"/>
      <c r="D624" s="1"/>
      <c r="E624" s="1"/>
      <c r="H624" s="18"/>
      <c r="I624" s="18"/>
      <c r="J624" s="18"/>
      <c r="L624" s="6"/>
      <c r="AF624" s="19"/>
      <c r="AG624" s="19"/>
      <c r="AH624" s="20"/>
      <c r="AI624" s="19"/>
      <c r="AK624" s="19"/>
      <c r="AL624" s="19"/>
      <c r="AM624" s="19"/>
      <c r="AN624" s="19"/>
      <c r="AO624" s="19"/>
      <c r="AZ624" s="19"/>
      <c r="BA624" s="19"/>
      <c r="BB624" s="20"/>
      <c r="BC624" s="19"/>
      <c r="BE624" s="19"/>
      <c r="BF624" s="19"/>
      <c r="BG624" s="19"/>
      <c r="BH624" s="19"/>
      <c r="BI624" s="19"/>
      <c r="BJ624" s="19"/>
      <c r="BK624" s="19"/>
      <c r="BL624" s="19"/>
    </row>
    <row r="625" spans="2:64" ht="14" x14ac:dyDescent="0.2">
      <c r="B625" s="1"/>
      <c r="C625" s="1"/>
      <c r="D625" s="1"/>
      <c r="E625" s="1"/>
      <c r="H625" s="18"/>
      <c r="I625" s="18"/>
      <c r="J625" s="18"/>
      <c r="L625" s="6"/>
      <c r="AF625" s="19"/>
      <c r="AG625" s="19"/>
      <c r="AH625" s="20"/>
      <c r="AI625" s="19"/>
      <c r="AK625" s="19"/>
      <c r="AL625" s="19"/>
      <c r="AM625" s="19"/>
      <c r="AN625" s="19"/>
      <c r="AO625" s="19"/>
      <c r="AZ625" s="19"/>
      <c r="BA625" s="19"/>
      <c r="BB625" s="20"/>
      <c r="BC625" s="19"/>
      <c r="BE625" s="19"/>
      <c r="BF625" s="19"/>
      <c r="BG625" s="19"/>
      <c r="BH625" s="19"/>
      <c r="BI625" s="19"/>
      <c r="BJ625" s="19"/>
      <c r="BK625" s="19"/>
      <c r="BL625" s="19"/>
    </row>
    <row r="626" spans="2:64" ht="14" x14ac:dyDescent="0.2">
      <c r="B626" s="1"/>
      <c r="C626" s="1"/>
      <c r="D626" s="1"/>
      <c r="E626" s="1"/>
      <c r="H626" s="18"/>
      <c r="I626" s="18"/>
      <c r="J626" s="18"/>
      <c r="L626" s="6"/>
      <c r="AF626" s="19"/>
      <c r="AG626" s="19"/>
      <c r="AH626" s="20"/>
      <c r="AI626" s="19"/>
      <c r="AK626" s="19"/>
      <c r="AL626" s="19"/>
      <c r="AM626" s="19"/>
      <c r="AN626" s="19"/>
      <c r="AO626" s="19"/>
      <c r="AZ626" s="19"/>
      <c r="BA626" s="19"/>
      <c r="BB626" s="20"/>
      <c r="BC626" s="19"/>
      <c r="BE626" s="19"/>
      <c r="BF626" s="19"/>
      <c r="BG626" s="19"/>
      <c r="BH626" s="19"/>
      <c r="BI626" s="19"/>
      <c r="BJ626" s="19"/>
      <c r="BK626" s="19"/>
      <c r="BL626" s="19"/>
    </row>
    <row r="627" spans="2:64" ht="14" x14ac:dyDescent="0.2">
      <c r="B627" s="1"/>
      <c r="C627" s="1"/>
      <c r="D627" s="1"/>
      <c r="E627" s="1"/>
      <c r="H627" s="18"/>
      <c r="I627" s="18"/>
      <c r="J627" s="18"/>
      <c r="L627" s="6"/>
      <c r="AF627" s="19"/>
      <c r="AG627" s="19"/>
      <c r="AH627" s="20"/>
      <c r="AI627" s="19"/>
      <c r="AK627" s="19"/>
      <c r="AL627" s="19"/>
      <c r="AM627" s="19"/>
      <c r="AN627" s="19"/>
      <c r="AO627" s="19"/>
      <c r="AZ627" s="19"/>
      <c r="BA627" s="19"/>
      <c r="BB627" s="20"/>
      <c r="BC627" s="19"/>
      <c r="BE627" s="19"/>
      <c r="BF627" s="19"/>
      <c r="BG627" s="19"/>
      <c r="BH627" s="19"/>
      <c r="BI627" s="19"/>
      <c r="BJ627" s="19"/>
      <c r="BK627" s="19"/>
      <c r="BL627" s="19"/>
    </row>
    <row r="628" spans="2:64" ht="14" x14ac:dyDescent="0.2">
      <c r="B628" s="1"/>
      <c r="C628" s="1"/>
      <c r="D628" s="1"/>
      <c r="E628" s="1"/>
      <c r="H628" s="18"/>
      <c r="I628" s="18"/>
      <c r="J628" s="18"/>
      <c r="L628" s="6"/>
      <c r="AF628" s="19"/>
      <c r="AG628" s="19"/>
      <c r="AH628" s="20"/>
      <c r="AI628" s="19"/>
      <c r="AK628" s="19"/>
      <c r="AL628" s="19"/>
      <c r="AM628" s="19"/>
      <c r="AN628" s="19"/>
      <c r="AO628" s="19"/>
      <c r="AZ628" s="19"/>
      <c r="BA628" s="19"/>
      <c r="BB628" s="20"/>
      <c r="BC628" s="19"/>
      <c r="BE628" s="19"/>
      <c r="BF628" s="19"/>
      <c r="BG628" s="19"/>
      <c r="BH628" s="19"/>
      <c r="BI628" s="19"/>
      <c r="BJ628" s="19"/>
      <c r="BK628" s="19"/>
      <c r="BL628" s="19"/>
    </row>
    <row r="629" spans="2:64" ht="14" x14ac:dyDescent="0.2">
      <c r="B629" s="1"/>
      <c r="C629" s="1"/>
      <c r="D629" s="1"/>
      <c r="E629" s="1"/>
      <c r="H629" s="18"/>
      <c r="I629" s="18"/>
      <c r="J629" s="18"/>
      <c r="L629" s="6"/>
      <c r="AF629" s="19"/>
      <c r="AG629" s="19"/>
      <c r="AH629" s="20"/>
      <c r="AI629" s="19"/>
      <c r="AK629" s="19"/>
      <c r="AL629" s="19"/>
      <c r="AM629" s="19"/>
      <c r="AN629" s="19"/>
      <c r="AO629" s="19"/>
      <c r="AZ629" s="19"/>
      <c r="BA629" s="19"/>
      <c r="BB629" s="20"/>
      <c r="BC629" s="19"/>
      <c r="BE629" s="19"/>
      <c r="BF629" s="19"/>
      <c r="BG629" s="19"/>
      <c r="BH629" s="19"/>
      <c r="BI629" s="19"/>
      <c r="BJ629" s="19"/>
      <c r="BK629" s="19"/>
      <c r="BL629" s="19"/>
    </row>
    <row r="630" spans="2:64" ht="14" x14ac:dyDescent="0.2">
      <c r="B630" s="1"/>
      <c r="C630" s="1"/>
      <c r="D630" s="1"/>
      <c r="E630" s="1"/>
      <c r="H630" s="18"/>
      <c r="I630" s="18"/>
      <c r="J630" s="18"/>
      <c r="L630" s="6"/>
      <c r="AF630" s="19"/>
      <c r="AG630" s="19"/>
      <c r="AH630" s="20"/>
      <c r="AI630" s="19"/>
      <c r="AK630" s="19"/>
      <c r="AL630" s="19"/>
      <c r="AM630" s="19"/>
      <c r="AN630" s="19"/>
      <c r="AO630" s="19"/>
      <c r="AZ630" s="19"/>
      <c r="BA630" s="19"/>
      <c r="BB630" s="20"/>
      <c r="BC630" s="19"/>
      <c r="BE630" s="19"/>
      <c r="BF630" s="19"/>
      <c r="BG630" s="19"/>
      <c r="BH630" s="19"/>
      <c r="BI630" s="19"/>
      <c r="BJ630" s="19"/>
      <c r="BK630" s="19"/>
      <c r="BL630" s="19"/>
    </row>
    <row r="631" spans="2:64" ht="14" x14ac:dyDescent="0.2">
      <c r="B631" s="1"/>
      <c r="C631" s="1"/>
      <c r="D631" s="1"/>
      <c r="E631" s="1"/>
      <c r="H631" s="18"/>
      <c r="I631" s="18"/>
      <c r="J631" s="18"/>
      <c r="L631" s="6"/>
      <c r="AF631" s="19"/>
      <c r="AG631" s="19"/>
      <c r="AH631" s="20"/>
      <c r="AI631" s="19"/>
      <c r="AK631" s="19"/>
      <c r="AL631" s="19"/>
      <c r="AM631" s="19"/>
      <c r="AN631" s="19"/>
      <c r="AO631" s="19"/>
      <c r="AZ631" s="19"/>
      <c r="BA631" s="19"/>
      <c r="BB631" s="20"/>
      <c r="BC631" s="19"/>
      <c r="BE631" s="19"/>
      <c r="BF631" s="19"/>
      <c r="BG631" s="19"/>
      <c r="BH631" s="19"/>
      <c r="BI631" s="19"/>
      <c r="BJ631" s="19"/>
      <c r="BK631" s="19"/>
      <c r="BL631" s="19"/>
    </row>
    <row r="632" spans="2:64" ht="14" x14ac:dyDescent="0.2">
      <c r="B632" s="1"/>
      <c r="C632" s="1"/>
      <c r="D632" s="1"/>
      <c r="E632" s="1"/>
      <c r="H632" s="18"/>
      <c r="I632" s="18"/>
      <c r="J632" s="18"/>
      <c r="L632" s="6"/>
      <c r="AF632" s="19"/>
      <c r="AG632" s="19"/>
      <c r="AH632" s="20"/>
      <c r="AI632" s="19"/>
      <c r="AK632" s="19"/>
      <c r="AL632" s="19"/>
      <c r="AM632" s="19"/>
      <c r="AN632" s="19"/>
      <c r="AO632" s="19"/>
      <c r="AZ632" s="19"/>
      <c r="BA632" s="19"/>
      <c r="BB632" s="20"/>
      <c r="BC632" s="19"/>
      <c r="BE632" s="19"/>
      <c r="BF632" s="19"/>
      <c r="BG632" s="19"/>
      <c r="BH632" s="19"/>
      <c r="BI632" s="19"/>
      <c r="BJ632" s="19"/>
      <c r="BK632" s="19"/>
      <c r="BL632" s="19"/>
    </row>
    <row r="633" spans="2:64" ht="14" x14ac:dyDescent="0.2">
      <c r="B633" s="1"/>
      <c r="C633" s="1"/>
      <c r="D633" s="1"/>
      <c r="E633" s="1"/>
      <c r="H633" s="18"/>
      <c r="I633" s="18"/>
      <c r="J633" s="18"/>
      <c r="L633" s="6"/>
      <c r="AF633" s="19"/>
      <c r="AG633" s="19"/>
      <c r="AH633" s="20"/>
      <c r="AI633" s="19"/>
      <c r="AK633" s="19"/>
      <c r="AL633" s="19"/>
      <c r="AM633" s="19"/>
      <c r="AN633" s="19"/>
      <c r="AO633" s="19"/>
      <c r="AZ633" s="19"/>
      <c r="BA633" s="19"/>
      <c r="BB633" s="20"/>
      <c r="BC633" s="19"/>
      <c r="BE633" s="19"/>
      <c r="BF633" s="19"/>
      <c r="BG633" s="19"/>
      <c r="BH633" s="19"/>
      <c r="BI633" s="19"/>
      <c r="BJ633" s="19"/>
      <c r="BK633" s="19"/>
      <c r="BL633" s="19"/>
    </row>
    <row r="634" spans="2:64" ht="14" x14ac:dyDescent="0.2">
      <c r="B634" s="1"/>
      <c r="C634" s="1"/>
      <c r="D634" s="1"/>
      <c r="E634" s="1"/>
      <c r="H634" s="18"/>
      <c r="I634" s="18"/>
      <c r="J634" s="18"/>
      <c r="L634" s="6"/>
      <c r="AF634" s="19"/>
      <c r="AG634" s="19"/>
      <c r="AH634" s="20"/>
      <c r="AI634" s="19"/>
      <c r="AK634" s="19"/>
      <c r="AL634" s="19"/>
      <c r="AM634" s="19"/>
      <c r="AN634" s="19"/>
      <c r="AO634" s="19"/>
      <c r="AZ634" s="19"/>
      <c r="BA634" s="19"/>
      <c r="BB634" s="20"/>
      <c r="BC634" s="19"/>
      <c r="BE634" s="19"/>
      <c r="BF634" s="19"/>
      <c r="BG634" s="19"/>
      <c r="BH634" s="19"/>
      <c r="BI634" s="19"/>
      <c r="BJ634" s="19"/>
      <c r="BK634" s="19"/>
      <c r="BL634" s="19"/>
    </row>
    <row r="635" spans="2:64" ht="14" x14ac:dyDescent="0.2">
      <c r="B635" s="1"/>
      <c r="C635" s="1"/>
      <c r="D635" s="1"/>
      <c r="E635" s="1"/>
      <c r="H635" s="18"/>
      <c r="I635" s="18"/>
      <c r="J635" s="18"/>
      <c r="L635" s="6"/>
      <c r="AF635" s="19"/>
      <c r="AG635" s="19"/>
      <c r="AH635" s="20"/>
      <c r="AI635" s="19"/>
      <c r="AK635" s="19"/>
      <c r="AL635" s="19"/>
      <c r="AM635" s="19"/>
      <c r="AN635" s="19"/>
      <c r="AO635" s="19"/>
      <c r="AZ635" s="19"/>
      <c r="BA635" s="19"/>
      <c r="BB635" s="20"/>
      <c r="BC635" s="19"/>
      <c r="BE635" s="19"/>
      <c r="BF635" s="19"/>
      <c r="BG635" s="19"/>
      <c r="BH635" s="19"/>
      <c r="BI635" s="19"/>
      <c r="BJ635" s="19"/>
      <c r="BK635" s="19"/>
      <c r="BL635" s="19"/>
    </row>
    <row r="636" spans="2:64" ht="14" x14ac:dyDescent="0.2">
      <c r="B636" s="1"/>
      <c r="C636" s="1"/>
      <c r="D636" s="1"/>
      <c r="E636" s="1"/>
      <c r="H636" s="18"/>
      <c r="I636" s="18"/>
      <c r="J636" s="18"/>
      <c r="L636" s="6"/>
      <c r="AF636" s="19"/>
      <c r="AG636" s="19"/>
      <c r="AH636" s="20"/>
      <c r="AI636" s="19"/>
      <c r="AK636" s="19"/>
      <c r="AL636" s="19"/>
      <c r="AM636" s="19"/>
      <c r="AN636" s="19"/>
      <c r="AO636" s="19"/>
      <c r="AZ636" s="19"/>
      <c r="BA636" s="19"/>
      <c r="BB636" s="20"/>
      <c r="BC636" s="19"/>
      <c r="BE636" s="19"/>
      <c r="BF636" s="19"/>
      <c r="BG636" s="19"/>
      <c r="BH636" s="19"/>
      <c r="BI636" s="19"/>
      <c r="BJ636" s="19"/>
      <c r="BK636" s="19"/>
      <c r="BL636" s="19"/>
    </row>
    <row r="637" spans="2:64" ht="14" x14ac:dyDescent="0.2">
      <c r="B637" s="1"/>
      <c r="C637" s="1"/>
      <c r="D637" s="1"/>
      <c r="E637" s="1"/>
      <c r="H637" s="18"/>
      <c r="I637" s="18"/>
      <c r="J637" s="18"/>
      <c r="L637" s="6"/>
      <c r="AF637" s="19"/>
      <c r="AG637" s="19"/>
      <c r="AH637" s="20"/>
      <c r="AI637" s="19"/>
      <c r="AK637" s="19"/>
      <c r="AL637" s="19"/>
      <c r="AM637" s="19"/>
      <c r="AN637" s="19"/>
      <c r="AO637" s="19"/>
      <c r="AZ637" s="19"/>
      <c r="BA637" s="19"/>
      <c r="BB637" s="20"/>
      <c r="BC637" s="19"/>
      <c r="BE637" s="19"/>
      <c r="BF637" s="19"/>
      <c r="BG637" s="19"/>
      <c r="BH637" s="19"/>
      <c r="BI637" s="19"/>
      <c r="BJ637" s="19"/>
      <c r="BK637" s="19"/>
      <c r="BL637" s="19"/>
    </row>
    <row r="638" spans="2:64" ht="14" x14ac:dyDescent="0.2">
      <c r="B638" s="1"/>
      <c r="C638" s="1"/>
      <c r="D638" s="1"/>
      <c r="E638" s="1"/>
      <c r="H638" s="18"/>
      <c r="I638" s="18"/>
      <c r="J638" s="18"/>
      <c r="L638" s="6"/>
      <c r="AF638" s="19"/>
      <c r="AG638" s="19"/>
      <c r="AH638" s="20"/>
      <c r="AI638" s="19"/>
      <c r="AK638" s="19"/>
      <c r="AL638" s="19"/>
      <c r="AM638" s="19"/>
      <c r="AN638" s="19"/>
      <c r="AO638" s="19"/>
      <c r="AZ638" s="19"/>
      <c r="BA638" s="19"/>
      <c r="BB638" s="20"/>
      <c r="BC638" s="19"/>
      <c r="BE638" s="19"/>
      <c r="BF638" s="19"/>
      <c r="BG638" s="19"/>
      <c r="BH638" s="19"/>
      <c r="BI638" s="19"/>
      <c r="BJ638" s="19"/>
      <c r="BK638" s="19"/>
      <c r="BL638" s="19"/>
    </row>
    <row r="639" spans="2:64" ht="14" x14ac:dyDescent="0.2">
      <c r="B639" s="1"/>
      <c r="C639" s="1"/>
      <c r="D639" s="1"/>
      <c r="E639" s="1"/>
      <c r="H639" s="18"/>
      <c r="I639" s="18"/>
      <c r="J639" s="18"/>
      <c r="L639" s="6"/>
      <c r="AF639" s="19"/>
      <c r="AG639" s="19"/>
      <c r="AH639" s="20"/>
      <c r="AI639" s="19"/>
      <c r="AK639" s="19"/>
      <c r="AL639" s="19"/>
      <c r="AM639" s="19"/>
      <c r="AN639" s="19"/>
      <c r="AO639" s="19"/>
      <c r="AZ639" s="19"/>
      <c r="BA639" s="19"/>
      <c r="BB639" s="20"/>
      <c r="BC639" s="19"/>
      <c r="BE639" s="19"/>
      <c r="BF639" s="19"/>
      <c r="BG639" s="19"/>
      <c r="BH639" s="19"/>
      <c r="BI639" s="19"/>
      <c r="BJ639" s="19"/>
      <c r="BK639" s="19"/>
      <c r="BL639" s="19"/>
    </row>
    <row r="640" spans="2:64" ht="14" x14ac:dyDescent="0.2">
      <c r="B640" s="1"/>
      <c r="C640" s="1"/>
      <c r="D640" s="1"/>
      <c r="E640" s="1"/>
      <c r="H640" s="18"/>
      <c r="I640" s="18"/>
      <c r="J640" s="18"/>
      <c r="L640" s="6"/>
      <c r="AF640" s="19"/>
      <c r="AG640" s="19"/>
      <c r="AH640" s="20"/>
      <c r="AI640" s="19"/>
      <c r="AK640" s="19"/>
      <c r="AL640" s="19"/>
      <c r="AM640" s="19"/>
      <c r="AN640" s="19"/>
      <c r="AO640" s="19"/>
      <c r="AZ640" s="19"/>
      <c r="BA640" s="19"/>
      <c r="BB640" s="20"/>
      <c r="BC640" s="19"/>
      <c r="BE640" s="19"/>
      <c r="BF640" s="19"/>
      <c r="BG640" s="19"/>
      <c r="BH640" s="19"/>
      <c r="BI640" s="19"/>
      <c r="BJ640" s="19"/>
      <c r="BK640" s="19"/>
      <c r="BL640" s="19"/>
    </row>
    <row r="641" spans="2:64" ht="14" x14ac:dyDescent="0.2">
      <c r="B641" s="1"/>
      <c r="C641" s="1"/>
      <c r="D641" s="1"/>
      <c r="E641" s="1"/>
      <c r="H641" s="18"/>
      <c r="I641" s="18"/>
      <c r="J641" s="18"/>
      <c r="L641" s="6"/>
      <c r="AF641" s="19"/>
      <c r="AG641" s="19"/>
      <c r="AH641" s="20"/>
      <c r="AI641" s="19"/>
      <c r="AK641" s="19"/>
      <c r="AL641" s="19"/>
      <c r="AM641" s="19"/>
      <c r="AN641" s="19"/>
      <c r="AO641" s="19"/>
      <c r="AZ641" s="19"/>
      <c r="BA641" s="19"/>
      <c r="BB641" s="20"/>
      <c r="BC641" s="19"/>
      <c r="BE641" s="19"/>
      <c r="BF641" s="19"/>
      <c r="BG641" s="19"/>
      <c r="BH641" s="19"/>
      <c r="BI641" s="19"/>
      <c r="BJ641" s="19"/>
      <c r="BK641" s="19"/>
      <c r="BL641" s="19"/>
    </row>
    <row r="642" spans="2:64" ht="14" x14ac:dyDescent="0.2">
      <c r="B642" s="1"/>
      <c r="C642" s="1"/>
      <c r="D642" s="1"/>
      <c r="E642" s="1"/>
      <c r="H642" s="18"/>
      <c r="I642" s="18"/>
      <c r="J642" s="18"/>
      <c r="L642" s="6"/>
      <c r="AF642" s="19"/>
      <c r="AG642" s="19"/>
      <c r="AH642" s="20"/>
      <c r="AI642" s="19"/>
      <c r="AK642" s="19"/>
      <c r="AL642" s="19"/>
      <c r="AM642" s="19"/>
      <c r="AN642" s="19"/>
      <c r="AO642" s="19"/>
      <c r="AZ642" s="19"/>
      <c r="BA642" s="19"/>
      <c r="BB642" s="20"/>
      <c r="BC642" s="19"/>
      <c r="BE642" s="19"/>
      <c r="BF642" s="19"/>
      <c r="BG642" s="19"/>
      <c r="BH642" s="19"/>
      <c r="BI642" s="19"/>
      <c r="BJ642" s="19"/>
      <c r="BK642" s="19"/>
      <c r="BL642" s="19"/>
    </row>
    <row r="643" spans="2:64" ht="14" x14ac:dyDescent="0.2">
      <c r="B643" s="1"/>
      <c r="C643" s="1"/>
      <c r="D643" s="1"/>
      <c r="E643" s="1"/>
      <c r="H643" s="18"/>
      <c r="I643" s="18"/>
      <c r="J643" s="18"/>
      <c r="L643" s="6"/>
      <c r="AF643" s="19"/>
      <c r="AG643" s="19"/>
      <c r="AH643" s="20"/>
      <c r="AI643" s="19"/>
      <c r="AK643" s="19"/>
      <c r="AL643" s="19"/>
      <c r="AM643" s="19"/>
      <c r="AN643" s="19"/>
      <c r="AO643" s="19"/>
      <c r="AZ643" s="19"/>
      <c r="BA643" s="19"/>
      <c r="BB643" s="20"/>
      <c r="BC643" s="19"/>
      <c r="BE643" s="19"/>
      <c r="BF643" s="19"/>
      <c r="BG643" s="19"/>
      <c r="BH643" s="19"/>
      <c r="BI643" s="19"/>
      <c r="BJ643" s="19"/>
      <c r="BK643" s="19"/>
      <c r="BL643" s="19"/>
    </row>
    <row r="644" spans="2:64" ht="14" x14ac:dyDescent="0.2">
      <c r="B644" s="1"/>
      <c r="C644" s="1"/>
      <c r="D644" s="1"/>
      <c r="E644" s="1"/>
      <c r="H644" s="18"/>
      <c r="I644" s="18"/>
      <c r="J644" s="18"/>
      <c r="L644" s="6"/>
      <c r="AF644" s="19"/>
      <c r="AG644" s="19"/>
      <c r="AH644" s="20"/>
      <c r="AI644" s="19"/>
      <c r="AK644" s="19"/>
      <c r="AL644" s="19"/>
      <c r="AM644" s="19"/>
      <c r="AN644" s="19"/>
      <c r="AO644" s="19"/>
      <c r="AZ644" s="19"/>
      <c r="BA644" s="19"/>
      <c r="BB644" s="20"/>
      <c r="BC644" s="19"/>
      <c r="BE644" s="19"/>
      <c r="BF644" s="19"/>
      <c r="BG644" s="19"/>
      <c r="BH644" s="19"/>
      <c r="BI644" s="19"/>
      <c r="BJ644" s="19"/>
      <c r="BK644" s="19"/>
      <c r="BL644" s="19"/>
    </row>
    <row r="645" spans="2:64" ht="14" x14ac:dyDescent="0.2">
      <c r="B645" s="1"/>
      <c r="C645" s="1"/>
      <c r="D645" s="1"/>
      <c r="E645" s="1"/>
      <c r="H645" s="18"/>
      <c r="I645" s="18"/>
      <c r="J645" s="18"/>
      <c r="L645" s="6"/>
      <c r="AF645" s="19"/>
      <c r="AG645" s="19"/>
      <c r="AH645" s="20"/>
      <c r="AI645" s="19"/>
      <c r="AK645" s="19"/>
      <c r="AL645" s="19"/>
      <c r="AM645" s="19"/>
      <c r="AN645" s="19"/>
      <c r="AO645" s="19"/>
      <c r="AZ645" s="19"/>
      <c r="BA645" s="19"/>
      <c r="BB645" s="20"/>
      <c r="BC645" s="19"/>
      <c r="BE645" s="19"/>
      <c r="BF645" s="19"/>
      <c r="BG645" s="19"/>
      <c r="BH645" s="19"/>
      <c r="BI645" s="19"/>
      <c r="BJ645" s="19"/>
      <c r="BK645" s="19"/>
      <c r="BL645" s="19"/>
    </row>
    <row r="646" spans="2:64" ht="14" x14ac:dyDescent="0.2">
      <c r="B646" s="1"/>
      <c r="C646" s="1"/>
      <c r="D646" s="1"/>
      <c r="E646" s="1"/>
      <c r="H646" s="18"/>
      <c r="I646" s="18"/>
      <c r="J646" s="18"/>
      <c r="L646" s="6"/>
      <c r="AF646" s="19"/>
      <c r="AG646" s="19"/>
      <c r="AH646" s="20"/>
      <c r="AI646" s="19"/>
      <c r="AK646" s="19"/>
      <c r="AL646" s="19"/>
      <c r="AM646" s="19"/>
      <c r="AN646" s="19"/>
      <c r="AO646" s="19"/>
      <c r="AZ646" s="19"/>
      <c r="BA646" s="19"/>
      <c r="BB646" s="20"/>
      <c r="BC646" s="19"/>
      <c r="BE646" s="19"/>
      <c r="BF646" s="19"/>
      <c r="BG646" s="19"/>
      <c r="BH646" s="19"/>
      <c r="BI646" s="19"/>
      <c r="BJ646" s="19"/>
      <c r="BK646" s="19"/>
      <c r="BL646" s="19"/>
    </row>
    <row r="647" spans="2:64" ht="14" x14ac:dyDescent="0.2">
      <c r="B647" s="1"/>
      <c r="C647" s="1"/>
      <c r="D647" s="1"/>
      <c r="E647" s="1"/>
      <c r="H647" s="18"/>
      <c r="I647" s="18"/>
      <c r="J647" s="18"/>
      <c r="L647" s="6"/>
      <c r="AF647" s="19"/>
      <c r="AG647" s="19"/>
      <c r="AH647" s="20"/>
      <c r="AI647" s="19"/>
      <c r="AK647" s="19"/>
      <c r="AL647" s="19"/>
      <c r="AM647" s="19"/>
      <c r="AN647" s="19"/>
      <c r="AO647" s="19"/>
      <c r="AZ647" s="19"/>
      <c r="BA647" s="19"/>
      <c r="BB647" s="20"/>
      <c r="BC647" s="19"/>
      <c r="BE647" s="19"/>
      <c r="BF647" s="19"/>
      <c r="BG647" s="19"/>
      <c r="BH647" s="19"/>
      <c r="BI647" s="19"/>
      <c r="BJ647" s="19"/>
      <c r="BK647" s="19"/>
      <c r="BL647" s="19"/>
    </row>
    <row r="648" spans="2:64" ht="14" x14ac:dyDescent="0.2">
      <c r="B648" s="1"/>
      <c r="C648" s="1"/>
      <c r="D648" s="1"/>
      <c r="E648" s="1"/>
      <c r="H648" s="18"/>
      <c r="I648" s="18"/>
      <c r="J648" s="18"/>
      <c r="L648" s="6"/>
      <c r="AF648" s="19"/>
      <c r="AG648" s="19"/>
      <c r="AH648" s="20"/>
      <c r="AI648" s="19"/>
      <c r="AK648" s="19"/>
      <c r="AL648" s="19"/>
      <c r="AM648" s="19"/>
      <c r="AN648" s="19"/>
      <c r="AO648" s="19"/>
      <c r="AZ648" s="19"/>
      <c r="BA648" s="19"/>
      <c r="BB648" s="20"/>
      <c r="BC648" s="19"/>
      <c r="BE648" s="19"/>
      <c r="BF648" s="19"/>
      <c r="BG648" s="19"/>
      <c r="BH648" s="19"/>
      <c r="BI648" s="19"/>
      <c r="BJ648" s="19"/>
      <c r="BK648" s="19"/>
      <c r="BL648" s="19"/>
    </row>
    <row r="649" spans="2:64" ht="14" x14ac:dyDescent="0.2">
      <c r="B649" s="1"/>
      <c r="C649" s="1"/>
      <c r="D649" s="1"/>
      <c r="E649" s="1"/>
      <c r="H649" s="18"/>
      <c r="I649" s="18"/>
      <c r="J649" s="18"/>
      <c r="L649" s="6"/>
      <c r="AF649" s="19"/>
      <c r="AG649" s="19"/>
      <c r="AH649" s="20"/>
      <c r="AI649" s="19"/>
      <c r="AK649" s="19"/>
      <c r="AL649" s="19"/>
      <c r="AM649" s="19"/>
      <c r="AN649" s="19"/>
      <c r="AO649" s="19"/>
      <c r="AZ649" s="19"/>
      <c r="BA649" s="19"/>
      <c r="BB649" s="20"/>
      <c r="BC649" s="19"/>
      <c r="BE649" s="19"/>
      <c r="BF649" s="19"/>
      <c r="BG649" s="19"/>
      <c r="BH649" s="19"/>
      <c r="BI649" s="19"/>
      <c r="BJ649" s="19"/>
      <c r="BK649" s="19"/>
      <c r="BL649" s="19"/>
    </row>
    <row r="650" spans="2:64" ht="14" x14ac:dyDescent="0.2">
      <c r="B650" s="1"/>
      <c r="C650" s="1"/>
      <c r="D650" s="1"/>
      <c r="E650" s="1"/>
      <c r="H650" s="18"/>
      <c r="I650" s="18"/>
      <c r="J650" s="18"/>
      <c r="L650" s="6"/>
      <c r="AF650" s="19"/>
      <c r="AG650" s="19"/>
      <c r="AH650" s="20"/>
      <c r="AI650" s="19"/>
      <c r="AK650" s="19"/>
      <c r="AL650" s="19"/>
      <c r="AM650" s="19"/>
      <c r="AN650" s="19"/>
      <c r="AO650" s="19"/>
      <c r="AZ650" s="19"/>
      <c r="BA650" s="19"/>
      <c r="BB650" s="20"/>
      <c r="BC650" s="19"/>
      <c r="BE650" s="19"/>
      <c r="BF650" s="19"/>
      <c r="BG650" s="19"/>
      <c r="BH650" s="19"/>
      <c r="BI650" s="19"/>
      <c r="BJ650" s="19"/>
      <c r="BK650" s="19"/>
      <c r="BL650" s="19"/>
    </row>
    <row r="651" spans="2:64" ht="14" x14ac:dyDescent="0.2">
      <c r="B651" s="1"/>
      <c r="C651" s="1"/>
      <c r="D651" s="1"/>
      <c r="E651" s="1"/>
      <c r="H651" s="18"/>
      <c r="I651" s="18"/>
      <c r="J651" s="18"/>
      <c r="L651" s="6"/>
      <c r="AF651" s="19"/>
      <c r="AG651" s="19"/>
      <c r="AH651" s="20"/>
      <c r="AI651" s="19"/>
      <c r="AK651" s="19"/>
      <c r="AL651" s="19"/>
      <c r="AM651" s="19"/>
      <c r="AN651" s="19"/>
      <c r="AO651" s="19"/>
      <c r="AZ651" s="19"/>
      <c r="BA651" s="19"/>
      <c r="BB651" s="20"/>
      <c r="BC651" s="19"/>
      <c r="BE651" s="19"/>
      <c r="BF651" s="19"/>
      <c r="BG651" s="19"/>
      <c r="BH651" s="19"/>
      <c r="BI651" s="19"/>
      <c r="BJ651" s="19"/>
      <c r="BK651" s="19"/>
      <c r="BL651" s="19"/>
    </row>
    <row r="652" spans="2:64" ht="14" x14ac:dyDescent="0.2">
      <c r="B652" s="1"/>
      <c r="C652" s="1"/>
      <c r="D652" s="1"/>
      <c r="E652" s="1"/>
      <c r="H652" s="18"/>
      <c r="I652" s="18"/>
      <c r="J652" s="18"/>
      <c r="L652" s="6"/>
      <c r="AF652" s="19"/>
      <c r="AG652" s="19"/>
      <c r="AH652" s="20"/>
      <c r="AI652" s="19"/>
      <c r="AK652" s="19"/>
      <c r="AL652" s="19"/>
      <c r="AM652" s="19"/>
      <c r="AN652" s="19"/>
      <c r="AO652" s="19"/>
      <c r="AZ652" s="19"/>
      <c r="BA652" s="19"/>
      <c r="BB652" s="20"/>
      <c r="BC652" s="19"/>
      <c r="BE652" s="19"/>
      <c r="BF652" s="19"/>
      <c r="BG652" s="19"/>
      <c r="BH652" s="19"/>
      <c r="BI652" s="19"/>
      <c r="BJ652" s="19"/>
      <c r="BK652" s="19"/>
      <c r="BL652" s="19"/>
    </row>
    <row r="653" spans="2:64" ht="14" x14ac:dyDescent="0.2">
      <c r="B653" s="1"/>
      <c r="C653" s="1"/>
      <c r="D653" s="1"/>
      <c r="E653" s="1"/>
      <c r="H653" s="18"/>
      <c r="I653" s="18"/>
      <c r="J653" s="18"/>
      <c r="L653" s="6"/>
      <c r="AF653" s="19"/>
      <c r="AG653" s="19"/>
      <c r="AH653" s="20"/>
      <c r="AI653" s="19"/>
      <c r="AK653" s="19"/>
      <c r="AL653" s="19"/>
      <c r="AM653" s="19"/>
      <c r="AN653" s="19"/>
      <c r="AO653" s="19"/>
      <c r="AZ653" s="19"/>
      <c r="BA653" s="19"/>
      <c r="BB653" s="20"/>
      <c r="BC653" s="19"/>
      <c r="BE653" s="19"/>
      <c r="BF653" s="19"/>
      <c r="BG653" s="19"/>
      <c r="BH653" s="19"/>
      <c r="BI653" s="19"/>
      <c r="BJ653" s="19"/>
      <c r="BK653" s="19"/>
      <c r="BL653" s="19"/>
    </row>
    <row r="654" spans="2:64" ht="14" x14ac:dyDescent="0.2">
      <c r="B654" s="1"/>
      <c r="C654" s="1"/>
      <c r="D654" s="1"/>
      <c r="E654" s="1"/>
      <c r="H654" s="18"/>
      <c r="I654" s="18"/>
      <c r="J654" s="18"/>
      <c r="L654" s="6"/>
      <c r="AF654" s="19"/>
      <c r="AG654" s="19"/>
      <c r="AH654" s="20"/>
      <c r="AI654" s="19"/>
      <c r="AK654" s="19"/>
      <c r="AL654" s="19"/>
      <c r="AM654" s="19"/>
      <c r="AN654" s="19"/>
      <c r="AO654" s="19"/>
      <c r="AZ654" s="19"/>
      <c r="BA654" s="19"/>
      <c r="BB654" s="20"/>
      <c r="BC654" s="19"/>
      <c r="BE654" s="19"/>
      <c r="BF654" s="19"/>
      <c r="BG654" s="19"/>
      <c r="BH654" s="19"/>
      <c r="BI654" s="19"/>
      <c r="BJ654" s="19"/>
      <c r="BK654" s="19"/>
      <c r="BL654" s="19"/>
    </row>
    <row r="655" spans="2:64" ht="14" x14ac:dyDescent="0.2">
      <c r="B655" s="1"/>
      <c r="C655" s="1"/>
      <c r="D655" s="1"/>
      <c r="E655" s="1"/>
      <c r="H655" s="18"/>
      <c r="I655" s="18"/>
      <c r="J655" s="18"/>
      <c r="L655" s="6"/>
      <c r="AF655" s="19"/>
      <c r="AG655" s="19"/>
      <c r="AH655" s="20"/>
      <c r="AI655" s="19"/>
      <c r="AK655" s="19"/>
      <c r="AL655" s="19"/>
      <c r="AM655" s="19"/>
      <c r="AN655" s="19"/>
      <c r="AO655" s="19"/>
      <c r="AZ655" s="19"/>
      <c r="BA655" s="19"/>
      <c r="BB655" s="20"/>
      <c r="BC655" s="19"/>
      <c r="BE655" s="19"/>
      <c r="BF655" s="19"/>
      <c r="BG655" s="19"/>
      <c r="BH655" s="19"/>
      <c r="BI655" s="19"/>
      <c r="BJ655" s="19"/>
      <c r="BK655" s="19"/>
      <c r="BL655" s="19"/>
    </row>
    <row r="656" spans="2:64" ht="14" x14ac:dyDescent="0.2">
      <c r="B656" s="1"/>
      <c r="C656" s="1"/>
      <c r="D656" s="1"/>
      <c r="E656" s="1"/>
      <c r="H656" s="18"/>
      <c r="I656" s="18"/>
      <c r="J656" s="18"/>
      <c r="L656" s="6"/>
      <c r="AF656" s="19"/>
      <c r="AG656" s="19"/>
      <c r="AH656" s="20"/>
      <c r="AI656" s="19"/>
      <c r="AK656" s="19"/>
      <c r="AL656" s="19"/>
      <c r="AM656" s="19"/>
      <c r="AN656" s="19"/>
      <c r="AO656" s="19"/>
      <c r="AZ656" s="19"/>
      <c r="BA656" s="19"/>
      <c r="BB656" s="20"/>
      <c r="BC656" s="19"/>
      <c r="BE656" s="19"/>
      <c r="BF656" s="19"/>
      <c r="BG656" s="19"/>
      <c r="BH656" s="19"/>
      <c r="BI656" s="19"/>
      <c r="BJ656" s="19"/>
      <c r="BK656" s="19"/>
      <c r="BL656" s="19"/>
    </row>
    <row r="657" spans="2:64" ht="14" x14ac:dyDescent="0.2">
      <c r="B657" s="1"/>
      <c r="C657" s="1"/>
      <c r="D657" s="1"/>
      <c r="E657" s="1"/>
      <c r="H657" s="18"/>
      <c r="I657" s="18"/>
      <c r="J657" s="18"/>
      <c r="L657" s="6"/>
      <c r="AF657" s="19"/>
      <c r="AG657" s="19"/>
      <c r="AH657" s="20"/>
      <c r="AI657" s="19"/>
      <c r="AK657" s="19"/>
      <c r="AL657" s="19"/>
      <c r="AM657" s="19"/>
      <c r="AN657" s="19"/>
      <c r="AO657" s="19"/>
      <c r="AZ657" s="19"/>
      <c r="BA657" s="19"/>
      <c r="BB657" s="20"/>
      <c r="BC657" s="19"/>
      <c r="BE657" s="19"/>
      <c r="BF657" s="19"/>
      <c r="BG657" s="19"/>
      <c r="BH657" s="19"/>
      <c r="BI657" s="19"/>
      <c r="BJ657" s="19"/>
      <c r="BK657" s="19"/>
      <c r="BL657" s="19"/>
    </row>
    <row r="658" spans="2:64" ht="14" x14ac:dyDescent="0.2">
      <c r="B658" s="1"/>
      <c r="C658" s="1"/>
      <c r="D658" s="1"/>
      <c r="E658" s="1"/>
      <c r="H658" s="18"/>
      <c r="I658" s="18"/>
      <c r="J658" s="18"/>
      <c r="L658" s="6"/>
      <c r="AF658" s="19"/>
      <c r="AG658" s="19"/>
      <c r="AH658" s="20"/>
      <c r="AI658" s="19"/>
      <c r="AK658" s="19"/>
      <c r="AL658" s="19"/>
      <c r="AM658" s="19"/>
      <c r="AN658" s="19"/>
      <c r="AO658" s="19"/>
      <c r="AZ658" s="19"/>
      <c r="BA658" s="19"/>
      <c r="BB658" s="20"/>
      <c r="BC658" s="19"/>
      <c r="BE658" s="19"/>
      <c r="BF658" s="19"/>
      <c r="BG658" s="19"/>
      <c r="BH658" s="19"/>
      <c r="BI658" s="19"/>
      <c r="BJ658" s="19"/>
      <c r="BK658" s="19"/>
      <c r="BL658" s="19"/>
    </row>
    <row r="659" spans="2:64" ht="14" x14ac:dyDescent="0.2">
      <c r="B659" s="1"/>
      <c r="C659" s="1"/>
      <c r="D659" s="1"/>
      <c r="E659" s="1"/>
      <c r="H659" s="18"/>
      <c r="I659" s="18"/>
      <c r="J659" s="18"/>
      <c r="L659" s="6"/>
      <c r="AF659" s="19"/>
      <c r="AG659" s="19"/>
      <c r="AH659" s="20"/>
      <c r="AI659" s="19"/>
      <c r="AK659" s="19"/>
      <c r="AL659" s="19"/>
      <c r="AM659" s="19"/>
      <c r="AN659" s="19"/>
      <c r="AO659" s="19"/>
      <c r="AZ659" s="19"/>
      <c r="BA659" s="19"/>
      <c r="BB659" s="20"/>
      <c r="BC659" s="19"/>
      <c r="BE659" s="19"/>
      <c r="BF659" s="19"/>
      <c r="BG659" s="19"/>
      <c r="BH659" s="19"/>
      <c r="BI659" s="19"/>
      <c r="BJ659" s="19"/>
      <c r="BK659" s="19"/>
      <c r="BL659" s="19"/>
    </row>
    <row r="660" spans="2:64" ht="14" x14ac:dyDescent="0.2">
      <c r="B660" s="1"/>
      <c r="C660" s="1"/>
      <c r="D660" s="1"/>
      <c r="E660" s="1"/>
      <c r="H660" s="18"/>
      <c r="I660" s="18"/>
      <c r="J660" s="18"/>
      <c r="L660" s="6"/>
      <c r="AF660" s="19"/>
      <c r="AG660" s="19"/>
      <c r="AH660" s="20"/>
      <c r="AI660" s="19"/>
      <c r="AK660" s="19"/>
      <c r="AL660" s="19"/>
      <c r="AM660" s="19"/>
      <c r="AN660" s="19"/>
      <c r="AO660" s="19"/>
      <c r="AZ660" s="19"/>
      <c r="BA660" s="19"/>
      <c r="BB660" s="20"/>
      <c r="BC660" s="19"/>
      <c r="BE660" s="19"/>
      <c r="BF660" s="19"/>
      <c r="BG660" s="19"/>
      <c r="BH660" s="19"/>
      <c r="BI660" s="19"/>
      <c r="BJ660" s="19"/>
      <c r="BK660" s="19"/>
      <c r="BL660" s="19"/>
    </row>
    <row r="661" spans="2:64" ht="14" x14ac:dyDescent="0.2">
      <c r="B661" s="1"/>
      <c r="C661" s="1"/>
      <c r="D661" s="1"/>
      <c r="E661" s="1"/>
      <c r="H661" s="18"/>
      <c r="I661" s="18"/>
      <c r="J661" s="18"/>
      <c r="L661" s="6"/>
      <c r="AF661" s="19"/>
      <c r="AG661" s="19"/>
      <c r="AH661" s="20"/>
      <c r="AI661" s="19"/>
      <c r="AK661" s="19"/>
      <c r="AL661" s="19"/>
      <c r="AM661" s="19"/>
      <c r="AN661" s="19"/>
      <c r="AO661" s="19"/>
      <c r="AZ661" s="19"/>
      <c r="BA661" s="19"/>
      <c r="BB661" s="20"/>
      <c r="BC661" s="19"/>
      <c r="BE661" s="19"/>
      <c r="BF661" s="19"/>
      <c r="BG661" s="19"/>
      <c r="BH661" s="19"/>
      <c r="BI661" s="19"/>
      <c r="BJ661" s="19"/>
      <c r="BK661" s="19"/>
      <c r="BL661" s="19"/>
    </row>
    <row r="662" spans="2:64" ht="14" x14ac:dyDescent="0.2">
      <c r="B662" s="1"/>
      <c r="C662" s="1"/>
      <c r="D662" s="1"/>
      <c r="E662" s="1"/>
      <c r="H662" s="18"/>
      <c r="I662" s="18"/>
      <c r="J662" s="18"/>
      <c r="L662" s="6"/>
      <c r="AF662" s="19"/>
      <c r="AG662" s="19"/>
      <c r="AH662" s="20"/>
      <c r="AI662" s="19"/>
      <c r="AK662" s="19"/>
      <c r="AL662" s="19"/>
      <c r="AM662" s="19"/>
      <c r="AN662" s="19"/>
      <c r="AO662" s="19"/>
      <c r="AZ662" s="19"/>
      <c r="BA662" s="19"/>
      <c r="BB662" s="20"/>
      <c r="BC662" s="19"/>
      <c r="BE662" s="19"/>
      <c r="BF662" s="19"/>
      <c r="BG662" s="19"/>
      <c r="BH662" s="19"/>
      <c r="BI662" s="19"/>
      <c r="BJ662" s="19"/>
      <c r="BK662" s="19"/>
      <c r="BL662" s="19"/>
    </row>
    <row r="663" spans="2:64" ht="14" x14ac:dyDescent="0.2">
      <c r="B663" s="1"/>
      <c r="C663" s="1"/>
      <c r="D663" s="1"/>
      <c r="E663" s="1"/>
      <c r="H663" s="18"/>
      <c r="I663" s="18"/>
      <c r="J663" s="18"/>
      <c r="L663" s="6"/>
      <c r="AF663" s="19"/>
      <c r="AG663" s="19"/>
      <c r="AH663" s="20"/>
      <c r="AI663" s="19"/>
      <c r="AK663" s="19"/>
      <c r="AL663" s="19"/>
      <c r="AM663" s="19"/>
      <c r="AN663" s="19"/>
      <c r="AO663" s="19"/>
      <c r="AZ663" s="19"/>
      <c r="BA663" s="19"/>
      <c r="BB663" s="20"/>
      <c r="BC663" s="19"/>
      <c r="BE663" s="19"/>
      <c r="BF663" s="19"/>
      <c r="BG663" s="19"/>
      <c r="BH663" s="19"/>
      <c r="BI663" s="19"/>
      <c r="BJ663" s="19"/>
      <c r="BK663" s="19"/>
      <c r="BL663" s="19"/>
    </row>
    <row r="664" spans="2:64" ht="14" x14ac:dyDescent="0.2">
      <c r="B664" s="1"/>
      <c r="C664" s="1"/>
      <c r="D664" s="1"/>
      <c r="E664" s="1"/>
      <c r="H664" s="18"/>
      <c r="I664" s="18"/>
      <c r="J664" s="18"/>
      <c r="L664" s="6"/>
      <c r="AF664" s="19"/>
      <c r="AG664" s="19"/>
      <c r="AH664" s="20"/>
      <c r="AI664" s="19"/>
      <c r="AK664" s="19"/>
      <c r="AL664" s="19"/>
      <c r="AM664" s="19"/>
      <c r="AN664" s="19"/>
      <c r="AO664" s="19"/>
      <c r="AZ664" s="19"/>
      <c r="BA664" s="19"/>
      <c r="BB664" s="20"/>
      <c r="BC664" s="19"/>
      <c r="BE664" s="19"/>
      <c r="BF664" s="19"/>
      <c r="BG664" s="19"/>
      <c r="BH664" s="19"/>
      <c r="BI664" s="19"/>
      <c r="BJ664" s="19"/>
      <c r="BK664" s="19"/>
      <c r="BL664" s="19"/>
    </row>
    <row r="665" spans="2:64" ht="14" x14ac:dyDescent="0.2">
      <c r="B665" s="1"/>
      <c r="C665" s="1"/>
      <c r="D665" s="1"/>
      <c r="E665" s="1"/>
      <c r="H665" s="18"/>
      <c r="I665" s="18"/>
      <c r="J665" s="18"/>
      <c r="L665" s="6"/>
      <c r="AF665" s="19"/>
      <c r="AG665" s="19"/>
      <c r="AH665" s="20"/>
      <c r="AI665" s="19"/>
      <c r="AK665" s="19"/>
      <c r="AL665" s="19"/>
      <c r="AM665" s="19"/>
      <c r="AN665" s="19"/>
      <c r="AO665" s="19"/>
      <c r="AZ665" s="19"/>
      <c r="BA665" s="19"/>
      <c r="BB665" s="20"/>
      <c r="BC665" s="19"/>
      <c r="BE665" s="19"/>
      <c r="BF665" s="19"/>
      <c r="BG665" s="19"/>
      <c r="BH665" s="19"/>
      <c r="BI665" s="19"/>
      <c r="BJ665" s="19"/>
      <c r="BK665" s="19"/>
      <c r="BL665" s="19"/>
    </row>
    <row r="666" spans="2:64" ht="14" x14ac:dyDescent="0.2">
      <c r="B666" s="1"/>
      <c r="C666" s="1"/>
      <c r="D666" s="1"/>
      <c r="E666" s="1"/>
      <c r="H666" s="18"/>
      <c r="I666" s="18"/>
      <c r="J666" s="18"/>
      <c r="L666" s="6"/>
      <c r="AF666" s="19"/>
      <c r="AG666" s="19"/>
      <c r="AH666" s="20"/>
      <c r="AI666" s="19"/>
      <c r="AK666" s="19"/>
      <c r="AL666" s="19"/>
      <c r="AM666" s="19"/>
      <c r="AN666" s="19"/>
      <c r="AO666" s="19"/>
      <c r="AZ666" s="19"/>
      <c r="BA666" s="19"/>
      <c r="BB666" s="20"/>
      <c r="BC666" s="19"/>
      <c r="BE666" s="19"/>
      <c r="BF666" s="19"/>
      <c r="BG666" s="19"/>
      <c r="BH666" s="19"/>
      <c r="BI666" s="19"/>
      <c r="BJ666" s="19"/>
      <c r="BK666" s="19"/>
      <c r="BL666" s="19"/>
    </row>
    <row r="667" spans="2:64" ht="14" x14ac:dyDescent="0.2">
      <c r="B667" s="1"/>
      <c r="C667" s="1"/>
      <c r="D667" s="1"/>
      <c r="E667" s="1"/>
      <c r="H667" s="18"/>
      <c r="I667" s="18"/>
      <c r="J667" s="18"/>
      <c r="L667" s="6"/>
      <c r="AF667" s="19"/>
      <c r="AG667" s="19"/>
      <c r="AH667" s="20"/>
      <c r="AI667" s="19"/>
      <c r="AK667" s="19"/>
      <c r="AL667" s="19"/>
      <c r="AM667" s="19"/>
      <c r="AN667" s="19"/>
      <c r="AO667" s="19"/>
      <c r="AZ667" s="19"/>
      <c r="BA667" s="19"/>
      <c r="BB667" s="20"/>
      <c r="BC667" s="19"/>
      <c r="BE667" s="19"/>
      <c r="BF667" s="19"/>
      <c r="BG667" s="19"/>
      <c r="BH667" s="19"/>
      <c r="BI667" s="19"/>
      <c r="BJ667" s="19"/>
      <c r="BK667" s="19"/>
      <c r="BL667" s="19"/>
    </row>
    <row r="668" spans="2:64" ht="14" x14ac:dyDescent="0.2">
      <c r="B668" s="1"/>
      <c r="C668" s="1"/>
      <c r="D668" s="1"/>
      <c r="E668" s="1"/>
      <c r="H668" s="18"/>
      <c r="I668" s="18"/>
      <c r="J668" s="18"/>
      <c r="L668" s="6"/>
      <c r="AF668" s="19"/>
      <c r="AG668" s="19"/>
      <c r="AH668" s="20"/>
      <c r="AI668" s="19"/>
      <c r="AK668" s="19"/>
      <c r="AL668" s="19"/>
      <c r="AM668" s="19"/>
      <c r="AN668" s="19"/>
      <c r="AO668" s="19"/>
      <c r="AZ668" s="19"/>
      <c r="BA668" s="19"/>
      <c r="BB668" s="20"/>
      <c r="BC668" s="19"/>
      <c r="BE668" s="19"/>
      <c r="BF668" s="19"/>
      <c r="BG668" s="19"/>
      <c r="BH668" s="19"/>
      <c r="BI668" s="19"/>
      <c r="BJ668" s="19"/>
      <c r="BK668" s="19"/>
      <c r="BL668" s="19"/>
    </row>
    <row r="669" spans="2:64" ht="14" x14ac:dyDescent="0.2">
      <c r="B669" s="1"/>
      <c r="C669" s="1"/>
      <c r="D669" s="1"/>
      <c r="E669" s="1"/>
      <c r="H669" s="18"/>
      <c r="I669" s="18"/>
      <c r="J669" s="18"/>
      <c r="L669" s="6"/>
      <c r="AF669" s="19"/>
      <c r="AG669" s="19"/>
      <c r="AH669" s="20"/>
      <c r="AI669" s="19"/>
      <c r="AK669" s="19"/>
      <c r="AL669" s="19"/>
      <c r="AM669" s="19"/>
      <c r="AN669" s="19"/>
      <c r="AO669" s="19"/>
      <c r="AZ669" s="19"/>
      <c r="BA669" s="19"/>
      <c r="BB669" s="20"/>
      <c r="BC669" s="19"/>
      <c r="BE669" s="19"/>
      <c r="BF669" s="19"/>
      <c r="BG669" s="19"/>
      <c r="BH669" s="19"/>
      <c r="BI669" s="19"/>
      <c r="BJ669" s="19"/>
      <c r="BK669" s="19"/>
      <c r="BL669" s="19"/>
    </row>
    <row r="670" spans="2:64" ht="14" x14ac:dyDescent="0.2">
      <c r="B670" s="1"/>
      <c r="C670" s="1"/>
      <c r="D670" s="1"/>
      <c r="E670" s="1"/>
      <c r="H670" s="18"/>
      <c r="I670" s="18"/>
      <c r="J670" s="18"/>
      <c r="L670" s="6"/>
      <c r="AF670" s="19"/>
      <c r="AG670" s="19"/>
      <c r="AH670" s="20"/>
      <c r="AI670" s="19"/>
      <c r="AK670" s="19"/>
      <c r="AL670" s="19"/>
      <c r="AM670" s="19"/>
      <c r="AN670" s="19"/>
      <c r="AO670" s="19"/>
      <c r="AZ670" s="19"/>
      <c r="BA670" s="19"/>
      <c r="BB670" s="20"/>
      <c r="BC670" s="19"/>
      <c r="BE670" s="19"/>
      <c r="BF670" s="19"/>
      <c r="BG670" s="19"/>
      <c r="BH670" s="19"/>
      <c r="BI670" s="19"/>
      <c r="BJ670" s="19"/>
      <c r="BK670" s="19"/>
      <c r="BL670" s="19"/>
    </row>
    <row r="671" spans="2:64" ht="14" x14ac:dyDescent="0.2">
      <c r="B671" s="1"/>
      <c r="C671" s="1"/>
      <c r="D671" s="1"/>
      <c r="E671" s="1"/>
      <c r="H671" s="18"/>
      <c r="I671" s="18"/>
      <c r="J671" s="18"/>
      <c r="L671" s="6"/>
      <c r="AF671" s="19"/>
      <c r="AG671" s="19"/>
      <c r="AH671" s="20"/>
      <c r="AI671" s="19"/>
      <c r="AK671" s="19"/>
      <c r="AL671" s="19"/>
      <c r="AM671" s="19"/>
      <c r="AN671" s="19"/>
      <c r="AO671" s="19"/>
      <c r="AZ671" s="19"/>
      <c r="BA671" s="19"/>
      <c r="BB671" s="20"/>
      <c r="BC671" s="19"/>
      <c r="BE671" s="19"/>
      <c r="BF671" s="19"/>
      <c r="BG671" s="19"/>
      <c r="BH671" s="19"/>
      <c r="BI671" s="19"/>
      <c r="BJ671" s="19"/>
      <c r="BK671" s="19"/>
      <c r="BL671" s="19"/>
    </row>
    <row r="672" spans="2:64" ht="14" x14ac:dyDescent="0.2">
      <c r="B672" s="1"/>
      <c r="C672" s="1"/>
      <c r="D672" s="1"/>
      <c r="E672" s="1"/>
      <c r="H672" s="18"/>
      <c r="I672" s="18"/>
      <c r="J672" s="18"/>
      <c r="L672" s="6"/>
      <c r="AF672" s="19"/>
      <c r="AG672" s="19"/>
      <c r="AH672" s="20"/>
      <c r="AI672" s="19"/>
      <c r="AK672" s="19"/>
      <c r="AL672" s="19"/>
      <c r="AM672" s="19"/>
      <c r="AN672" s="19"/>
      <c r="AO672" s="19"/>
      <c r="AZ672" s="19"/>
      <c r="BA672" s="19"/>
      <c r="BB672" s="20"/>
      <c r="BC672" s="19"/>
      <c r="BE672" s="19"/>
      <c r="BF672" s="19"/>
      <c r="BG672" s="19"/>
      <c r="BH672" s="19"/>
      <c r="BI672" s="19"/>
      <c r="BJ672" s="19"/>
      <c r="BK672" s="19"/>
      <c r="BL672" s="19"/>
    </row>
    <row r="673" spans="2:64" ht="14" x14ac:dyDescent="0.2">
      <c r="B673" s="1"/>
      <c r="C673" s="1"/>
      <c r="D673" s="1"/>
      <c r="E673" s="1"/>
      <c r="H673" s="18"/>
      <c r="I673" s="18"/>
      <c r="J673" s="18"/>
      <c r="L673" s="6"/>
      <c r="AF673" s="19"/>
      <c r="AG673" s="19"/>
      <c r="AH673" s="20"/>
      <c r="AI673" s="19"/>
      <c r="AK673" s="19"/>
      <c r="AL673" s="19"/>
      <c r="AM673" s="19"/>
      <c r="AN673" s="19"/>
      <c r="AO673" s="19"/>
      <c r="AZ673" s="19"/>
      <c r="BA673" s="19"/>
      <c r="BB673" s="20"/>
      <c r="BC673" s="19"/>
      <c r="BE673" s="19"/>
      <c r="BF673" s="19"/>
      <c r="BG673" s="19"/>
      <c r="BH673" s="19"/>
      <c r="BI673" s="19"/>
      <c r="BJ673" s="19"/>
      <c r="BK673" s="19"/>
      <c r="BL673" s="19"/>
    </row>
    <row r="674" spans="2:64" ht="14" x14ac:dyDescent="0.2">
      <c r="B674" s="1"/>
      <c r="C674" s="1"/>
      <c r="D674" s="1"/>
      <c r="E674" s="1"/>
      <c r="H674" s="18"/>
      <c r="I674" s="18"/>
      <c r="J674" s="18"/>
      <c r="L674" s="6"/>
      <c r="AF674" s="19"/>
      <c r="AG674" s="19"/>
      <c r="AH674" s="20"/>
      <c r="AI674" s="19"/>
      <c r="AK674" s="19"/>
      <c r="AL674" s="19"/>
      <c r="AM674" s="19"/>
      <c r="AN674" s="19"/>
      <c r="AO674" s="19"/>
      <c r="AZ674" s="19"/>
      <c r="BA674" s="19"/>
      <c r="BB674" s="20"/>
      <c r="BC674" s="19"/>
      <c r="BE674" s="19"/>
      <c r="BF674" s="19"/>
      <c r="BG674" s="19"/>
      <c r="BH674" s="19"/>
      <c r="BI674" s="19"/>
      <c r="BJ674" s="19"/>
      <c r="BK674" s="19"/>
      <c r="BL674" s="19"/>
    </row>
    <row r="675" spans="2:64" ht="14" x14ac:dyDescent="0.2">
      <c r="B675" s="1"/>
      <c r="C675" s="1"/>
      <c r="D675" s="1"/>
      <c r="E675" s="1"/>
      <c r="H675" s="18"/>
      <c r="I675" s="18"/>
      <c r="J675" s="18"/>
      <c r="L675" s="6"/>
      <c r="AF675" s="19"/>
      <c r="AG675" s="19"/>
      <c r="AH675" s="20"/>
      <c r="AI675" s="19"/>
      <c r="AK675" s="19"/>
      <c r="AL675" s="19"/>
      <c r="AM675" s="19"/>
      <c r="AN675" s="19"/>
      <c r="AO675" s="19"/>
      <c r="AZ675" s="19"/>
      <c r="BA675" s="19"/>
      <c r="BB675" s="20"/>
      <c r="BC675" s="19"/>
      <c r="BE675" s="19"/>
      <c r="BF675" s="19"/>
      <c r="BG675" s="19"/>
      <c r="BH675" s="19"/>
      <c r="BI675" s="19"/>
      <c r="BJ675" s="19"/>
      <c r="BK675" s="19"/>
      <c r="BL675" s="19"/>
    </row>
    <row r="676" spans="2:64" ht="14" x14ac:dyDescent="0.2">
      <c r="B676" s="1"/>
      <c r="C676" s="1"/>
      <c r="D676" s="1"/>
      <c r="E676" s="1"/>
      <c r="H676" s="18"/>
      <c r="I676" s="18"/>
      <c r="J676" s="18"/>
      <c r="L676" s="6"/>
      <c r="AF676" s="19"/>
      <c r="AG676" s="19"/>
      <c r="AH676" s="20"/>
      <c r="AI676" s="19"/>
      <c r="AK676" s="19"/>
      <c r="AL676" s="19"/>
      <c r="AM676" s="19"/>
      <c r="AN676" s="19"/>
      <c r="AO676" s="19"/>
      <c r="AZ676" s="19"/>
      <c r="BA676" s="19"/>
      <c r="BB676" s="20"/>
      <c r="BC676" s="19"/>
      <c r="BE676" s="19"/>
      <c r="BF676" s="19"/>
      <c r="BG676" s="19"/>
      <c r="BH676" s="19"/>
      <c r="BI676" s="19"/>
      <c r="BJ676" s="19"/>
      <c r="BK676" s="19"/>
      <c r="BL676" s="19"/>
    </row>
    <row r="677" spans="2:64" ht="14" x14ac:dyDescent="0.2">
      <c r="B677" s="1"/>
      <c r="C677" s="1"/>
      <c r="D677" s="1"/>
      <c r="E677" s="1"/>
      <c r="H677" s="18"/>
      <c r="I677" s="18"/>
      <c r="J677" s="18"/>
      <c r="L677" s="6"/>
      <c r="AF677" s="19"/>
      <c r="AG677" s="19"/>
      <c r="AH677" s="20"/>
      <c r="AI677" s="19"/>
      <c r="AK677" s="19"/>
      <c r="AL677" s="19"/>
      <c r="AM677" s="19"/>
      <c r="AN677" s="19"/>
      <c r="AO677" s="19"/>
      <c r="AZ677" s="19"/>
      <c r="BA677" s="19"/>
      <c r="BB677" s="20"/>
      <c r="BC677" s="19"/>
      <c r="BE677" s="19"/>
      <c r="BF677" s="19"/>
      <c r="BG677" s="19"/>
      <c r="BH677" s="19"/>
      <c r="BI677" s="19"/>
      <c r="BJ677" s="19"/>
      <c r="BK677" s="19"/>
      <c r="BL677" s="19"/>
    </row>
    <row r="678" spans="2:64" ht="14" x14ac:dyDescent="0.2">
      <c r="B678" s="1"/>
      <c r="C678" s="1"/>
      <c r="D678" s="1"/>
      <c r="E678" s="1"/>
      <c r="H678" s="18"/>
      <c r="I678" s="18"/>
      <c r="J678" s="18"/>
      <c r="L678" s="6"/>
      <c r="AF678" s="19"/>
      <c r="AG678" s="19"/>
      <c r="AH678" s="20"/>
      <c r="AI678" s="19"/>
      <c r="AK678" s="19"/>
      <c r="AL678" s="19"/>
      <c r="AM678" s="19"/>
      <c r="AN678" s="19"/>
      <c r="AO678" s="19"/>
      <c r="AZ678" s="19"/>
      <c r="BA678" s="19"/>
      <c r="BB678" s="20"/>
      <c r="BC678" s="19"/>
      <c r="BE678" s="19"/>
      <c r="BF678" s="19"/>
      <c r="BG678" s="19"/>
      <c r="BH678" s="19"/>
      <c r="BI678" s="19"/>
      <c r="BJ678" s="19"/>
      <c r="BK678" s="19"/>
      <c r="BL678" s="19"/>
    </row>
    <row r="679" spans="2:64" ht="14" x14ac:dyDescent="0.2">
      <c r="B679" s="1"/>
      <c r="C679" s="1"/>
      <c r="D679" s="1"/>
      <c r="E679" s="1"/>
      <c r="H679" s="18"/>
      <c r="I679" s="18"/>
      <c r="J679" s="18"/>
      <c r="L679" s="6"/>
      <c r="AF679" s="19"/>
      <c r="AG679" s="19"/>
      <c r="AH679" s="20"/>
      <c r="AI679" s="19"/>
      <c r="AK679" s="19"/>
      <c r="AL679" s="19"/>
      <c r="AM679" s="19"/>
      <c r="AN679" s="19"/>
      <c r="AO679" s="19"/>
      <c r="AZ679" s="19"/>
      <c r="BA679" s="19"/>
      <c r="BB679" s="20"/>
      <c r="BC679" s="19"/>
      <c r="BE679" s="19"/>
      <c r="BF679" s="19"/>
      <c r="BG679" s="19"/>
      <c r="BH679" s="19"/>
      <c r="BI679" s="19"/>
      <c r="BJ679" s="19"/>
      <c r="BK679" s="19"/>
      <c r="BL679" s="19"/>
    </row>
    <row r="680" spans="2:64" ht="14" x14ac:dyDescent="0.2">
      <c r="B680" s="1"/>
      <c r="C680" s="1"/>
      <c r="D680" s="1"/>
      <c r="E680" s="1"/>
      <c r="H680" s="18"/>
      <c r="I680" s="18"/>
      <c r="J680" s="18"/>
      <c r="L680" s="6"/>
      <c r="AF680" s="19"/>
      <c r="AG680" s="19"/>
      <c r="AH680" s="20"/>
      <c r="AI680" s="19"/>
      <c r="AK680" s="19"/>
      <c r="AL680" s="19"/>
      <c r="AM680" s="19"/>
      <c r="AN680" s="19"/>
      <c r="AO680" s="19"/>
      <c r="AZ680" s="19"/>
      <c r="BA680" s="19"/>
      <c r="BB680" s="20"/>
      <c r="BC680" s="19"/>
      <c r="BE680" s="19"/>
      <c r="BF680" s="19"/>
      <c r="BG680" s="19"/>
      <c r="BH680" s="19"/>
      <c r="BI680" s="19"/>
      <c r="BJ680" s="19"/>
      <c r="BK680" s="19"/>
      <c r="BL680" s="19"/>
    </row>
    <row r="681" spans="2:64" ht="14" x14ac:dyDescent="0.2">
      <c r="B681" s="1"/>
      <c r="C681" s="1"/>
      <c r="D681" s="1"/>
      <c r="E681" s="1"/>
      <c r="H681" s="18"/>
      <c r="I681" s="18"/>
      <c r="J681" s="18"/>
      <c r="L681" s="6"/>
      <c r="AF681" s="19"/>
      <c r="AG681" s="19"/>
      <c r="AH681" s="20"/>
      <c r="AI681" s="19"/>
      <c r="AK681" s="19"/>
      <c r="AL681" s="19"/>
      <c r="AM681" s="19"/>
      <c r="AN681" s="19"/>
      <c r="AO681" s="19"/>
      <c r="AZ681" s="19"/>
      <c r="BA681" s="19"/>
      <c r="BB681" s="20"/>
      <c r="BC681" s="19"/>
      <c r="BE681" s="19"/>
      <c r="BF681" s="19"/>
      <c r="BG681" s="19"/>
      <c r="BH681" s="19"/>
      <c r="BI681" s="19"/>
      <c r="BJ681" s="19"/>
      <c r="BK681" s="19"/>
      <c r="BL681" s="19"/>
    </row>
    <row r="682" spans="2:64" ht="14" x14ac:dyDescent="0.2">
      <c r="B682" s="1"/>
      <c r="C682" s="1"/>
      <c r="D682" s="1"/>
      <c r="E682" s="1"/>
      <c r="H682" s="18"/>
      <c r="I682" s="18"/>
      <c r="J682" s="18"/>
      <c r="L682" s="6"/>
      <c r="AF682" s="19"/>
      <c r="AG682" s="19"/>
      <c r="AH682" s="20"/>
      <c r="AI682" s="19"/>
      <c r="AK682" s="19"/>
      <c r="AL682" s="19"/>
      <c r="AM682" s="19"/>
      <c r="AN682" s="19"/>
      <c r="AO682" s="19"/>
      <c r="AZ682" s="19"/>
      <c r="BA682" s="19"/>
      <c r="BB682" s="20"/>
      <c r="BC682" s="19"/>
      <c r="BE682" s="19"/>
      <c r="BF682" s="19"/>
      <c r="BG682" s="19"/>
      <c r="BH682" s="19"/>
      <c r="BI682" s="19"/>
      <c r="BJ682" s="19"/>
      <c r="BK682" s="19"/>
      <c r="BL682" s="19"/>
    </row>
    <row r="683" spans="2:64" ht="14" x14ac:dyDescent="0.2">
      <c r="B683" s="1"/>
      <c r="C683" s="1"/>
      <c r="D683" s="1"/>
      <c r="E683" s="1"/>
      <c r="H683" s="18"/>
      <c r="I683" s="18"/>
      <c r="J683" s="18"/>
      <c r="L683" s="6"/>
      <c r="AF683" s="19"/>
      <c r="AG683" s="19"/>
      <c r="AH683" s="20"/>
      <c r="AI683" s="19"/>
      <c r="AK683" s="19"/>
      <c r="AL683" s="19"/>
      <c r="AM683" s="19"/>
      <c r="AN683" s="19"/>
      <c r="AO683" s="19"/>
      <c r="AZ683" s="19"/>
      <c r="BA683" s="19"/>
      <c r="BB683" s="20"/>
      <c r="BC683" s="19"/>
      <c r="BE683" s="19"/>
      <c r="BF683" s="19"/>
      <c r="BG683" s="19"/>
      <c r="BH683" s="19"/>
      <c r="BI683" s="19"/>
      <c r="BJ683" s="19"/>
      <c r="BK683" s="19"/>
      <c r="BL683" s="19"/>
    </row>
    <row r="684" spans="2:64" ht="14" x14ac:dyDescent="0.2">
      <c r="B684" s="1"/>
      <c r="C684" s="1"/>
      <c r="D684" s="1"/>
      <c r="E684" s="1"/>
      <c r="H684" s="18"/>
      <c r="I684" s="18"/>
      <c r="J684" s="18"/>
      <c r="L684" s="6"/>
      <c r="AF684" s="19"/>
      <c r="AG684" s="19"/>
      <c r="AH684" s="20"/>
      <c r="AI684" s="19"/>
      <c r="AK684" s="19"/>
      <c r="AL684" s="19"/>
      <c r="AM684" s="19"/>
      <c r="AN684" s="19"/>
      <c r="AO684" s="19"/>
      <c r="AZ684" s="19"/>
      <c r="BA684" s="19"/>
      <c r="BB684" s="20"/>
      <c r="BC684" s="19"/>
      <c r="BE684" s="19"/>
      <c r="BF684" s="19"/>
      <c r="BG684" s="19"/>
      <c r="BH684" s="19"/>
      <c r="BI684" s="19"/>
      <c r="BJ684" s="19"/>
      <c r="BK684" s="19"/>
      <c r="BL684" s="19"/>
    </row>
    <row r="685" spans="2:64" ht="14" x14ac:dyDescent="0.2">
      <c r="B685" s="1"/>
      <c r="C685" s="1"/>
      <c r="D685" s="1"/>
      <c r="E685" s="1"/>
      <c r="H685" s="18"/>
      <c r="I685" s="18"/>
      <c r="J685" s="18"/>
      <c r="L685" s="6"/>
      <c r="AF685" s="19"/>
      <c r="AG685" s="19"/>
      <c r="AH685" s="20"/>
      <c r="AI685" s="19"/>
      <c r="AK685" s="19"/>
      <c r="AL685" s="19"/>
      <c r="AM685" s="19"/>
      <c r="AN685" s="19"/>
      <c r="AO685" s="19"/>
      <c r="AZ685" s="19"/>
      <c r="BA685" s="19"/>
      <c r="BB685" s="20"/>
      <c r="BC685" s="19"/>
      <c r="BE685" s="19"/>
      <c r="BF685" s="19"/>
      <c r="BG685" s="19"/>
      <c r="BH685" s="19"/>
      <c r="BI685" s="19"/>
      <c r="BJ685" s="19"/>
      <c r="BK685" s="19"/>
      <c r="BL685" s="19"/>
    </row>
    <row r="686" spans="2:64" ht="14" x14ac:dyDescent="0.2">
      <c r="B686" s="1"/>
      <c r="C686" s="1"/>
      <c r="D686" s="1"/>
      <c r="E686" s="1"/>
      <c r="H686" s="18"/>
      <c r="I686" s="18"/>
      <c r="J686" s="18"/>
      <c r="L686" s="6"/>
      <c r="AF686" s="19"/>
      <c r="AG686" s="19"/>
      <c r="AH686" s="20"/>
      <c r="AI686" s="19"/>
      <c r="AK686" s="19"/>
      <c r="AL686" s="19"/>
      <c r="AM686" s="19"/>
      <c r="AN686" s="19"/>
      <c r="AO686" s="19"/>
      <c r="AZ686" s="19"/>
      <c r="BA686" s="19"/>
      <c r="BB686" s="20"/>
      <c r="BC686" s="19"/>
      <c r="BE686" s="19"/>
      <c r="BF686" s="19"/>
      <c r="BG686" s="19"/>
      <c r="BH686" s="19"/>
      <c r="BI686" s="19"/>
      <c r="BJ686" s="19"/>
      <c r="BK686" s="19"/>
      <c r="BL686" s="19"/>
    </row>
    <row r="687" spans="2:64" ht="14" x14ac:dyDescent="0.2">
      <c r="B687" s="1"/>
      <c r="C687" s="1"/>
      <c r="D687" s="1"/>
      <c r="E687" s="1"/>
      <c r="H687" s="18"/>
      <c r="I687" s="18"/>
      <c r="J687" s="18"/>
      <c r="L687" s="6"/>
      <c r="AF687" s="19"/>
      <c r="AG687" s="19"/>
      <c r="AH687" s="20"/>
      <c r="AI687" s="19"/>
      <c r="AK687" s="19"/>
      <c r="AL687" s="19"/>
      <c r="AM687" s="19"/>
      <c r="AN687" s="19"/>
      <c r="AO687" s="19"/>
      <c r="AZ687" s="19"/>
      <c r="BA687" s="19"/>
      <c r="BB687" s="20"/>
      <c r="BC687" s="19"/>
      <c r="BE687" s="19"/>
      <c r="BF687" s="19"/>
      <c r="BG687" s="19"/>
      <c r="BH687" s="19"/>
      <c r="BI687" s="19"/>
      <c r="BJ687" s="19"/>
      <c r="BK687" s="19"/>
      <c r="BL687" s="19"/>
    </row>
    <row r="688" spans="2:64" ht="14" x14ac:dyDescent="0.2">
      <c r="B688" s="1"/>
      <c r="C688" s="1"/>
      <c r="D688" s="1"/>
      <c r="E688" s="1"/>
      <c r="H688" s="18"/>
      <c r="I688" s="18"/>
      <c r="J688" s="18"/>
      <c r="L688" s="6"/>
      <c r="AF688" s="19"/>
      <c r="AG688" s="19"/>
      <c r="AH688" s="20"/>
      <c r="AI688" s="19"/>
      <c r="AK688" s="19"/>
      <c r="AL688" s="19"/>
      <c r="AM688" s="19"/>
      <c r="AN688" s="19"/>
      <c r="AO688" s="19"/>
      <c r="AZ688" s="19"/>
      <c r="BA688" s="19"/>
      <c r="BB688" s="20"/>
      <c r="BC688" s="19"/>
      <c r="BE688" s="19"/>
      <c r="BF688" s="19"/>
      <c r="BG688" s="19"/>
      <c r="BH688" s="19"/>
      <c r="BI688" s="19"/>
      <c r="BJ688" s="19"/>
      <c r="BK688" s="19"/>
      <c r="BL688" s="19"/>
    </row>
    <row r="689" spans="2:64" ht="14" x14ac:dyDescent="0.2">
      <c r="B689" s="1"/>
      <c r="C689" s="1"/>
      <c r="D689" s="1"/>
      <c r="E689" s="1"/>
      <c r="H689" s="18"/>
      <c r="I689" s="18"/>
      <c r="J689" s="18"/>
      <c r="L689" s="6"/>
      <c r="AF689" s="19"/>
      <c r="AG689" s="19"/>
      <c r="AH689" s="20"/>
      <c r="AI689" s="19"/>
      <c r="AK689" s="19"/>
      <c r="AL689" s="19"/>
      <c r="AM689" s="19"/>
      <c r="AN689" s="19"/>
      <c r="AO689" s="19"/>
      <c r="AZ689" s="19"/>
      <c r="BA689" s="19"/>
      <c r="BB689" s="20"/>
      <c r="BC689" s="19"/>
      <c r="BE689" s="19"/>
      <c r="BF689" s="19"/>
      <c r="BG689" s="19"/>
      <c r="BH689" s="19"/>
      <c r="BI689" s="19"/>
      <c r="BJ689" s="19"/>
      <c r="BK689" s="19"/>
      <c r="BL689" s="19"/>
    </row>
    <row r="690" spans="2:64" ht="14" x14ac:dyDescent="0.2">
      <c r="B690" s="1"/>
      <c r="C690" s="1"/>
      <c r="D690" s="1"/>
      <c r="E690" s="1"/>
      <c r="H690" s="18"/>
      <c r="I690" s="18"/>
      <c r="J690" s="18"/>
      <c r="L690" s="6"/>
      <c r="AF690" s="19"/>
      <c r="AG690" s="19"/>
      <c r="AH690" s="20"/>
      <c r="AI690" s="19"/>
      <c r="AK690" s="19"/>
      <c r="AL690" s="19"/>
      <c r="AM690" s="19"/>
      <c r="AN690" s="19"/>
      <c r="AO690" s="19"/>
      <c r="AZ690" s="19"/>
      <c r="BA690" s="19"/>
      <c r="BB690" s="20"/>
      <c r="BC690" s="19"/>
      <c r="BE690" s="19"/>
      <c r="BF690" s="19"/>
      <c r="BG690" s="19"/>
      <c r="BH690" s="19"/>
      <c r="BI690" s="19"/>
      <c r="BJ690" s="19"/>
      <c r="BK690" s="19"/>
      <c r="BL690" s="19"/>
    </row>
    <row r="691" spans="2:64" ht="14" x14ac:dyDescent="0.2">
      <c r="B691" s="1"/>
      <c r="C691" s="1"/>
      <c r="D691" s="1"/>
      <c r="E691" s="1"/>
      <c r="H691" s="18"/>
      <c r="I691" s="18"/>
      <c r="J691" s="18"/>
      <c r="L691" s="6"/>
      <c r="AF691" s="19"/>
      <c r="AG691" s="19"/>
      <c r="AH691" s="20"/>
      <c r="AI691" s="19"/>
      <c r="AK691" s="19"/>
      <c r="AL691" s="19"/>
      <c r="AM691" s="19"/>
      <c r="AN691" s="19"/>
      <c r="AO691" s="19"/>
      <c r="AZ691" s="19"/>
      <c r="BA691" s="19"/>
      <c r="BB691" s="20"/>
      <c r="BC691" s="19"/>
      <c r="BE691" s="19"/>
      <c r="BF691" s="19"/>
      <c r="BG691" s="19"/>
      <c r="BH691" s="19"/>
      <c r="BI691" s="19"/>
      <c r="BJ691" s="19"/>
      <c r="BK691" s="19"/>
      <c r="BL691" s="19"/>
    </row>
    <row r="692" spans="2:64" ht="14" x14ac:dyDescent="0.2">
      <c r="B692" s="1"/>
      <c r="C692" s="1"/>
      <c r="D692" s="1"/>
      <c r="E692" s="1"/>
      <c r="H692" s="18"/>
      <c r="I692" s="18"/>
      <c r="J692" s="18"/>
      <c r="L692" s="6"/>
      <c r="AF692" s="19"/>
      <c r="AG692" s="19"/>
      <c r="AH692" s="20"/>
      <c r="AI692" s="19"/>
      <c r="AK692" s="19"/>
      <c r="AL692" s="19"/>
      <c r="AM692" s="19"/>
      <c r="AN692" s="19"/>
      <c r="AO692" s="19"/>
      <c r="AZ692" s="19"/>
      <c r="BA692" s="19"/>
      <c r="BB692" s="20"/>
      <c r="BC692" s="19"/>
      <c r="BE692" s="19"/>
      <c r="BF692" s="19"/>
      <c r="BG692" s="19"/>
      <c r="BH692" s="19"/>
      <c r="BI692" s="19"/>
      <c r="BJ692" s="19"/>
      <c r="BK692" s="19"/>
      <c r="BL692" s="19"/>
    </row>
    <row r="693" spans="2:64" ht="14" x14ac:dyDescent="0.2">
      <c r="B693" s="1"/>
      <c r="C693" s="1"/>
      <c r="D693" s="1"/>
      <c r="E693" s="1"/>
      <c r="H693" s="18"/>
      <c r="I693" s="18"/>
      <c r="J693" s="18"/>
      <c r="L693" s="6"/>
      <c r="AF693" s="19"/>
      <c r="AG693" s="19"/>
      <c r="AH693" s="20"/>
      <c r="AI693" s="19"/>
      <c r="AK693" s="19"/>
      <c r="AL693" s="19"/>
      <c r="AM693" s="19"/>
      <c r="AN693" s="19"/>
      <c r="AO693" s="19"/>
      <c r="AZ693" s="19"/>
      <c r="BA693" s="19"/>
      <c r="BB693" s="20"/>
      <c r="BC693" s="19"/>
      <c r="BE693" s="19"/>
      <c r="BF693" s="19"/>
      <c r="BG693" s="19"/>
      <c r="BH693" s="19"/>
      <c r="BI693" s="19"/>
      <c r="BJ693" s="19"/>
      <c r="BK693" s="19"/>
      <c r="BL693" s="19"/>
    </row>
    <row r="694" spans="2:64" ht="14" x14ac:dyDescent="0.2">
      <c r="B694" s="1"/>
      <c r="C694" s="1"/>
      <c r="D694" s="1"/>
      <c r="E694" s="1"/>
      <c r="H694" s="18"/>
      <c r="I694" s="18"/>
      <c r="J694" s="18"/>
      <c r="L694" s="6"/>
      <c r="AF694" s="19"/>
      <c r="AG694" s="19"/>
      <c r="AH694" s="20"/>
      <c r="AI694" s="19"/>
      <c r="AK694" s="19"/>
      <c r="AL694" s="19"/>
      <c r="AM694" s="19"/>
      <c r="AN694" s="19"/>
      <c r="AO694" s="19"/>
      <c r="AZ694" s="19"/>
      <c r="BA694" s="19"/>
      <c r="BB694" s="20"/>
      <c r="BC694" s="19"/>
      <c r="BE694" s="19"/>
      <c r="BF694" s="19"/>
      <c r="BG694" s="19"/>
      <c r="BH694" s="19"/>
      <c r="BI694" s="19"/>
      <c r="BJ694" s="19"/>
      <c r="BK694" s="19"/>
      <c r="BL694" s="19"/>
    </row>
    <row r="695" spans="2:64" ht="14" x14ac:dyDescent="0.2">
      <c r="B695" s="1"/>
      <c r="C695" s="1"/>
      <c r="D695" s="1"/>
      <c r="E695" s="1"/>
      <c r="H695" s="18"/>
      <c r="I695" s="18"/>
      <c r="J695" s="18"/>
      <c r="L695" s="6"/>
      <c r="AF695" s="19"/>
      <c r="AG695" s="19"/>
      <c r="AH695" s="20"/>
      <c r="AI695" s="19"/>
      <c r="AK695" s="19"/>
      <c r="AL695" s="19"/>
      <c r="AM695" s="19"/>
      <c r="AN695" s="19"/>
      <c r="AO695" s="19"/>
      <c r="AZ695" s="19"/>
      <c r="BA695" s="19"/>
      <c r="BB695" s="20"/>
      <c r="BC695" s="19"/>
      <c r="BE695" s="19"/>
      <c r="BF695" s="19"/>
      <c r="BG695" s="19"/>
      <c r="BH695" s="19"/>
      <c r="BI695" s="19"/>
      <c r="BJ695" s="19"/>
      <c r="BK695" s="19"/>
      <c r="BL695" s="19"/>
    </row>
    <row r="696" spans="2:64" ht="14" x14ac:dyDescent="0.2">
      <c r="B696" s="1"/>
      <c r="C696" s="1"/>
      <c r="D696" s="1"/>
      <c r="E696" s="1"/>
      <c r="H696" s="18"/>
      <c r="I696" s="18"/>
      <c r="J696" s="18"/>
      <c r="L696" s="6"/>
      <c r="AF696" s="19"/>
      <c r="AG696" s="19"/>
      <c r="AH696" s="20"/>
      <c r="AI696" s="19"/>
      <c r="AK696" s="19"/>
      <c r="AL696" s="19"/>
      <c r="AM696" s="19"/>
      <c r="AN696" s="19"/>
      <c r="AO696" s="19"/>
      <c r="AZ696" s="19"/>
      <c r="BA696" s="19"/>
      <c r="BB696" s="20"/>
      <c r="BC696" s="19"/>
      <c r="BE696" s="19"/>
      <c r="BF696" s="19"/>
      <c r="BG696" s="19"/>
      <c r="BH696" s="19"/>
      <c r="BI696" s="19"/>
      <c r="BJ696" s="19"/>
      <c r="BK696" s="19"/>
      <c r="BL696" s="19"/>
    </row>
    <row r="697" spans="2:64" ht="14" x14ac:dyDescent="0.2">
      <c r="B697" s="1"/>
      <c r="C697" s="1"/>
      <c r="D697" s="1"/>
      <c r="E697" s="1"/>
      <c r="H697" s="18"/>
      <c r="I697" s="18"/>
      <c r="J697" s="18"/>
      <c r="L697" s="6"/>
      <c r="AF697" s="19"/>
      <c r="AG697" s="19"/>
      <c r="AH697" s="20"/>
      <c r="AI697" s="19"/>
      <c r="AK697" s="19"/>
      <c r="AL697" s="19"/>
      <c r="AM697" s="19"/>
      <c r="AN697" s="19"/>
      <c r="AO697" s="19"/>
      <c r="AZ697" s="19"/>
      <c r="BA697" s="19"/>
      <c r="BB697" s="20"/>
      <c r="BC697" s="19"/>
      <c r="BE697" s="19"/>
      <c r="BF697" s="19"/>
      <c r="BG697" s="19"/>
      <c r="BH697" s="19"/>
      <c r="BI697" s="19"/>
      <c r="BJ697" s="19"/>
      <c r="BK697" s="19"/>
      <c r="BL697" s="19"/>
    </row>
    <row r="698" spans="2:64" ht="14" x14ac:dyDescent="0.2">
      <c r="B698" s="1"/>
      <c r="C698" s="1"/>
      <c r="D698" s="1"/>
      <c r="E698" s="1"/>
      <c r="H698" s="18"/>
      <c r="I698" s="18"/>
      <c r="J698" s="18"/>
      <c r="L698" s="6"/>
      <c r="AF698" s="19"/>
      <c r="AG698" s="19"/>
      <c r="AH698" s="20"/>
      <c r="AI698" s="19"/>
      <c r="AK698" s="19"/>
      <c r="AL698" s="19"/>
      <c r="AM698" s="19"/>
      <c r="AN698" s="19"/>
      <c r="AO698" s="19"/>
      <c r="AZ698" s="19"/>
      <c r="BA698" s="19"/>
      <c r="BB698" s="20"/>
      <c r="BC698" s="19"/>
      <c r="BE698" s="19"/>
      <c r="BF698" s="19"/>
      <c r="BG698" s="19"/>
      <c r="BH698" s="19"/>
      <c r="BI698" s="19"/>
      <c r="BJ698" s="19"/>
      <c r="BK698" s="19"/>
      <c r="BL698" s="19"/>
    </row>
    <row r="699" spans="2:64" ht="14" x14ac:dyDescent="0.2">
      <c r="B699" s="1"/>
      <c r="C699" s="1"/>
      <c r="D699" s="1"/>
      <c r="E699" s="1"/>
      <c r="H699" s="18"/>
      <c r="I699" s="18"/>
      <c r="J699" s="18"/>
      <c r="L699" s="6"/>
      <c r="AF699" s="19"/>
      <c r="AG699" s="19"/>
      <c r="AH699" s="20"/>
      <c r="AI699" s="19"/>
      <c r="AK699" s="19"/>
      <c r="AL699" s="19"/>
      <c r="AM699" s="19"/>
      <c r="AN699" s="19"/>
      <c r="AO699" s="19"/>
      <c r="AZ699" s="19"/>
      <c r="BA699" s="19"/>
      <c r="BB699" s="20"/>
      <c r="BC699" s="19"/>
      <c r="BE699" s="19"/>
      <c r="BF699" s="19"/>
      <c r="BG699" s="19"/>
      <c r="BH699" s="19"/>
      <c r="BI699" s="19"/>
      <c r="BJ699" s="19"/>
      <c r="BK699" s="19"/>
      <c r="BL699" s="19"/>
    </row>
    <row r="700" spans="2:64" ht="14" x14ac:dyDescent="0.2">
      <c r="B700" s="1"/>
      <c r="C700" s="1"/>
      <c r="D700" s="1"/>
      <c r="E700" s="1"/>
      <c r="H700" s="18"/>
      <c r="I700" s="18"/>
      <c r="J700" s="18"/>
      <c r="L700" s="6"/>
      <c r="AF700" s="19"/>
      <c r="AG700" s="19"/>
      <c r="AH700" s="20"/>
      <c r="AI700" s="19"/>
      <c r="AK700" s="19"/>
      <c r="AL700" s="19"/>
      <c r="AM700" s="19"/>
      <c r="AN700" s="19"/>
      <c r="AO700" s="19"/>
      <c r="AZ700" s="19"/>
      <c r="BA700" s="19"/>
      <c r="BB700" s="20"/>
      <c r="BC700" s="19"/>
      <c r="BE700" s="19"/>
      <c r="BF700" s="19"/>
      <c r="BG700" s="19"/>
      <c r="BH700" s="19"/>
      <c r="BI700" s="19"/>
      <c r="BJ700" s="19"/>
      <c r="BK700" s="19"/>
      <c r="BL700" s="19"/>
    </row>
    <row r="701" spans="2:64" ht="14" x14ac:dyDescent="0.2">
      <c r="B701" s="1"/>
      <c r="C701" s="1"/>
      <c r="D701" s="1"/>
      <c r="E701" s="1"/>
      <c r="H701" s="18"/>
      <c r="I701" s="18"/>
      <c r="J701" s="18"/>
      <c r="L701" s="6"/>
      <c r="AF701" s="19"/>
      <c r="AG701" s="19"/>
      <c r="AH701" s="20"/>
      <c r="AI701" s="19"/>
      <c r="AK701" s="19"/>
      <c r="AL701" s="19"/>
      <c r="AM701" s="19"/>
      <c r="AN701" s="19"/>
      <c r="AO701" s="19"/>
      <c r="AZ701" s="19"/>
      <c r="BA701" s="19"/>
      <c r="BB701" s="20"/>
      <c r="BC701" s="19"/>
      <c r="BE701" s="19"/>
      <c r="BF701" s="19"/>
      <c r="BG701" s="19"/>
      <c r="BH701" s="19"/>
      <c r="BI701" s="19"/>
      <c r="BJ701" s="19"/>
      <c r="BK701" s="19"/>
      <c r="BL701" s="19"/>
    </row>
    <row r="702" spans="2:64" ht="14" x14ac:dyDescent="0.2">
      <c r="B702" s="1"/>
      <c r="C702" s="1"/>
      <c r="D702" s="1"/>
      <c r="E702" s="1"/>
      <c r="H702" s="18"/>
      <c r="I702" s="18"/>
      <c r="J702" s="18"/>
      <c r="L702" s="6"/>
      <c r="AF702" s="19"/>
      <c r="AG702" s="19"/>
      <c r="AH702" s="20"/>
      <c r="AI702" s="19"/>
      <c r="AK702" s="19"/>
      <c r="AL702" s="19"/>
      <c r="AM702" s="19"/>
      <c r="AN702" s="19"/>
      <c r="AO702" s="19"/>
      <c r="AZ702" s="19"/>
      <c r="BA702" s="19"/>
      <c r="BB702" s="20"/>
      <c r="BC702" s="19"/>
      <c r="BE702" s="19"/>
      <c r="BF702" s="19"/>
      <c r="BG702" s="19"/>
      <c r="BH702" s="19"/>
      <c r="BI702" s="19"/>
      <c r="BJ702" s="19"/>
      <c r="BK702" s="19"/>
      <c r="BL702" s="19"/>
    </row>
    <row r="703" spans="2:64" ht="14" x14ac:dyDescent="0.2">
      <c r="B703" s="1"/>
      <c r="C703" s="1"/>
      <c r="D703" s="1"/>
      <c r="E703" s="1"/>
      <c r="H703" s="18"/>
      <c r="I703" s="18"/>
      <c r="J703" s="18"/>
      <c r="L703" s="6"/>
      <c r="AF703" s="19"/>
      <c r="AG703" s="19"/>
      <c r="AH703" s="20"/>
      <c r="AI703" s="19"/>
      <c r="AK703" s="19"/>
      <c r="AL703" s="19"/>
      <c r="AM703" s="19"/>
      <c r="AN703" s="19"/>
      <c r="AO703" s="19"/>
      <c r="AZ703" s="19"/>
      <c r="BA703" s="19"/>
      <c r="BB703" s="20"/>
      <c r="BC703" s="19"/>
      <c r="BE703" s="19"/>
      <c r="BF703" s="19"/>
      <c r="BG703" s="19"/>
      <c r="BH703" s="19"/>
      <c r="BI703" s="19"/>
      <c r="BJ703" s="19"/>
      <c r="BK703" s="19"/>
      <c r="BL703" s="19"/>
    </row>
    <row r="704" spans="2:64" ht="14" x14ac:dyDescent="0.2">
      <c r="B704" s="1"/>
      <c r="C704" s="1"/>
      <c r="D704" s="1"/>
      <c r="E704" s="1"/>
      <c r="H704" s="18"/>
      <c r="I704" s="18"/>
      <c r="J704" s="18"/>
      <c r="L704" s="6"/>
      <c r="AF704" s="19"/>
      <c r="AG704" s="19"/>
      <c r="AH704" s="20"/>
      <c r="AI704" s="19"/>
      <c r="AK704" s="19"/>
      <c r="AL704" s="19"/>
      <c r="AM704" s="19"/>
      <c r="AN704" s="19"/>
      <c r="AO704" s="19"/>
      <c r="AZ704" s="19"/>
      <c r="BA704" s="19"/>
      <c r="BB704" s="20"/>
      <c r="BC704" s="19"/>
      <c r="BE704" s="19"/>
      <c r="BF704" s="19"/>
      <c r="BG704" s="19"/>
      <c r="BH704" s="19"/>
      <c r="BI704" s="19"/>
      <c r="BJ704" s="19"/>
      <c r="BK704" s="19"/>
      <c r="BL704" s="19"/>
    </row>
    <row r="705" spans="2:64" ht="14" x14ac:dyDescent="0.2">
      <c r="B705" s="1"/>
      <c r="C705" s="1"/>
      <c r="D705" s="1"/>
      <c r="E705" s="1"/>
      <c r="H705" s="18"/>
      <c r="I705" s="18"/>
      <c r="J705" s="18"/>
      <c r="L705" s="6"/>
      <c r="AF705" s="19"/>
      <c r="AG705" s="19"/>
      <c r="AH705" s="20"/>
      <c r="AI705" s="19"/>
      <c r="AK705" s="19"/>
      <c r="AL705" s="19"/>
      <c r="AM705" s="19"/>
      <c r="AN705" s="19"/>
      <c r="AO705" s="19"/>
      <c r="AZ705" s="19"/>
      <c r="BA705" s="19"/>
      <c r="BB705" s="20"/>
      <c r="BC705" s="19"/>
      <c r="BE705" s="19"/>
      <c r="BF705" s="19"/>
      <c r="BG705" s="19"/>
      <c r="BH705" s="19"/>
      <c r="BI705" s="19"/>
      <c r="BJ705" s="19"/>
      <c r="BK705" s="19"/>
      <c r="BL705" s="19"/>
    </row>
    <row r="706" spans="2:64" ht="14" x14ac:dyDescent="0.2">
      <c r="B706" s="1"/>
      <c r="C706" s="1"/>
      <c r="D706" s="1"/>
      <c r="E706" s="1"/>
      <c r="H706" s="18"/>
      <c r="I706" s="18"/>
      <c r="J706" s="18"/>
      <c r="L706" s="6"/>
      <c r="AF706" s="19"/>
      <c r="AG706" s="19"/>
      <c r="AH706" s="20"/>
      <c r="AI706" s="19"/>
      <c r="AK706" s="19"/>
      <c r="AL706" s="19"/>
      <c r="AM706" s="19"/>
      <c r="AN706" s="19"/>
      <c r="AO706" s="19"/>
      <c r="AZ706" s="19"/>
      <c r="BA706" s="19"/>
      <c r="BB706" s="20"/>
      <c r="BC706" s="19"/>
      <c r="BE706" s="19"/>
      <c r="BF706" s="19"/>
      <c r="BG706" s="19"/>
      <c r="BH706" s="19"/>
      <c r="BI706" s="19"/>
      <c r="BJ706" s="19"/>
      <c r="BK706" s="19"/>
      <c r="BL706" s="19"/>
    </row>
    <row r="707" spans="2:64" ht="14" x14ac:dyDescent="0.2">
      <c r="B707" s="1"/>
      <c r="C707" s="1"/>
      <c r="D707" s="1"/>
      <c r="E707" s="1"/>
      <c r="H707" s="18"/>
      <c r="I707" s="18"/>
      <c r="J707" s="18"/>
      <c r="L707" s="6"/>
      <c r="AF707" s="19"/>
      <c r="AG707" s="19"/>
      <c r="AH707" s="20"/>
      <c r="AI707" s="19"/>
      <c r="AK707" s="19"/>
      <c r="AL707" s="19"/>
      <c r="AM707" s="19"/>
      <c r="AN707" s="19"/>
      <c r="AO707" s="19"/>
      <c r="AZ707" s="19"/>
      <c r="BA707" s="19"/>
      <c r="BB707" s="20"/>
      <c r="BC707" s="19"/>
      <c r="BE707" s="19"/>
      <c r="BF707" s="19"/>
      <c r="BG707" s="19"/>
      <c r="BH707" s="19"/>
      <c r="BI707" s="19"/>
      <c r="BJ707" s="19"/>
      <c r="BK707" s="19"/>
      <c r="BL707" s="19"/>
    </row>
    <row r="708" spans="2:64" ht="14" x14ac:dyDescent="0.2">
      <c r="B708" s="1"/>
      <c r="C708" s="1"/>
      <c r="D708" s="1"/>
      <c r="E708" s="1"/>
      <c r="H708" s="18"/>
      <c r="I708" s="18"/>
      <c r="J708" s="18"/>
      <c r="L708" s="6"/>
      <c r="AF708" s="19"/>
      <c r="AG708" s="19"/>
      <c r="AH708" s="20"/>
      <c r="AI708" s="19"/>
      <c r="AK708" s="19"/>
      <c r="AL708" s="19"/>
      <c r="AM708" s="19"/>
      <c r="AN708" s="19"/>
      <c r="AO708" s="19"/>
      <c r="AZ708" s="19"/>
      <c r="BA708" s="19"/>
      <c r="BB708" s="20"/>
      <c r="BC708" s="19"/>
      <c r="BE708" s="19"/>
      <c r="BF708" s="19"/>
      <c r="BG708" s="19"/>
      <c r="BH708" s="19"/>
      <c r="BI708" s="19"/>
      <c r="BJ708" s="19"/>
      <c r="BK708" s="19"/>
      <c r="BL708" s="19"/>
    </row>
    <row r="709" spans="2:64" ht="14" x14ac:dyDescent="0.2">
      <c r="B709" s="1"/>
      <c r="C709" s="1"/>
      <c r="D709" s="1"/>
      <c r="E709" s="1"/>
      <c r="H709" s="18"/>
      <c r="I709" s="18"/>
      <c r="J709" s="18"/>
      <c r="L709" s="6"/>
      <c r="AF709" s="19"/>
      <c r="AG709" s="19"/>
      <c r="AH709" s="20"/>
      <c r="AI709" s="19"/>
      <c r="AK709" s="19"/>
      <c r="AL709" s="19"/>
      <c r="AM709" s="19"/>
      <c r="AN709" s="19"/>
      <c r="AO709" s="19"/>
      <c r="AZ709" s="19"/>
      <c r="BA709" s="19"/>
      <c r="BB709" s="20"/>
      <c r="BC709" s="19"/>
      <c r="BE709" s="19"/>
      <c r="BF709" s="19"/>
      <c r="BG709" s="19"/>
      <c r="BH709" s="19"/>
      <c r="BI709" s="19"/>
      <c r="BJ709" s="19"/>
      <c r="BK709" s="19"/>
      <c r="BL709" s="19"/>
    </row>
    <row r="710" spans="2:64" ht="14" x14ac:dyDescent="0.2">
      <c r="B710" s="1"/>
      <c r="C710" s="1"/>
      <c r="D710" s="1"/>
      <c r="E710" s="1"/>
      <c r="H710" s="18"/>
      <c r="I710" s="18"/>
      <c r="J710" s="18"/>
      <c r="L710" s="6"/>
      <c r="AF710" s="19"/>
      <c r="AG710" s="19"/>
      <c r="AH710" s="20"/>
      <c r="AI710" s="19"/>
      <c r="AK710" s="19"/>
      <c r="AL710" s="19"/>
      <c r="AM710" s="19"/>
      <c r="AN710" s="19"/>
      <c r="AO710" s="19"/>
      <c r="AZ710" s="19"/>
      <c r="BA710" s="19"/>
      <c r="BB710" s="20"/>
      <c r="BC710" s="19"/>
      <c r="BE710" s="19"/>
      <c r="BF710" s="19"/>
      <c r="BG710" s="19"/>
      <c r="BH710" s="19"/>
      <c r="BI710" s="19"/>
      <c r="BJ710" s="19"/>
      <c r="BK710" s="19"/>
      <c r="BL710" s="19"/>
    </row>
    <row r="711" spans="2:64" ht="14" x14ac:dyDescent="0.2">
      <c r="B711" s="1"/>
      <c r="C711" s="1"/>
      <c r="D711" s="1"/>
      <c r="E711" s="1"/>
      <c r="H711" s="18"/>
      <c r="I711" s="18"/>
      <c r="J711" s="18"/>
      <c r="L711" s="6"/>
      <c r="AF711" s="19"/>
      <c r="AG711" s="19"/>
      <c r="AH711" s="20"/>
      <c r="AI711" s="19"/>
      <c r="AK711" s="19"/>
      <c r="AL711" s="19"/>
      <c r="AM711" s="19"/>
      <c r="AN711" s="19"/>
      <c r="AO711" s="19"/>
      <c r="AZ711" s="19"/>
      <c r="BA711" s="19"/>
      <c r="BB711" s="20"/>
      <c r="BC711" s="19"/>
      <c r="BE711" s="19"/>
      <c r="BF711" s="19"/>
      <c r="BG711" s="19"/>
      <c r="BH711" s="19"/>
      <c r="BI711" s="19"/>
      <c r="BJ711" s="19"/>
      <c r="BK711" s="19"/>
      <c r="BL711" s="19"/>
    </row>
    <row r="712" spans="2:64" ht="14" x14ac:dyDescent="0.2">
      <c r="B712" s="1"/>
      <c r="C712" s="1"/>
      <c r="D712" s="1"/>
      <c r="E712" s="1"/>
      <c r="H712" s="18"/>
      <c r="I712" s="18"/>
      <c r="J712" s="18"/>
      <c r="L712" s="6"/>
      <c r="AF712" s="19"/>
      <c r="AG712" s="19"/>
      <c r="AH712" s="20"/>
      <c r="AI712" s="19"/>
      <c r="AK712" s="19"/>
      <c r="AL712" s="19"/>
      <c r="AM712" s="19"/>
      <c r="AN712" s="19"/>
      <c r="AO712" s="19"/>
      <c r="AZ712" s="19"/>
      <c r="BA712" s="19"/>
      <c r="BB712" s="20"/>
      <c r="BC712" s="19"/>
      <c r="BE712" s="19"/>
      <c r="BF712" s="19"/>
      <c r="BG712" s="19"/>
      <c r="BH712" s="19"/>
      <c r="BI712" s="19"/>
      <c r="BJ712" s="19"/>
      <c r="BK712" s="19"/>
      <c r="BL712" s="19"/>
    </row>
    <row r="713" spans="2:64" ht="14" x14ac:dyDescent="0.2">
      <c r="B713" s="1"/>
      <c r="C713" s="1"/>
      <c r="D713" s="1"/>
      <c r="E713" s="1"/>
      <c r="H713" s="18"/>
      <c r="I713" s="18"/>
      <c r="J713" s="18"/>
      <c r="L713" s="6"/>
      <c r="AF713" s="19"/>
      <c r="AG713" s="19"/>
      <c r="AH713" s="20"/>
      <c r="AI713" s="19"/>
      <c r="AK713" s="19"/>
      <c r="AL713" s="19"/>
      <c r="AM713" s="19"/>
      <c r="AN713" s="19"/>
      <c r="AO713" s="19"/>
      <c r="AZ713" s="19"/>
      <c r="BA713" s="19"/>
      <c r="BB713" s="20"/>
      <c r="BC713" s="19"/>
      <c r="BE713" s="19"/>
      <c r="BF713" s="19"/>
      <c r="BG713" s="19"/>
      <c r="BH713" s="19"/>
      <c r="BI713" s="19"/>
      <c r="BJ713" s="19"/>
      <c r="BK713" s="19"/>
      <c r="BL713" s="19"/>
    </row>
    <row r="714" spans="2:64" ht="14" x14ac:dyDescent="0.2">
      <c r="B714" s="1"/>
      <c r="C714" s="1"/>
      <c r="D714" s="1"/>
      <c r="E714" s="1"/>
      <c r="H714" s="18"/>
      <c r="I714" s="18"/>
      <c r="J714" s="18"/>
      <c r="L714" s="6"/>
      <c r="AF714" s="19"/>
      <c r="AG714" s="19"/>
      <c r="AH714" s="20"/>
      <c r="AI714" s="19"/>
      <c r="AK714" s="19"/>
      <c r="AL714" s="19"/>
      <c r="AM714" s="19"/>
      <c r="AN714" s="19"/>
      <c r="AO714" s="19"/>
      <c r="AZ714" s="19"/>
      <c r="BA714" s="19"/>
      <c r="BB714" s="20"/>
      <c r="BC714" s="19"/>
      <c r="BE714" s="19"/>
      <c r="BF714" s="19"/>
      <c r="BG714" s="19"/>
      <c r="BH714" s="19"/>
      <c r="BI714" s="19"/>
      <c r="BJ714" s="19"/>
      <c r="BK714" s="19"/>
      <c r="BL714" s="19"/>
    </row>
    <row r="715" spans="2:64" ht="14" x14ac:dyDescent="0.2">
      <c r="B715" s="1"/>
      <c r="C715" s="1"/>
      <c r="D715" s="1"/>
      <c r="E715" s="1"/>
      <c r="H715" s="18"/>
      <c r="I715" s="18"/>
      <c r="J715" s="18"/>
      <c r="L715" s="6"/>
      <c r="AF715" s="19"/>
      <c r="AG715" s="19"/>
      <c r="AH715" s="20"/>
      <c r="AI715" s="19"/>
      <c r="AK715" s="19"/>
      <c r="AL715" s="19"/>
      <c r="AM715" s="19"/>
      <c r="AN715" s="19"/>
      <c r="AO715" s="19"/>
      <c r="AZ715" s="19"/>
      <c r="BA715" s="19"/>
      <c r="BB715" s="20"/>
      <c r="BC715" s="19"/>
      <c r="BE715" s="19"/>
      <c r="BF715" s="19"/>
      <c r="BG715" s="19"/>
      <c r="BH715" s="19"/>
      <c r="BI715" s="19"/>
      <c r="BJ715" s="19"/>
      <c r="BK715" s="19"/>
      <c r="BL715" s="19"/>
    </row>
    <row r="716" spans="2:64" ht="14" x14ac:dyDescent="0.2">
      <c r="B716" s="1"/>
      <c r="C716" s="1"/>
      <c r="D716" s="1"/>
      <c r="E716" s="1"/>
      <c r="H716" s="18"/>
      <c r="I716" s="18"/>
      <c r="J716" s="18"/>
      <c r="L716" s="6"/>
      <c r="AF716" s="19"/>
      <c r="AG716" s="19"/>
      <c r="AH716" s="20"/>
      <c r="AI716" s="19"/>
      <c r="AK716" s="19"/>
      <c r="AL716" s="19"/>
      <c r="AM716" s="19"/>
      <c r="AN716" s="19"/>
      <c r="AO716" s="19"/>
      <c r="AZ716" s="19"/>
      <c r="BA716" s="19"/>
      <c r="BB716" s="20"/>
      <c r="BC716" s="19"/>
      <c r="BE716" s="19"/>
      <c r="BF716" s="19"/>
      <c r="BG716" s="19"/>
      <c r="BH716" s="19"/>
      <c r="BI716" s="19"/>
      <c r="BJ716" s="19"/>
      <c r="BK716" s="19"/>
      <c r="BL716" s="19"/>
    </row>
    <row r="717" spans="2:64" ht="14" x14ac:dyDescent="0.2">
      <c r="B717" s="1"/>
      <c r="C717" s="1"/>
      <c r="D717" s="1"/>
      <c r="E717" s="1"/>
      <c r="H717" s="18"/>
      <c r="I717" s="18"/>
      <c r="J717" s="18"/>
      <c r="L717" s="6"/>
      <c r="AF717" s="19"/>
      <c r="AG717" s="19"/>
      <c r="AH717" s="20"/>
      <c r="AI717" s="19"/>
      <c r="AK717" s="19"/>
      <c r="AL717" s="19"/>
      <c r="AM717" s="19"/>
      <c r="AN717" s="19"/>
      <c r="AO717" s="19"/>
      <c r="AZ717" s="19"/>
      <c r="BA717" s="19"/>
      <c r="BB717" s="20"/>
      <c r="BC717" s="19"/>
      <c r="BE717" s="19"/>
      <c r="BF717" s="19"/>
      <c r="BG717" s="19"/>
      <c r="BH717" s="19"/>
      <c r="BI717" s="19"/>
      <c r="BJ717" s="19"/>
      <c r="BK717" s="19"/>
      <c r="BL717" s="19"/>
    </row>
    <row r="718" spans="2:64" ht="14" x14ac:dyDescent="0.2">
      <c r="B718" s="1"/>
      <c r="C718" s="1"/>
      <c r="D718" s="1"/>
      <c r="E718" s="1"/>
      <c r="H718" s="18"/>
      <c r="I718" s="18"/>
      <c r="J718" s="18"/>
      <c r="L718" s="6"/>
      <c r="AF718" s="19"/>
      <c r="AG718" s="19"/>
      <c r="AH718" s="20"/>
      <c r="AI718" s="19"/>
      <c r="AK718" s="19"/>
      <c r="AL718" s="19"/>
      <c r="AM718" s="19"/>
      <c r="AN718" s="19"/>
      <c r="AO718" s="19"/>
      <c r="AZ718" s="19"/>
      <c r="BA718" s="19"/>
      <c r="BB718" s="20"/>
      <c r="BC718" s="19"/>
      <c r="BE718" s="19"/>
      <c r="BF718" s="19"/>
      <c r="BG718" s="19"/>
      <c r="BH718" s="19"/>
      <c r="BI718" s="19"/>
      <c r="BJ718" s="19"/>
      <c r="BK718" s="19"/>
      <c r="BL718" s="19"/>
    </row>
    <row r="719" spans="2:64" ht="14" x14ac:dyDescent="0.2">
      <c r="B719" s="1"/>
      <c r="C719" s="1"/>
      <c r="D719" s="1"/>
      <c r="E719" s="1"/>
      <c r="H719" s="18"/>
      <c r="I719" s="18"/>
      <c r="J719" s="18"/>
      <c r="L719" s="6"/>
      <c r="AF719" s="19"/>
      <c r="AG719" s="19"/>
      <c r="AH719" s="20"/>
      <c r="AI719" s="19"/>
      <c r="AK719" s="19"/>
      <c r="AL719" s="19"/>
      <c r="AM719" s="19"/>
      <c r="AN719" s="19"/>
      <c r="AO719" s="19"/>
      <c r="AZ719" s="19"/>
      <c r="BA719" s="19"/>
      <c r="BB719" s="20"/>
      <c r="BC719" s="19"/>
      <c r="BE719" s="19"/>
      <c r="BF719" s="19"/>
      <c r="BG719" s="19"/>
      <c r="BH719" s="19"/>
      <c r="BI719" s="19"/>
      <c r="BJ719" s="19"/>
      <c r="BK719" s="19"/>
      <c r="BL719" s="19"/>
    </row>
    <row r="720" spans="2:64" ht="14" x14ac:dyDescent="0.2">
      <c r="B720" s="1"/>
      <c r="C720" s="1"/>
      <c r="D720" s="1"/>
      <c r="E720" s="1"/>
      <c r="H720" s="18"/>
      <c r="I720" s="18"/>
      <c r="J720" s="18"/>
      <c r="L720" s="6"/>
      <c r="AF720" s="19"/>
      <c r="AG720" s="19"/>
      <c r="AH720" s="20"/>
      <c r="AI720" s="19"/>
      <c r="AK720" s="19"/>
      <c r="AL720" s="19"/>
      <c r="AM720" s="19"/>
      <c r="AN720" s="19"/>
      <c r="AO720" s="19"/>
      <c r="AZ720" s="19"/>
      <c r="BA720" s="19"/>
      <c r="BB720" s="20"/>
      <c r="BC720" s="19"/>
      <c r="BE720" s="19"/>
      <c r="BF720" s="19"/>
      <c r="BG720" s="19"/>
      <c r="BH720" s="19"/>
      <c r="BI720" s="19"/>
      <c r="BJ720" s="19"/>
      <c r="BK720" s="19"/>
      <c r="BL720" s="19"/>
    </row>
    <row r="721" spans="2:64" ht="14" x14ac:dyDescent="0.2">
      <c r="B721" s="1"/>
      <c r="C721" s="1"/>
      <c r="D721" s="1"/>
      <c r="E721" s="1"/>
      <c r="H721" s="18"/>
      <c r="I721" s="18"/>
      <c r="J721" s="18"/>
      <c r="L721" s="6"/>
      <c r="AF721" s="19"/>
      <c r="AG721" s="19"/>
      <c r="AH721" s="20"/>
      <c r="AI721" s="19"/>
      <c r="AK721" s="19"/>
      <c r="AL721" s="19"/>
      <c r="AM721" s="19"/>
      <c r="AN721" s="19"/>
      <c r="AO721" s="19"/>
      <c r="AZ721" s="19"/>
      <c r="BA721" s="19"/>
      <c r="BB721" s="20"/>
      <c r="BC721" s="19"/>
      <c r="BE721" s="19"/>
      <c r="BF721" s="19"/>
      <c r="BG721" s="19"/>
      <c r="BH721" s="19"/>
      <c r="BI721" s="19"/>
      <c r="BJ721" s="19"/>
      <c r="BK721" s="19"/>
      <c r="BL721" s="19"/>
    </row>
    <row r="722" spans="2:64" ht="14" x14ac:dyDescent="0.2">
      <c r="B722" s="1"/>
      <c r="C722" s="1"/>
      <c r="D722" s="1"/>
      <c r="E722" s="1"/>
      <c r="H722" s="18"/>
      <c r="I722" s="18"/>
      <c r="J722" s="18"/>
      <c r="L722" s="6"/>
      <c r="AF722" s="19"/>
      <c r="AG722" s="19"/>
      <c r="AH722" s="20"/>
      <c r="AI722" s="19"/>
      <c r="AK722" s="19"/>
      <c r="AL722" s="19"/>
      <c r="AM722" s="19"/>
      <c r="AN722" s="19"/>
      <c r="AO722" s="19"/>
      <c r="AZ722" s="19"/>
      <c r="BA722" s="19"/>
      <c r="BB722" s="20"/>
      <c r="BC722" s="19"/>
      <c r="BE722" s="19"/>
      <c r="BF722" s="19"/>
      <c r="BG722" s="19"/>
      <c r="BH722" s="19"/>
      <c r="BI722" s="19"/>
      <c r="BJ722" s="19"/>
      <c r="BK722" s="19"/>
      <c r="BL722" s="19"/>
    </row>
    <row r="723" spans="2:64" ht="14" x14ac:dyDescent="0.2">
      <c r="B723" s="1"/>
      <c r="C723" s="1"/>
      <c r="D723" s="1"/>
      <c r="E723" s="1"/>
      <c r="H723" s="18"/>
      <c r="I723" s="18"/>
      <c r="J723" s="18"/>
      <c r="L723" s="6"/>
      <c r="AF723" s="19"/>
      <c r="AG723" s="19"/>
      <c r="AH723" s="20"/>
      <c r="AI723" s="19"/>
      <c r="AK723" s="19"/>
      <c r="AL723" s="19"/>
      <c r="AM723" s="19"/>
      <c r="AN723" s="19"/>
      <c r="AO723" s="19"/>
      <c r="AZ723" s="19"/>
      <c r="BA723" s="19"/>
      <c r="BB723" s="20"/>
      <c r="BC723" s="19"/>
      <c r="BE723" s="19"/>
      <c r="BF723" s="19"/>
      <c r="BG723" s="19"/>
      <c r="BH723" s="19"/>
      <c r="BI723" s="19"/>
      <c r="BJ723" s="19"/>
      <c r="BK723" s="19"/>
      <c r="BL723" s="19"/>
    </row>
    <row r="724" spans="2:64" ht="14" x14ac:dyDescent="0.2">
      <c r="B724" s="1"/>
      <c r="C724" s="1"/>
      <c r="D724" s="1"/>
      <c r="E724" s="1"/>
      <c r="H724" s="18"/>
      <c r="I724" s="18"/>
      <c r="J724" s="18"/>
      <c r="L724" s="6"/>
      <c r="AF724" s="19"/>
      <c r="AG724" s="19"/>
      <c r="AH724" s="20"/>
      <c r="AI724" s="19"/>
      <c r="AK724" s="19"/>
      <c r="AL724" s="19"/>
      <c r="AM724" s="19"/>
      <c r="AN724" s="19"/>
      <c r="AO724" s="19"/>
      <c r="AZ724" s="19"/>
      <c r="BA724" s="19"/>
      <c r="BB724" s="20"/>
      <c r="BC724" s="19"/>
      <c r="BE724" s="19"/>
      <c r="BF724" s="19"/>
      <c r="BG724" s="19"/>
      <c r="BH724" s="19"/>
      <c r="BI724" s="19"/>
      <c r="BJ724" s="19"/>
      <c r="BK724" s="19"/>
      <c r="BL724" s="19"/>
    </row>
    <row r="725" spans="2:64" ht="14" x14ac:dyDescent="0.2">
      <c r="B725" s="1"/>
      <c r="C725" s="1"/>
      <c r="D725" s="1"/>
      <c r="E725" s="1"/>
      <c r="H725" s="18"/>
      <c r="I725" s="18"/>
      <c r="J725" s="18"/>
      <c r="L725" s="6"/>
      <c r="AF725" s="19"/>
      <c r="AG725" s="19"/>
      <c r="AH725" s="20"/>
      <c r="AI725" s="19"/>
      <c r="AK725" s="19"/>
      <c r="AL725" s="19"/>
      <c r="AM725" s="19"/>
      <c r="AN725" s="19"/>
      <c r="AO725" s="19"/>
      <c r="AZ725" s="19"/>
      <c r="BA725" s="19"/>
      <c r="BB725" s="20"/>
      <c r="BC725" s="19"/>
      <c r="BE725" s="19"/>
      <c r="BF725" s="19"/>
      <c r="BG725" s="19"/>
      <c r="BH725" s="19"/>
      <c r="BI725" s="19"/>
      <c r="BJ725" s="19"/>
      <c r="BK725" s="19"/>
      <c r="BL725" s="19"/>
    </row>
    <row r="726" spans="2:64" ht="14" x14ac:dyDescent="0.2">
      <c r="B726" s="1"/>
      <c r="C726" s="1"/>
      <c r="D726" s="1"/>
      <c r="E726" s="1"/>
      <c r="H726" s="18"/>
      <c r="I726" s="18"/>
      <c r="J726" s="18"/>
      <c r="L726" s="6"/>
      <c r="AF726" s="19"/>
      <c r="AG726" s="19"/>
      <c r="AH726" s="20"/>
      <c r="AI726" s="19"/>
      <c r="AK726" s="19"/>
      <c r="AL726" s="19"/>
      <c r="AM726" s="19"/>
      <c r="AN726" s="19"/>
      <c r="AO726" s="19"/>
      <c r="AZ726" s="19"/>
      <c r="BA726" s="19"/>
      <c r="BB726" s="20"/>
      <c r="BC726" s="19"/>
      <c r="BE726" s="19"/>
      <c r="BF726" s="19"/>
      <c r="BG726" s="19"/>
      <c r="BH726" s="19"/>
      <c r="BI726" s="19"/>
      <c r="BJ726" s="19"/>
      <c r="BK726" s="19"/>
      <c r="BL726" s="19"/>
    </row>
    <row r="727" spans="2:64" ht="14" x14ac:dyDescent="0.2">
      <c r="B727" s="1"/>
      <c r="C727" s="1"/>
      <c r="D727" s="1"/>
      <c r="E727" s="1"/>
      <c r="H727" s="18"/>
      <c r="I727" s="18"/>
      <c r="J727" s="18"/>
      <c r="L727" s="6"/>
      <c r="AF727" s="19"/>
      <c r="AG727" s="19"/>
      <c r="AH727" s="20"/>
      <c r="AI727" s="19"/>
      <c r="AK727" s="19"/>
      <c r="AL727" s="19"/>
      <c r="AM727" s="19"/>
      <c r="AN727" s="19"/>
      <c r="AO727" s="19"/>
      <c r="AZ727" s="19"/>
      <c r="BA727" s="19"/>
      <c r="BB727" s="20"/>
      <c r="BC727" s="19"/>
      <c r="BE727" s="19"/>
      <c r="BF727" s="19"/>
      <c r="BG727" s="19"/>
      <c r="BH727" s="19"/>
      <c r="BI727" s="19"/>
      <c r="BJ727" s="19"/>
      <c r="BK727" s="19"/>
      <c r="BL727" s="19"/>
    </row>
    <row r="728" spans="2:64" ht="14" x14ac:dyDescent="0.2">
      <c r="B728" s="1"/>
      <c r="C728" s="1"/>
      <c r="D728" s="1"/>
      <c r="E728" s="1"/>
      <c r="H728" s="18"/>
      <c r="I728" s="18"/>
      <c r="J728" s="18"/>
      <c r="L728" s="6"/>
      <c r="AF728" s="19"/>
      <c r="AG728" s="19"/>
      <c r="AH728" s="20"/>
      <c r="AI728" s="19"/>
      <c r="AK728" s="19"/>
      <c r="AL728" s="19"/>
      <c r="AM728" s="19"/>
      <c r="AN728" s="19"/>
      <c r="AO728" s="19"/>
      <c r="AZ728" s="19"/>
      <c r="BA728" s="19"/>
      <c r="BB728" s="20"/>
      <c r="BC728" s="19"/>
      <c r="BE728" s="19"/>
      <c r="BF728" s="19"/>
      <c r="BG728" s="19"/>
      <c r="BH728" s="19"/>
      <c r="BI728" s="19"/>
      <c r="BJ728" s="19"/>
      <c r="BK728" s="19"/>
      <c r="BL728" s="19"/>
    </row>
    <row r="729" spans="2:64" ht="14" x14ac:dyDescent="0.2">
      <c r="B729" s="1"/>
      <c r="C729" s="1"/>
      <c r="D729" s="1"/>
      <c r="E729" s="1"/>
      <c r="H729" s="18"/>
      <c r="I729" s="18"/>
      <c r="J729" s="18"/>
      <c r="L729" s="6"/>
      <c r="AF729" s="19"/>
      <c r="AG729" s="19"/>
      <c r="AH729" s="20"/>
      <c r="AI729" s="19"/>
      <c r="AK729" s="19"/>
      <c r="AL729" s="19"/>
      <c r="AM729" s="19"/>
      <c r="AN729" s="19"/>
      <c r="AO729" s="19"/>
      <c r="AZ729" s="19"/>
      <c r="BA729" s="19"/>
      <c r="BB729" s="20"/>
      <c r="BC729" s="19"/>
      <c r="BE729" s="19"/>
      <c r="BF729" s="19"/>
      <c r="BG729" s="19"/>
      <c r="BH729" s="19"/>
      <c r="BI729" s="19"/>
      <c r="BJ729" s="19"/>
      <c r="BK729" s="19"/>
      <c r="BL729" s="19"/>
    </row>
    <row r="730" spans="2:64" ht="14" x14ac:dyDescent="0.2">
      <c r="B730" s="1"/>
      <c r="C730" s="1"/>
      <c r="D730" s="1"/>
      <c r="E730" s="1"/>
      <c r="H730" s="18"/>
      <c r="I730" s="18"/>
      <c r="J730" s="18"/>
      <c r="L730" s="6"/>
      <c r="AF730" s="19"/>
      <c r="AG730" s="19"/>
      <c r="AH730" s="20"/>
      <c r="AI730" s="19"/>
      <c r="AK730" s="19"/>
      <c r="AL730" s="19"/>
      <c r="AM730" s="19"/>
      <c r="AN730" s="19"/>
      <c r="AO730" s="19"/>
      <c r="AZ730" s="19"/>
      <c r="BA730" s="19"/>
      <c r="BB730" s="20"/>
      <c r="BC730" s="19"/>
      <c r="BE730" s="19"/>
      <c r="BF730" s="19"/>
      <c r="BG730" s="19"/>
      <c r="BH730" s="19"/>
      <c r="BI730" s="19"/>
      <c r="BJ730" s="19"/>
      <c r="BK730" s="19"/>
      <c r="BL730" s="19"/>
    </row>
    <row r="731" spans="2:64" ht="14" x14ac:dyDescent="0.2">
      <c r="B731" s="1"/>
      <c r="C731" s="1"/>
      <c r="D731" s="1"/>
      <c r="E731" s="1"/>
      <c r="H731" s="18"/>
      <c r="I731" s="18"/>
      <c r="J731" s="18"/>
      <c r="L731" s="6"/>
      <c r="AF731" s="19"/>
      <c r="AG731" s="19"/>
      <c r="AH731" s="20"/>
      <c r="AI731" s="19"/>
      <c r="AK731" s="19"/>
      <c r="AL731" s="19"/>
      <c r="AM731" s="19"/>
      <c r="AN731" s="19"/>
      <c r="AO731" s="19"/>
      <c r="AZ731" s="19"/>
      <c r="BA731" s="19"/>
      <c r="BB731" s="20"/>
      <c r="BC731" s="19"/>
      <c r="BE731" s="19"/>
      <c r="BF731" s="19"/>
      <c r="BG731" s="19"/>
      <c r="BH731" s="19"/>
      <c r="BI731" s="19"/>
      <c r="BJ731" s="19"/>
      <c r="BK731" s="19"/>
      <c r="BL731" s="19"/>
    </row>
    <row r="732" spans="2:64" ht="14" x14ac:dyDescent="0.2">
      <c r="B732" s="1"/>
      <c r="C732" s="1"/>
      <c r="D732" s="1"/>
      <c r="E732" s="1"/>
      <c r="H732" s="18"/>
      <c r="I732" s="18"/>
      <c r="J732" s="18"/>
      <c r="L732" s="6"/>
      <c r="AF732" s="19"/>
      <c r="AG732" s="19"/>
      <c r="AH732" s="20"/>
      <c r="AI732" s="19"/>
      <c r="AK732" s="19"/>
      <c r="AL732" s="19"/>
      <c r="AM732" s="19"/>
      <c r="AN732" s="19"/>
      <c r="AO732" s="19"/>
      <c r="AZ732" s="19"/>
      <c r="BA732" s="19"/>
      <c r="BB732" s="20"/>
      <c r="BC732" s="19"/>
      <c r="BE732" s="19"/>
      <c r="BF732" s="19"/>
      <c r="BG732" s="19"/>
      <c r="BH732" s="19"/>
      <c r="BI732" s="19"/>
      <c r="BJ732" s="19"/>
      <c r="BK732" s="19"/>
      <c r="BL732" s="19"/>
    </row>
    <row r="733" spans="2:64" ht="14" x14ac:dyDescent="0.2">
      <c r="B733" s="1"/>
      <c r="C733" s="1"/>
      <c r="D733" s="1"/>
      <c r="E733" s="1"/>
      <c r="H733" s="18"/>
      <c r="I733" s="18"/>
      <c r="J733" s="18"/>
      <c r="L733" s="6"/>
      <c r="AF733" s="19"/>
      <c r="AG733" s="19"/>
      <c r="AH733" s="20"/>
      <c r="AI733" s="19"/>
      <c r="AK733" s="19"/>
      <c r="AL733" s="19"/>
      <c r="AM733" s="19"/>
      <c r="AN733" s="19"/>
      <c r="AO733" s="19"/>
      <c r="AZ733" s="19"/>
      <c r="BA733" s="19"/>
      <c r="BB733" s="20"/>
      <c r="BC733" s="19"/>
      <c r="BE733" s="19"/>
      <c r="BF733" s="19"/>
      <c r="BG733" s="19"/>
      <c r="BH733" s="19"/>
      <c r="BI733" s="19"/>
      <c r="BJ733" s="19"/>
      <c r="BK733" s="19"/>
      <c r="BL733" s="19"/>
    </row>
    <row r="734" spans="2:64" ht="14" x14ac:dyDescent="0.2">
      <c r="B734" s="1"/>
      <c r="C734" s="1"/>
      <c r="D734" s="1"/>
      <c r="E734" s="1"/>
      <c r="H734" s="18"/>
      <c r="I734" s="18"/>
      <c r="J734" s="18"/>
      <c r="L734" s="6"/>
      <c r="AF734" s="19"/>
      <c r="AG734" s="19"/>
      <c r="AH734" s="20"/>
      <c r="AI734" s="19"/>
      <c r="AK734" s="19"/>
      <c r="AL734" s="19"/>
      <c r="AM734" s="19"/>
      <c r="AN734" s="19"/>
      <c r="AO734" s="19"/>
      <c r="AZ734" s="19"/>
      <c r="BA734" s="19"/>
      <c r="BB734" s="20"/>
      <c r="BC734" s="19"/>
      <c r="BE734" s="19"/>
      <c r="BF734" s="19"/>
      <c r="BG734" s="19"/>
      <c r="BH734" s="19"/>
      <c r="BI734" s="19"/>
      <c r="BJ734" s="19"/>
      <c r="BK734" s="19"/>
      <c r="BL734" s="19"/>
    </row>
    <row r="735" spans="2:64" ht="14" x14ac:dyDescent="0.2">
      <c r="B735" s="1"/>
      <c r="C735" s="1"/>
      <c r="D735" s="1"/>
      <c r="E735" s="1"/>
      <c r="H735" s="18"/>
      <c r="I735" s="18"/>
      <c r="J735" s="18"/>
      <c r="L735" s="6"/>
      <c r="AF735" s="19"/>
      <c r="AG735" s="19"/>
      <c r="AH735" s="20"/>
      <c r="AI735" s="19"/>
      <c r="AK735" s="19"/>
      <c r="AL735" s="19"/>
      <c r="AM735" s="19"/>
      <c r="AN735" s="19"/>
      <c r="AO735" s="19"/>
      <c r="AZ735" s="19"/>
      <c r="BA735" s="19"/>
      <c r="BB735" s="20"/>
      <c r="BC735" s="19"/>
      <c r="BE735" s="19"/>
      <c r="BF735" s="19"/>
      <c r="BG735" s="19"/>
      <c r="BH735" s="19"/>
      <c r="BI735" s="19"/>
      <c r="BJ735" s="19"/>
      <c r="BK735" s="19"/>
      <c r="BL735" s="19"/>
    </row>
    <row r="736" spans="2:64" ht="14" x14ac:dyDescent="0.2">
      <c r="B736" s="1"/>
      <c r="C736" s="1"/>
      <c r="D736" s="1"/>
      <c r="E736" s="1"/>
      <c r="H736" s="18"/>
      <c r="I736" s="18"/>
      <c r="J736" s="18"/>
      <c r="L736" s="6"/>
      <c r="AF736" s="19"/>
      <c r="AG736" s="19"/>
      <c r="AH736" s="20"/>
      <c r="AI736" s="19"/>
      <c r="AK736" s="19"/>
      <c r="AL736" s="19"/>
      <c r="AM736" s="19"/>
      <c r="AN736" s="19"/>
      <c r="AO736" s="19"/>
      <c r="AZ736" s="19"/>
      <c r="BA736" s="19"/>
      <c r="BB736" s="20"/>
      <c r="BC736" s="19"/>
      <c r="BE736" s="19"/>
      <c r="BF736" s="19"/>
      <c r="BG736" s="19"/>
      <c r="BH736" s="19"/>
      <c r="BI736" s="19"/>
      <c r="BJ736" s="19"/>
      <c r="BK736" s="19"/>
      <c r="BL736" s="19"/>
    </row>
    <row r="737" spans="2:64" ht="14" x14ac:dyDescent="0.2">
      <c r="B737" s="1"/>
      <c r="C737" s="1"/>
      <c r="D737" s="1"/>
      <c r="E737" s="1"/>
      <c r="H737" s="18"/>
      <c r="I737" s="18"/>
      <c r="J737" s="18"/>
      <c r="L737" s="6"/>
      <c r="AF737" s="19"/>
      <c r="AG737" s="19"/>
      <c r="AH737" s="20"/>
      <c r="AI737" s="19"/>
      <c r="AK737" s="19"/>
      <c r="AL737" s="19"/>
      <c r="AM737" s="19"/>
      <c r="AN737" s="19"/>
      <c r="AO737" s="19"/>
      <c r="AZ737" s="19"/>
      <c r="BA737" s="19"/>
      <c r="BB737" s="20"/>
      <c r="BC737" s="19"/>
      <c r="BE737" s="19"/>
      <c r="BF737" s="19"/>
      <c r="BG737" s="19"/>
      <c r="BH737" s="19"/>
      <c r="BI737" s="19"/>
      <c r="BJ737" s="19"/>
      <c r="BK737" s="19"/>
      <c r="BL737" s="19"/>
    </row>
    <row r="738" spans="2:64" ht="14" x14ac:dyDescent="0.2">
      <c r="B738" s="1"/>
      <c r="C738" s="1"/>
      <c r="D738" s="1"/>
      <c r="E738" s="1"/>
      <c r="H738" s="18"/>
      <c r="I738" s="18"/>
      <c r="J738" s="18"/>
      <c r="L738" s="6"/>
      <c r="AF738" s="19"/>
      <c r="AG738" s="19"/>
      <c r="AH738" s="20"/>
      <c r="AI738" s="19"/>
      <c r="AK738" s="19"/>
      <c r="AL738" s="19"/>
      <c r="AM738" s="19"/>
      <c r="AN738" s="19"/>
      <c r="AO738" s="19"/>
      <c r="AZ738" s="19"/>
      <c r="BA738" s="19"/>
      <c r="BB738" s="20"/>
      <c r="BC738" s="19"/>
      <c r="BE738" s="19"/>
      <c r="BF738" s="19"/>
      <c r="BG738" s="19"/>
      <c r="BH738" s="19"/>
      <c r="BI738" s="19"/>
      <c r="BJ738" s="19"/>
      <c r="BK738" s="19"/>
      <c r="BL738" s="19"/>
    </row>
    <row r="739" spans="2:64" ht="14" x14ac:dyDescent="0.2">
      <c r="B739" s="1"/>
      <c r="C739" s="1"/>
      <c r="D739" s="1"/>
      <c r="E739" s="1"/>
      <c r="H739" s="18"/>
      <c r="I739" s="18"/>
      <c r="J739" s="18"/>
      <c r="L739" s="6"/>
      <c r="AF739" s="19"/>
      <c r="AG739" s="19"/>
      <c r="AH739" s="20"/>
      <c r="AI739" s="19"/>
      <c r="AK739" s="19"/>
      <c r="AL739" s="19"/>
      <c r="AM739" s="19"/>
      <c r="AN739" s="19"/>
      <c r="AO739" s="19"/>
      <c r="AZ739" s="19"/>
      <c r="BA739" s="19"/>
      <c r="BB739" s="20"/>
      <c r="BC739" s="19"/>
      <c r="BE739" s="19"/>
      <c r="BF739" s="19"/>
      <c r="BG739" s="19"/>
      <c r="BH739" s="19"/>
      <c r="BI739" s="19"/>
      <c r="BJ739" s="19"/>
      <c r="BK739" s="19"/>
      <c r="BL739" s="19"/>
    </row>
    <row r="740" spans="2:64" ht="14" x14ac:dyDescent="0.2">
      <c r="B740" s="1"/>
      <c r="C740" s="1"/>
      <c r="D740" s="1"/>
      <c r="E740" s="1"/>
      <c r="H740" s="18"/>
      <c r="I740" s="18"/>
      <c r="J740" s="18"/>
      <c r="L740" s="6"/>
      <c r="AF740" s="19"/>
      <c r="AG740" s="19"/>
      <c r="AH740" s="20"/>
      <c r="AI740" s="19"/>
      <c r="AK740" s="19"/>
      <c r="AL740" s="19"/>
      <c r="AM740" s="19"/>
      <c r="AN740" s="19"/>
      <c r="AO740" s="19"/>
      <c r="AZ740" s="19"/>
      <c r="BA740" s="19"/>
      <c r="BB740" s="20"/>
      <c r="BC740" s="19"/>
      <c r="BE740" s="19"/>
      <c r="BF740" s="19"/>
      <c r="BG740" s="19"/>
      <c r="BH740" s="19"/>
      <c r="BI740" s="19"/>
      <c r="BJ740" s="19"/>
      <c r="BK740" s="19"/>
      <c r="BL740" s="19"/>
    </row>
    <row r="741" spans="2:64" ht="14" x14ac:dyDescent="0.2">
      <c r="B741" s="1"/>
      <c r="C741" s="1"/>
      <c r="D741" s="1"/>
      <c r="E741" s="1"/>
      <c r="H741" s="18"/>
      <c r="I741" s="18"/>
      <c r="J741" s="18"/>
      <c r="L741" s="6"/>
      <c r="AF741" s="19"/>
      <c r="AG741" s="19"/>
      <c r="AH741" s="20"/>
      <c r="AI741" s="19"/>
      <c r="AK741" s="19"/>
      <c r="AL741" s="19"/>
      <c r="AM741" s="19"/>
      <c r="AN741" s="19"/>
      <c r="AO741" s="19"/>
      <c r="AZ741" s="19"/>
      <c r="BA741" s="19"/>
      <c r="BB741" s="20"/>
      <c r="BC741" s="19"/>
      <c r="BE741" s="19"/>
      <c r="BF741" s="19"/>
      <c r="BG741" s="19"/>
      <c r="BH741" s="19"/>
      <c r="BI741" s="19"/>
      <c r="BJ741" s="19"/>
      <c r="BK741" s="19"/>
      <c r="BL741" s="19"/>
    </row>
    <row r="742" spans="2:64" ht="14" x14ac:dyDescent="0.2">
      <c r="B742" s="1"/>
      <c r="C742" s="1"/>
      <c r="D742" s="1"/>
      <c r="E742" s="1"/>
      <c r="H742" s="18"/>
      <c r="I742" s="18"/>
      <c r="J742" s="18"/>
      <c r="L742" s="6"/>
      <c r="AF742" s="19"/>
      <c r="AG742" s="19"/>
      <c r="AH742" s="20"/>
      <c r="AI742" s="19"/>
      <c r="AK742" s="19"/>
      <c r="AL742" s="19"/>
      <c r="AM742" s="19"/>
      <c r="AN742" s="19"/>
      <c r="AO742" s="19"/>
      <c r="AZ742" s="19"/>
      <c r="BA742" s="19"/>
      <c r="BB742" s="20"/>
      <c r="BC742" s="19"/>
      <c r="BE742" s="19"/>
      <c r="BF742" s="19"/>
      <c r="BG742" s="19"/>
      <c r="BH742" s="19"/>
      <c r="BI742" s="19"/>
      <c r="BJ742" s="19"/>
      <c r="BK742" s="19"/>
      <c r="BL742" s="19"/>
    </row>
    <row r="743" spans="2:64" ht="14" x14ac:dyDescent="0.2">
      <c r="B743" s="1"/>
      <c r="C743" s="1"/>
      <c r="D743" s="1"/>
      <c r="E743" s="1"/>
      <c r="H743" s="18"/>
      <c r="I743" s="18"/>
      <c r="J743" s="18"/>
      <c r="L743" s="6"/>
      <c r="AF743" s="19"/>
      <c r="AG743" s="19"/>
      <c r="AH743" s="20"/>
      <c r="AI743" s="19"/>
      <c r="AK743" s="19"/>
      <c r="AL743" s="19"/>
      <c r="AM743" s="19"/>
      <c r="AN743" s="19"/>
      <c r="AO743" s="19"/>
      <c r="AZ743" s="19"/>
      <c r="BA743" s="19"/>
      <c r="BB743" s="20"/>
      <c r="BC743" s="19"/>
      <c r="BE743" s="19"/>
      <c r="BF743" s="19"/>
      <c r="BG743" s="19"/>
      <c r="BH743" s="19"/>
      <c r="BI743" s="19"/>
      <c r="BJ743" s="19"/>
      <c r="BK743" s="19"/>
      <c r="BL743" s="19"/>
    </row>
    <row r="744" spans="2:64" ht="14" x14ac:dyDescent="0.2">
      <c r="B744" s="1"/>
      <c r="C744" s="1"/>
      <c r="D744" s="1"/>
      <c r="E744" s="1"/>
      <c r="H744" s="18"/>
      <c r="I744" s="18"/>
      <c r="J744" s="18"/>
      <c r="L744" s="6"/>
      <c r="AF744" s="19"/>
      <c r="AG744" s="19"/>
      <c r="AH744" s="20"/>
      <c r="AI744" s="19"/>
      <c r="AK744" s="19"/>
      <c r="AL744" s="19"/>
      <c r="AM744" s="19"/>
      <c r="AN744" s="19"/>
      <c r="AO744" s="19"/>
      <c r="AZ744" s="19"/>
      <c r="BA744" s="19"/>
      <c r="BB744" s="20"/>
      <c r="BC744" s="19"/>
      <c r="BE744" s="19"/>
      <c r="BF744" s="19"/>
      <c r="BG744" s="19"/>
      <c r="BH744" s="19"/>
      <c r="BI744" s="19"/>
      <c r="BJ744" s="19"/>
      <c r="BK744" s="19"/>
      <c r="BL744" s="19"/>
    </row>
    <row r="745" spans="2:64" ht="14" x14ac:dyDescent="0.2">
      <c r="B745" s="1"/>
      <c r="C745" s="1"/>
      <c r="D745" s="1"/>
      <c r="E745" s="1"/>
      <c r="H745" s="18"/>
      <c r="I745" s="18"/>
      <c r="J745" s="18"/>
      <c r="L745" s="6"/>
      <c r="AF745" s="19"/>
      <c r="AG745" s="19"/>
      <c r="AH745" s="20"/>
      <c r="AI745" s="19"/>
      <c r="AK745" s="19"/>
      <c r="AL745" s="19"/>
      <c r="AM745" s="19"/>
      <c r="AN745" s="19"/>
      <c r="AO745" s="19"/>
      <c r="AZ745" s="19"/>
      <c r="BA745" s="19"/>
      <c r="BB745" s="20"/>
      <c r="BC745" s="19"/>
      <c r="BE745" s="19"/>
      <c r="BF745" s="19"/>
      <c r="BG745" s="19"/>
      <c r="BH745" s="19"/>
      <c r="BI745" s="19"/>
      <c r="BJ745" s="19"/>
      <c r="BK745" s="19"/>
      <c r="BL745" s="19"/>
    </row>
    <row r="746" spans="2:64" ht="14" x14ac:dyDescent="0.2">
      <c r="B746" s="1"/>
      <c r="C746" s="1"/>
      <c r="D746" s="1"/>
      <c r="E746" s="1"/>
      <c r="H746" s="18"/>
      <c r="I746" s="18"/>
      <c r="J746" s="18"/>
      <c r="L746" s="6"/>
      <c r="AF746" s="19"/>
      <c r="AG746" s="19"/>
      <c r="AH746" s="20"/>
      <c r="AI746" s="19"/>
      <c r="AK746" s="19"/>
      <c r="AL746" s="19"/>
      <c r="AM746" s="19"/>
      <c r="AN746" s="19"/>
      <c r="AO746" s="19"/>
      <c r="AZ746" s="19"/>
      <c r="BA746" s="19"/>
      <c r="BB746" s="20"/>
      <c r="BC746" s="19"/>
      <c r="BE746" s="19"/>
      <c r="BF746" s="19"/>
      <c r="BG746" s="19"/>
      <c r="BH746" s="19"/>
      <c r="BI746" s="19"/>
      <c r="BJ746" s="19"/>
      <c r="BK746" s="19"/>
      <c r="BL746" s="19"/>
    </row>
    <row r="747" spans="2:64" ht="14" x14ac:dyDescent="0.2">
      <c r="B747" s="1"/>
      <c r="C747" s="1"/>
      <c r="D747" s="1"/>
      <c r="E747" s="1"/>
      <c r="H747" s="18"/>
      <c r="I747" s="18"/>
      <c r="J747" s="18"/>
      <c r="L747" s="6"/>
      <c r="AF747" s="19"/>
      <c r="AG747" s="19"/>
      <c r="AH747" s="20"/>
      <c r="AI747" s="19"/>
      <c r="AK747" s="19"/>
      <c r="AL747" s="19"/>
      <c r="AM747" s="19"/>
      <c r="AN747" s="19"/>
      <c r="AO747" s="19"/>
      <c r="AZ747" s="19"/>
      <c r="BA747" s="19"/>
      <c r="BB747" s="20"/>
      <c r="BC747" s="19"/>
      <c r="BE747" s="19"/>
      <c r="BF747" s="19"/>
      <c r="BG747" s="19"/>
      <c r="BH747" s="19"/>
      <c r="BI747" s="19"/>
      <c r="BJ747" s="19"/>
      <c r="BK747" s="19"/>
      <c r="BL747" s="19"/>
    </row>
    <row r="748" spans="2:64" ht="14" x14ac:dyDescent="0.2">
      <c r="B748" s="1"/>
      <c r="C748" s="1"/>
      <c r="D748" s="1"/>
      <c r="E748" s="1"/>
      <c r="H748" s="18"/>
      <c r="I748" s="18"/>
      <c r="J748" s="18"/>
      <c r="L748" s="6"/>
      <c r="AF748" s="19"/>
      <c r="AG748" s="19"/>
      <c r="AH748" s="20"/>
      <c r="AI748" s="19"/>
      <c r="AK748" s="19"/>
      <c r="AL748" s="19"/>
      <c r="AM748" s="19"/>
      <c r="AN748" s="19"/>
      <c r="AO748" s="19"/>
      <c r="AZ748" s="19"/>
      <c r="BA748" s="19"/>
      <c r="BB748" s="20"/>
      <c r="BC748" s="19"/>
      <c r="BE748" s="19"/>
      <c r="BF748" s="19"/>
      <c r="BG748" s="19"/>
      <c r="BH748" s="19"/>
      <c r="BI748" s="19"/>
      <c r="BJ748" s="19"/>
      <c r="BK748" s="19"/>
      <c r="BL748" s="19"/>
    </row>
    <row r="749" spans="2:64" ht="14" x14ac:dyDescent="0.2">
      <c r="B749" s="1"/>
      <c r="C749" s="1"/>
      <c r="D749" s="1"/>
      <c r="E749" s="1"/>
      <c r="H749" s="18"/>
      <c r="I749" s="18"/>
      <c r="J749" s="18"/>
      <c r="L749" s="6"/>
      <c r="AF749" s="19"/>
      <c r="AG749" s="19"/>
      <c r="AH749" s="20"/>
      <c r="AI749" s="19"/>
      <c r="AK749" s="19"/>
      <c r="AL749" s="19"/>
      <c r="AM749" s="19"/>
      <c r="AN749" s="19"/>
      <c r="AO749" s="19"/>
      <c r="AZ749" s="19"/>
      <c r="BA749" s="19"/>
      <c r="BB749" s="20"/>
      <c r="BC749" s="19"/>
      <c r="BE749" s="19"/>
      <c r="BF749" s="19"/>
      <c r="BG749" s="19"/>
      <c r="BH749" s="19"/>
      <c r="BI749" s="19"/>
      <c r="BJ749" s="19"/>
      <c r="BK749" s="19"/>
      <c r="BL749" s="19"/>
    </row>
    <row r="750" spans="2:64" ht="14" x14ac:dyDescent="0.2">
      <c r="B750" s="1"/>
      <c r="C750" s="1"/>
      <c r="D750" s="1"/>
      <c r="E750" s="1"/>
      <c r="H750" s="18"/>
      <c r="I750" s="18"/>
      <c r="J750" s="18"/>
      <c r="L750" s="6"/>
      <c r="AF750" s="19"/>
      <c r="AG750" s="19"/>
      <c r="AH750" s="20"/>
      <c r="AI750" s="19"/>
      <c r="AK750" s="19"/>
      <c r="AL750" s="19"/>
      <c r="AM750" s="19"/>
      <c r="AN750" s="19"/>
      <c r="AO750" s="19"/>
      <c r="AZ750" s="19"/>
      <c r="BA750" s="19"/>
      <c r="BB750" s="20"/>
      <c r="BC750" s="19"/>
      <c r="BE750" s="19"/>
      <c r="BF750" s="19"/>
      <c r="BG750" s="19"/>
      <c r="BH750" s="19"/>
      <c r="BI750" s="19"/>
      <c r="BJ750" s="19"/>
      <c r="BK750" s="19"/>
      <c r="BL750" s="19"/>
    </row>
    <row r="751" spans="2:64" ht="14" x14ac:dyDescent="0.2">
      <c r="B751" s="1"/>
      <c r="C751" s="1"/>
      <c r="D751" s="1"/>
      <c r="E751" s="1"/>
      <c r="H751" s="18"/>
      <c r="I751" s="18"/>
      <c r="J751" s="18"/>
      <c r="L751" s="6"/>
      <c r="AF751" s="19"/>
      <c r="AG751" s="19"/>
      <c r="AH751" s="20"/>
      <c r="AI751" s="19"/>
      <c r="AK751" s="19"/>
      <c r="AL751" s="19"/>
      <c r="AM751" s="19"/>
      <c r="AN751" s="19"/>
      <c r="AO751" s="19"/>
      <c r="AZ751" s="19"/>
      <c r="BA751" s="19"/>
      <c r="BB751" s="20"/>
      <c r="BC751" s="19"/>
      <c r="BE751" s="19"/>
      <c r="BF751" s="19"/>
      <c r="BG751" s="19"/>
      <c r="BH751" s="19"/>
      <c r="BI751" s="19"/>
      <c r="BJ751" s="19"/>
      <c r="BK751" s="19"/>
      <c r="BL751" s="19"/>
    </row>
    <row r="752" spans="2:64" ht="14" x14ac:dyDescent="0.2">
      <c r="B752" s="1"/>
      <c r="C752" s="1"/>
      <c r="D752" s="1"/>
      <c r="E752" s="1"/>
      <c r="H752" s="18"/>
      <c r="I752" s="18"/>
      <c r="J752" s="18"/>
      <c r="L752" s="6"/>
      <c r="AF752" s="19"/>
      <c r="AG752" s="19"/>
      <c r="AH752" s="20"/>
      <c r="AI752" s="19"/>
      <c r="AK752" s="19"/>
      <c r="AL752" s="19"/>
      <c r="AM752" s="19"/>
      <c r="AN752" s="19"/>
      <c r="AO752" s="19"/>
      <c r="AZ752" s="19"/>
      <c r="BA752" s="19"/>
      <c r="BB752" s="20"/>
      <c r="BC752" s="19"/>
      <c r="BE752" s="19"/>
      <c r="BF752" s="19"/>
      <c r="BG752" s="19"/>
      <c r="BH752" s="19"/>
      <c r="BI752" s="19"/>
      <c r="BJ752" s="19"/>
      <c r="BK752" s="19"/>
      <c r="BL752" s="19"/>
    </row>
    <row r="753" spans="2:64" ht="14" x14ac:dyDescent="0.2">
      <c r="B753" s="1"/>
      <c r="C753" s="1"/>
      <c r="D753" s="1"/>
      <c r="E753" s="1"/>
      <c r="H753" s="18"/>
      <c r="I753" s="18"/>
      <c r="J753" s="18"/>
      <c r="L753" s="6"/>
      <c r="AF753" s="19"/>
      <c r="AG753" s="19"/>
      <c r="AH753" s="20"/>
      <c r="AI753" s="19"/>
      <c r="AK753" s="19"/>
      <c r="AL753" s="19"/>
      <c r="AM753" s="19"/>
      <c r="AN753" s="19"/>
      <c r="AO753" s="19"/>
      <c r="AZ753" s="19"/>
      <c r="BA753" s="19"/>
      <c r="BB753" s="20"/>
      <c r="BC753" s="19"/>
      <c r="BE753" s="19"/>
      <c r="BF753" s="19"/>
      <c r="BG753" s="19"/>
      <c r="BH753" s="19"/>
      <c r="BI753" s="19"/>
      <c r="BJ753" s="19"/>
      <c r="BK753" s="19"/>
      <c r="BL753" s="19"/>
    </row>
    <row r="754" spans="2:64" ht="14" x14ac:dyDescent="0.2">
      <c r="B754" s="1"/>
      <c r="C754" s="1"/>
      <c r="D754" s="1"/>
      <c r="E754" s="1"/>
      <c r="H754" s="18"/>
      <c r="I754" s="18"/>
      <c r="J754" s="18"/>
      <c r="L754" s="6"/>
      <c r="AF754" s="19"/>
      <c r="AG754" s="19"/>
      <c r="AH754" s="20"/>
      <c r="AI754" s="19"/>
      <c r="AK754" s="19"/>
      <c r="AL754" s="19"/>
      <c r="AM754" s="19"/>
      <c r="AN754" s="19"/>
      <c r="AO754" s="19"/>
      <c r="AZ754" s="19"/>
      <c r="BA754" s="19"/>
      <c r="BB754" s="20"/>
      <c r="BC754" s="19"/>
      <c r="BE754" s="19"/>
      <c r="BF754" s="19"/>
      <c r="BG754" s="19"/>
      <c r="BH754" s="19"/>
      <c r="BI754" s="19"/>
      <c r="BJ754" s="19"/>
      <c r="BK754" s="19"/>
      <c r="BL754" s="19"/>
    </row>
    <row r="755" spans="2:64" ht="14" x14ac:dyDescent="0.2">
      <c r="B755" s="1"/>
      <c r="C755" s="1"/>
      <c r="D755" s="1"/>
      <c r="E755" s="1"/>
      <c r="H755" s="18"/>
      <c r="I755" s="18"/>
      <c r="J755" s="18"/>
      <c r="L755" s="6"/>
      <c r="AF755" s="19"/>
      <c r="AG755" s="19"/>
      <c r="AH755" s="20"/>
      <c r="AI755" s="19"/>
      <c r="AK755" s="19"/>
      <c r="AL755" s="19"/>
      <c r="AM755" s="19"/>
      <c r="AN755" s="19"/>
      <c r="AO755" s="19"/>
      <c r="AZ755" s="19"/>
      <c r="BA755" s="19"/>
      <c r="BB755" s="20"/>
      <c r="BC755" s="19"/>
      <c r="BE755" s="19"/>
      <c r="BF755" s="19"/>
      <c r="BG755" s="19"/>
      <c r="BH755" s="19"/>
      <c r="BI755" s="19"/>
      <c r="BJ755" s="19"/>
      <c r="BK755" s="19"/>
      <c r="BL755" s="19"/>
    </row>
    <row r="756" spans="2:64" ht="14" x14ac:dyDescent="0.2">
      <c r="B756" s="1"/>
      <c r="C756" s="1"/>
      <c r="D756" s="1"/>
      <c r="E756" s="1"/>
      <c r="H756" s="18"/>
      <c r="I756" s="18"/>
      <c r="J756" s="18"/>
      <c r="L756" s="6"/>
      <c r="AF756" s="19"/>
      <c r="AG756" s="19"/>
      <c r="AH756" s="20"/>
      <c r="AI756" s="19"/>
      <c r="AK756" s="19"/>
      <c r="AL756" s="19"/>
      <c r="AM756" s="19"/>
      <c r="AN756" s="19"/>
      <c r="AO756" s="19"/>
      <c r="AZ756" s="19"/>
      <c r="BA756" s="19"/>
      <c r="BB756" s="20"/>
      <c r="BC756" s="19"/>
      <c r="BE756" s="19"/>
      <c r="BF756" s="19"/>
      <c r="BG756" s="19"/>
      <c r="BH756" s="19"/>
      <c r="BI756" s="19"/>
      <c r="BJ756" s="19"/>
      <c r="BK756" s="19"/>
      <c r="BL756" s="19"/>
    </row>
    <row r="757" spans="2:64" ht="14" x14ac:dyDescent="0.2">
      <c r="B757" s="1"/>
      <c r="C757" s="1"/>
      <c r="D757" s="1"/>
      <c r="E757" s="1"/>
      <c r="H757" s="18"/>
      <c r="I757" s="18"/>
      <c r="J757" s="18"/>
      <c r="L757" s="6"/>
      <c r="AF757" s="19"/>
      <c r="AG757" s="19"/>
      <c r="AH757" s="20"/>
      <c r="AI757" s="19"/>
      <c r="AK757" s="19"/>
      <c r="AL757" s="19"/>
      <c r="AM757" s="19"/>
      <c r="AN757" s="19"/>
      <c r="AO757" s="19"/>
      <c r="AZ757" s="19"/>
      <c r="BA757" s="19"/>
      <c r="BB757" s="20"/>
      <c r="BC757" s="19"/>
      <c r="BE757" s="19"/>
      <c r="BF757" s="19"/>
      <c r="BG757" s="19"/>
      <c r="BH757" s="19"/>
      <c r="BI757" s="19"/>
      <c r="BJ757" s="19"/>
      <c r="BK757" s="19"/>
      <c r="BL757" s="19"/>
    </row>
    <row r="758" spans="2:64" ht="14" x14ac:dyDescent="0.2">
      <c r="B758" s="1"/>
      <c r="C758" s="1"/>
      <c r="D758" s="1"/>
      <c r="E758" s="1"/>
      <c r="H758" s="18"/>
      <c r="I758" s="18"/>
      <c r="J758" s="18"/>
      <c r="L758" s="6"/>
      <c r="AF758" s="19"/>
      <c r="AG758" s="19"/>
      <c r="AH758" s="20"/>
      <c r="AI758" s="19"/>
      <c r="AK758" s="19"/>
      <c r="AL758" s="19"/>
      <c r="AM758" s="19"/>
      <c r="AN758" s="19"/>
      <c r="AO758" s="19"/>
      <c r="AZ758" s="19"/>
      <c r="BA758" s="19"/>
      <c r="BB758" s="20"/>
      <c r="BC758" s="19"/>
      <c r="BE758" s="19"/>
      <c r="BF758" s="19"/>
      <c r="BG758" s="19"/>
      <c r="BH758" s="19"/>
      <c r="BI758" s="19"/>
      <c r="BJ758" s="19"/>
      <c r="BK758" s="19"/>
      <c r="BL758" s="19"/>
    </row>
    <row r="759" spans="2:64" ht="14" x14ac:dyDescent="0.2">
      <c r="B759" s="1"/>
      <c r="C759" s="1"/>
      <c r="D759" s="1"/>
      <c r="E759" s="1"/>
      <c r="H759" s="18"/>
      <c r="I759" s="18"/>
      <c r="J759" s="18"/>
      <c r="L759" s="6"/>
      <c r="AF759" s="19"/>
      <c r="AG759" s="19"/>
      <c r="AH759" s="20"/>
      <c r="AI759" s="19"/>
      <c r="AK759" s="19"/>
      <c r="AL759" s="19"/>
      <c r="AM759" s="19"/>
      <c r="AN759" s="19"/>
      <c r="AO759" s="19"/>
      <c r="AZ759" s="19"/>
      <c r="BA759" s="19"/>
      <c r="BB759" s="20"/>
      <c r="BC759" s="19"/>
      <c r="BE759" s="19"/>
      <c r="BF759" s="19"/>
      <c r="BG759" s="19"/>
      <c r="BH759" s="19"/>
      <c r="BI759" s="19"/>
      <c r="BJ759" s="19"/>
      <c r="BK759" s="19"/>
      <c r="BL759" s="19"/>
    </row>
    <row r="760" spans="2:64" ht="14" x14ac:dyDescent="0.2">
      <c r="B760" s="1"/>
      <c r="C760" s="1"/>
      <c r="D760" s="1"/>
      <c r="E760" s="1"/>
      <c r="H760" s="18"/>
      <c r="I760" s="18"/>
      <c r="J760" s="18"/>
      <c r="L760" s="6"/>
      <c r="AF760" s="19"/>
      <c r="AG760" s="19"/>
      <c r="AH760" s="20"/>
      <c r="AI760" s="19"/>
      <c r="AK760" s="19"/>
      <c r="AL760" s="19"/>
      <c r="AM760" s="19"/>
      <c r="AN760" s="19"/>
      <c r="AO760" s="19"/>
      <c r="AZ760" s="19"/>
      <c r="BA760" s="19"/>
      <c r="BB760" s="20"/>
      <c r="BC760" s="19"/>
      <c r="BE760" s="19"/>
      <c r="BF760" s="19"/>
      <c r="BG760" s="19"/>
      <c r="BH760" s="19"/>
      <c r="BI760" s="19"/>
      <c r="BJ760" s="19"/>
      <c r="BK760" s="19"/>
      <c r="BL760" s="19"/>
    </row>
    <row r="761" spans="2:64" ht="14" x14ac:dyDescent="0.2">
      <c r="B761" s="1"/>
      <c r="C761" s="1"/>
      <c r="D761" s="1"/>
      <c r="E761" s="1"/>
      <c r="H761" s="18"/>
      <c r="I761" s="18"/>
      <c r="J761" s="18"/>
      <c r="L761" s="6"/>
      <c r="AF761" s="19"/>
      <c r="AG761" s="19"/>
      <c r="AH761" s="20"/>
      <c r="AI761" s="19"/>
      <c r="AK761" s="19"/>
      <c r="AL761" s="19"/>
      <c r="AM761" s="19"/>
      <c r="AN761" s="19"/>
      <c r="AO761" s="19"/>
      <c r="AZ761" s="19"/>
      <c r="BA761" s="19"/>
      <c r="BB761" s="20"/>
      <c r="BC761" s="19"/>
      <c r="BE761" s="19"/>
      <c r="BF761" s="19"/>
      <c r="BG761" s="19"/>
      <c r="BH761" s="19"/>
      <c r="BI761" s="19"/>
      <c r="BJ761" s="19"/>
      <c r="BK761" s="19"/>
      <c r="BL761" s="19"/>
    </row>
    <row r="762" spans="2:64" ht="14" x14ac:dyDescent="0.2">
      <c r="B762" s="1"/>
      <c r="C762" s="1"/>
      <c r="D762" s="1"/>
      <c r="E762" s="1"/>
      <c r="H762" s="18"/>
      <c r="I762" s="18"/>
      <c r="J762" s="18"/>
      <c r="L762" s="6"/>
      <c r="AF762" s="19"/>
      <c r="AG762" s="19"/>
      <c r="AH762" s="20"/>
      <c r="AI762" s="19"/>
      <c r="AK762" s="19"/>
      <c r="AL762" s="19"/>
      <c r="AM762" s="19"/>
      <c r="AN762" s="19"/>
      <c r="AO762" s="19"/>
      <c r="AZ762" s="19"/>
      <c r="BA762" s="19"/>
      <c r="BB762" s="20"/>
      <c r="BC762" s="19"/>
      <c r="BE762" s="19"/>
      <c r="BF762" s="19"/>
      <c r="BG762" s="19"/>
      <c r="BH762" s="19"/>
      <c r="BI762" s="19"/>
      <c r="BJ762" s="19"/>
      <c r="BK762" s="19"/>
      <c r="BL762" s="19"/>
    </row>
    <row r="763" spans="2:64" ht="14" x14ac:dyDescent="0.2">
      <c r="B763" s="1"/>
      <c r="C763" s="1"/>
      <c r="D763" s="1"/>
      <c r="E763" s="1"/>
      <c r="H763" s="18"/>
      <c r="I763" s="18"/>
      <c r="J763" s="18"/>
      <c r="L763" s="6"/>
      <c r="AF763" s="19"/>
      <c r="AG763" s="19"/>
      <c r="AH763" s="20"/>
      <c r="AI763" s="19"/>
      <c r="AK763" s="19"/>
      <c r="AL763" s="19"/>
      <c r="AM763" s="19"/>
      <c r="AN763" s="19"/>
      <c r="AO763" s="19"/>
      <c r="AZ763" s="19"/>
      <c r="BA763" s="19"/>
      <c r="BB763" s="20"/>
      <c r="BC763" s="19"/>
      <c r="BE763" s="19"/>
      <c r="BF763" s="19"/>
      <c r="BG763" s="19"/>
      <c r="BH763" s="19"/>
      <c r="BI763" s="19"/>
      <c r="BJ763" s="19"/>
      <c r="BK763" s="19"/>
      <c r="BL763" s="19"/>
    </row>
    <row r="764" spans="2:64" ht="14" x14ac:dyDescent="0.2">
      <c r="B764" s="1"/>
      <c r="C764" s="1"/>
      <c r="D764" s="1"/>
      <c r="E764" s="1"/>
      <c r="H764" s="18"/>
      <c r="I764" s="18"/>
      <c r="J764" s="18"/>
      <c r="L764" s="6"/>
      <c r="AF764" s="19"/>
      <c r="AG764" s="19"/>
      <c r="AH764" s="20"/>
      <c r="AI764" s="19"/>
      <c r="AK764" s="19"/>
      <c r="AL764" s="19"/>
      <c r="AM764" s="19"/>
      <c r="AN764" s="19"/>
      <c r="AO764" s="19"/>
      <c r="AZ764" s="19"/>
      <c r="BA764" s="19"/>
      <c r="BB764" s="20"/>
      <c r="BC764" s="19"/>
      <c r="BE764" s="19"/>
      <c r="BF764" s="19"/>
      <c r="BG764" s="19"/>
      <c r="BH764" s="19"/>
      <c r="BI764" s="19"/>
      <c r="BJ764" s="19"/>
      <c r="BK764" s="19"/>
      <c r="BL764" s="19"/>
    </row>
    <row r="765" spans="2:64" ht="14" x14ac:dyDescent="0.2">
      <c r="B765" s="1"/>
      <c r="C765" s="1"/>
      <c r="D765" s="1"/>
      <c r="E765" s="1"/>
      <c r="H765" s="18"/>
      <c r="I765" s="18"/>
      <c r="J765" s="18"/>
      <c r="L765" s="6"/>
      <c r="AF765" s="19"/>
      <c r="AG765" s="19"/>
      <c r="AH765" s="20"/>
      <c r="AI765" s="19"/>
      <c r="AK765" s="19"/>
      <c r="AL765" s="19"/>
      <c r="AM765" s="19"/>
      <c r="AN765" s="19"/>
      <c r="AO765" s="19"/>
      <c r="AZ765" s="19"/>
      <c r="BA765" s="19"/>
      <c r="BB765" s="20"/>
      <c r="BC765" s="19"/>
      <c r="BE765" s="19"/>
      <c r="BF765" s="19"/>
      <c r="BG765" s="19"/>
      <c r="BH765" s="19"/>
      <c r="BI765" s="19"/>
      <c r="BJ765" s="19"/>
      <c r="BK765" s="19"/>
      <c r="BL765" s="19"/>
    </row>
    <row r="766" spans="2:64" ht="14" x14ac:dyDescent="0.2">
      <c r="B766" s="1"/>
      <c r="C766" s="1"/>
      <c r="D766" s="1"/>
      <c r="E766" s="1"/>
      <c r="H766" s="18"/>
      <c r="I766" s="18"/>
      <c r="J766" s="18"/>
      <c r="L766" s="6"/>
      <c r="AF766" s="19"/>
      <c r="AG766" s="19"/>
      <c r="AH766" s="20"/>
      <c r="AI766" s="19"/>
      <c r="AK766" s="19"/>
      <c r="AL766" s="19"/>
      <c r="AM766" s="19"/>
      <c r="AN766" s="19"/>
      <c r="AO766" s="19"/>
      <c r="AZ766" s="19"/>
      <c r="BA766" s="19"/>
      <c r="BB766" s="20"/>
      <c r="BC766" s="19"/>
      <c r="BE766" s="19"/>
      <c r="BF766" s="19"/>
      <c r="BG766" s="19"/>
      <c r="BH766" s="19"/>
      <c r="BI766" s="19"/>
      <c r="BJ766" s="19"/>
      <c r="BK766" s="19"/>
      <c r="BL766" s="19"/>
    </row>
    <row r="767" spans="2:64" ht="14" x14ac:dyDescent="0.2">
      <c r="B767" s="1"/>
      <c r="C767" s="1"/>
      <c r="D767" s="1"/>
      <c r="E767" s="1"/>
      <c r="H767" s="18"/>
      <c r="I767" s="18"/>
      <c r="J767" s="18"/>
      <c r="L767" s="6"/>
      <c r="AF767" s="19"/>
      <c r="AG767" s="19"/>
      <c r="AH767" s="20"/>
      <c r="AI767" s="19"/>
      <c r="AK767" s="19"/>
      <c r="AL767" s="19"/>
      <c r="AM767" s="19"/>
      <c r="AN767" s="19"/>
      <c r="AO767" s="19"/>
      <c r="AZ767" s="19"/>
      <c r="BA767" s="19"/>
      <c r="BB767" s="20"/>
      <c r="BC767" s="19"/>
      <c r="BE767" s="19"/>
      <c r="BF767" s="19"/>
      <c r="BG767" s="19"/>
      <c r="BH767" s="19"/>
      <c r="BI767" s="19"/>
      <c r="BJ767" s="19"/>
      <c r="BK767" s="19"/>
      <c r="BL767" s="19"/>
    </row>
    <row r="768" spans="2:64" ht="14" x14ac:dyDescent="0.2">
      <c r="B768" s="1"/>
      <c r="C768" s="1"/>
      <c r="D768" s="1"/>
      <c r="E768" s="1"/>
      <c r="H768" s="18"/>
      <c r="I768" s="18"/>
      <c r="J768" s="18"/>
      <c r="L768" s="6"/>
      <c r="AF768" s="19"/>
      <c r="AG768" s="19"/>
      <c r="AH768" s="20"/>
      <c r="AI768" s="19"/>
      <c r="AK768" s="19"/>
      <c r="AL768" s="19"/>
      <c r="AM768" s="19"/>
      <c r="AN768" s="19"/>
      <c r="AO768" s="19"/>
      <c r="AZ768" s="19"/>
      <c r="BA768" s="19"/>
      <c r="BB768" s="20"/>
      <c r="BC768" s="19"/>
      <c r="BE768" s="19"/>
      <c r="BF768" s="19"/>
      <c r="BG768" s="19"/>
      <c r="BH768" s="19"/>
      <c r="BI768" s="19"/>
      <c r="BJ768" s="19"/>
      <c r="BK768" s="19"/>
      <c r="BL768" s="19"/>
    </row>
    <row r="769" spans="2:64" ht="14" x14ac:dyDescent="0.2">
      <c r="B769" s="1"/>
      <c r="C769" s="1"/>
      <c r="D769" s="1"/>
      <c r="E769" s="1"/>
      <c r="H769" s="18"/>
      <c r="I769" s="18"/>
      <c r="J769" s="18"/>
      <c r="L769" s="6"/>
      <c r="AF769" s="19"/>
      <c r="AG769" s="19"/>
      <c r="AH769" s="20"/>
      <c r="AI769" s="19"/>
      <c r="AK769" s="19"/>
      <c r="AL769" s="19"/>
      <c r="AM769" s="19"/>
      <c r="AN769" s="19"/>
      <c r="AO769" s="19"/>
      <c r="AZ769" s="19"/>
      <c r="BA769" s="19"/>
      <c r="BB769" s="20"/>
      <c r="BC769" s="19"/>
      <c r="BE769" s="19"/>
      <c r="BF769" s="19"/>
      <c r="BG769" s="19"/>
      <c r="BH769" s="19"/>
      <c r="BI769" s="19"/>
      <c r="BJ769" s="19"/>
      <c r="BK769" s="19"/>
      <c r="BL769" s="19"/>
    </row>
    <row r="770" spans="2:64" ht="14" x14ac:dyDescent="0.2">
      <c r="B770" s="1"/>
      <c r="C770" s="1"/>
      <c r="D770" s="1"/>
      <c r="E770" s="1"/>
      <c r="H770" s="18"/>
      <c r="I770" s="18"/>
      <c r="J770" s="18"/>
      <c r="L770" s="6"/>
      <c r="AF770" s="19"/>
      <c r="AG770" s="19"/>
      <c r="AH770" s="20"/>
      <c r="AI770" s="19"/>
      <c r="AK770" s="19"/>
      <c r="AL770" s="19"/>
      <c r="AM770" s="19"/>
      <c r="AN770" s="19"/>
      <c r="AO770" s="19"/>
      <c r="AZ770" s="19"/>
      <c r="BA770" s="19"/>
      <c r="BB770" s="20"/>
      <c r="BC770" s="19"/>
      <c r="BE770" s="19"/>
      <c r="BF770" s="19"/>
      <c r="BG770" s="19"/>
      <c r="BH770" s="19"/>
      <c r="BI770" s="19"/>
      <c r="BJ770" s="19"/>
      <c r="BK770" s="19"/>
      <c r="BL770" s="19"/>
    </row>
    <row r="771" spans="2:64" ht="14" x14ac:dyDescent="0.2">
      <c r="B771" s="1"/>
      <c r="C771" s="1"/>
      <c r="D771" s="1"/>
      <c r="E771" s="1"/>
      <c r="H771" s="18"/>
      <c r="I771" s="18"/>
      <c r="J771" s="18"/>
      <c r="L771" s="6"/>
      <c r="AF771" s="19"/>
      <c r="AG771" s="19"/>
      <c r="AH771" s="20"/>
      <c r="AI771" s="19"/>
      <c r="AK771" s="19"/>
      <c r="AL771" s="19"/>
      <c r="AM771" s="19"/>
      <c r="AN771" s="19"/>
      <c r="AO771" s="19"/>
      <c r="AZ771" s="19"/>
      <c r="BA771" s="19"/>
      <c r="BB771" s="20"/>
      <c r="BC771" s="19"/>
      <c r="BE771" s="19"/>
      <c r="BF771" s="19"/>
      <c r="BG771" s="19"/>
      <c r="BH771" s="19"/>
      <c r="BI771" s="19"/>
      <c r="BJ771" s="19"/>
      <c r="BK771" s="19"/>
      <c r="BL771" s="19"/>
    </row>
    <row r="772" spans="2:64" ht="14" x14ac:dyDescent="0.2">
      <c r="B772" s="1"/>
      <c r="C772" s="1"/>
      <c r="D772" s="1"/>
      <c r="E772" s="1"/>
      <c r="H772" s="18"/>
      <c r="I772" s="18"/>
      <c r="J772" s="18"/>
      <c r="L772" s="6"/>
      <c r="AF772" s="19"/>
      <c r="AG772" s="19"/>
      <c r="AH772" s="20"/>
      <c r="AI772" s="19"/>
      <c r="AK772" s="19"/>
      <c r="AL772" s="19"/>
      <c r="AM772" s="19"/>
      <c r="AN772" s="19"/>
      <c r="AO772" s="19"/>
      <c r="AZ772" s="19"/>
      <c r="BA772" s="19"/>
      <c r="BB772" s="20"/>
      <c r="BC772" s="19"/>
      <c r="BE772" s="19"/>
      <c r="BF772" s="19"/>
      <c r="BG772" s="19"/>
      <c r="BH772" s="19"/>
      <c r="BI772" s="19"/>
      <c r="BJ772" s="19"/>
      <c r="BK772" s="19"/>
      <c r="BL772" s="19"/>
    </row>
    <row r="773" spans="2:64" ht="14" x14ac:dyDescent="0.2">
      <c r="B773" s="1"/>
      <c r="C773" s="1"/>
      <c r="D773" s="1"/>
      <c r="E773" s="1"/>
      <c r="H773" s="18"/>
      <c r="I773" s="18"/>
      <c r="J773" s="18"/>
      <c r="L773" s="6"/>
      <c r="AF773" s="19"/>
      <c r="AG773" s="19"/>
      <c r="AH773" s="20"/>
      <c r="AI773" s="19"/>
      <c r="AK773" s="19"/>
      <c r="AL773" s="19"/>
      <c r="AM773" s="19"/>
      <c r="AN773" s="19"/>
      <c r="AO773" s="19"/>
      <c r="AZ773" s="19"/>
      <c r="BA773" s="19"/>
      <c r="BB773" s="20"/>
      <c r="BC773" s="19"/>
      <c r="BE773" s="19"/>
      <c r="BF773" s="19"/>
      <c r="BG773" s="19"/>
      <c r="BH773" s="19"/>
      <c r="BI773" s="19"/>
      <c r="BJ773" s="19"/>
      <c r="BK773" s="19"/>
      <c r="BL773" s="19"/>
    </row>
    <row r="774" spans="2:64" ht="14" x14ac:dyDescent="0.2">
      <c r="B774" s="1"/>
      <c r="C774" s="1"/>
      <c r="D774" s="1"/>
      <c r="E774" s="1"/>
      <c r="H774" s="18"/>
      <c r="I774" s="18"/>
      <c r="J774" s="18"/>
      <c r="L774" s="6"/>
      <c r="AF774" s="19"/>
      <c r="AG774" s="19"/>
      <c r="AH774" s="20"/>
      <c r="AI774" s="19"/>
      <c r="AK774" s="19"/>
      <c r="AL774" s="19"/>
      <c r="AM774" s="19"/>
      <c r="AN774" s="19"/>
      <c r="AO774" s="19"/>
      <c r="AZ774" s="19"/>
      <c r="BA774" s="19"/>
      <c r="BB774" s="20"/>
      <c r="BC774" s="19"/>
      <c r="BE774" s="19"/>
      <c r="BF774" s="19"/>
      <c r="BG774" s="19"/>
      <c r="BH774" s="19"/>
      <c r="BI774" s="19"/>
      <c r="BJ774" s="19"/>
      <c r="BK774" s="19"/>
      <c r="BL774" s="19"/>
    </row>
    <row r="775" spans="2:64" ht="14" x14ac:dyDescent="0.2">
      <c r="B775" s="1"/>
      <c r="C775" s="1"/>
      <c r="D775" s="1"/>
      <c r="E775" s="1"/>
      <c r="H775" s="18"/>
      <c r="I775" s="18"/>
      <c r="J775" s="18"/>
      <c r="L775" s="6"/>
      <c r="AF775" s="19"/>
      <c r="AG775" s="19"/>
      <c r="AH775" s="20"/>
      <c r="AI775" s="19"/>
      <c r="AK775" s="19"/>
      <c r="AL775" s="19"/>
      <c r="AM775" s="19"/>
      <c r="AN775" s="19"/>
      <c r="AO775" s="19"/>
      <c r="AZ775" s="19"/>
      <c r="BA775" s="19"/>
      <c r="BB775" s="20"/>
      <c r="BC775" s="19"/>
      <c r="BE775" s="19"/>
      <c r="BF775" s="19"/>
      <c r="BG775" s="19"/>
      <c r="BH775" s="19"/>
      <c r="BI775" s="19"/>
      <c r="BJ775" s="19"/>
      <c r="BK775" s="19"/>
      <c r="BL775" s="19"/>
    </row>
    <row r="776" spans="2:64" ht="14" x14ac:dyDescent="0.2">
      <c r="B776" s="1"/>
      <c r="C776" s="1"/>
      <c r="D776" s="1"/>
      <c r="E776" s="1"/>
      <c r="H776" s="18"/>
      <c r="I776" s="18"/>
      <c r="J776" s="18"/>
      <c r="L776" s="6"/>
      <c r="AF776" s="19"/>
      <c r="AG776" s="19"/>
      <c r="AH776" s="20"/>
      <c r="AI776" s="19"/>
      <c r="AK776" s="19"/>
      <c r="AL776" s="19"/>
      <c r="AM776" s="19"/>
      <c r="AN776" s="19"/>
      <c r="AO776" s="19"/>
      <c r="AZ776" s="19"/>
      <c r="BA776" s="19"/>
      <c r="BB776" s="20"/>
      <c r="BC776" s="19"/>
      <c r="BE776" s="19"/>
      <c r="BF776" s="19"/>
      <c r="BG776" s="19"/>
      <c r="BH776" s="19"/>
      <c r="BI776" s="19"/>
      <c r="BJ776" s="19"/>
      <c r="BK776" s="19"/>
      <c r="BL776" s="19"/>
    </row>
    <row r="777" spans="2:64" ht="14" x14ac:dyDescent="0.2">
      <c r="B777" s="1"/>
      <c r="C777" s="1"/>
      <c r="D777" s="1"/>
      <c r="E777" s="1"/>
      <c r="H777" s="18"/>
      <c r="I777" s="18"/>
      <c r="J777" s="18"/>
      <c r="L777" s="6"/>
      <c r="AF777" s="19"/>
      <c r="AG777" s="19"/>
      <c r="AH777" s="20"/>
      <c r="AI777" s="19"/>
      <c r="AK777" s="19"/>
      <c r="AL777" s="19"/>
      <c r="AM777" s="19"/>
      <c r="AN777" s="19"/>
      <c r="AO777" s="19"/>
      <c r="AZ777" s="19"/>
      <c r="BA777" s="19"/>
      <c r="BB777" s="20"/>
      <c r="BC777" s="19"/>
      <c r="BE777" s="19"/>
      <c r="BF777" s="19"/>
      <c r="BG777" s="19"/>
      <c r="BH777" s="19"/>
      <c r="BI777" s="19"/>
      <c r="BJ777" s="19"/>
      <c r="BK777" s="19"/>
      <c r="BL777" s="19"/>
    </row>
    <row r="778" spans="2:64" ht="14" x14ac:dyDescent="0.2">
      <c r="B778" s="1"/>
      <c r="C778" s="1"/>
      <c r="D778" s="1"/>
      <c r="E778" s="1"/>
      <c r="H778" s="18"/>
      <c r="I778" s="18"/>
      <c r="J778" s="18"/>
      <c r="L778" s="6"/>
      <c r="AF778" s="19"/>
      <c r="AG778" s="19"/>
      <c r="AH778" s="20"/>
      <c r="AI778" s="19"/>
      <c r="AK778" s="19"/>
      <c r="AL778" s="19"/>
      <c r="AM778" s="19"/>
      <c r="AN778" s="19"/>
      <c r="AO778" s="19"/>
      <c r="AZ778" s="19"/>
      <c r="BA778" s="19"/>
      <c r="BB778" s="20"/>
      <c r="BC778" s="19"/>
      <c r="BE778" s="19"/>
      <c r="BF778" s="19"/>
      <c r="BG778" s="19"/>
      <c r="BH778" s="19"/>
      <c r="BI778" s="19"/>
      <c r="BJ778" s="19"/>
      <c r="BK778" s="19"/>
      <c r="BL778" s="19"/>
    </row>
    <row r="779" spans="2:64" ht="14" x14ac:dyDescent="0.2">
      <c r="B779" s="1"/>
      <c r="C779" s="1"/>
      <c r="D779" s="1"/>
      <c r="E779" s="1"/>
      <c r="H779" s="18"/>
      <c r="I779" s="18"/>
      <c r="J779" s="18"/>
      <c r="L779" s="6"/>
      <c r="AF779" s="19"/>
      <c r="AG779" s="19"/>
      <c r="AH779" s="20"/>
      <c r="AI779" s="19"/>
      <c r="AK779" s="19"/>
      <c r="AL779" s="19"/>
      <c r="AM779" s="19"/>
      <c r="AN779" s="19"/>
      <c r="AO779" s="19"/>
      <c r="AZ779" s="19"/>
      <c r="BA779" s="19"/>
      <c r="BB779" s="20"/>
      <c r="BC779" s="19"/>
      <c r="BE779" s="19"/>
      <c r="BF779" s="19"/>
      <c r="BG779" s="19"/>
      <c r="BH779" s="19"/>
      <c r="BI779" s="19"/>
      <c r="BJ779" s="19"/>
      <c r="BK779" s="19"/>
      <c r="BL779" s="19"/>
    </row>
    <row r="780" spans="2:64" ht="14" x14ac:dyDescent="0.2">
      <c r="B780" s="1"/>
      <c r="C780" s="1"/>
      <c r="D780" s="1"/>
      <c r="E780" s="1"/>
      <c r="H780" s="18"/>
      <c r="I780" s="18"/>
      <c r="J780" s="18"/>
      <c r="L780" s="6"/>
      <c r="AF780" s="19"/>
      <c r="AG780" s="19"/>
      <c r="AH780" s="20"/>
      <c r="AI780" s="19"/>
      <c r="AK780" s="19"/>
      <c r="AL780" s="19"/>
      <c r="AM780" s="19"/>
      <c r="AN780" s="19"/>
      <c r="AO780" s="19"/>
      <c r="AZ780" s="19"/>
      <c r="BA780" s="19"/>
      <c r="BB780" s="20"/>
      <c r="BC780" s="19"/>
      <c r="BE780" s="19"/>
      <c r="BF780" s="19"/>
      <c r="BG780" s="19"/>
      <c r="BH780" s="19"/>
      <c r="BI780" s="19"/>
      <c r="BJ780" s="19"/>
      <c r="BK780" s="19"/>
      <c r="BL780" s="19"/>
    </row>
    <row r="781" spans="2:64" ht="14" x14ac:dyDescent="0.2">
      <c r="B781" s="1"/>
      <c r="C781" s="1"/>
      <c r="D781" s="1"/>
      <c r="E781" s="1"/>
      <c r="H781" s="18"/>
      <c r="I781" s="18"/>
      <c r="J781" s="18"/>
      <c r="L781" s="6"/>
      <c r="AF781" s="19"/>
      <c r="AG781" s="19"/>
      <c r="AH781" s="20"/>
      <c r="AI781" s="19"/>
      <c r="AK781" s="19"/>
      <c r="AL781" s="19"/>
      <c r="AM781" s="19"/>
      <c r="AN781" s="19"/>
      <c r="AO781" s="19"/>
      <c r="AZ781" s="19"/>
      <c r="BA781" s="19"/>
      <c r="BB781" s="20"/>
      <c r="BC781" s="19"/>
      <c r="BE781" s="19"/>
      <c r="BF781" s="19"/>
      <c r="BG781" s="19"/>
      <c r="BH781" s="19"/>
      <c r="BI781" s="19"/>
      <c r="BJ781" s="19"/>
      <c r="BK781" s="19"/>
      <c r="BL781" s="19"/>
    </row>
    <row r="782" spans="2:64" ht="14" x14ac:dyDescent="0.2">
      <c r="B782" s="1"/>
      <c r="C782" s="1"/>
      <c r="D782" s="1"/>
      <c r="E782" s="1"/>
      <c r="H782" s="18"/>
      <c r="I782" s="18"/>
      <c r="J782" s="18"/>
      <c r="L782" s="6"/>
      <c r="AF782" s="19"/>
      <c r="AG782" s="19"/>
      <c r="AH782" s="20"/>
      <c r="AI782" s="19"/>
      <c r="AK782" s="19"/>
      <c r="AL782" s="19"/>
      <c r="AM782" s="19"/>
      <c r="AN782" s="19"/>
      <c r="AO782" s="19"/>
      <c r="AZ782" s="19"/>
      <c r="BA782" s="19"/>
      <c r="BB782" s="20"/>
      <c r="BC782" s="19"/>
      <c r="BE782" s="19"/>
      <c r="BF782" s="19"/>
      <c r="BG782" s="19"/>
      <c r="BH782" s="19"/>
      <c r="BI782" s="19"/>
      <c r="BJ782" s="19"/>
      <c r="BK782" s="19"/>
      <c r="BL782" s="19"/>
    </row>
    <row r="783" spans="2:64" ht="14" x14ac:dyDescent="0.2">
      <c r="B783" s="1"/>
      <c r="C783" s="1"/>
      <c r="D783" s="1"/>
      <c r="E783" s="1"/>
      <c r="H783" s="18"/>
      <c r="I783" s="18"/>
      <c r="J783" s="18"/>
      <c r="L783" s="6"/>
      <c r="AF783" s="19"/>
      <c r="AG783" s="19"/>
      <c r="AH783" s="20"/>
      <c r="AI783" s="19"/>
      <c r="AK783" s="19"/>
      <c r="AL783" s="19"/>
      <c r="AM783" s="19"/>
      <c r="AN783" s="19"/>
      <c r="AO783" s="19"/>
      <c r="AZ783" s="19"/>
      <c r="BA783" s="19"/>
      <c r="BB783" s="20"/>
      <c r="BC783" s="19"/>
      <c r="BE783" s="19"/>
      <c r="BF783" s="19"/>
      <c r="BG783" s="19"/>
      <c r="BH783" s="19"/>
      <c r="BI783" s="19"/>
      <c r="BJ783" s="19"/>
      <c r="BK783" s="19"/>
      <c r="BL783" s="19"/>
    </row>
    <row r="784" spans="2:64" ht="14" x14ac:dyDescent="0.2">
      <c r="B784" s="1"/>
      <c r="C784" s="1"/>
      <c r="D784" s="1"/>
      <c r="E784" s="1"/>
      <c r="H784" s="18"/>
      <c r="I784" s="18"/>
      <c r="J784" s="18"/>
      <c r="L784" s="6"/>
      <c r="AF784" s="19"/>
      <c r="AG784" s="19"/>
      <c r="AH784" s="20"/>
      <c r="AI784" s="19"/>
      <c r="AK784" s="19"/>
      <c r="AL784" s="19"/>
      <c r="AM784" s="19"/>
      <c r="AN784" s="19"/>
      <c r="AO784" s="19"/>
      <c r="AZ784" s="19"/>
      <c r="BA784" s="19"/>
      <c r="BB784" s="20"/>
      <c r="BC784" s="19"/>
      <c r="BE784" s="19"/>
      <c r="BF784" s="19"/>
      <c r="BG784" s="19"/>
      <c r="BH784" s="19"/>
      <c r="BI784" s="19"/>
      <c r="BJ784" s="19"/>
      <c r="BK784" s="19"/>
      <c r="BL784" s="19"/>
    </row>
    <row r="785" spans="2:64" ht="14" x14ac:dyDescent="0.2">
      <c r="B785" s="1"/>
      <c r="C785" s="1"/>
      <c r="D785" s="1"/>
      <c r="E785" s="1"/>
      <c r="H785" s="18"/>
      <c r="I785" s="18"/>
      <c r="J785" s="18"/>
      <c r="L785" s="6"/>
      <c r="AF785" s="19"/>
      <c r="AG785" s="19"/>
      <c r="AH785" s="20"/>
      <c r="AI785" s="19"/>
      <c r="AK785" s="19"/>
      <c r="AL785" s="19"/>
      <c r="AM785" s="19"/>
      <c r="AN785" s="19"/>
      <c r="AO785" s="19"/>
      <c r="AZ785" s="19"/>
      <c r="BA785" s="19"/>
      <c r="BB785" s="20"/>
      <c r="BC785" s="19"/>
      <c r="BE785" s="19"/>
      <c r="BF785" s="19"/>
      <c r="BG785" s="19"/>
      <c r="BH785" s="19"/>
      <c r="BI785" s="19"/>
      <c r="BJ785" s="19"/>
      <c r="BK785" s="19"/>
      <c r="BL785" s="19"/>
    </row>
    <row r="786" spans="2:64" ht="14" x14ac:dyDescent="0.2">
      <c r="B786" s="1"/>
      <c r="C786" s="1"/>
      <c r="D786" s="1"/>
      <c r="E786" s="1"/>
      <c r="H786" s="18"/>
      <c r="I786" s="18"/>
      <c r="J786" s="18"/>
      <c r="L786" s="6"/>
      <c r="AF786" s="19"/>
      <c r="AG786" s="19"/>
      <c r="AH786" s="20"/>
      <c r="AI786" s="19"/>
      <c r="AK786" s="19"/>
      <c r="AL786" s="19"/>
      <c r="AM786" s="19"/>
      <c r="AN786" s="19"/>
      <c r="AO786" s="19"/>
      <c r="AZ786" s="19"/>
      <c r="BA786" s="19"/>
      <c r="BB786" s="20"/>
      <c r="BC786" s="19"/>
      <c r="BE786" s="19"/>
      <c r="BF786" s="19"/>
      <c r="BG786" s="19"/>
      <c r="BH786" s="19"/>
      <c r="BI786" s="19"/>
      <c r="BJ786" s="19"/>
      <c r="BK786" s="19"/>
      <c r="BL786" s="19"/>
    </row>
    <row r="787" spans="2:64" ht="14" x14ac:dyDescent="0.2">
      <c r="B787" s="1"/>
      <c r="C787" s="1"/>
      <c r="D787" s="1"/>
      <c r="E787" s="1"/>
      <c r="H787" s="18"/>
      <c r="I787" s="18"/>
      <c r="J787" s="18"/>
      <c r="L787" s="6"/>
      <c r="AF787" s="19"/>
      <c r="AG787" s="19"/>
      <c r="AH787" s="20"/>
      <c r="AI787" s="19"/>
      <c r="AK787" s="19"/>
      <c r="AL787" s="19"/>
      <c r="AM787" s="19"/>
      <c r="AN787" s="19"/>
      <c r="AO787" s="19"/>
      <c r="AZ787" s="19"/>
      <c r="BA787" s="19"/>
      <c r="BB787" s="20"/>
      <c r="BC787" s="19"/>
      <c r="BE787" s="19"/>
      <c r="BF787" s="19"/>
      <c r="BG787" s="19"/>
      <c r="BH787" s="19"/>
      <c r="BI787" s="19"/>
      <c r="BJ787" s="19"/>
      <c r="BK787" s="19"/>
      <c r="BL787" s="19"/>
    </row>
    <row r="788" spans="2:64" ht="14" x14ac:dyDescent="0.2">
      <c r="B788" s="1"/>
      <c r="C788" s="1"/>
      <c r="D788" s="1"/>
      <c r="E788" s="1"/>
      <c r="H788" s="18"/>
      <c r="I788" s="18"/>
      <c r="J788" s="18"/>
      <c r="L788" s="6"/>
      <c r="AF788" s="19"/>
      <c r="AG788" s="19"/>
      <c r="AH788" s="20"/>
      <c r="AI788" s="19"/>
      <c r="AK788" s="19"/>
      <c r="AL788" s="19"/>
      <c r="AM788" s="19"/>
      <c r="AN788" s="19"/>
      <c r="AO788" s="19"/>
      <c r="AZ788" s="19"/>
      <c r="BA788" s="19"/>
      <c r="BB788" s="20"/>
      <c r="BC788" s="19"/>
      <c r="BE788" s="19"/>
      <c r="BF788" s="19"/>
      <c r="BG788" s="19"/>
      <c r="BH788" s="19"/>
      <c r="BI788" s="19"/>
      <c r="BJ788" s="19"/>
      <c r="BK788" s="19"/>
      <c r="BL788" s="19"/>
    </row>
    <row r="789" spans="2:64" ht="14" x14ac:dyDescent="0.2">
      <c r="B789" s="1"/>
      <c r="C789" s="1"/>
      <c r="D789" s="1"/>
      <c r="E789" s="1"/>
      <c r="H789" s="18"/>
      <c r="I789" s="18"/>
      <c r="J789" s="18"/>
      <c r="L789" s="6"/>
      <c r="AF789" s="19"/>
      <c r="AG789" s="19"/>
      <c r="AH789" s="20"/>
      <c r="AI789" s="19"/>
      <c r="AK789" s="19"/>
      <c r="AL789" s="19"/>
      <c r="AM789" s="19"/>
      <c r="AN789" s="19"/>
      <c r="AO789" s="19"/>
      <c r="AZ789" s="19"/>
      <c r="BA789" s="19"/>
      <c r="BB789" s="20"/>
      <c r="BC789" s="19"/>
      <c r="BE789" s="19"/>
      <c r="BF789" s="19"/>
      <c r="BG789" s="19"/>
      <c r="BH789" s="19"/>
      <c r="BI789" s="19"/>
      <c r="BJ789" s="19"/>
      <c r="BK789" s="19"/>
      <c r="BL789" s="19"/>
    </row>
    <row r="790" spans="2:64" ht="14" x14ac:dyDescent="0.2">
      <c r="B790" s="1"/>
      <c r="C790" s="1"/>
      <c r="D790" s="1"/>
      <c r="E790" s="1"/>
      <c r="H790" s="18"/>
      <c r="I790" s="18"/>
      <c r="J790" s="18"/>
      <c r="L790" s="6"/>
      <c r="AF790" s="19"/>
      <c r="AG790" s="19"/>
      <c r="AH790" s="20"/>
      <c r="AI790" s="19"/>
      <c r="AK790" s="19"/>
      <c r="AL790" s="19"/>
      <c r="AM790" s="19"/>
      <c r="AN790" s="19"/>
      <c r="AO790" s="19"/>
      <c r="AZ790" s="19"/>
      <c r="BA790" s="19"/>
      <c r="BB790" s="20"/>
      <c r="BC790" s="19"/>
      <c r="BE790" s="19"/>
      <c r="BF790" s="19"/>
      <c r="BG790" s="19"/>
      <c r="BH790" s="19"/>
      <c r="BI790" s="19"/>
      <c r="BJ790" s="19"/>
      <c r="BK790" s="19"/>
      <c r="BL790" s="19"/>
    </row>
    <row r="791" spans="2:64" ht="14" x14ac:dyDescent="0.2">
      <c r="B791" s="1"/>
      <c r="C791" s="1"/>
      <c r="D791" s="1"/>
      <c r="E791" s="1"/>
      <c r="H791" s="18"/>
      <c r="I791" s="18"/>
      <c r="J791" s="18"/>
      <c r="L791" s="6"/>
      <c r="AF791" s="19"/>
      <c r="AG791" s="19"/>
      <c r="AH791" s="20"/>
      <c r="AI791" s="19"/>
      <c r="AK791" s="19"/>
      <c r="AL791" s="19"/>
      <c r="AM791" s="19"/>
      <c r="AN791" s="19"/>
      <c r="AO791" s="19"/>
      <c r="AZ791" s="19"/>
      <c r="BA791" s="19"/>
      <c r="BB791" s="20"/>
      <c r="BC791" s="19"/>
      <c r="BE791" s="19"/>
      <c r="BF791" s="19"/>
      <c r="BG791" s="19"/>
      <c r="BH791" s="19"/>
      <c r="BI791" s="19"/>
      <c r="BJ791" s="19"/>
      <c r="BK791" s="19"/>
      <c r="BL791" s="19"/>
    </row>
    <row r="792" spans="2:64" ht="14" x14ac:dyDescent="0.2">
      <c r="B792" s="1"/>
      <c r="C792" s="1"/>
      <c r="D792" s="1"/>
      <c r="E792" s="1"/>
      <c r="H792" s="18"/>
      <c r="I792" s="18"/>
      <c r="J792" s="18"/>
      <c r="L792" s="6"/>
      <c r="AF792" s="19"/>
      <c r="AG792" s="19"/>
      <c r="AH792" s="20"/>
      <c r="AI792" s="19"/>
      <c r="AK792" s="19"/>
      <c r="AL792" s="19"/>
      <c r="AM792" s="19"/>
      <c r="AN792" s="19"/>
      <c r="AO792" s="19"/>
      <c r="AZ792" s="19"/>
      <c r="BA792" s="19"/>
      <c r="BB792" s="20"/>
      <c r="BC792" s="19"/>
      <c r="BE792" s="19"/>
      <c r="BF792" s="19"/>
      <c r="BG792" s="19"/>
      <c r="BH792" s="19"/>
      <c r="BI792" s="19"/>
      <c r="BJ792" s="19"/>
      <c r="BK792" s="19"/>
      <c r="BL792" s="19"/>
    </row>
    <row r="793" spans="2:64" ht="14" x14ac:dyDescent="0.2">
      <c r="B793" s="1"/>
      <c r="C793" s="1"/>
      <c r="D793" s="1"/>
      <c r="E793" s="1"/>
      <c r="H793" s="18"/>
      <c r="I793" s="18"/>
      <c r="J793" s="18"/>
      <c r="L793" s="6"/>
      <c r="AF793" s="19"/>
      <c r="AG793" s="19"/>
      <c r="AH793" s="20"/>
      <c r="AI793" s="19"/>
      <c r="AK793" s="19"/>
      <c r="AL793" s="19"/>
      <c r="AM793" s="19"/>
      <c r="AN793" s="19"/>
      <c r="AO793" s="19"/>
      <c r="AZ793" s="19"/>
      <c r="BA793" s="19"/>
      <c r="BB793" s="20"/>
      <c r="BC793" s="19"/>
      <c r="BE793" s="19"/>
      <c r="BF793" s="19"/>
      <c r="BG793" s="19"/>
      <c r="BH793" s="19"/>
      <c r="BI793" s="19"/>
      <c r="BJ793" s="19"/>
      <c r="BK793" s="19"/>
      <c r="BL793" s="19"/>
    </row>
    <row r="794" spans="2:64" ht="14" x14ac:dyDescent="0.2">
      <c r="B794" s="1"/>
      <c r="C794" s="1"/>
      <c r="D794" s="1"/>
      <c r="E794" s="1"/>
      <c r="H794" s="18"/>
      <c r="I794" s="18"/>
      <c r="J794" s="18"/>
      <c r="L794" s="6"/>
      <c r="AF794" s="19"/>
      <c r="AG794" s="19"/>
      <c r="AH794" s="20"/>
      <c r="AI794" s="19"/>
      <c r="AK794" s="19"/>
      <c r="AL794" s="19"/>
      <c r="AM794" s="19"/>
      <c r="AN794" s="19"/>
      <c r="AO794" s="19"/>
      <c r="AZ794" s="19"/>
      <c r="BA794" s="19"/>
      <c r="BB794" s="20"/>
      <c r="BC794" s="19"/>
      <c r="BE794" s="19"/>
      <c r="BF794" s="19"/>
      <c r="BG794" s="19"/>
      <c r="BH794" s="19"/>
      <c r="BI794" s="19"/>
      <c r="BJ794" s="19"/>
      <c r="BK794" s="19"/>
      <c r="BL794" s="19"/>
    </row>
    <row r="795" spans="2:64" ht="14" x14ac:dyDescent="0.2">
      <c r="B795" s="1"/>
      <c r="C795" s="1"/>
      <c r="D795" s="1"/>
      <c r="E795" s="1"/>
      <c r="H795" s="18"/>
      <c r="I795" s="18"/>
      <c r="J795" s="18"/>
      <c r="L795" s="6"/>
      <c r="AF795" s="19"/>
      <c r="AG795" s="19"/>
      <c r="AH795" s="20"/>
      <c r="AI795" s="19"/>
      <c r="AK795" s="19"/>
      <c r="AL795" s="19"/>
      <c r="AM795" s="19"/>
      <c r="AN795" s="19"/>
      <c r="AO795" s="19"/>
      <c r="AZ795" s="19"/>
      <c r="BA795" s="19"/>
      <c r="BB795" s="20"/>
      <c r="BC795" s="19"/>
      <c r="BE795" s="19"/>
      <c r="BF795" s="19"/>
      <c r="BG795" s="19"/>
      <c r="BH795" s="19"/>
      <c r="BI795" s="19"/>
      <c r="BJ795" s="19"/>
      <c r="BK795" s="19"/>
      <c r="BL795" s="19"/>
    </row>
    <row r="796" spans="2:64" ht="14" x14ac:dyDescent="0.2">
      <c r="B796" s="1"/>
      <c r="C796" s="1"/>
      <c r="D796" s="1"/>
      <c r="E796" s="1"/>
      <c r="H796" s="18"/>
      <c r="I796" s="18"/>
      <c r="J796" s="18"/>
      <c r="L796" s="6"/>
      <c r="AF796" s="19"/>
      <c r="AG796" s="19"/>
      <c r="AH796" s="20"/>
      <c r="AI796" s="19"/>
      <c r="AK796" s="19"/>
      <c r="AL796" s="19"/>
      <c r="AM796" s="19"/>
      <c r="AN796" s="19"/>
      <c r="AO796" s="19"/>
      <c r="AZ796" s="19"/>
      <c r="BA796" s="19"/>
      <c r="BB796" s="20"/>
      <c r="BC796" s="19"/>
      <c r="BE796" s="19"/>
      <c r="BF796" s="19"/>
      <c r="BG796" s="19"/>
      <c r="BH796" s="19"/>
      <c r="BI796" s="19"/>
      <c r="BJ796" s="19"/>
      <c r="BK796" s="19"/>
      <c r="BL796" s="19"/>
    </row>
    <row r="797" spans="2:64" ht="14" x14ac:dyDescent="0.2">
      <c r="B797" s="1"/>
      <c r="C797" s="1"/>
      <c r="D797" s="1"/>
      <c r="E797" s="1"/>
      <c r="H797" s="18"/>
      <c r="I797" s="18"/>
      <c r="J797" s="18"/>
      <c r="L797" s="6"/>
      <c r="AF797" s="19"/>
      <c r="AG797" s="19"/>
      <c r="AH797" s="20"/>
      <c r="AI797" s="19"/>
      <c r="AK797" s="19"/>
      <c r="AL797" s="19"/>
      <c r="AM797" s="19"/>
      <c r="AN797" s="19"/>
      <c r="AO797" s="19"/>
      <c r="AZ797" s="19"/>
      <c r="BA797" s="19"/>
      <c r="BB797" s="20"/>
      <c r="BC797" s="19"/>
      <c r="BE797" s="19"/>
      <c r="BF797" s="19"/>
      <c r="BG797" s="19"/>
      <c r="BH797" s="19"/>
      <c r="BI797" s="19"/>
      <c r="BJ797" s="19"/>
      <c r="BK797" s="19"/>
      <c r="BL797" s="19"/>
    </row>
    <row r="798" spans="2:64" ht="14" x14ac:dyDescent="0.2">
      <c r="B798" s="1"/>
      <c r="C798" s="1"/>
      <c r="D798" s="1"/>
      <c r="E798" s="1"/>
      <c r="H798" s="18"/>
      <c r="I798" s="18"/>
      <c r="J798" s="18"/>
      <c r="L798" s="6"/>
      <c r="AF798" s="19"/>
      <c r="AG798" s="19"/>
      <c r="AH798" s="20"/>
      <c r="AI798" s="19"/>
      <c r="AK798" s="19"/>
      <c r="AL798" s="19"/>
      <c r="AM798" s="19"/>
      <c r="AN798" s="19"/>
      <c r="AO798" s="19"/>
      <c r="AZ798" s="19"/>
      <c r="BA798" s="19"/>
      <c r="BB798" s="20"/>
      <c r="BC798" s="19"/>
      <c r="BE798" s="19"/>
      <c r="BF798" s="19"/>
      <c r="BG798" s="19"/>
      <c r="BH798" s="19"/>
      <c r="BI798" s="19"/>
      <c r="BJ798" s="19"/>
      <c r="BK798" s="19"/>
      <c r="BL798" s="19"/>
    </row>
    <row r="799" spans="2:64" ht="14" x14ac:dyDescent="0.2">
      <c r="B799" s="1"/>
      <c r="C799" s="1"/>
      <c r="D799" s="1"/>
      <c r="E799" s="1"/>
      <c r="H799" s="18"/>
      <c r="I799" s="18"/>
      <c r="J799" s="18"/>
      <c r="L799" s="6"/>
      <c r="AF799" s="19"/>
      <c r="AG799" s="19"/>
      <c r="AH799" s="20"/>
      <c r="AI799" s="19"/>
      <c r="AK799" s="19"/>
      <c r="AL799" s="19"/>
      <c r="AM799" s="19"/>
      <c r="AN799" s="19"/>
      <c r="AO799" s="19"/>
      <c r="AZ799" s="19"/>
      <c r="BA799" s="19"/>
      <c r="BB799" s="20"/>
      <c r="BC799" s="19"/>
      <c r="BE799" s="19"/>
      <c r="BF799" s="19"/>
      <c r="BG799" s="19"/>
      <c r="BH799" s="19"/>
      <c r="BI799" s="19"/>
      <c r="BJ799" s="19"/>
      <c r="BK799" s="19"/>
      <c r="BL799" s="19"/>
    </row>
    <row r="800" spans="2:64" ht="14" x14ac:dyDescent="0.2">
      <c r="B800" s="1"/>
      <c r="C800" s="1"/>
      <c r="D800" s="1"/>
      <c r="E800" s="1"/>
      <c r="H800" s="18"/>
      <c r="I800" s="18"/>
      <c r="J800" s="18"/>
      <c r="L800" s="6"/>
      <c r="AF800" s="19"/>
      <c r="AG800" s="19"/>
      <c r="AH800" s="20"/>
      <c r="AI800" s="19"/>
      <c r="AK800" s="19"/>
      <c r="AL800" s="19"/>
      <c r="AM800" s="19"/>
      <c r="AN800" s="19"/>
      <c r="AO800" s="19"/>
      <c r="AZ800" s="19"/>
      <c r="BA800" s="19"/>
      <c r="BB800" s="20"/>
      <c r="BC800" s="19"/>
      <c r="BE800" s="19"/>
      <c r="BF800" s="19"/>
      <c r="BG800" s="19"/>
      <c r="BH800" s="19"/>
      <c r="BI800" s="19"/>
      <c r="BJ800" s="19"/>
      <c r="BK800" s="19"/>
      <c r="BL800" s="19"/>
    </row>
    <row r="801" spans="2:64" ht="14" x14ac:dyDescent="0.2">
      <c r="B801" s="1"/>
      <c r="C801" s="1"/>
      <c r="D801" s="1"/>
      <c r="E801" s="1"/>
      <c r="H801" s="18"/>
      <c r="I801" s="18"/>
      <c r="J801" s="18"/>
      <c r="L801" s="6"/>
      <c r="AF801" s="19"/>
      <c r="AG801" s="19"/>
      <c r="AH801" s="20"/>
      <c r="AI801" s="19"/>
      <c r="AK801" s="19"/>
      <c r="AL801" s="19"/>
      <c r="AM801" s="19"/>
      <c r="AN801" s="19"/>
      <c r="AO801" s="19"/>
      <c r="AZ801" s="19"/>
      <c r="BA801" s="19"/>
      <c r="BB801" s="20"/>
      <c r="BC801" s="19"/>
      <c r="BE801" s="19"/>
      <c r="BF801" s="19"/>
      <c r="BG801" s="19"/>
      <c r="BH801" s="19"/>
      <c r="BI801" s="19"/>
      <c r="BJ801" s="19"/>
      <c r="BK801" s="19"/>
      <c r="BL801" s="19"/>
    </row>
    <row r="802" spans="2:64" ht="14" x14ac:dyDescent="0.2">
      <c r="B802" s="1"/>
      <c r="C802" s="1"/>
      <c r="D802" s="1"/>
      <c r="E802" s="1"/>
      <c r="H802" s="18"/>
      <c r="I802" s="18"/>
      <c r="J802" s="18"/>
      <c r="L802" s="6"/>
      <c r="AF802" s="19"/>
      <c r="AG802" s="19"/>
      <c r="AH802" s="20"/>
      <c r="AI802" s="19"/>
      <c r="AK802" s="19"/>
      <c r="AL802" s="19"/>
      <c r="AM802" s="19"/>
      <c r="AN802" s="19"/>
      <c r="AO802" s="19"/>
      <c r="AZ802" s="19"/>
      <c r="BA802" s="19"/>
      <c r="BB802" s="20"/>
      <c r="BC802" s="19"/>
      <c r="BE802" s="19"/>
      <c r="BF802" s="19"/>
      <c r="BG802" s="19"/>
      <c r="BH802" s="19"/>
      <c r="BI802" s="19"/>
      <c r="BJ802" s="19"/>
      <c r="BK802" s="19"/>
      <c r="BL802" s="19"/>
    </row>
    <row r="803" spans="2:64" ht="14" x14ac:dyDescent="0.2">
      <c r="B803" s="1"/>
      <c r="C803" s="1"/>
      <c r="D803" s="1"/>
      <c r="E803" s="1"/>
      <c r="H803" s="18"/>
      <c r="I803" s="18"/>
      <c r="J803" s="18"/>
      <c r="L803" s="6"/>
      <c r="AF803" s="19"/>
      <c r="AG803" s="19"/>
      <c r="AH803" s="20"/>
      <c r="AI803" s="19"/>
      <c r="AK803" s="19"/>
      <c r="AL803" s="19"/>
      <c r="AM803" s="19"/>
      <c r="AN803" s="19"/>
      <c r="AO803" s="19"/>
      <c r="AZ803" s="19"/>
      <c r="BA803" s="19"/>
      <c r="BB803" s="20"/>
      <c r="BC803" s="19"/>
      <c r="BE803" s="19"/>
      <c r="BF803" s="19"/>
      <c r="BG803" s="19"/>
      <c r="BH803" s="19"/>
      <c r="BI803" s="19"/>
      <c r="BJ803" s="19"/>
      <c r="BK803" s="19"/>
      <c r="BL803" s="19"/>
    </row>
    <row r="804" spans="2:64" ht="14" x14ac:dyDescent="0.2">
      <c r="B804" s="1"/>
      <c r="C804" s="1"/>
      <c r="D804" s="1"/>
      <c r="E804" s="1"/>
      <c r="H804" s="18"/>
      <c r="I804" s="18"/>
      <c r="J804" s="18"/>
      <c r="L804" s="6"/>
      <c r="AF804" s="19"/>
      <c r="AG804" s="19"/>
      <c r="AH804" s="20"/>
      <c r="AI804" s="19"/>
      <c r="AK804" s="19"/>
      <c r="AL804" s="19"/>
      <c r="AM804" s="19"/>
      <c r="AN804" s="19"/>
      <c r="AO804" s="19"/>
      <c r="AZ804" s="19"/>
      <c r="BA804" s="19"/>
      <c r="BB804" s="20"/>
      <c r="BC804" s="19"/>
      <c r="BE804" s="19"/>
      <c r="BF804" s="19"/>
      <c r="BG804" s="19"/>
      <c r="BH804" s="19"/>
      <c r="BI804" s="19"/>
      <c r="BJ804" s="19"/>
      <c r="BK804" s="19"/>
      <c r="BL804" s="19"/>
    </row>
    <row r="805" spans="2:64" ht="14" x14ac:dyDescent="0.2">
      <c r="B805" s="1"/>
      <c r="C805" s="1"/>
      <c r="D805" s="1"/>
      <c r="E805" s="1"/>
      <c r="H805" s="18"/>
      <c r="I805" s="18"/>
      <c r="J805" s="18"/>
      <c r="L805" s="6"/>
      <c r="AF805" s="19"/>
      <c r="AG805" s="19"/>
      <c r="AH805" s="20"/>
      <c r="AI805" s="19"/>
      <c r="AK805" s="19"/>
      <c r="AL805" s="19"/>
      <c r="AM805" s="19"/>
      <c r="AN805" s="19"/>
      <c r="AO805" s="19"/>
      <c r="AZ805" s="19"/>
      <c r="BA805" s="19"/>
      <c r="BB805" s="20"/>
      <c r="BC805" s="19"/>
      <c r="BE805" s="19"/>
      <c r="BF805" s="19"/>
      <c r="BG805" s="19"/>
      <c r="BH805" s="19"/>
      <c r="BI805" s="19"/>
      <c r="BJ805" s="19"/>
      <c r="BK805" s="19"/>
      <c r="BL805" s="19"/>
    </row>
    <row r="806" spans="2:64" ht="14" x14ac:dyDescent="0.2">
      <c r="B806" s="1"/>
      <c r="C806" s="1"/>
      <c r="D806" s="1"/>
      <c r="E806" s="1"/>
      <c r="H806" s="18"/>
      <c r="I806" s="18"/>
      <c r="J806" s="18"/>
      <c r="L806" s="6"/>
      <c r="AF806" s="19"/>
      <c r="AG806" s="19"/>
      <c r="AH806" s="20"/>
      <c r="AI806" s="19"/>
      <c r="AK806" s="19"/>
      <c r="AL806" s="19"/>
      <c r="AM806" s="19"/>
      <c r="AN806" s="19"/>
      <c r="AO806" s="19"/>
      <c r="AZ806" s="19"/>
      <c r="BA806" s="19"/>
      <c r="BB806" s="20"/>
      <c r="BC806" s="19"/>
      <c r="BE806" s="19"/>
      <c r="BF806" s="19"/>
      <c r="BG806" s="19"/>
      <c r="BH806" s="19"/>
      <c r="BI806" s="19"/>
      <c r="BJ806" s="19"/>
      <c r="BK806" s="19"/>
      <c r="BL806" s="19"/>
    </row>
    <row r="807" spans="2:64" ht="14" x14ac:dyDescent="0.2">
      <c r="B807" s="1"/>
      <c r="C807" s="1"/>
      <c r="D807" s="1"/>
      <c r="E807" s="1"/>
      <c r="H807" s="18"/>
      <c r="I807" s="18"/>
      <c r="J807" s="18"/>
      <c r="L807" s="6"/>
      <c r="AF807" s="19"/>
      <c r="AG807" s="19"/>
      <c r="AH807" s="20"/>
      <c r="AI807" s="19"/>
      <c r="AK807" s="19"/>
      <c r="AL807" s="19"/>
      <c r="AM807" s="19"/>
      <c r="AN807" s="19"/>
      <c r="AO807" s="19"/>
      <c r="AZ807" s="19"/>
      <c r="BA807" s="19"/>
      <c r="BB807" s="20"/>
      <c r="BC807" s="19"/>
      <c r="BE807" s="19"/>
      <c r="BF807" s="19"/>
      <c r="BG807" s="19"/>
      <c r="BH807" s="19"/>
      <c r="BI807" s="19"/>
      <c r="BJ807" s="19"/>
      <c r="BK807" s="19"/>
      <c r="BL807" s="19"/>
    </row>
    <row r="808" spans="2:64" ht="14" x14ac:dyDescent="0.2">
      <c r="B808" s="1"/>
      <c r="C808" s="1"/>
      <c r="D808" s="1"/>
      <c r="E808" s="1"/>
      <c r="H808" s="18"/>
      <c r="I808" s="18"/>
      <c r="J808" s="18"/>
      <c r="L808" s="6"/>
      <c r="AF808" s="19"/>
      <c r="AG808" s="19"/>
      <c r="AH808" s="20"/>
      <c r="AI808" s="19"/>
      <c r="AK808" s="19"/>
      <c r="AL808" s="19"/>
      <c r="AM808" s="19"/>
      <c r="AN808" s="19"/>
      <c r="AO808" s="19"/>
      <c r="AZ808" s="19"/>
      <c r="BA808" s="19"/>
      <c r="BB808" s="20"/>
      <c r="BC808" s="19"/>
      <c r="BE808" s="19"/>
      <c r="BF808" s="19"/>
      <c r="BG808" s="19"/>
      <c r="BH808" s="19"/>
      <c r="BI808" s="19"/>
      <c r="BJ808" s="19"/>
      <c r="BK808" s="19"/>
      <c r="BL808" s="19"/>
    </row>
    <row r="809" spans="2:64" ht="14" x14ac:dyDescent="0.2">
      <c r="B809" s="1"/>
      <c r="C809" s="1"/>
      <c r="D809" s="1"/>
      <c r="E809" s="1"/>
      <c r="H809" s="18"/>
      <c r="I809" s="18"/>
      <c r="J809" s="18"/>
      <c r="L809" s="6"/>
      <c r="AF809" s="19"/>
      <c r="AG809" s="19"/>
      <c r="AH809" s="20"/>
      <c r="AI809" s="19"/>
      <c r="AK809" s="19"/>
      <c r="AL809" s="19"/>
      <c r="AM809" s="19"/>
      <c r="AN809" s="19"/>
      <c r="AO809" s="19"/>
      <c r="AZ809" s="19"/>
      <c r="BA809" s="19"/>
      <c r="BB809" s="20"/>
      <c r="BC809" s="19"/>
      <c r="BE809" s="19"/>
      <c r="BF809" s="19"/>
      <c r="BG809" s="19"/>
      <c r="BH809" s="19"/>
      <c r="BI809" s="19"/>
      <c r="BJ809" s="19"/>
      <c r="BK809" s="19"/>
      <c r="BL809" s="19"/>
    </row>
    <row r="810" spans="2:64" ht="14" x14ac:dyDescent="0.2">
      <c r="B810" s="1"/>
      <c r="C810" s="1"/>
      <c r="D810" s="1"/>
      <c r="E810" s="1"/>
      <c r="H810" s="18"/>
      <c r="I810" s="18"/>
      <c r="J810" s="18"/>
      <c r="L810" s="6"/>
      <c r="AF810" s="19"/>
      <c r="AG810" s="19"/>
      <c r="AH810" s="20"/>
      <c r="AI810" s="19"/>
      <c r="AK810" s="19"/>
      <c r="AL810" s="19"/>
      <c r="AM810" s="19"/>
      <c r="AN810" s="19"/>
      <c r="AO810" s="19"/>
      <c r="AZ810" s="19"/>
      <c r="BA810" s="19"/>
      <c r="BB810" s="20"/>
      <c r="BC810" s="19"/>
      <c r="BE810" s="19"/>
      <c r="BF810" s="19"/>
      <c r="BG810" s="19"/>
      <c r="BH810" s="19"/>
      <c r="BI810" s="19"/>
      <c r="BJ810" s="19"/>
      <c r="BK810" s="19"/>
      <c r="BL810" s="19"/>
    </row>
    <row r="811" spans="2:64" ht="14" x14ac:dyDescent="0.2">
      <c r="B811" s="1"/>
      <c r="C811" s="1"/>
      <c r="D811" s="1"/>
      <c r="E811" s="1"/>
      <c r="H811" s="18"/>
      <c r="I811" s="18"/>
      <c r="J811" s="18"/>
      <c r="L811" s="6"/>
      <c r="AF811" s="19"/>
      <c r="AG811" s="19"/>
      <c r="AH811" s="20"/>
      <c r="AI811" s="19"/>
      <c r="AK811" s="19"/>
      <c r="AL811" s="19"/>
      <c r="AM811" s="19"/>
      <c r="AN811" s="19"/>
      <c r="AO811" s="19"/>
      <c r="AZ811" s="19"/>
      <c r="BA811" s="19"/>
      <c r="BB811" s="20"/>
      <c r="BC811" s="19"/>
      <c r="BE811" s="19"/>
      <c r="BF811" s="19"/>
      <c r="BG811" s="19"/>
      <c r="BH811" s="19"/>
      <c r="BI811" s="19"/>
      <c r="BJ811" s="19"/>
      <c r="BK811" s="19"/>
      <c r="BL811" s="19"/>
    </row>
    <row r="812" spans="2:64" ht="14" x14ac:dyDescent="0.2">
      <c r="B812" s="1"/>
      <c r="C812" s="1"/>
      <c r="D812" s="1"/>
      <c r="E812" s="1"/>
      <c r="H812" s="18"/>
      <c r="I812" s="18"/>
      <c r="J812" s="18"/>
      <c r="L812" s="6"/>
      <c r="AF812" s="19"/>
      <c r="AG812" s="19"/>
      <c r="AH812" s="20"/>
      <c r="AI812" s="19"/>
      <c r="AK812" s="19"/>
      <c r="AL812" s="19"/>
      <c r="AM812" s="19"/>
      <c r="AN812" s="19"/>
      <c r="AO812" s="19"/>
      <c r="AZ812" s="19"/>
      <c r="BA812" s="19"/>
      <c r="BB812" s="20"/>
      <c r="BC812" s="19"/>
      <c r="BE812" s="19"/>
      <c r="BF812" s="19"/>
      <c r="BG812" s="19"/>
      <c r="BH812" s="19"/>
      <c r="BI812" s="19"/>
      <c r="BJ812" s="19"/>
      <c r="BK812" s="19"/>
      <c r="BL812" s="19"/>
    </row>
    <row r="813" spans="2:64" ht="14" x14ac:dyDescent="0.2">
      <c r="B813" s="1"/>
      <c r="C813" s="1"/>
      <c r="D813" s="1"/>
      <c r="E813" s="1"/>
      <c r="H813" s="18"/>
      <c r="I813" s="18"/>
      <c r="J813" s="18"/>
      <c r="L813" s="6"/>
      <c r="AF813" s="19"/>
      <c r="AG813" s="19"/>
      <c r="AH813" s="20"/>
      <c r="AI813" s="19"/>
      <c r="AK813" s="19"/>
      <c r="AL813" s="19"/>
      <c r="AM813" s="19"/>
      <c r="AN813" s="19"/>
      <c r="AO813" s="19"/>
      <c r="AZ813" s="19"/>
      <c r="BA813" s="19"/>
      <c r="BB813" s="20"/>
      <c r="BC813" s="19"/>
      <c r="BE813" s="19"/>
      <c r="BF813" s="19"/>
      <c r="BG813" s="19"/>
      <c r="BH813" s="19"/>
      <c r="BI813" s="19"/>
      <c r="BJ813" s="19"/>
      <c r="BK813" s="19"/>
      <c r="BL813" s="19"/>
    </row>
    <row r="814" spans="2:64" ht="14" x14ac:dyDescent="0.2">
      <c r="B814" s="1"/>
      <c r="C814" s="1"/>
      <c r="D814" s="1"/>
      <c r="E814" s="1"/>
      <c r="H814" s="18"/>
      <c r="I814" s="18"/>
      <c r="J814" s="18"/>
      <c r="L814" s="6"/>
      <c r="AF814" s="19"/>
      <c r="AG814" s="19"/>
      <c r="AH814" s="20"/>
      <c r="AI814" s="19"/>
      <c r="AK814" s="19"/>
      <c r="AL814" s="19"/>
      <c r="AM814" s="19"/>
      <c r="AN814" s="19"/>
      <c r="AO814" s="19"/>
      <c r="AZ814" s="19"/>
      <c r="BA814" s="19"/>
      <c r="BB814" s="20"/>
      <c r="BC814" s="19"/>
      <c r="BE814" s="19"/>
      <c r="BF814" s="19"/>
      <c r="BG814" s="19"/>
      <c r="BH814" s="19"/>
      <c r="BI814" s="19"/>
      <c r="BJ814" s="19"/>
      <c r="BK814" s="19"/>
      <c r="BL814" s="19"/>
    </row>
    <row r="815" spans="2:64" ht="14" x14ac:dyDescent="0.2">
      <c r="B815" s="1"/>
      <c r="C815" s="1"/>
      <c r="D815" s="1"/>
      <c r="E815" s="1"/>
      <c r="H815" s="18"/>
      <c r="I815" s="18"/>
      <c r="J815" s="18"/>
      <c r="L815" s="6"/>
      <c r="AF815" s="19"/>
      <c r="AG815" s="19"/>
      <c r="AH815" s="20"/>
      <c r="AI815" s="19"/>
      <c r="AK815" s="19"/>
      <c r="AL815" s="19"/>
      <c r="AM815" s="19"/>
      <c r="AN815" s="19"/>
      <c r="AO815" s="19"/>
      <c r="AZ815" s="19"/>
      <c r="BA815" s="19"/>
      <c r="BB815" s="20"/>
      <c r="BC815" s="19"/>
      <c r="BE815" s="19"/>
      <c r="BF815" s="19"/>
      <c r="BG815" s="19"/>
      <c r="BH815" s="19"/>
      <c r="BI815" s="19"/>
      <c r="BJ815" s="19"/>
      <c r="BK815" s="19"/>
      <c r="BL815" s="19"/>
    </row>
    <row r="816" spans="2:64" ht="14" x14ac:dyDescent="0.2">
      <c r="B816" s="1"/>
      <c r="C816" s="1"/>
      <c r="D816" s="1"/>
      <c r="E816" s="1"/>
      <c r="H816" s="18"/>
      <c r="I816" s="18"/>
      <c r="J816" s="18"/>
      <c r="L816" s="6"/>
      <c r="AF816" s="19"/>
      <c r="AG816" s="19"/>
      <c r="AH816" s="20"/>
      <c r="AI816" s="19"/>
      <c r="AK816" s="19"/>
      <c r="AL816" s="19"/>
      <c r="AM816" s="19"/>
      <c r="AN816" s="19"/>
      <c r="AO816" s="19"/>
      <c r="AZ816" s="19"/>
      <c r="BA816" s="19"/>
      <c r="BB816" s="20"/>
      <c r="BC816" s="19"/>
      <c r="BE816" s="19"/>
      <c r="BF816" s="19"/>
      <c r="BG816" s="19"/>
      <c r="BH816" s="19"/>
      <c r="BI816" s="19"/>
      <c r="BJ816" s="19"/>
      <c r="BK816" s="19"/>
      <c r="BL816" s="19"/>
    </row>
    <row r="817" spans="2:64" ht="14" x14ac:dyDescent="0.2">
      <c r="B817" s="1"/>
      <c r="C817" s="1"/>
      <c r="D817" s="1"/>
      <c r="E817" s="1"/>
      <c r="H817" s="18"/>
      <c r="I817" s="18"/>
      <c r="J817" s="18"/>
      <c r="L817" s="6"/>
      <c r="AF817" s="19"/>
      <c r="AG817" s="19"/>
      <c r="AH817" s="20"/>
      <c r="AI817" s="19"/>
      <c r="AK817" s="19"/>
      <c r="AL817" s="19"/>
      <c r="AM817" s="19"/>
      <c r="AN817" s="19"/>
      <c r="AO817" s="19"/>
      <c r="AZ817" s="19"/>
      <c r="BA817" s="19"/>
      <c r="BB817" s="20"/>
      <c r="BC817" s="19"/>
      <c r="BE817" s="19"/>
      <c r="BF817" s="19"/>
      <c r="BG817" s="19"/>
      <c r="BH817" s="19"/>
      <c r="BI817" s="19"/>
      <c r="BJ817" s="19"/>
      <c r="BK817" s="19"/>
      <c r="BL817" s="19"/>
    </row>
    <row r="818" spans="2:64" ht="14" x14ac:dyDescent="0.2">
      <c r="B818" s="1"/>
      <c r="C818" s="1"/>
      <c r="D818" s="1"/>
      <c r="E818" s="1"/>
      <c r="H818" s="18"/>
      <c r="I818" s="18"/>
      <c r="J818" s="18"/>
      <c r="L818" s="6"/>
      <c r="AF818" s="19"/>
      <c r="AG818" s="19"/>
      <c r="AH818" s="20"/>
      <c r="AI818" s="19"/>
      <c r="AK818" s="19"/>
      <c r="AL818" s="19"/>
      <c r="AM818" s="19"/>
      <c r="AN818" s="19"/>
      <c r="AO818" s="19"/>
      <c r="AZ818" s="19"/>
      <c r="BA818" s="19"/>
      <c r="BB818" s="20"/>
      <c r="BC818" s="19"/>
      <c r="BE818" s="19"/>
      <c r="BF818" s="19"/>
      <c r="BG818" s="19"/>
      <c r="BH818" s="19"/>
      <c r="BI818" s="19"/>
      <c r="BJ818" s="19"/>
      <c r="BK818" s="19"/>
      <c r="BL818" s="19"/>
    </row>
    <row r="819" spans="2:64" ht="14" x14ac:dyDescent="0.2">
      <c r="B819" s="1"/>
      <c r="C819" s="1"/>
      <c r="D819" s="1"/>
      <c r="E819" s="1"/>
      <c r="H819" s="18"/>
      <c r="I819" s="18"/>
      <c r="J819" s="18"/>
      <c r="L819" s="6"/>
      <c r="AF819" s="19"/>
      <c r="AG819" s="19"/>
      <c r="AH819" s="20"/>
      <c r="AI819" s="19"/>
      <c r="AK819" s="19"/>
      <c r="AL819" s="19"/>
      <c r="AM819" s="19"/>
      <c r="AN819" s="19"/>
      <c r="AO819" s="19"/>
      <c r="AZ819" s="19"/>
      <c r="BA819" s="19"/>
      <c r="BB819" s="20"/>
      <c r="BC819" s="19"/>
      <c r="BE819" s="19"/>
      <c r="BF819" s="19"/>
      <c r="BG819" s="19"/>
      <c r="BH819" s="19"/>
      <c r="BI819" s="19"/>
      <c r="BJ819" s="19"/>
      <c r="BK819" s="19"/>
      <c r="BL819" s="19"/>
    </row>
    <row r="820" spans="2:64" ht="14" x14ac:dyDescent="0.2">
      <c r="B820" s="1"/>
      <c r="C820" s="1"/>
      <c r="D820" s="1"/>
      <c r="E820" s="1"/>
      <c r="H820" s="18"/>
      <c r="I820" s="18"/>
      <c r="J820" s="18"/>
      <c r="L820" s="6"/>
      <c r="AF820" s="19"/>
      <c r="AG820" s="19"/>
      <c r="AH820" s="20"/>
      <c r="AI820" s="19"/>
      <c r="AK820" s="19"/>
      <c r="AL820" s="19"/>
      <c r="AM820" s="19"/>
      <c r="AN820" s="19"/>
      <c r="AO820" s="19"/>
      <c r="AZ820" s="19"/>
      <c r="BA820" s="19"/>
      <c r="BB820" s="20"/>
      <c r="BC820" s="19"/>
      <c r="BE820" s="19"/>
      <c r="BF820" s="19"/>
      <c r="BG820" s="19"/>
      <c r="BH820" s="19"/>
      <c r="BI820" s="19"/>
      <c r="BJ820" s="19"/>
      <c r="BK820" s="19"/>
      <c r="BL820" s="19"/>
    </row>
    <row r="821" spans="2:64" ht="14" x14ac:dyDescent="0.2">
      <c r="B821" s="1"/>
      <c r="C821" s="1"/>
      <c r="D821" s="1"/>
      <c r="E821" s="1"/>
      <c r="H821" s="18"/>
      <c r="I821" s="18"/>
      <c r="J821" s="18"/>
      <c r="L821" s="6"/>
      <c r="AF821" s="19"/>
      <c r="AG821" s="19"/>
      <c r="AH821" s="20"/>
      <c r="AI821" s="19"/>
      <c r="AK821" s="19"/>
      <c r="AL821" s="19"/>
      <c r="AM821" s="19"/>
      <c r="AN821" s="19"/>
      <c r="AO821" s="19"/>
      <c r="AZ821" s="19"/>
      <c r="BA821" s="19"/>
      <c r="BB821" s="20"/>
      <c r="BC821" s="19"/>
      <c r="BE821" s="19"/>
      <c r="BF821" s="19"/>
      <c r="BG821" s="19"/>
      <c r="BH821" s="19"/>
      <c r="BI821" s="19"/>
      <c r="BJ821" s="19"/>
      <c r="BK821" s="19"/>
      <c r="BL821" s="19"/>
    </row>
    <row r="822" spans="2:64" ht="14" x14ac:dyDescent="0.2">
      <c r="B822" s="1"/>
      <c r="C822" s="1"/>
      <c r="D822" s="1"/>
      <c r="E822" s="1"/>
      <c r="H822" s="18"/>
      <c r="I822" s="18"/>
      <c r="J822" s="18"/>
      <c r="L822" s="6"/>
      <c r="AF822" s="19"/>
      <c r="AG822" s="19"/>
      <c r="AH822" s="20"/>
      <c r="AI822" s="19"/>
      <c r="AK822" s="19"/>
      <c r="AL822" s="19"/>
      <c r="AM822" s="19"/>
      <c r="AN822" s="19"/>
      <c r="AO822" s="19"/>
      <c r="AZ822" s="19"/>
      <c r="BA822" s="19"/>
      <c r="BB822" s="20"/>
      <c r="BC822" s="19"/>
      <c r="BE822" s="19"/>
      <c r="BF822" s="19"/>
      <c r="BG822" s="19"/>
      <c r="BH822" s="19"/>
      <c r="BI822" s="19"/>
      <c r="BJ822" s="19"/>
      <c r="BK822" s="19"/>
      <c r="BL822" s="19"/>
    </row>
    <row r="823" spans="2:64" ht="14" x14ac:dyDescent="0.2">
      <c r="B823" s="1"/>
      <c r="C823" s="1"/>
      <c r="D823" s="1"/>
      <c r="E823" s="1"/>
      <c r="H823" s="18"/>
      <c r="I823" s="18"/>
      <c r="J823" s="18"/>
      <c r="L823" s="6"/>
      <c r="AF823" s="19"/>
      <c r="AG823" s="19"/>
      <c r="AH823" s="20"/>
      <c r="AI823" s="19"/>
      <c r="AK823" s="19"/>
      <c r="AL823" s="19"/>
      <c r="AM823" s="19"/>
      <c r="AN823" s="19"/>
      <c r="AO823" s="19"/>
      <c r="AZ823" s="19"/>
      <c r="BA823" s="19"/>
      <c r="BB823" s="20"/>
      <c r="BC823" s="19"/>
      <c r="BE823" s="19"/>
      <c r="BF823" s="19"/>
      <c r="BG823" s="19"/>
      <c r="BH823" s="19"/>
      <c r="BI823" s="19"/>
      <c r="BJ823" s="19"/>
      <c r="BK823" s="19"/>
      <c r="BL823" s="19"/>
    </row>
    <row r="824" spans="2:64" ht="14" x14ac:dyDescent="0.2">
      <c r="B824" s="1"/>
      <c r="C824" s="1"/>
      <c r="D824" s="1"/>
      <c r="E824" s="1"/>
      <c r="H824" s="18"/>
      <c r="I824" s="18"/>
      <c r="J824" s="18"/>
      <c r="L824" s="6"/>
      <c r="AF824" s="19"/>
      <c r="AG824" s="19"/>
      <c r="AH824" s="20"/>
      <c r="AI824" s="19"/>
      <c r="AK824" s="19"/>
      <c r="AL824" s="19"/>
      <c r="AM824" s="19"/>
      <c r="AN824" s="19"/>
      <c r="AO824" s="19"/>
      <c r="AZ824" s="19"/>
      <c r="BA824" s="19"/>
      <c r="BB824" s="20"/>
      <c r="BC824" s="19"/>
      <c r="BE824" s="19"/>
      <c r="BF824" s="19"/>
      <c r="BG824" s="19"/>
      <c r="BH824" s="19"/>
      <c r="BI824" s="19"/>
      <c r="BJ824" s="19"/>
      <c r="BK824" s="19"/>
      <c r="BL824" s="19"/>
    </row>
    <row r="825" spans="2:64" ht="14" x14ac:dyDescent="0.2">
      <c r="B825" s="1"/>
      <c r="C825" s="1"/>
      <c r="D825" s="1"/>
      <c r="E825" s="1"/>
      <c r="H825" s="18"/>
      <c r="I825" s="18"/>
      <c r="J825" s="18"/>
      <c r="L825" s="6"/>
      <c r="AF825" s="19"/>
      <c r="AG825" s="19"/>
      <c r="AH825" s="20"/>
      <c r="AI825" s="19"/>
      <c r="AK825" s="19"/>
      <c r="AL825" s="19"/>
      <c r="AM825" s="19"/>
      <c r="AN825" s="19"/>
      <c r="AO825" s="19"/>
      <c r="AZ825" s="19"/>
      <c r="BA825" s="19"/>
      <c r="BB825" s="20"/>
      <c r="BC825" s="19"/>
      <c r="BE825" s="19"/>
      <c r="BF825" s="19"/>
      <c r="BG825" s="19"/>
      <c r="BH825" s="19"/>
      <c r="BI825" s="19"/>
      <c r="BJ825" s="19"/>
      <c r="BK825" s="19"/>
      <c r="BL825" s="19"/>
    </row>
    <row r="826" spans="2:64" ht="14" x14ac:dyDescent="0.2">
      <c r="B826" s="1"/>
      <c r="C826" s="1"/>
      <c r="D826" s="1"/>
      <c r="E826" s="1"/>
      <c r="H826" s="18"/>
      <c r="I826" s="18"/>
      <c r="J826" s="18"/>
      <c r="L826" s="6"/>
      <c r="AF826" s="19"/>
      <c r="AG826" s="19"/>
      <c r="AH826" s="20"/>
      <c r="AI826" s="19"/>
      <c r="AK826" s="19"/>
      <c r="AL826" s="19"/>
      <c r="AM826" s="19"/>
      <c r="AN826" s="19"/>
      <c r="AO826" s="19"/>
      <c r="AZ826" s="19"/>
      <c r="BA826" s="19"/>
      <c r="BB826" s="20"/>
      <c r="BC826" s="19"/>
      <c r="BE826" s="19"/>
      <c r="BF826" s="19"/>
      <c r="BG826" s="19"/>
      <c r="BH826" s="19"/>
      <c r="BI826" s="19"/>
      <c r="BJ826" s="19"/>
      <c r="BK826" s="19"/>
      <c r="BL826" s="19"/>
    </row>
    <row r="827" spans="2:64" ht="14" x14ac:dyDescent="0.2">
      <c r="B827" s="1"/>
      <c r="C827" s="1"/>
      <c r="D827" s="1"/>
      <c r="E827" s="1"/>
      <c r="H827" s="18"/>
      <c r="I827" s="18"/>
      <c r="J827" s="18"/>
      <c r="L827" s="6"/>
      <c r="AF827" s="19"/>
      <c r="AG827" s="19"/>
      <c r="AH827" s="20"/>
      <c r="AI827" s="19"/>
      <c r="AK827" s="19"/>
      <c r="AL827" s="19"/>
      <c r="AM827" s="19"/>
      <c r="AN827" s="19"/>
      <c r="AO827" s="19"/>
      <c r="AZ827" s="19"/>
      <c r="BA827" s="19"/>
      <c r="BB827" s="20"/>
      <c r="BC827" s="19"/>
      <c r="BE827" s="19"/>
      <c r="BF827" s="19"/>
      <c r="BG827" s="19"/>
      <c r="BH827" s="19"/>
      <c r="BI827" s="19"/>
      <c r="BJ827" s="19"/>
      <c r="BK827" s="19"/>
      <c r="BL827" s="19"/>
    </row>
    <row r="828" spans="2:64" ht="14" x14ac:dyDescent="0.2">
      <c r="B828" s="1"/>
      <c r="C828" s="1"/>
      <c r="D828" s="1"/>
      <c r="E828" s="1"/>
      <c r="H828" s="18"/>
      <c r="I828" s="18"/>
      <c r="J828" s="18"/>
      <c r="L828" s="6"/>
      <c r="AF828" s="19"/>
      <c r="AG828" s="19"/>
      <c r="AH828" s="20"/>
      <c r="AI828" s="19"/>
      <c r="AK828" s="19"/>
      <c r="AL828" s="19"/>
      <c r="AM828" s="19"/>
      <c r="AN828" s="19"/>
      <c r="AO828" s="19"/>
      <c r="AZ828" s="19"/>
      <c r="BA828" s="19"/>
      <c r="BB828" s="20"/>
      <c r="BC828" s="19"/>
      <c r="BE828" s="19"/>
      <c r="BF828" s="19"/>
      <c r="BG828" s="19"/>
      <c r="BH828" s="19"/>
      <c r="BI828" s="19"/>
      <c r="BJ828" s="19"/>
      <c r="BK828" s="19"/>
      <c r="BL828" s="19"/>
    </row>
    <row r="829" spans="2:64" ht="14" x14ac:dyDescent="0.2">
      <c r="B829" s="1"/>
      <c r="C829" s="1"/>
      <c r="D829" s="1"/>
      <c r="E829" s="1"/>
      <c r="H829" s="18"/>
      <c r="I829" s="18"/>
      <c r="J829" s="18"/>
      <c r="L829" s="6"/>
      <c r="AF829" s="19"/>
      <c r="AG829" s="19"/>
      <c r="AH829" s="20"/>
      <c r="AI829" s="19"/>
      <c r="AK829" s="19"/>
      <c r="AL829" s="19"/>
      <c r="AM829" s="19"/>
      <c r="AN829" s="19"/>
      <c r="AO829" s="19"/>
      <c r="AZ829" s="19"/>
      <c r="BA829" s="19"/>
      <c r="BB829" s="20"/>
      <c r="BC829" s="19"/>
      <c r="BE829" s="19"/>
      <c r="BF829" s="19"/>
      <c r="BG829" s="19"/>
      <c r="BH829" s="19"/>
      <c r="BI829" s="19"/>
      <c r="BJ829" s="19"/>
      <c r="BK829" s="19"/>
      <c r="BL829" s="19"/>
    </row>
    <row r="830" spans="2:64" ht="14" x14ac:dyDescent="0.2">
      <c r="B830" s="1"/>
      <c r="C830" s="1"/>
      <c r="D830" s="1"/>
      <c r="E830" s="1"/>
      <c r="H830" s="18"/>
      <c r="I830" s="18"/>
      <c r="J830" s="18"/>
      <c r="L830" s="6"/>
      <c r="AF830" s="19"/>
      <c r="AG830" s="19"/>
      <c r="AH830" s="20"/>
      <c r="AI830" s="19"/>
      <c r="AK830" s="19"/>
      <c r="AL830" s="19"/>
      <c r="AM830" s="19"/>
      <c r="AN830" s="19"/>
      <c r="AO830" s="19"/>
      <c r="AZ830" s="19"/>
      <c r="BA830" s="19"/>
      <c r="BB830" s="20"/>
      <c r="BC830" s="19"/>
      <c r="BE830" s="19"/>
      <c r="BF830" s="19"/>
      <c r="BG830" s="19"/>
      <c r="BH830" s="19"/>
      <c r="BI830" s="19"/>
      <c r="BJ830" s="19"/>
      <c r="BK830" s="19"/>
      <c r="BL830" s="19"/>
    </row>
    <row r="831" spans="2:64" ht="14" x14ac:dyDescent="0.2">
      <c r="B831" s="1"/>
      <c r="C831" s="1"/>
      <c r="D831" s="1"/>
      <c r="E831" s="1"/>
      <c r="H831" s="18"/>
      <c r="I831" s="18"/>
      <c r="J831" s="18"/>
      <c r="L831" s="6"/>
      <c r="AF831" s="19"/>
      <c r="AG831" s="19"/>
      <c r="AH831" s="20"/>
      <c r="AI831" s="19"/>
      <c r="AK831" s="19"/>
      <c r="AL831" s="19"/>
      <c r="AM831" s="19"/>
      <c r="AN831" s="19"/>
      <c r="AO831" s="19"/>
      <c r="AZ831" s="19"/>
      <c r="BA831" s="19"/>
      <c r="BB831" s="20"/>
      <c r="BC831" s="19"/>
      <c r="BE831" s="19"/>
      <c r="BF831" s="19"/>
      <c r="BG831" s="19"/>
      <c r="BH831" s="19"/>
      <c r="BI831" s="19"/>
      <c r="BJ831" s="19"/>
      <c r="BK831" s="19"/>
      <c r="BL831" s="19"/>
    </row>
    <row r="832" spans="2:64" ht="14" x14ac:dyDescent="0.2">
      <c r="B832" s="1"/>
      <c r="C832" s="1"/>
      <c r="D832" s="1"/>
      <c r="E832" s="1"/>
      <c r="H832" s="18"/>
      <c r="I832" s="18"/>
      <c r="J832" s="18"/>
      <c r="L832" s="6"/>
      <c r="AF832" s="19"/>
      <c r="AG832" s="19"/>
      <c r="AH832" s="20"/>
      <c r="AI832" s="19"/>
      <c r="AK832" s="19"/>
      <c r="AL832" s="19"/>
      <c r="AM832" s="19"/>
      <c r="AN832" s="19"/>
      <c r="AO832" s="19"/>
      <c r="AZ832" s="19"/>
      <c r="BA832" s="19"/>
      <c r="BB832" s="20"/>
      <c r="BC832" s="19"/>
      <c r="BE832" s="19"/>
      <c r="BF832" s="19"/>
      <c r="BG832" s="19"/>
      <c r="BH832" s="19"/>
      <c r="BI832" s="19"/>
      <c r="BJ832" s="19"/>
      <c r="BK832" s="19"/>
      <c r="BL832" s="19"/>
    </row>
    <row r="833" spans="2:64" ht="14" x14ac:dyDescent="0.2">
      <c r="B833" s="1"/>
      <c r="C833" s="1"/>
      <c r="D833" s="1"/>
      <c r="E833" s="1"/>
      <c r="H833" s="18"/>
      <c r="I833" s="18"/>
      <c r="J833" s="18"/>
      <c r="L833" s="6"/>
      <c r="AF833" s="19"/>
      <c r="AG833" s="19"/>
      <c r="AH833" s="20"/>
      <c r="AI833" s="19"/>
      <c r="AK833" s="19"/>
      <c r="AL833" s="19"/>
      <c r="AM833" s="19"/>
      <c r="AN833" s="19"/>
      <c r="AO833" s="19"/>
      <c r="AZ833" s="19"/>
      <c r="BA833" s="19"/>
      <c r="BB833" s="20"/>
      <c r="BC833" s="19"/>
      <c r="BE833" s="19"/>
      <c r="BF833" s="19"/>
      <c r="BG833" s="19"/>
      <c r="BH833" s="19"/>
      <c r="BI833" s="19"/>
      <c r="BJ833" s="19"/>
      <c r="BK833" s="19"/>
      <c r="BL833" s="19"/>
    </row>
    <row r="834" spans="2:64" ht="14" x14ac:dyDescent="0.2">
      <c r="B834" s="1"/>
      <c r="C834" s="1"/>
      <c r="D834" s="1"/>
      <c r="E834" s="1"/>
      <c r="H834" s="18"/>
      <c r="I834" s="18"/>
      <c r="J834" s="18"/>
      <c r="L834" s="6"/>
      <c r="AF834" s="19"/>
      <c r="AG834" s="19"/>
      <c r="AH834" s="20"/>
      <c r="AI834" s="19"/>
      <c r="AK834" s="19"/>
      <c r="AL834" s="19"/>
      <c r="AM834" s="19"/>
      <c r="AN834" s="19"/>
      <c r="AO834" s="19"/>
      <c r="AZ834" s="19"/>
      <c r="BA834" s="19"/>
      <c r="BB834" s="20"/>
      <c r="BC834" s="19"/>
      <c r="BE834" s="19"/>
      <c r="BF834" s="19"/>
      <c r="BG834" s="19"/>
      <c r="BH834" s="19"/>
      <c r="BI834" s="19"/>
      <c r="BJ834" s="19"/>
      <c r="BK834" s="19"/>
      <c r="BL834" s="19"/>
    </row>
    <row r="835" spans="2:64" ht="14" x14ac:dyDescent="0.2">
      <c r="B835" s="1"/>
      <c r="C835" s="1"/>
      <c r="D835" s="1"/>
      <c r="E835" s="1"/>
      <c r="H835" s="18"/>
      <c r="I835" s="18"/>
      <c r="J835" s="18"/>
      <c r="L835" s="6"/>
      <c r="AF835" s="19"/>
      <c r="AG835" s="19"/>
      <c r="AH835" s="20"/>
      <c r="AI835" s="19"/>
      <c r="AK835" s="19"/>
      <c r="AL835" s="19"/>
      <c r="AM835" s="19"/>
      <c r="AN835" s="19"/>
      <c r="AO835" s="19"/>
      <c r="AZ835" s="19"/>
      <c r="BA835" s="19"/>
      <c r="BB835" s="20"/>
      <c r="BC835" s="19"/>
      <c r="BE835" s="19"/>
      <c r="BF835" s="19"/>
      <c r="BG835" s="19"/>
      <c r="BH835" s="19"/>
      <c r="BI835" s="19"/>
      <c r="BJ835" s="19"/>
      <c r="BK835" s="19"/>
      <c r="BL835" s="19"/>
    </row>
    <row r="836" spans="2:64" ht="14" x14ac:dyDescent="0.2">
      <c r="B836" s="1"/>
      <c r="C836" s="1"/>
      <c r="D836" s="1"/>
      <c r="E836" s="1"/>
      <c r="H836" s="18"/>
      <c r="I836" s="18"/>
      <c r="J836" s="18"/>
      <c r="L836" s="6"/>
      <c r="AF836" s="19"/>
      <c r="AG836" s="19"/>
      <c r="AH836" s="20"/>
      <c r="AI836" s="19"/>
      <c r="AK836" s="19"/>
      <c r="AL836" s="19"/>
      <c r="AM836" s="19"/>
      <c r="AN836" s="19"/>
      <c r="AO836" s="19"/>
      <c r="AZ836" s="19"/>
      <c r="BA836" s="19"/>
      <c r="BB836" s="20"/>
      <c r="BC836" s="19"/>
      <c r="BE836" s="19"/>
      <c r="BF836" s="19"/>
      <c r="BG836" s="19"/>
      <c r="BH836" s="19"/>
      <c r="BI836" s="19"/>
      <c r="BJ836" s="19"/>
      <c r="BK836" s="19"/>
      <c r="BL836" s="19"/>
    </row>
    <row r="837" spans="2:64" ht="14" x14ac:dyDescent="0.2">
      <c r="B837" s="1"/>
      <c r="C837" s="1"/>
      <c r="D837" s="1"/>
      <c r="E837" s="1"/>
      <c r="H837" s="18"/>
      <c r="I837" s="18"/>
      <c r="J837" s="18"/>
      <c r="L837" s="6"/>
      <c r="AF837" s="19"/>
      <c r="AG837" s="19"/>
      <c r="AH837" s="20"/>
      <c r="AI837" s="19"/>
      <c r="AK837" s="19"/>
      <c r="AL837" s="19"/>
      <c r="AM837" s="19"/>
      <c r="AN837" s="19"/>
      <c r="AO837" s="19"/>
      <c r="AZ837" s="19"/>
      <c r="BA837" s="19"/>
      <c r="BB837" s="20"/>
      <c r="BC837" s="19"/>
      <c r="BE837" s="19"/>
      <c r="BF837" s="19"/>
      <c r="BG837" s="19"/>
      <c r="BH837" s="19"/>
      <c r="BI837" s="19"/>
      <c r="BJ837" s="19"/>
      <c r="BK837" s="19"/>
      <c r="BL837" s="19"/>
    </row>
    <row r="838" spans="2:64" ht="14" x14ac:dyDescent="0.2">
      <c r="B838" s="1"/>
      <c r="C838" s="1"/>
      <c r="D838" s="1"/>
      <c r="E838" s="1"/>
      <c r="H838" s="18"/>
      <c r="I838" s="18"/>
      <c r="J838" s="18"/>
      <c r="L838" s="6"/>
      <c r="AF838" s="19"/>
      <c r="AG838" s="19"/>
      <c r="AH838" s="20"/>
      <c r="AI838" s="19"/>
      <c r="AK838" s="19"/>
      <c r="AL838" s="19"/>
      <c r="AM838" s="19"/>
      <c r="AN838" s="19"/>
      <c r="AO838" s="19"/>
      <c r="AZ838" s="19"/>
      <c r="BA838" s="19"/>
      <c r="BB838" s="20"/>
      <c r="BC838" s="19"/>
      <c r="BE838" s="19"/>
      <c r="BF838" s="19"/>
      <c r="BG838" s="19"/>
      <c r="BH838" s="19"/>
      <c r="BI838" s="19"/>
      <c r="BJ838" s="19"/>
      <c r="BK838" s="19"/>
      <c r="BL838" s="19"/>
    </row>
    <row r="839" spans="2:64" ht="14" x14ac:dyDescent="0.2">
      <c r="B839" s="1"/>
      <c r="C839" s="1"/>
      <c r="D839" s="1"/>
      <c r="E839" s="1"/>
      <c r="H839" s="18"/>
      <c r="I839" s="18"/>
      <c r="J839" s="18"/>
      <c r="L839" s="6"/>
      <c r="AF839" s="19"/>
      <c r="AG839" s="19"/>
      <c r="AH839" s="20"/>
      <c r="AI839" s="19"/>
      <c r="AK839" s="19"/>
      <c r="AL839" s="19"/>
      <c r="AM839" s="19"/>
      <c r="AN839" s="19"/>
      <c r="AO839" s="19"/>
      <c r="AZ839" s="19"/>
      <c r="BA839" s="19"/>
      <c r="BB839" s="20"/>
      <c r="BC839" s="19"/>
      <c r="BE839" s="19"/>
      <c r="BF839" s="19"/>
      <c r="BG839" s="19"/>
      <c r="BH839" s="19"/>
      <c r="BI839" s="19"/>
      <c r="BJ839" s="19"/>
      <c r="BK839" s="19"/>
      <c r="BL839" s="19"/>
    </row>
    <row r="840" spans="2:64" ht="14" x14ac:dyDescent="0.2">
      <c r="B840" s="1"/>
      <c r="C840" s="1"/>
      <c r="D840" s="1"/>
      <c r="E840" s="1"/>
      <c r="H840" s="18"/>
      <c r="I840" s="18"/>
      <c r="J840" s="18"/>
      <c r="L840" s="6"/>
      <c r="AF840" s="19"/>
      <c r="AG840" s="19"/>
      <c r="AH840" s="20"/>
      <c r="AI840" s="19"/>
      <c r="AK840" s="19"/>
      <c r="AL840" s="19"/>
      <c r="AM840" s="19"/>
      <c r="AN840" s="19"/>
      <c r="AO840" s="19"/>
      <c r="AZ840" s="19"/>
      <c r="BA840" s="19"/>
      <c r="BB840" s="20"/>
      <c r="BC840" s="19"/>
      <c r="BE840" s="19"/>
      <c r="BF840" s="19"/>
      <c r="BG840" s="19"/>
      <c r="BH840" s="19"/>
      <c r="BI840" s="19"/>
      <c r="BJ840" s="19"/>
      <c r="BK840" s="19"/>
      <c r="BL840" s="19"/>
    </row>
    <row r="841" spans="2:64" ht="14" x14ac:dyDescent="0.2">
      <c r="B841" s="1"/>
      <c r="C841" s="1"/>
      <c r="D841" s="1"/>
      <c r="E841" s="1"/>
      <c r="H841" s="18"/>
      <c r="I841" s="18"/>
      <c r="J841" s="18"/>
      <c r="L841" s="6"/>
      <c r="AF841" s="19"/>
      <c r="AG841" s="19"/>
      <c r="AH841" s="20"/>
      <c r="AI841" s="19"/>
      <c r="AK841" s="19"/>
      <c r="AL841" s="19"/>
      <c r="AM841" s="19"/>
      <c r="AN841" s="19"/>
      <c r="AO841" s="19"/>
      <c r="AZ841" s="19"/>
      <c r="BA841" s="19"/>
      <c r="BB841" s="20"/>
      <c r="BC841" s="19"/>
      <c r="BE841" s="19"/>
      <c r="BF841" s="19"/>
      <c r="BG841" s="19"/>
      <c r="BH841" s="19"/>
      <c r="BI841" s="19"/>
      <c r="BJ841" s="19"/>
      <c r="BK841" s="19"/>
      <c r="BL841" s="19"/>
    </row>
    <row r="842" spans="2:64" ht="14" x14ac:dyDescent="0.2">
      <c r="B842" s="1"/>
      <c r="C842" s="1"/>
      <c r="D842" s="1"/>
      <c r="E842" s="1"/>
      <c r="H842" s="18"/>
      <c r="I842" s="18"/>
      <c r="J842" s="18"/>
      <c r="L842" s="6"/>
      <c r="AF842" s="19"/>
      <c r="AG842" s="19"/>
      <c r="AH842" s="20"/>
      <c r="AI842" s="19"/>
      <c r="AK842" s="19"/>
      <c r="AL842" s="19"/>
      <c r="AM842" s="19"/>
      <c r="AN842" s="19"/>
      <c r="AO842" s="19"/>
      <c r="AZ842" s="19"/>
      <c r="BA842" s="19"/>
      <c r="BB842" s="20"/>
      <c r="BC842" s="19"/>
      <c r="BE842" s="19"/>
      <c r="BF842" s="19"/>
      <c r="BG842" s="19"/>
      <c r="BH842" s="19"/>
      <c r="BI842" s="19"/>
      <c r="BJ842" s="19"/>
      <c r="BK842" s="19"/>
      <c r="BL842" s="19"/>
    </row>
    <row r="843" spans="2:64" ht="14" x14ac:dyDescent="0.2">
      <c r="B843" s="1"/>
      <c r="C843" s="1"/>
      <c r="D843" s="1"/>
      <c r="E843" s="1"/>
      <c r="H843" s="18"/>
      <c r="I843" s="18"/>
      <c r="J843" s="18"/>
      <c r="L843" s="6"/>
      <c r="AF843" s="19"/>
      <c r="AG843" s="19"/>
      <c r="AH843" s="20"/>
      <c r="AI843" s="19"/>
      <c r="AK843" s="19"/>
      <c r="AL843" s="19"/>
      <c r="AM843" s="19"/>
      <c r="AN843" s="19"/>
      <c r="AO843" s="19"/>
      <c r="AZ843" s="19"/>
      <c r="BA843" s="19"/>
      <c r="BB843" s="20"/>
      <c r="BC843" s="19"/>
      <c r="BE843" s="19"/>
      <c r="BF843" s="19"/>
      <c r="BG843" s="19"/>
      <c r="BH843" s="19"/>
      <c r="BI843" s="19"/>
      <c r="BJ843" s="19"/>
      <c r="BK843" s="19"/>
      <c r="BL843" s="19"/>
    </row>
    <row r="844" spans="2:64" ht="14" x14ac:dyDescent="0.2">
      <c r="B844" s="1"/>
      <c r="C844" s="1"/>
      <c r="D844" s="1"/>
      <c r="E844" s="1"/>
      <c r="H844" s="18"/>
      <c r="I844" s="18"/>
      <c r="J844" s="18"/>
      <c r="L844" s="6"/>
      <c r="AF844" s="19"/>
      <c r="AG844" s="19"/>
      <c r="AH844" s="20"/>
      <c r="AI844" s="19"/>
      <c r="AK844" s="19"/>
      <c r="AL844" s="19"/>
      <c r="AM844" s="19"/>
      <c r="AN844" s="19"/>
      <c r="AO844" s="19"/>
      <c r="AZ844" s="19"/>
      <c r="BA844" s="19"/>
      <c r="BB844" s="20"/>
      <c r="BC844" s="19"/>
      <c r="BE844" s="19"/>
      <c r="BF844" s="19"/>
      <c r="BG844" s="19"/>
      <c r="BH844" s="19"/>
      <c r="BI844" s="19"/>
      <c r="BJ844" s="19"/>
      <c r="BK844" s="19"/>
      <c r="BL844" s="19"/>
    </row>
    <row r="845" spans="2:64" ht="14" x14ac:dyDescent="0.2">
      <c r="B845" s="1"/>
      <c r="C845" s="1"/>
      <c r="D845" s="1"/>
      <c r="E845" s="1"/>
      <c r="H845" s="18"/>
      <c r="I845" s="18"/>
      <c r="J845" s="18"/>
      <c r="L845" s="6"/>
      <c r="AF845" s="19"/>
      <c r="AG845" s="19"/>
      <c r="AH845" s="20"/>
      <c r="AI845" s="19"/>
      <c r="AK845" s="19"/>
      <c r="AL845" s="19"/>
      <c r="AM845" s="19"/>
      <c r="AN845" s="19"/>
      <c r="AO845" s="19"/>
      <c r="AZ845" s="19"/>
      <c r="BA845" s="19"/>
      <c r="BB845" s="20"/>
      <c r="BC845" s="19"/>
      <c r="BE845" s="19"/>
      <c r="BF845" s="19"/>
      <c r="BG845" s="19"/>
      <c r="BH845" s="19"/>
      <c r="BI845" s="19"/>
      <c r="BJ845" s="19"/>
      <c r="BK845" s="19"/>
      <c r="BL845" s="19"/>
    </row>
    <row r="846" spans="2:64" ht="14" x14ac:dyDescent="0.2">
      <c r="B846" s="1"/>
      <c r="C846" s="1"/>
      <c r="D846" s="1"/>
      <c r="E846" s="1"/>
      <c r="H846" s="18"/>
      <c r="I846" s="18"/>
      <c r="J846" s="18"/>
      <c r="L846" s="6"/>
      <c r="AF846" s="19"/>
      <c r="AG846" s="19"/>
      <c r="AH846" s="20"/>
      <c r="AI846" s="19"/>
      <c r="AK846" s="19"/>
      <c r="AL846" s="19"/>
      <c r="AM846" s="19"/>
      <c r="AN846" s="19"/>
      <c r="AO846" s="19"/>
      <c r="AZ846" s="19"/>
      <c r="BA846" s="19"/>
      <c r="BB846" s="20"/>
      <c r="BC846" s="19"/>
      <c r="BE846" s="19"/>
      <c r="BF846" s="19"/>
      <c r="BG846" s="19"/>
      <c r="BH846" s="19"/>
      <c r="BI846" s="19"/>
      <c r="BJ846" s="19"/>
      <c r="BK846" s="19"/>
      <c r="BL846" s="19"/>
    </row>
    <row r="847" spans="2:64" ht="14" x14ac:dyDescent="0.2">
      <c r="B847" s="1"/>
      <c r="C847" s="1"/>
      <c r="D847" s="1"/>
      <c r="E847" s="1"/>
      <c r="H847" s="18"/>
      <c r="I847" s="18"/>
      <c r="J847" s="18"/>
      <c r="L847" s="6"/>
      <c r="AF847" s="19"/>
      <c r="AG847" s="19"/>
      <c r="AH847" s="20"/>
      <c r="AI847" s="19"/>
      <c r="AK847" s="19"/>
      <c r="AL847" s="19"/>
      <c r="AM847" s="19"/>
      <c r="AN847" s="19"/>
      <c r="AO847" s="19"/>
      <c r="AZ847" s="19"/>
      <c r="BA847" s="19"/>
      <c r="BB847" s="20"/>
      <c r="BC847" s="19"/>
      <c r="BE847" s="19"/>
      <c r="BF847" s="19"/>
      <c r="BG847" s="19"/>
      <c r="BH847" s="19"/>
      <c r="BI847" s="19"/>
      <c r="BJ847" s="19"/>
      <c r="BK847" s="19"/>
      <c r="BL847" s="19"/>
    </row>
    <row r="848" spans="2:64" ht="14" x14ac:dyDescent="0.2">
      <c r="B848" s="1"/>
      <c r="C848" s="1"/>
      <c r="D848" s="1"/>
      <c r="E848" s="1"/>
      <c r="H848" s="18"/>
      <c r="I848" s="18"/>
      <c r="J848" s="18"/>
      <c r="L848" s="6"/>
      <c r="AF848" s="19"/>
      <c r="AG848" s="19"/>
      <c r="AH848" s="20"/>
      <c r="AI848" s="19"/>
      <c r="AK848" s="19"/>
      <c r="AL848" s="19"/>
      <c r="AM848" s="19"/>
      <c r="AN848" s="19"/>
      <c r="AO848" s="19"/>
      <c r="AZ848" s="19"/>
      <c r="BA848" s="19"/>
      <c r="BB848" s="20"/>
      <c r="BC848" s="19"/>
      <c r="BE848" s="19"/>
      <c r="BF848" s="19"/>
      <c r="BG848" s="19"/>
      <c r="BH848" s="19"/>
      <c r="BI848" s="19"/>
      <c r="BJ848" s="19"/>
      <c r="BK848" s="19"/>
      <c r="BL848" s="19"/>
    </row>
    <row r="849" spans="2:64" ht="14" x14ac:dyDescent="0.2">
      <c r="B849" s="1"/>
      <c r="C849" s="1"/>
      <c r="D849" s="1"/>
      <c r="E849" s="1"/>
      <c r="H849" s="18"/>
      <c r="I849" s="18"/>
      <c r="J849" s="18"/>
      <c r="L849" s="6"/>
      <c r="AF849" s="19"/>
      <c r="AG849" s="19"/>
      <c r="AH849" s="20"/>
      <c r="AI849" s="19"/>
      <c r="AK849" s="19"/>
      <c r="AL849" s="19"/>
      <c r="AM849" s="19"/>
      <c r="AN849" s="19"/>
      <c r="AO849" s="19"/>
      <c r="AZ849" s="19"/>
      <c r="BA849" s="19"/>
      <c r="BB849" s="20"/>
      <c r="BC849" s="19"/>
      <c r="BE849" s="19"/>
      <c r="BF849" s="19"/>
      <c r="BG849" s="19"/>
      <c r="BH849" s="19"/>
      <c r="BI849" s="19"/>
      <c r="BJ849" s="19"/>
      <c r="BK849" s="19"/>
      <c r="BL849" s="19"/>
    </row>
    <row r="850" spans="2:64" ht="14" x14ac:dyDescent="0.2">
      <c r="B850" s="1"/>
      <c r="C850" s="1"/>
      <c r="D850" s="1"/>
      <c r="E850" s="1"/>
      <c r="H850" s="18"/>
      <c r="I850" s="18"/>
      <c r="J850" s="18"/>
      <c r="L850" s="6"/>
      <c r="AF850" s="19"/>
      <c r="AG850" s="19"/>
      <c r="AH850" s="20"/>
      <c r="AI850" s="19"/>
      <c r="AK850" s="19"/>
      <c r="AL850" s="19"/>
      <c r="AM850" s="19"/>
      <c r="AN850" s="19"/>
      <c r="AO850" s="19"/>
      <c r="AZ850" s="19"/>
      <c r="BA850" s="19"/>
      <c r="BB850" s="20"/>
      <c r="BC850" s="19"/>
      <c r="BE850" s="19"/>
      <c r="BF850" s="19"/>
      <c r="BG850" s="19"/>
      <c r="BH850" s="19"/>
      <c r="BI850" s="19"/>
      <c r="BJ850" s="19"/>
      <c r="BK850" s="19"/>
      <c r="BL850" s="19"/>
    </row>
    <row r="851" spans="2:64" ht="14" x14ac:dyDescent="0.2">
      <c r="B851" s="1"/>
      <c r="C851" s="1"/>
      <c r="D851" s="1"/>
      <c r="E851" s="1"/>
      <c r="H851" s="18"/>
      <c r="I851" s="18"/>
      <c r="J851" s="18"/>
      <c r="L851" s="6"/>
      <c r="AF851" s="19"/>
      <c r="AG851" s="19"/>
      <c r="AH851" s="20"/>
      <c r="AI851" s="19"/>
      <c r="AK851" s="19"/>
      <c r="AL851" s="19"/>
      <c r="AM851" s="19"/>
      <c r="AN851" s="19"/>
      <c r="AO851" s="19"/>
      <c r="AZ851" s="19"/>
      <c r="BA851" s="19"/>
      <c r="BB851" s="20"/>
      <c r="BC851" s="19"/>
      <c r="BE851" s="19"/>
      <c r="BF851" s="19"/>
      <c r="BG851" s="19"/>
      <c r="BH851" s="19"/>
      <c r="BI851" s="19"/>
      <c r="BJ851" s="19"/>
      <c r="BK851" s="19"/>
      <c r="BL851" s="19"/>
    </row>
    <row r="852" spans="2:64" ht="14" x14ac:dyDescent="0.2">
      <c r="B852" s="1"/>
      <c r="C852" s="1"/>
      <c r="D852" s="1"/>
      <c r="E852" s="1"/>
      <c r="H852" s="18"/>
      <c r="I852" s="18"/>
      <c r="J852" s="18"/>
      <c r="L852" s="6"/>
      <c r="AF852" s="19"/>
      <c r="AG852" s="19"/>
      <c r="AH852" s="20"/>
      <c r="AI852" s="19"/>
      <c r="AK852" s="19"/>
      <c r="AL852" s="19"/>
      <c r="AM852" s="19"/>
      <c r="AN852" s="19"/>
      <c r="AO852" s="19"/>
      <c r="AZ852" s="19"/>
      <c r="BA852" s="19"/>
      <c r="BB852" s="20"/>
      <c r="BC852" s="19"/>
      <c r="BE852" s="19"/>
      <c r="BF852" s="19"/>
      <c r="BG852" s="19"/>
      <c r="BH852" s="19"/>
      <c r="BI852" s="19"/>
      <c r="BJ852" s="19"/>
      <c r="BK852" s="19"/>
      <c r="BL852" s="19"/>
    </row>
    <row r="853" spans="2:64" ht="14" x14ac:dyDescent="0.2">
      <c r="B853" s="1"/>
      <c r="C853" s="1"/>
      <c r="D853" s="1"/>
      <c r="E853" s="1"/>
      <c r="H853" s="18"/>
      <c r="I853" s="18"/>
      <c r="J853" s="18"/>
      <c r="L853" s="6"/>
      <c r="AF853" s="19"/>
      <c r="AG853" s="19"/>
      <c r="AH853" s="20"/>
      <c r="AI853" s="19"/>
      <c r="AK853" s="19"/>
      <c r="AL853" s="19"/>
      <c r="AM853" s="19"/>
      <c r="AN853" s="19"/>
      <c r="AO853" s="19"/>
      <c r="AZ853" s="19"/>
      <c r="BA853" s="19"/>
      <c r="BB853" s="20"/>
      <c r="BC853" s="19"/>
      <c r="BE853" s="19"/>
      <c r="BF853" s="19"/>
      <c r="BG853" s="19"/>
      <c r="BH853" s="19"/>
      <c r="BI853" s="19"/>
      <c r="BJ853" s="19"/>
      <c r="BK853" s="19"/>
      <c r="BL853" s="19"/>
    </row>
    <row r="854" spans="2:64" ht="14" x14ac:dyDescent="0.2">
      <c r="B854" s="1"/>
      <c r="C854" s="1"/>
      <c r="D854" s="1"/>
      <c r="E854" s="1"/>
      <c r="H854" s="18"/>
      <c r="I854" s="18"/>
      <c r="J854" s="18"/>
      <c r="L854" s="6"/>
      <c r="AF854" s="19"/>
      <c r="AG854" s="19"/>
      <c r="AH854" s="20"/>
      <c r="AI854" s="19"/>
      <c r="AK854" s="19"/>
      <c r="AL854" s="19"/>
      <c r="AM854" s="19"/>
      <c r="AN854" s="19"/>
      <c r="AO854" s="19"/>
      <c r="AZ854" s="19"/>
      <c r="BA854" s="19"/>
      <c r="BB854" s="20"/>
      <c r="BC854" s="19"/>
      <c r="BE854" s="19"/>
      <c r="BF854" s="19"/>
      <c r="BG854" s="19"/>
      <c r="BH854" s="19"/>
      <c r="BI854" s="19"/>
      <c r="BJ854" s="19"/>
      <c r="BK854" s="19"/>
      <c r="BL854" s="19"/>
    </row>
    <row r="855" spans="2:64" ht="14" x14ac:dyDescent="0.2">
      <c r="B855" s="1"/>
      <c r="C855" s="1"/>
      <c r="D855" s="1"/>
      <c r="E855" s="1"/>
      <c r="H855" s="18"/>
      <c r="I855" s="18"/>
      <c r="J855" s="18"/>
      <c r="L855" s="6"/>
      <c r="AF855" s="19"/>
      <c r="AG855" s="19"/>
      <c r="AH855" s="20"/>
      <c r="AI855" s="19"/>
      <c r="AK855" s="19"/>
      <c r="AL855" s="19"/>
      <c r="AM855" s="19"/>
      <c r="AN855" s="19"/>
      <c r="AO855" s="19"/>
      <c r="AZ855" s="19"/>
      <c r="BA855" s="19"/>
      <c r="BB855" s="20"/>
      <c r="BC855" s="19"/>
      <c r="BE855" s="19"/>
      <c r="BF855" s="19"/>
      <c r="BG855" s="19"/>
      <c r="BH855" s="19"/>
      <c r="BI855" s="19"/>
      <c r="BJ855" s="19"/>
      <c r="BK855" s="19"/>
      <c r="BL855" s="19"/>
    </row>
    <row r="856" spans="2:64" ht="14" x14ac:dyDescent="0.2">
      <c r="B856" s="1"/>
      <c r="C856" s="1"/>
      <c r="D856" s="1"/>
      <c r="E856" s="1"/>
      <c r="H856" s="18"/>
      <c r="I856" s="18"/>
      <c r="J856" s="18"/>
      <c r="L856" s="6"/>
      <c r="AF856" s="19"/>
      <c r="AG856" s="19"/>
      <c r="AH856" s="20"/>
      <c r="AI856" s="19"/>
      <c r="AK856" s="19"/>
      <c r="AL856" s="19"/>
      <c r="AM856" s="19"/>
      <c r="AN856" s="19"/>
      <c r="AO856" s="19"/>
      <c r="AZ856" s="19"/>
      <c r="BA856" s="19"/>
      <c r="BB856" s="20"/>
      <c r="BC856" s="19"/>
      <c r="BE856" s="19"/>
      <c r="BF856" s="19"/>
      <c r="BG856" s="19"/>
      <c r="BH856" s="19"/>
      <c r="BI856" s="19"/>
      <c r="BJ856" s="19"/>
      <c r="BK856" s="19"/>
      <c r="BL856" s="19"/>
    </row>
    <row r="857" spans="2:64" ht="14" x14ac:dyDescent="0.2">
      <c r="B857" s="1"/>
      <c r="C857" s="1"/>
      <c r="D857" s="1"/>
      <c r="E857" s="1"/>
      <c r="H857" s="18"/>
      <c r="I857" s="18"/>
      <c r="J857" s="18"/>
      <c r="L857" s="6"/>
      <c r="AF857" s="19"/>
      <c r="AG857" s="19"/>
      <c r="AH857" s="20"/>
      <c r="AI857" s="19"/>
      <c r="AK857" s="19"/>
      <c r="AL857" s="19"/>
      <c r="AM857" s="19"/>
      <c r="AN857" s="19"/>
      <c r="AO857" s="19"/>
      <c r="AZ857" s="19"/>
      <c r="BA857" s="19"/>
      <c r="BB857" s="20"/>
      <c r="BC857" s="19"/>
      <c r="BE857" s="19"/>
      <c r="BF857" s="19"/>
      <c r="BG857" s="19"/>
      <c r="BH857" s="19"/>
      <c r="BI857" s="19"/>
      <c r="BJ857" s="19"/>
      <c r="BK857" s="19"/>
      <c r="BL857" s="19"/>
    </row>
    <row r="858" spans="2:64" ht="14" x14ac:dyDescent="0.2">
      <c r="B858" s="1"/>
      <c r="C858" s="1"/>
      <c r="D858" s="1"/>
      <c r="E858" s="1"/>
      <c r="H858" s="18"/>
      <c r="I858" s="18"/>
      <c r="J858" s="18"/>
      <c r="L858" s="6"/>
      <c r="AF858" s="19"/>
      <c r="AG858" s="19"/>
      <c r="AH858" s="20"/>
      <c r="AI858" s="19"/>
      <c r="AK858" s="19"/>
      <c r="AL858" s="19"/>
      <c r="AM858" s="19"/>
      <c r="AN858" s="19"/>
      <c r="AO858" s="19"/>
      <c r="AZ858" s="19"/>
      <c r="BA858" s="19"/>
      <c r="BB858" s="20"/>
      <c r="BC858" s="19"/>
      <c r="BE858" s="19"/>
      <c r="BF858" s="19"/>
      <c r="BG858" s="19"/>
      <c r="BH858" s="19"/>
      <c r="BI858" s="19"/>
      <c r="BJ858" s="19"/>
      <c r="BK858" s="19"/>
      <c r="BL858" s="19"/>
    </row>
    <row r="859" spans="2:64" ht="14" x14ac:dyDescent="0.2">
      <c r="B859" s="1"/>
      <c r="C859" s="1"/>
      <c r="D859" s="1"/>
      <c r="E859" s="1"/>
      <c r="H859" s="18"/>
      <c r="I859" s="18"/>
      <c r="J859" s="18"/>
      <c r="L859" s="6"/>
      <c r="AF859" s="19"/>
      <c r="AG859" s="19"/>
      <c r="AH859" s="20"/>
      <c r="AI859" s="19"/>
      <c r="AK859" s="19"/>
      <c r="AL859" s="19"/>
      <c r="AM859" s="19"/>
      <c r="AN859" s="19"/>
      <c r="AO859" s="19"/>
      <c r="AZ859" s="19"/>
      <c r="BA859" s="19"/>
      <c r="BB859" s="20"/>
      <c r="BC859" s="19"/>
      <c r="BE859" s="19"/>
      <c r="BF859" s="19"/>
      <c r="BG859" s="19"/>
      <c r="BH859" s="19"/>
      <c r="BI859" s="19"/>
      <c r="BJ859" s="19"/>
      <c r="BK859" s="19"/>
      <c r="BL859" s="19"/>
    </row>
    <row r="860" spans="2:64" ht="14" x14ac:dyDescent="0.2">
      <c r="B860" s="1"/>
      <c r="C860" s="1"/>
      <c r="D860" s="1"/>
      <c r="E860" s="1"/>
      <c r="H860" s="18"/>
      <c r="I860" s="18"/>
      <c r="J860" s="18"/>
      <c r="L860" s="6"/>
      <c r="AF860" s="19"/>
      <c r="AG860" s="19"/>
      <c r="AH860" s="20"/>
      <c r="AI860" s="19"/>
      <c r="AK860" s="19"/>
      <c r="AL860" s="19"/>
      <c r="AM860" s="19"/>
      <c r="AN860" s="19"/>
      <c r="AO860" s="19"/>
      <c r="AZ860" s="19"/>
      <c r="BA860" s="19"/>
      <c r="BB860" s="20"/>
      <c r="BC860" s="19"/>
      <c r="BE860" s="19"/>
      <c r="BF860" s="19"/>
      <c r="BG860" s="19"/>
      <c r="BH860" s="19"/>
      <c r="BI860" s="19"/>
      <c r="BJ860" s="19"/>
      <c r="BK860" s="19"/>
      <c r="BL860" s="19"/>
    </row>
    <row r="861" spans="2:64" ht="14" x14ac:dyDescent="0.2">
      <c r="B861" s="1"/>
      <c r="C861" s="1"/>
      <c r="D861" s="1"/>
      <c r="E861" s="1"/>
      <c r="H861" s="18"/>
      <c r="I861" s="18"/>
      <c r="J861" s="18"/>
      <c r="L861" s="6"/>
      <c r="AF861" s="19"/>
      <c r="AG861" s="19"/>
      <c r="AH861" s="20"/>
      <c r="AI861" s="19"/>
      <c r="AK861" s="19"/>
      <c r="AL861" s="19"/>
      <c r="AM861" s="19"/>
      <c r="AN861" s="19"/>
      <c r="AO861" s="19"/>
      <c r="AZ861" s="19"/>
      <c r="BA861" s="19"/>
      <c r="BB861" s="20"/>
      <c r="BC861" s="19"/>
      <c r="BE861" s="19"/>
      <c r="BF861" s="19"/>
      <c r="BG861" s="19"/>
      <c r="BH861" s="19"/>
      <c r="BI861" s="19"/>
      <c r="BJ861" s="19"/>
      <c r="BK861" s="19"/>
      <c r="BL861" s="19"/>
    </row>
    <row r="862" spans="2:64" ht="14" x14ac:dyDescent="0.2">
      <c r="B862" s="1"/>
      <c r="C862" s="1"/>
      <c r="D862" s="1"/>
      <c r="E862" s="1"/>
      <c r="H862" s="18"/>
      <c r="I862" s="18"/>
      <c r="J862" s="18"/>
      <c r="L862" s="6"/>
      <c r="AF862" s="19"/>
      <c r="AG862" s="19"/>
      <c r="AH862" s="20"/>
      <c r="AI862" s="19"/>
      <c r="AK862" s="19"/>
      <c r="AL862" s="19"/>
      <c r="AM862" s="19"/>
      <c r="AN862" s="19"/>
      <c r="AO862" s="19"/>
      <c r="AZ862" s="19"/>
      <c r="BA862" s="19"/>
      <c r="BB862" s="20"/>
      <c r="BC862" s="19"/>
      <c r="BE862" s="19"/>
      <c r="BF862" s="19"/>
      <c r="BG862" s="19"/>
      <c r="BH862" s="19"/>
      <c r="BI862" s="19"/>
      <c r="BJ862" s="19"/>
      <c r="BK862" s="19"/>
      <c r="BL862" s="19"/>
    </row>
    <row r="863" spans="2:64" ht="14" x14ac:dyDescent="0.2">
      <c r="B863" s="1"/>
      <c r="C863" s="1"/>
      <c r="D863" s="1"/>
      <c r="E863" s="1"/>
      <c r="H863" s="18"/>
      <c r="I863" s="18"/>
      <c r="J863" s="18"/>
      <c r="L863" s="6"/>
      <c r="AF863" s="19"/>
      <c r="AG863" s="19"/>
      <c r="AH863" s="20"/>
      <c r="AI863" s="19"/>
      <c r="AK863" s="19"/>
      <c r="AL863" s="19"/>
      <c r="AM863" s="19"/>
      <c r="AN863" s="19"/>
      <c r="AO863" s="19"/>
      <c r="AZ863" s="19"/>
      <c r="BA863" s="19"/>
      <c r="BB863" s="20"/>
      <c r="BC863" s="19"/>
      <c r="BE863" s="19"/>
      <c r="BF863" s="19"/>
      <c r="BG863" s="19"/>
      <c r="BH863" s="19"/>
      <c r="BI863" s="19"/>
      <c r="BJ863" s="19"/>
      <c r="BK863" s="19"/>
      <c r="BL863" s="19"/>
    </row>
    <row r="864" spans="2:64" ht="14" x14ac:dyDescent="0.2">
      <c r="B864" s="1"/>
      <c r="C864" s="1"/>
      <c r="D864" s="1"/>
      <c r="E864" s="1"/>
      <c r="H864" s="18"/>
      <c r="I864" s="18"/>
      <c r="J864" s="18"/>
      <c r="L864" s="6"/>
      <c r="AF864" s="19"/>
      <c r="AG864" s="19"/>
      <c r="AH864" s="20"/>
      <c r="AI864" s="19"/>
      <c r="AK864" s="19"/>
      <c r="AL864" s="19"/>
      <c r="AM864" s="19"/>
      <c r="AN864" s="19"/>
      <c r="AO864" s="19"/>
      <c r="AZ864" s="19"/>
      <c r="BA864" s="19"/>
      <c r="BB864" s="20"/>
      <c r="BC864" s="19"/>
      <c r="BE864" s="19"/>
      <c r="BF864" s="19"/>
      <c r="BG864" s="19"/>
      <c r="BH864" s="19"/>
      <c r="BI864" s="19"/>
      <c r="BJ864" s="19"/>
      <c r="BK864" s="19"/>
      <c r="BL864" s="19"/>
    </row>
    <row r="865" spans="2:64" ht="14" x14ac:dyDescent="0.2">
      <c r="B865" s="1"/>
      <c r="C865" s="1"/>
      <c r="D865" s="1"/>
      <c r="E865" s="1"/>
      <c r="H865" s="18"/>
      <c r="I865" s="18"/>
      <c r="J865" s="18"/>
      <c r="L865" s="6"/>
      <c r="AF865" s="19"/>
      <c r="AG865" s="19"/>
      <c r="AH865" s="20"/>
      <c r="AI865" s="19"/>
      <c r="AK865" s="19"/>
      <c r="AL865" s="19"/>
      <c r="AM865" s="19"/>
      <c r="AN865" s="19"/>
      <c r="AO865" s="19"/>
      <c r="AZ865" s="19"/>
      <c r="BA865" s="19"/>
      <c r="BB865" s="20"/>
      <c r="BC865" s="19"/>
      <c r="BE865" s="19"/>
      <c r="BF865" s="19"/>
      <c r="BG865" s="19"/>
      <c r="BH865" s="19"/>
      <c r="BI865" s="19"/>
      <c r="BJ865" s="19"/>
      <c r="BK865" s="19"/>
      <c r="BL865" s="19"/>
    </row>
    <row r="866" spans="2:64" ht="14" x14ac:dyDescent="0.2">
      <c r="B866" s="1"/>
      <c r="C866" s="1"/>
      <c r="D866" s="1"/>
      <c r="E866" s="1"/>
      <c r="H866" s="18"/>
      <c r="I866" s="18"/>
      <c r="J866" s="18"/>
      <c r="L866" s="6"/>
      <c r="AF866" s="19"/>
      <c r="AG866" s="19"/>
      <c r="AH866" s="20"/>
      <c r="AI866" s="19"/>
      <c r="AK866" s="19"/>
      <c r="AL866" s="19"/>
      <c r="AM866" s="19"/>
      <c r="AN866" s="19"/>
      <c r="AO866" s="19"/>
      <c r="AZ866" s="19"/>
      <c r="BA866" s="19"/>
      <c r="BB866" s="20"/>
      <c r="BC866" s="19"/>
      <c r="BE866" s="19"/>
      <c r="BF866" s="19"/>
      <c r="BG866" s="19"/>
      <c r="BH866" s="19"/>
      <c r="BI866" s="19"/>
      <c r="BJ866" s="19"/>
      <c r="BK866" s="19"/>
      <c r="BL866" s="19"/>
    </row>
    <row r="867" spans="2:64" ht="14" x14ac:dyDescent="0.2">
      <c r="B867" s="1"/>
      <c r="C867" s="1"/>
      <c r="D867" s="1"/>
      <c r="E867" s="1"/>
      <c r="H867" s="18"/>
      <c r="I867" s="18"/>
      <c r="J867" s="18"/>
      <c r="L867" s="6"/>
      <c r="AF867" s="19"/>
      <c r="AG867" s="19"/>
      <c r="AH867" s="20"/>
      <c r="AI867" s="19"/>
      <c r="AK867" s="19"/>
      <c r="AL867" s="19"/>
      <c r="AM867" s="19"/>
      <c r="AN867" s="19"/>
      <c r="AO867" s="19"/>
      <c r="AZ867" s="19"/>
      <c r="BA867" s="19"/>
      <c r="BB867" s="20"/>
      <c r="BC867" s="19"/>
      <c r="BE867" s="19"/>
      <c r="BF867" s="19"/>
      <c r="BG867" s="19"/>
      <c r="BH867" s="19"/>
      <c r="BI867" s="19"/>
      <c r="BJ867" s="19"/>
      <c r="BK867" s="19"/>
      <c r="BL867" s="19"/>
    </row>
    <row r="868" spans="2:64" ht="14" x14ac:dyDescent="0.2">
      <c r="B868" s="1"/>
      <c r="C868" s="1"/>
      <c r="D868" s="1"/>
      <c r="E868" s="1"/>
      <c r="H868" s="18"/>
      <c r="I868" s="18"/>
      <c r="J868" s="18"/>
      <c r="L868" s="6"/>
      <c r="AF868" s="19"/>
      <c r="AG868" s="19"/>
      <c r="AH868" s="20"/>
      <c r="AI868" s="19"/>
      <c r="AK868" s="19"/>
      <c r="AL868" s="19"/>
      <c r="AM868" s="19"/>
      <c r="AN868" s="19"/>
      <c r="AO868" s="19"/>
      <c r="AZ868" s="19"/>
      <c r="BA868" s="19"/>
      <c r="BB868" s="20"/>
      <c r="BC868" s="19"/>
      <c r="BE868" s="19"/>
      <c r="BF868" s="19"/>
      <c r="BG868" s="19"/>
      <c r="BH868" s="19"/>
      <c r="BI868" s="19"/>
      <c r="BJ868" s="19"/>
      <c r="BK868" s="19"/>
      <c r="BL868" s="19"/>
    </row>
    <row r="869" spans="2:64" ht="14" x14ac:dyDescent="0.2">
      <c r="B869" s="1"/>
      <c r="C869" s="1"/>
      <c r="D869" s="1"/>
      <c r="E869" s="1"/>
      <c r="H869" s="18"/>
      <c r="I869" s="18"/>
      <c r="J869" s="18"/>
      <c r="L869" s="6"/>
      <c r="AF869" s="19"/>
      <c r="AG869" s="19"/>
      <c r="AH869" s="20"/>
      <c r="AI869" s="19"/>
      <c r="AK869" s="19"/>
      <c r="AL869" s="19"/>
      <c r="AM869" s="19"/>
      <c r="AN869" s="19"/>
      <c r="AO869" s="19"/>
      <c r="AZ869" s="19"/>
      <c r="BA869" s="19"/>
      <c r="BB869" s="20"/>
      <c r="BC869" s="19"/>
      <c r="BE869" s="19"/>
      <c r="BF869" s="19"/>
      <c r="BG869" s="19"/>
      <c r="BH869" s="19"/>
      <c r="BI869" s="19"/>
      <c r="BJ869" s="19"/>
      <c r="BK869" s="19"/>
      <c r="BL869" s="19"/>
    </row>
    <row r="870" spans="2:64" ht="14" x14ac:dyDescent="0.2">
      <c r="B870" s="1"/>
      <c r="C870" s="1"/>
      <c r="D870" s="1"/>
      <c r="E870" s="1"/>
      <c r="H870" s="18"/>
      <c r="I870" s="18"/>
      <c r="J870" s="18"/>
      <c r="L870" s="6"/>
      <c r="AF870" s="19"/>
      <c r="AG870" s="19"/>
      <c r="AH870" s="20"/>
      <c r="AI870" s="19"/>
      <c r="AK870" s="19"/>
      <c r="AL870" s="19"/>
      <c r="AM870" s="19"/>
      <c r="AN870" s="19"/>
      <c r="AO870" s="19"/>
      <c r="AZ870" s="19"/>
      <c r="BA870" s="19"/>
      <c r="BB870" s="20"/>
      <c r="BC870" s="19"/>
      <c r="BE870" s="19"/>
      <c r="BF870" s="19"/>
      <c r="BG870" s="19"/>
      <c r="BH870" s="19"/>
      <c r="BI870" s="19"/>
      <c r="BJ870" s="19"/>
      <c r="BK870" s="19"/>
      <c r="BL870" s="19"/>
    </row>
    <row r="871" spans="2:64" ht="14" x14ac:dyDescent="0.2">
      <c r="B871" s="1"/>
      <c r="C871" s="1"/>
      <c r="D871" s="1"/>
      <c r="E871" s="1"/>
      <c r="H871" s="18"/>
      <c r="I871" s="18"/>
      <c r="J871" s="18"/>
      <c r="L871" s="6"/>
      <c r="AF871" s="19"/>
      <c r="AG871" s="19"/>
      <c r="AH871" s="20"/>
      <c r="AI871" s="19"/>
      <c r="AK871" s="19"/>
      <c r="AL871" s="19"/>
      <c r="AM871" s="19"/>
      <c r="AN871" s="19"/>
      <c r="AO871" s="19"/>
      <c r="AZ871" s="19"/>
      <c r="BA871" s="19"/>
      <c r="BB871" s="20"/>
      <c r="BC871" s="19"/>
      <c r="BE871" s="19"/>
      <c r="BF871" s="19"/>
      <c r="BG871" s="19"/>
      <c r="BH871" s="19"/>
      <c r="BI871" s="19"/>
      <c r="BJ871" s="19"/>
      <c r="BK871" s="19"/>
      <c r="BL871" s="19"/>
    </row>
    <row r="872" spans="2:64" ht="14" x14ac:dyDescent="0.2">
      <c r="B872" s="1"/>
      <c r="C872" s="1"/>
      <c r="D872" s="1"/>
      <c r="E872" s="1"/>
      <c r="H872" s="18"/>
      <c r="I872" s="18"/>
      <c r="J872" s="18"/>
      <c r="L872" s="6"/>
      <c r="AF872" s="19"/>
      <c r="AG872" s="19"/>
      <c r="AH872" s="20"/>
      <c r="AI872" s="19"/>
      <c r="AK872" s="19"/>
      <c r="AL872" s="19"/>
      <c r="AM872" s="19"/>
      <c r="AN872" s="19"/>
      <c r="AO872" s="19"/>
      <c r="AZ872" s="19"/>
      <c r="BA872" s="19"/>
      <c r="BB872" s="20"/>
      <c r="BC872" s="19"/>
      <c r="BE872" s="19"/>
      <c r="BF872" s="19"/>
      <c r="BG872" s="19"/>
      <c r="BH872" s="19"/>
      <c r="BI872" s="19"/>
      <c r="BJ872" s="19"/>
      <c r="BK872" s="19"/>
      <c r="BL872" s="19"/>
    </row>
    <row r="873" spans="2:64" ht="14" x14ac:dyDescent="0.2">
      <c r="B873" s="1"/>
      <c r="C873" s="1"/>
      <c r="D873" s="1"/>
      <c r="E873" s="1"/>
      <c r="H873" s="18"/>
      <c r="I873" s="18"/>
      <c r="J873" s="18"/>
      <c r="L873" s="6"/>
      <c r="AF873" s="19"/>
      <c r="AG873" s="19"/>
      <c r="AH873" s="20"/>
      <c r="AI873" s="19"/>
      <c r="AK873" s="19"/>
      <c r="AL873" s="19"/>
      <c r="AM873" s="19"/>
      <c r="AN873" s="19"/>
      <c r="AO873" s="19"/>
      <c r="AZ873" s="19"/>
      <c r="BA873" s="19"/>
      <c r="BB873" s="20"/>
      <c r="BC873" s="19"/>
      <c r="BE873" s="19"/>
      <c r="BF873" s="19"/>
      <c r="BG873" s="19"/>
      <c r="BH873" s="19"/>
      <c r="BI873" s="19"/>
      <c r="BJ873" s="19"/>
      <c r="BK873" s="19"/>
      <c r="BL873" s="19"/>
    </row>
    <row r="874" spans="2:64" ht="14" x14ac:dyDescent="0.2">
      <c r="B874" s="1"/>
      <c r="C874" s="1"/>
      <c r="D874" s="1"/>
      <c r="E874" s="1"/>
      <c r="H874" s="18"/>
      <c r="I874" s="18"/>
      <c r="J874" s="18"/>
      <c r="L874" s="6"/>
      <c r="AF874" s="19"/>
      <c r="AG874" s="19"/>
      <c r="AH874" s="20"/>
      <c r="AI874" s="19"/>
      <c r="AK874" s="19"/>
      <c r="AL874" s="19"/>
      <c r="AM874" s="19"/>
      <c r="AN874" s="19"/>
      <c r="AO874" s="19"/>
      <c r="AZ874" s="19"/>
      <c r="BA874" s="19"/>
      <c r="BB874" s="20"/>
      <c r="BC874" s="19"/>
      <c r="BE874" s="19"/>
      <c r="BF874" s="19"/>
      <c r="BG874" s="19"/>
      <c r="BH874" s="19"/>
      <c r="BI874" s="19"/>
      <c r="BJ874" s="19"/>
      <c r="BK874" s="19"/>
      <c r="BL874" s="19"/>
    </row>
    <row r="875" spans="2:64" ht="14" x14ac:dyDescent="0.2">
      <c r="B875" s="1"/>
      <c r="C875" s="1"/>
      <c r="D875" s="1"/>
      <c r="E875" s="1"/>
      <c r="H875" s="18"/>
      <c r="I875" s="18"/>
      <c r="J875" s="18"/>
      <c r="L875" s="6"/>
      <c r="AF875" s="19"/>
      <c r="AG875" s="19"/>
      <c r="AH875" s="20"/>
      <c r="AI875" s="19"/>
      <c r="AK875" s="19"/>
      <c r="AL875" s="19"/>
      <c r="AM875" s="19"/>
      <c r="AN875" s="19"/>
      <c r="AO875" s="19"/>
      <c r="AZ875" s="19"/>
      <c r="BA875" s="19"/>
      <c r="BB875" s="20"/>
      <c r="BC875" s="19"/>
      <c r="BE875" s="19"/>
      <c r="BF875" s="19"/>
      <c r="BG875" s="19"/>
      <c r="BH875" s="19"/>
      <c r="BI875" s="19"/>
      <c r="BJ875" s="19"/>
      <c r="BK875" s="19"/>
      <c r="BL875" s="19"/>
    </row>
    <row r="876" spans="2:64" ht="14" x14ac:dyDescent="0.2">
      <c r="B876" s="1"/>
      <c r="C876" s="1"/>
      <c r="D876" s="1"/>
      <c r="E876" s="1"/>
      <c r="H876" s="18"/>
      <c r="I876" s="18"/>
      <c r="J876" s="18"/>
      <c r="L876" s="6"/>
      <c r="AF876" s="19"/>
      <c r="AG876" s="19"/>
      <c r="AH876" s="20"/>
      <c r="AI876" s="19"/>
      <c r="AK876" s="19"/>
      <c r="AL876" s="19"/>
      <c r="AM876" s="19"/>
      <c r="AN876" s="19"/>
      <c r="AO876" s="19"/>
      <c r="AZ876" s="19"/>
      <c r="BA876" s="19"/>
      <c r="BB876" s="20"/>
      <c r="BC876" s="19"/>
      <c r="BE876" s="19"/>
      <c r="BF876" s="19"/>
      <c r="BG876" s="19"/>
      <c r="BH876" s="19"/>
      <c r="BI876" s="19"/>
      <c r="BJ876" s="19"/>
      <c r="BK876" s="19"/>
      <c r="BL876" s="19"/>
    </row>
    <row r="877" spans="2:64" ht="14" x14ac:dyDescent="0.2">
      <c r="B877" s="1"/>
      <c r="C877" s="1"/>
      <c r="D877" s="1"/>
      <c r="E877" s="1"/>
      <c r="H877" s="18"/>
      <c r="I877" s="18"/>
      <c r="J877" s="18"/>
      <c r="L877" s="6"/>
      <c r="AF877" s="19"/>
      <c r="AG877" s="19"/>
      <c r="AH877" s="20"/>
      <c r="AI877" s="19"/>
      <c r="AK877" s="19"/>
      <c r="AL877" s="19"/>
      <c r="AM877" s="19"/>
      <c r="AN877" s="19"/>
      <c r="AO877" s="19"/>
      <c r="AZ877" s="19"/>
      <c r="BA877" s="19"/>
      <c r="BB877" s="20"/>
      <c r="BC877" s="19"/>
      <c r="BE877" s="19"/>
      <c r="BF877" s="19"/>
      <c r="BG877" s="19"/>
      <c r="BH877" s="19"/>
      <c r="BI877" s="19"/>
      <c r="BJ877" s="19"/>
      <c r="BK877" s="19"/>
      <c r="BL877" s="19"/>
    </row>
    <row r="878" spans="2:64" ht="14" x14ac:dyDescent="0.2">
      <c r="B878" s="1"/>
      <c r="C878" s="1"/>
      <c r="D878" s="1"/>
      <c r="E878" s="1"/>
      <c r="H878" s="18"/>
      <c r="I878" s="18"/>
      <c r="J878" s="18"/>
      <c r="L878" s="6"/>
      <c r="AF878" s="19"/>
      <c r="AG878" s="19"/>
      <c r="AH878" s="20"/>
      <c r="AI878" s="19"/>
      <c r="AK878" s="19"/>
      <c r="AL878" s="19"/>
      <c r="AM878" s="19"/>
      <c r="AN878" s="19"/>
      <c r="AO878" s="19"/>
      <c r="AZ878" s="19"/>
      <c r="BA878" s="19"/>
      <c r="BB878" s="20"/>
      <c r="BC878" s="19"/>
      <c r="BE878" s="19"/>
      <c r="BF878" s="19"/>
      <c r="BG878" s="19"/>
      <c r="BH878" s="19"/>
      <c r="BI878" s="19"/>
      <c r="BJ878" s="19"/>
      <c r="BK878" s="19"/>
      <c r="BL878" s="19"/>
    </row>
    <row r="879" spans="2:64" ht="14" x14ac:dyDescent="0.2">
      <c r="B879" s="1"/>
      <c r="C879" s="1"/>
      <c r="D879" s="1"/>
      <c r="E879" s="1"/>
      <c r="H879" s="18"/>
      <c r="I879" s="18"/>
      <c r="J879" s="18"/>
      <c r="L879" s="6"/>
      <c r="AF879" s="19"/>
      <c r="AG879" s="19"/>
      <c r="AH879" s="20"/>
      <c r="AI879" s="19"/>
      <c r="AK879" s="19"/>
      <c r="AL879" s="19"/>
      <c r="AM879" s="19"/>
      <c r="AN879" s="19"/>
      <c r="AO879" s="19"/>
      <c r="AZ879" s="19"/>
      <c r="BA879" s="19"/>
      <c r="BB879" s="20"/>
      <c r="BC879" s="19"/>
      <c r="BE879" s="19"/>
      <c r="BF879" s="19"/>
      <c r="BG879" s="19"/>
      <c r="BH879" s="19"/>
      <c r="BI879" s="19"/>
      <c r="BJ879" s="19"/>
      <c r="BK879" s="19"/>
      <c r="BL879" s="19"/>
    </row>
    <row r="880" spans="2:64" ht="14" x14ac:dyDescent="0.2">
      <c r="B880" s="1"/>
      <c r="C880" s="1"/>
      <c r="D880" s="1"/>
      <c r="E880" s="1"/>
      <c r="H880" s="18"/>
      <c r="I880" s="18"/>
      <c r="J880" s="18"/>
      <c r="L880" s="6"/>
      <c r="AF880" s="19"/>
      <c r="AG880" s="19"/>
      <c r="AH880" s="20"/>
      <c r="AI880" s="19"/>
      <c r="AK880" s="19"/>
      <c r="AL880" s="19"/>
      <c r="AM880" s="19"/>
      <c r="AN880" s="19"/>
      <c r="AO880" s="19"/>
      <c r="AZ880" s="19"/>
      <c r="BA880" s="19"/>
      <c r="BB880" s="20"/>
      <c r="BC880" s="19"/>
      <c r="BE880" s="19"/>
      <c r="BF880" s="19"/>
      <c r="BG880" s="19"/>
      <c r="BH880" s="19"/>
      <c r="BI880" s="19"/>
      <c r="BJ880" s="19"/>
      <c r="BK880" s="19"/>
      <c r="BL880" s="19"/>
    </row>
    <row r="881" spans="2:64" ht="14" x14ac:dyDescent="0.2">
      <c r="B881" s="1"/>
      <c r="C881" s="1"/>
      <c r="D881" s="1"/>
      <c r="E881" s="1"/>
      <c r="H881" s="18"/>
      <c r="I881" s="18"/>
      <c r="J881" s="18"/>
      <c r="L881" s="6"/>
      <c r="AF881" s="19"/>
      <c r="AG881" s="19"/>
      <c r="AH881" s="20"/>
      <c r="AI881" s="19"/>
      <c r="AK881" s="19"/>
      <c r="AL881" s="19"/>
      <c r="AM881" s="19"/>
      <c r="AN881" s="19"/>
      <c r="AO881" s="19"/>
      <c r="AZ881" s="19"/>
      <c r="BA881" s="19"/>
      <c r="BB881" s="20"/>
      <c r="BC881" s="19"/>
      <c r="BE881" s="19"/>
      <c r="BF881" s="19"/>
      <c r="BG881" s="19"/>
      <c r="BH881" s="19"/>
      <c r="BI881" s="19"/>
      <c r="BJ881" s="19"/>
      <c r="BK881" s="19"/>
      <c r="BL881" s="19"/>
    </row>
    <row r="882" spans="2:64" ht="14" x14ac:dyDescent="0.2">
      <c r="B882" s="1"/>
      <c r="C882" s="1"/>
      <c r="D882" s="1"/>
      <c r="E882" s="1"/>
      <c r="H882" s="18"/>
      <c r="I882" s="18"/>
      <c r="J882" s="18"/>
      <c r="L882" s="6"/>
      <c r="AF882" s="19"/>
      <c r="AG882" s="19"/>
      <c r="AH882" s="20"/>
      <c r="AI882" s="19"/>
      <c r="AK882" s="19"/>
      <c r="AL882" s="19"/>
      <c r="AM882" s="19"/>
      <c r="AN882" s="19"/>
      <c r="AO882" s="19"/>
      <c r="AZ882" s="19"/>
      <c r="BA882" s="19"/>
      <c r="BB882" s="20"/>
      <c r="BC882" s="19"/>
      <c r="BE882" s="19"/>
      <c r="BF882" s="19"/>
      <c r="BG882" s="19"/>
      <c r="BH882" s="19"/>
      <c r="BI882" s="19"/>
      <c r="BJ882" s="19"/>
      <c r="BK882" s="19"/>
      <c r="BL882" s="19"/>
    </row>
    <row r="883" spans="2:64" ht="14" x14ac:dyDescent="0.2">
      <c r="B883" s="1"/>
      <c r="C883" s="1"/>
      <c r="D883" s="1"/>
      <c r="E883" s="1"/>
      <c r="H883" s="18"/>
      <c r="I883" s="18"/>
      <c r="J883" s="18"/>
      <c r="L883" s="6"/>
      <c r="AF883" s="19"/>
      <c r="AG883" s="19"/>
      <c r="AH883" s="20"/>
      <c r="AI883" s="19"/>
      <c r="AK883" s="19"/>
      <c r="AL883" s="19"/>
      <c r="AM883" s="19"/>
      <c r="AN883" s="19"/>
      <c r="AO883" s="19"/>
      <c r="AZ883" s="19"/>
      <c r="BA883" s="19"/>
      <c r="BB883" s="20"/>
      <c r="BC883" s="19"/>
      <c r="BE883" s="19"/>
      <c r="BF883" s="19"/>
      <c r="BG883" s="19"/>
      <c r="BH883" s="19"/>
      <c r="BI883" s="19"/>
      <c r="BJ883" s="19"/>
      <c r="BK883" s="19"/>
      <c r="BL883" s="19"/>
    </row>
    <row r="884" spans="2:64" ht="14" x14ac:dyDescent="0.2">
      <c r="B884" s="1"/>
      <c r="C884" s="1"/>
      <c r="D884" s="1"/>
      <c r="E884" s="1"/>
      <c r="H884" s="18"/>
      <c r="I884" s="18"/>
      <c r="J884" s="18"/>
      <c r="L884" s="6"/>
      <c r="AF884" s="19"/>
      <c r="AG884" s="19"/>
      <c r="AH884" s="20"/>
      <c r="AI884" s="19"/>
      <c r="AK884" s="19"/>
      <c r="AL884" s="19"/>
      <c r="AM884" s="19"/>
      <c r="AN884" s="19"/>
      <c r="AO884" s="19"/>
      <c r="AZ884" s="19"/>
      <c r="BA884" s="19"/>
      <c r="BB884" s="20"/>
      <c r="BC884" s="19"/>
      <c r="BE884" s="19"/>
      <c r="BF884" s="19"/>
      <c r="BG884" s="19"/>
      <c r="BH884" s="19"/>
      <c r="BI884" s="19"/>
      <c r="BJ884" s="19"/>
      <c r="BK884" s="19"/>
      <c r="BL884" s="19"/>
    </row>
    <row r="885" spans="2:64" ht="14" x14ac:dyDescent="0.2">
      <c r="B885" s="1"/>
      <c r="C885" s="1"/>
      <c r="D885" s="1"/>
      <c r="E885" s="1"/>
      <c r="H885" s="18"/>
      <c r="I885" s="18"/>
      <c r="J885" s="18"/>
      <c r="L885" s="6"/>
      <c r="AF885" s="19"/>
      <c r="AG885" s="19"/>
      <c r="AH885" s="20"/>
      <c r="AI885" s="19"/>
      <c r="AK885" s="19"/>
      <c r="AL885" s="19"/>
      <c r="AM885" s="19"/>
      <c r="AN885" s="19"/>
      <c r="AO885" s="19"/>
      <c r="AZ885" s="19"/>
      <c r="BA885" s="19"/>
      <c r="BB885" s="20"/>
      <c r="BC885" s="19"/>
      <c r="BE885" s="19"/>
      <c r="BF885" s="19"/>
      <c r="BG885" s="19"/>
      <c r="BH885" s="19"/>
      <c r="BI885" s="19"/>
      <c r="BJ885" s="19"/>
      <c r="BK885" s="19"/>
      <c r="BL885" s="19"/>
    </row>
    <row r="886" spans="2:64" ht="14" x14ac:dyDescent="0.2">
      <c r="B886" s="1"/>
      <c r="C886" s="1"/>
      <c r="D886" s="1"/>
      <c r="E886" s="1"/>
      <c r="H886" s="18"/>
      <c r="I886" s="18"/>
      <c r="J886" s="18"/>
      <c r="L886" s="6"/>
      <c r="AF886" s="19"/>
      <c r="AG886" s="19"/>
      <c r="AH886" s="20"/>
      <c r="AI886" s="19"/>
      <c r="AK886" s="19"/>
      <c r="AL886" s="19"/>
      <c r="AM886" s="19"/>
      <c r="AN886" s="19"/>
      <c r="AO886" s="19"/>
      <c r="AZ886" s="19"/>
      <c r="BA886" s="19"/>
      <c r="BB886" s="20"/>
      <c r="BC886" s="19"/>
      <c r="BE886" s="19"/>
      <c r="BF886" s="19"/>
      <c r="BG886" s="19"/>
      <c r="BH886" s="19"/>
      <c r="BI886" s="19"/>
      <c r="BJ886" s="19"/>
      <c r="BK886" s="19"/>
      <c r="BL886" s="19"/>
    </row>
    <row r="887" spans="2:64" ht="14" x14ac:dyDescent="0.2">
      <c r="B887" s="1"/>
      <c r="C887" s="1"/>
      <c r="D887" s="1"/>
      <c r="E887" s="1"/>
      <c r="H887" s="18"/>
      <c r="I887" s="18"/>
      <c r="J887" s="18"/>
      <c r="L887" s="6"/>
      <c r="AF887" s="19"/>
      <c r="AG887" s="19"/>
      <c r="AH887" s="20"/>
      <c r="AI887" s="19"/>
      <c r="AK887" s="19"/>
      <c r="AL887" s="19"/>
      <c r="AM887" s="19"/>
      <c r="AN887" s="19"/>
      <c r="AO887" s="19"/>
      <c r="AZ887" s="19"/>
      <c r="BA887" s="19"/>
      <c r="BB887" s="20"/>
      <c r="BC887" s="19"/>
      <c r="BE887" s="19"/>
      <c r="BF887" s="19"/>
      <c r="BG887" s="19"/>
      <c r="BH887" s="19"/>
      <c r="BI887" s="19"/>
      <c r="BJ887" s="19"/>
      <c r="BK887" s="19"/>
      <c r="BL887" s="19"/>
    </row>
    <row r="888" spans="2:64" ht="14" x14ac:dyDescent="0.2">
      <c r="B888" s="1"/>
      <c r="C888" s="1"/>
      <c r="D888" s="1"/>
      <c r="E888" s="1"/>
      <c r="H888" s="18"/>
      <c r="I888" s="18"/>
      <c r="J888" s="18"/>
      <c r="L888" s="6"/>
      <c r="AF888" s="19"/>
      <c r="AG888" s="19"/>
      <c r="AH888" s="20"/>
      <c r="AI888" s="19"/>
      <c r="AK888" s="19"/>
      <c r="AL888" s="19"/>
      <c r="AM888" s="19"/>
      <c r="AN888" s="19"/>
      <c r="AO888" s="19"/>
      <c r="AZ888" s="19"/>
      <c r="BA888" s="19"/>
      <c r="BB888" s="20"/>
      <c r="BC888" s="19"/>
      <c r="BE888" s="19"/>
      <c r="BF888" s="19"/>
      <c r="BG888" s="19"/>
      <c r="BH888" s="19"/>
      <c r="BI888" s="19"/>
      <c r="BJ888" s="19"/>
      <c r="BK888" s="19"/>
      <c r="BL888" s="19"/>
    </row>
    <row r="889" spans="2:64" ht="14" x14ac:dyDescent="0.2">
      <c r="B889" s="1"/>
      <c r="C889" s="1"/>
      <c r="D889" s="1"/>
      <c r="E889" s="1"/>
      <c r="H889" s="18"/>
      <c r="I889" s="18"/>
      <c r="J889" s="18"/>
      <c r="L889" s="6"/>
      <c r="AF889" s="19"/>
      <c r="AG889" s="19"/>
      <c r="AH889" s="20"/>
      <c r="AI889" s="19"/>
      <c r="AK889" s="19"/>
      <c r="AL889" s="19"/>
      <c r="AM889" s="19"/>
      <c r="AN889" s="19"/>
      <c r="AO889" s="19"/>
      <c r="AZ889" s="19"/>
      <c r="BA889" s="19"/>
      <c r="BB889" s="20"/>
      <c r="BC889" s="19"/>
      <c r="BE889" s="19"/>
      <c r="BF889" s="19"/>
      <c r="BG889" s="19"/>
      <c r="BH889" s="19"/>
      <c r="BI889" s="19"/>
      <c r="BJ889" s="19"/>
      <c r="BK889" s="19"/>
      <c r="BL889" s="19"/>
    </row>
    <row r="890" spans="2:64" ht="14" x14ac:dyDescent="0.2">
      <c r="B890" s="1"/>
      <c r="C890" s="1"/>
      <c r="D890" s="1"/>
      <c r="E890" s="1"/>
      <c r="H890" s="18"/>
      <c r="I890" s="18"/>
      <c r="J890" s="18"/>
      <c r="L890" s="6"/>
      <c r="AF890" s="19"/>
      <c r="AG890" s="19"/>
      <c r="AH890" s="20"/>
      <c r="AI890" s="19"/>
      <c r="AK890" s="19"/>
      <c r="AL890" s="19"/>
      <c r="AM890" s="19"/>
      <c r="AN890" s="19"/>
      <c r="AO890" s="19"/>
      <c r="AZ890" s="19"/>
      <c r="BA890" s="19"/>
      <c r="BB890" s="20"/>
      <c r="BC890" s="19"/>
      <c r="BE890" s="19"/>
      <c r="BF890" s="19"/>
      <c r="BG890" s="19"/>
      <c r="BH890" s="19"/>
      <c r="BI890" s="19"/>
      <c r="BJ890" s="19"/>
      <c r="BK890" s="19"/>
      <c r="BL890" s="19"/>
    </row>
    <row r="891" spans="2:64" ht="14" x14ac:dyDescent="0.2">
      <c r="B891" s="1"/>
      <c r="C891" s="1"/>
      <c r="D891" s="1"/>
      <c r="E891" s="1"/>
      <c r="H891" s="18"/>
      <c r="I891" s="18"/>
      <c r="J891" s="18"/>
      <c r="L891" s="6"/>
      <c r="AF891" s="19"/>
      <c r="AG891" s="19"/>
      <c r="AH891" s="20"/>
      <c r="AI891" s="19"/>
      <c r="AK891" s="19"/>
      <c r="AL891" s="19"/>
      <c r="AM891" s="19"/>
      <c r="AN891" s="19"/>
      <c r="AO891" s="19"/>
      <c r="AZ891" s="19"/>
      <c r="BA891" s="19"/>
      <c r="BB891" s="20"/>
      <c r="BC891" s="19"/>
      <c r="BE891" s="19"/>
      <c r="BF891" s="19"/>
      <c r="BG891" s="19"/>
      <c r="BH891" s="19"/>
      <c r="BI891" s="19"/>
      <c r="BJ891" s="19"/>
      <c r="BK891" s="19"/>
      <c r="BL891" s="19"/>
    </row>
    <row r="892" spans="2:64" ht="14" x14ac:dyDescent="0.2">
      <c r="B892" s="1"/>
      <c r="C892" s="1"/>
      <c r="D892" s="1"/>
      <c r="E892" s="1"/>
      <c r="H892" s="18"/>
      <c r="I892" s="18"/>
      <c r="J892" s="18"/>
      <c r="L892" s="6"/>
      <c r="AF892" s="19"/>
      <c r="AG892" s="19"/>
      <c r="AH892" s="20"/>
      <c r="AI892" s="19"/>
      <c r="AK892" s="19"/>
      <c r="AL892" s="19"/>
      <c r="AM892" s="19"/>
      <c r="AN892" s="19"/>
      <c r="AO892" s="19"/>
      <c r="AZ892" s="19"/>
      <c r="BA892" s="19"/>
      <c r="BB892" s="20"/>
      <c r="BC892" s="19"/>
      <c r="BE892" s="19"/>
      <c r="BF892" s="19"/>
      <c r="BG892" s="19"/>
      <c r="BH892" s="19"/>
      <c r="BI892" s="19"/>
      <c r="BJ892" s="19"/>
      <c r="BK892" s="19"/>
      <c r="BL892" s="19"/>
    </row>
    <row r="893" spans="2:64" ht="14" x14ac:dyDescent="0.2">
      <c r="B893" s="1"/>
      <c r="C893" s="1"/>
      <c r="D893" s="1"/>
      <c r="E893" s="1"/>
      <c r="H893" s="18"/>
      <c r="I893" s="18"/>
      <c r="J893" s="18"/>
      <c r="L893" s="6"/>
      <c r="AF893" s="19"/>
      <c r="AG893" s="19"/>
      <c r="AH893" s="20"/>
      <c r="AI893" s="19"/>
      <c r="AK893" s="19"/>
      <c r="AL893" s="19"/>
      <c r="AM893" s="19"/>
      <c r="AN893" s="19"/>
      <c r="AO893" s="19"/>
      <c r="AZ893" s="19"/>
      <c r="BA893" s="19"/>
      <c r="BB893" s="20"/>
      <c r="BC893" s="19"/>
      <c r="BE893" s="19"/>
      <c r="BF893" s="19"/>
      <c r="BG893" s="19"/>
      <c r="BH893" s="19"/>
      <c r="BI893" s="19"/>
      <c r="BJ893" s="19"/>
      <c r="BK893" s="19"/>
      <c r="BL893" s="19"/>
    </row>
    <row r="894" spans="2:64" ht="14" x14ac:dyDescent="0.2">
      <c r="B894" s="1"/>
      <c r="C894" s="1"/>
      <c r="D894" s="1"/>
      <c r="E894" s="1"/>
      <c r="H894" s="18"/>
      <c r="I894" s="18"/>
      <c r="J894" s="18"/>
      <c r="L894" s="6"/>
      <c r="AF894" s="19"/>
      <c r="AG894" s="19"/>
      <c r="AH894" s="20"/>
      <c r="AI894" s="19"/>
      <c r="AK894" s="19"/>
      <c r="AL894" s="19"/>
      <c r="AM894" s="19"/>
      <c r="AN894" s="19"/>
      <c r="AO894" s="19"/>
      <c r="AZ894" s="19"/>
      <c r="BA894" s="19"/>
      <c r="BB894" s="20"/>
      <c r="BC894" s="19"/>
      <c r="BE894" s="19"/>
      <c r="BF894" s="19"/>
      <c r="BG894" s="19"/>
      <c r="BH894" s="19"/>
      <c r="BI894" s="19"/>
      <c r="BJ894" s="19"/>
      <c r="BK894" s="19"/>
      <c r="BL894" s="19"/>
    </row>
    <row r="895" spans="2:64" ht="14" x14ac:dyDescent="0.2">
      <c r="B895" s="1"/>
      <c r="C895" s="1"/>
      <c r="D895" s="1"/>
      <c r="E895" s="1"/>
      <c r="H895" s="18"/>
      <c r="I895" s="18"/>
      <c r="J895" s="18"/>
      <c r="L895" s="6"/>
      <c r="AF895" s="19"/>
      <c r="AG895" s="19"/>
      <c r="AH895" s="20"/>
      <c r="AI895" s="19"/>
      <c r="AK895" s="19"/>
      <c r="AL895" s="19"/>
      <c r="AM895" s="19"/>
      <c r="AN895" s="19"/>
      <c r="AO895" s="19"/>
      <c r="AZ895" s="19"/>
      <c r="BA895" s="19"/>
      <c r="BB895" s="20"/>
      <c r="BC895" s="19"/>
      <c r="BE895" s="19"/>
      <c r="BF895" s="19"/>
      <c r="BG895" s="19"/>
      <c r="BH895" s="19"/>
      <c r="BI895" s="19"/>
      <c r="BJ895" s="19"/>
      <c r="BK895" s="19"/>
      <c r="BL895" s="19"/>
    </row>
    <row r="896" spans="2:64" ht="14" x14ac:dyDescent="0.2">
      <c r="B896" s="1"/>
      <c r="C896" s="1"/>
      <c r="D896" s="1"/>
      <c r="E896" s="1"/>
      <c r="H896" s="18"/>
      <c r="I896" s="18"/>
      <c r="J896" s="18"/>
      <c r="L896" s="6"/>
      <c r="AF896" s="19"/>
      <c r="AG896" s="19"/>
      <c r="AH896" s="20"/>
      <c r="AI896" s="19"/>
      <c r="AK896" s="19"/>
      <c r="AL896" s="19"/>
      <c r="AM896" s="19"/>
      <c r="AN896" s="19"/>
      <c r="AO896" s="19"/>
      <c r="AZ896" s="19"/>
      <c r="BA896" s="19"/>
      <c r="BB896" s="20"/>
      <c r="BC896" s="19"/>
      <c r="BE896" s="19"/>
      <c r="BF896" s="19"/>
      <c r="BG896" s="19"/>
      <c r="BH896" s="19"/>
      <c r="BI896" s="19"/>
      <c r="BJ896" s="19"/>
      <c r="BK896" s="19"/>
      <c r="BL896" s="19"/>
    </row>
    <row r="897" spans="2:64" ht="14" x14ac:dyDescent="0.2">
      <c r="B897" s="1"/>
      <c r="C897" s="1"/>
      <c r="D897" s="1"/>
      <c r="E897" s="1"/>
      <c r="H897" s="18"/>
      <c r="I897" s="18"/>
      <c r="J897" s="18"/>
      <c r="L897" s="6"/>
      <c r="AF897" s="19"/>
      <c r="AG897" s="19"/>
      <c r="AH897" s="20"/>
      <c r="AI897" s="19"/>
      <c r="AK897" s="19"/>
      <c r="AL897" s="19"/>
      <c r="AM897" s="19"/>
      <c r="AN897" s="19"/>
      <c r="AO897" s="19"/>
      <c r="AZ897" s="19"/>
      <c r="BA897" s="19"/>
      <c r="BB897" s="20"/>
      <c r="BC897" s="19"/>
      <c r="BE897" s="19"/>
      <c r="BF897" s="19"/>
      <c r="BG897" s="19"/>
      <c r="BH897" s="19"/>
      <c r="BI897" s="19"/>
      <c r="BJ897" s="19"/>
      <c r="BK897" s="19"/>
      <c r="BL897" s="19"/>
    </row>
    <row r="898" spans="2:64" ht="14" x14ac:dyDescent="0.2">
      <c r="B898" s="1"/>
      <c r="C898" s="1"/>
      <c r="D898" s="1"/>
      <c r="E898" s="1"/>
      <c r="H898" s="18"/>
      <c r="I898" s="18"/>
      <c r="J898" s="18"/>
      <c r="L898" s="6"/>
      <c r="AF898" s="19"/>
      <c r="AG898" s="19"/>
      <c r="AH898" s="20"/>
      <c r="AI898" s="19"/>
      <c r="AK898" s="19"/>
      <c r="AL898" s="19"/>
      <c r="AM898" s="19"/>
      <c r="AN898" s="19"/>
      <c r="AO898" s="19"/>
      <c r="AZ898" s="19"/>
      <c r="BA898" s="19"/>
      <c r="BB898" s="20"/>
      <c r="BC898" s="19"/>
      <c r="BE898" s="19"/>
      <c r="BF898" s="19"/>
      <c r="BG898" s="19"/>
      <c r="BH898" s="19"/>
      <c r="BI898" s="19"/>
      <c r="BJ898" s="19"/>
      <c r="BK898" s="19"/>
      <c r="BL898" s="19"/>
    </row>
    <row r="899" spans="2:64" ht="14" x14ac:dyDescent="0.2">
      <c r="B899" s="1"/>
      <c r="C899" s="1"/>
      <c r="D899" s="1"/>
      <c r="E899" s="1"/>
      <c r="H899" s="18"/>
      <c r="I899" s="18"/>
      <c r="J899" s="18"/>
      <c r="L899" s="6"/>
      <c r="AF899" s="19"/>
      <c r="AG899" s="19"/>
      <c r="AH899" s="20"/>
      <c r="AI899" s="19"/>
      <c r="AK899" s="19"/>
      <c r="AL899" s="19"/>
      <c r="AM899" s="19"/>
      <c r="AN899" s="19"/>
      <c r="AO899" s="19"/>
      <c r="AZ899" s="19"/>
      <c r="BA899" s="19"/>
      <c r="BB899" s="20"/>
      <c r="BC899" s="19"/>
      <c r="BE899" s="19"/>
      <c r="BF899" s="19"/>
      <c r="BG899" s="19"/>
      <c r="BH899" s="19"/>
      <c r="BI899" s="19"/>
      <c r="BJ899" s="19"/>
      <c r="BK899" s="19"/>
      <c r="BL899" s="19"/>
    </row>
    <row r="900" spans="2:64" ht="14" x14ac:dyDescent="0.2">
      <c r="B900" s="1"/>
      <c r="C900" s="1"/>
      <c r="D900" s="1"/>
      <c r="E900" s="1"/>
      <c r="H900" s="18"/>
      <c r="I900" s="18"/>
      <c r="J900" s="18"/>
      <c r="L900" s="6"/>
      <c r="AF900" s="19"/>
      <c r="AG900" s="19"/>
      <c r="AH900" s="20"/>
      <c r="AI900" s="19"/>
      <c r="AK900" s="19"/>
      <c r="AL900" s="19"/>
      <c r="AM900" s="19"/>
      <c r="AN900" s="19"/>
      <c r="AO900" s="19"/>
      <c r="AZ900" s="19"/>
      <c r="BA900" s="19"/>
      <c r="BB900" s="20"/>
      <c r="BC900" s="19"/>
      <c r="BE900" s="19"/>
      <c r="BF900" s="19"/>
      <c r="BG900" s="19"/>
      <c r="BH900" s="19"/>
      <c r="BI900" s="19"/>
      <c r="BJ900" s="19"/>
      <c r="BK900" s="19"/>
      <c r="BL900" s="19"/>
    </row>
    <row r="901" spans="2:64" ht="14" x14ac:dyDescent="0.2">
      <c r="B901" s="1"/>
      <c r="C901" s="1"/>
      <c r="D901" s="1"/>
      <c r="E901" s="1"/>
      <c r="H901" s="18"/>
      <c r="I901" s="18"/>
      <c r="J901" s="18"/>
      <c r="L901" s="6"/>
      <c r="AF901" s="19"/>
      <c r="AG901" s="19"/>
      <c r="AH901" s="20"/>
      <c r="AI901" s="19"/>
      <c r="AK901" s="19"/>
      <c r="AL901" s="19"/>
      <c r="AM901" s="19"/>
      <c r="AN901" s="19"/>
      <c r="AO901" s="19"/>
      <c r="AZ901" s="19"/>
      <c r="BA901" s="19"/>
      <c r="BB901" s="20"/>
      <c r="BC901" s="19"/>
      <c r="BE901" s="19"/>
      <c r="BF901" s="19"/>
      <c r="BG901" s="19"/>
      <c r="BH901" s="19"/>
      <c r="BI901" s="19"/>
      <c r="BJ901" s="19"/>
      <c r="BK901" s="19"/>
      <c r="BL901" s="19"/>
    </row>
    <row r="902" spans="2:64" ht="14" x14ac:dyDescent="0.2">
      <c r="B902" s="1"/>
      <c r="C902" s="1"/>
      <c r="D902" s="1"/>
      <c r="E902" s="1"/>
      <c r="H902" s="18"/>
      <c r="I902" s="18"/>
      <c r="J902" s="18"/>
      <c r="L902" s="6"/>
      <c r="AF902" s="19"/>
      <c r="AG902" s="19"/>
      <c r="AH902" s="20"/>
      <c r="AI902" s="19"/>
      <c r="AK902" s="19"/>
      <c r="AL902" s="19"/>
      <c r="AM902" s="19"/>
      <c r="AN902" s="19"/>
      <c r="AO902" s="19"/>
      <c r="AZ902" s="19"/>
      <c r="BA902" s="19"/>
      <c r="BB902" s="20"/>
      <c r="BC902" s="19"/>
      <c r="BE902" s="19"/>
      <c r="BF902" s="19"/>
      <c r="BG902" s="19"/>
      <c r="BH902" s="19"/>
      <c r="BI902" s="19"/>
      <c r="BJ902" s="19"/>
      <c r="BK902" s="19"/>
      <c r="BL902" s="19"/>
    </row>
    <row r="903" spans="2:64" ht="14" x14ac:dyDescent="0.2">
      <c r="B903" s="1"/>
      <c r="C903" s="1"/>
      <c r="D903" s="1"/>
      <c r="E903" s="1"/>
      <c r="H903" s="18"/>
      <c r="I903" s="18"/>
      <c r="J903" s="18"/>
      <c r="L903" s="6"/>
      <c r="AF903" s="19"/>
      <c r="AG903" s="19"/>
      <c r="AH903" s="20"/>
      <c r="AI903" s="19"/>
      <c r="AK903" s="19"/>
      <c r="AL903" s="19"/>
      <c r="AM903" s="19"/>
      <c r="AN903" s="19"/>
      <c r="AO903" s="19"/>
      <c r="AZ903" s="19"/>
      <c r="BA903" s="19"/>
      <c r="BB903" s="20"/>
      <c r="BC903" s="19"/>
      <c r="BE903" s="19"/>
      <c r="BF903" s="19"/>
      <c r="BG903" s="19"/>
      <c r="BH903" s="19"/>
      <c r="BI903" s="19"/>
      <c r="BJ903" s="19"/>
      <c r="BK903" s="19"/>
      <c r="BL903" s="19"/>
    </row>
    <row r="904" spans="2:64" ht="14" x14ac:dyDescent="0.2">
      <c r="B904" s="1"/>
      <c r="C904" s="1"/>
      <c r="D904" s="1"/>
      <c r="E904" s="1"/>
      <c r="H904" s="18"/>
      <c r="I904" s="18"/>
      <c r="J904" s="18"/>
      <c r="L904" s="6"/>
      <c r="AF904" s="19"/>
      <c r="AG904" s="19"/>
      <c r="AH904" s="20"/>
      <c r="AI904" s="19"/>
      <c r="AK904" s="19"/>
      <c r="AL904" s="19"/>
      <c r="AM904" s="19"/>
      <c r="AN904" s="19"/>
      <c r="AO904" s="19"/>
      <c r="AZ904" s="19"/>
      <c r="BA904" s="19"/>
      <c r="BB904" s="20"/>
      <c r="BC904" s="19"/>
      <c r="BE904" s="19"/>
      <c r="BF904" s="19"/>
      <c r="BG904" s="19"/>
      <c r="BH904" s="19"/>
      <c r="BI904" s="19"/>
      <c r="BJ904" s="19"/>
      <c r="BK904" s="19"/>
      <c r="BL904" s="19"/>
    </row>
    <row r="905" spans="2:64" ht="14" x14ac:dyDescent="0.2">
      <c r="B905" s="1"/>
      <c r="C905" s="1"/>
      <c r="D905" s="1"/>
      <c r="E905" s="1"/>
      <c r="H905" s="18"/>
      <c r="I905" s="18"/>
      <c r="J905" s="18"/>
      <c r="L905" s="6"/>
      <c r="AF905" s="19"/>
      <c r="AG905" s="19"/>
      <c r="AH905" s="20"/>
      <c r="AI905" s="19"/>
      <c r="AK905" s="19"/>
      <c r="AL905" s="19"/>
      <c r="AM905" s="19"/>
      <c r="AN905" s="19"/>
      <c r="AO905" s="19"/>
      <c r="AZ905" s="19"/>
      <c r="BA905" s="19"/>
      <c r="BB905" s="20"/>
      <c r="BC905" s="19"/>
      <c r="BE905" s="19"/>
      <c r="BF905" s="19"/>
      <c r="BG905" s="19"/>
      <c r="BH905" s="19"/>
      <c r="BI905" s="19"/>
      <c r="BJ905" s="19"/>
      <c r="BK905" s="19"/>
      <c r="BL905" s="19"/>
    </row>
    <row r="906" spans="2:64" ht="14" x14ac:dyDescent="0.2">
      <c r="B906" s="1"/>
      <c r="C906" s="1"/>
      <c r="D906" s="1"/>
      <c r="E906" s="1"/>
      <c r="H906" s="18"/>
      <c r="I906" s="18"/>
      <c r="J906" s="18"/>
      <c r="L906" s="6"/>
      <c r="AF906" s="19"/>
      <c r="AG906" s="19"/>
      <c r="AH906" s="20"/>
      <c r="AI906" s="19"/>
      <c r="AK906" s="19"/>
      <c r="AL906" s="19"/>
      <c r="AM906" s="19"/>
      <c r="AN906" s="19"/>
      <c r="AO906" s="19"/>
      <c r="AZ906" s="19"/>
      <c r="BA906" s="19"/>
      <c r="BB906" s="20"/>
      <c r="BC906" s="19"/>
      <c r="BE906" s="19"/>
      <c r="BF906" s="19"/>
      <c r="BG906" s="19"/>
      <c r="BH906" s="19"/>
      <c r="BI906" s="19"/>
      <c r="BJ906" s="19"/>
      <c r="BK906" s="19"/>
      <c r="BL906" s="19"/>
    </row>
    <row r="907" spans="2:64" ht="14" x14ac:dyDescent="0.2">
      <c r="B907" s="1"/>
      <c r="C907" s="1"/>
      <c r="D907" s="1"/>
      <c r="E907" s="1"/>
      <c r="H907" s="18"/>
      <c r="I907" s="18"/>
      <c r="J907" s="18"/>
      <c r="L907" s="6"/>
      <c r="AF907" s="19"/>
      <c r="AG907" s="19"/>
      <c r="AH907" s="20"/>
      <c r="AI907" s="19"/>
      <c r="AK907" s="19"/>
      <c r="AL907" s="19"/>
      <c r="AM907" s="19"/>
      <c r="AN907" s="19"/>
      <c r="AO907" s="19"/>
      <c r="AZ907" s="19"/>
      <c r="BA907" s="19"/>
      <c r="BB907" s="20"/>
      <c r="BC907" s="19"/>
      <c r="BE907" s="19"/>
      <c r="BF907" s="19"/>
      <c r="BG907" s="19"/>
      <c r="BH907" s="19"/>
      <c r="BI907" s="19"/>
      <c r="BJ907" s="19"/>
      <c r="BK907" s="19"/>
      <c r="BL907" s="19"/>
    </row>
    <row r="908" spans="2:64" ht="14" x14ac:dyDescent="0.2">
      <c r="B908" s="1"/>
      <c r="C908" s="1"/>
      <c r="D908" s="1"/>
      <c r="E908" s="1"/>
      <c r="H908" s="18"/>
      <c r="I908" s="18"/>
      <c r="J908" s="18"/>
      <c r="L908" s="6"/>
      <c r="AF908" s="19"/>
      <c r="AG908" s="19"/>
      <c r="AH908" s="20"/>
      <c r="AI908" s="19"/>
      <c r="AK908" s="19"/>
      <c r="AL908" s="19"/>
      <c r="AM908" s="19"/>
      <c r="AN908" s="19"/>
      <c r="AO908" s="19"/>
      <c r="AZ908" s="19"/>
      <c r="BA908" s="19"/>
      <c r="BB908" s="20"/>
      <c r="BC908" s="19"/>
      <c r="BE908" s="19"/>
      <c r="BF908" s="19"/>
      <c r="BG908" s="19"/>
      <c r="BH908" s="19"/>
      <c r="BI908" s="19"/>
      <c r="BJ908" s="19"/>
      <c r="BK908" s="19"/>
      <c r="BL908" s="19"/>
    </row>
    <row r="909" spans="2:64" ht="14" x14ac:dyDescent="0.2">
      <c r="B909" s="1"/>
      <c r="C909" s="1"/>
      <c r="D909" s="1"/>
      <c r="E909" s="1"/>
      <c r="H909" s="18"/>
      <c r="I909" s="18"/>
      <c r="J909" s="18"/>
      <c r="L909" s="6"/>
      <c r="AF909" s="19"/>
      <c r="AG909" s="19"/>
      <c r="AH909" s="20"/>
      <c r="AI909" s="19"/>
      <c r="AK909" s="19"/>
      <c r="AL909" s="19"/>
      <c r="AM909" s="19"/>
      <c r="AN909" s="19"/>
      <c r="AO909" s="19"/>
      <c r="AZ909" s="19"/>
      <c r="BA909" s="19"/>
      <c r="BB909" s="20"/>
      <c r="BC909" s="19"/>
      <c r="BE909" s="19"/>
      <c r="BF909" s="19"/>
      <c r="BG909" s="19"/>
      <c r="BH909" s="19"/>
      <c r="BI909" s="19"/>
      <c r="BJ909" s="19"/>
      <c r="BK909" s="19"/>
      <c r="BL909" s="19"/>
    </row>
    <row r="910" spans="2:64" ht="14" x14ac:dyDescent="0.2">
      <c r="B910" s="1"/>
      <c r="C910" s="1"/>
      <c r="D910" s="1"/>
      <c r="E910" s="1"/>
      <c r="H910" s="18"/>
      <c r="I910" s="18"/>
      <c r="J910" s="18"/>
      <c r="L910" s="6"/>
      <c r="AF910" s="19"/>
      <c r="AG910" s="19"/>
      <c r="AH910" s="20"/>
      <c r="AI910" s="19"/>
      <c r="AK910" s="19"/>
      <c r="AL910" s="19"/>
      <c r="AM910" s="19"/>
      <c r="AN910" s="19"/>
      <c r="AO910" s="19"/>
      <c r="AZ910" s="19"/>
      <c r="BA910" s="19"/>
      <c r="BB910" s="20"/>
      <c r="BC910" s="19"/>
      <c r="BE910" s="19"/>
      <c r="BF910" s="19"/>
      <c r="BG910" s="19"/>
      <c r="BH910" s="19"/>
      <c r="BI910" s="19"/>
      <c r="BJ910" s="19"/>
      <c r="BK910" s="19"/>
      <c r="BL910" s="19"/>
    </row>
    <row r="911" spans="2:64" ht="14" x14ac:dyDescent="0.2">
      <c r="B911" s="1"/>
      <c r="C911" s="1"/>
      <c r="D911" s="1"/>
      <c r="E911" s="1"/>
      <c r="H911" s="18"/>
      <c r="I911" s="18"/>
      <c r="J911" s="18"/>
      <c r="L911" s="6"/>
      <c r="AF911" s="19"/>
      <c r="AG911" s="19"/>
      <c r="AH911" s="20"/>
      <c r="AI911" s="19"/>
      <c r="AK911" s="19"/>
      <c r="AL911" s="19"/>
      <c r="AM911" s="19"/>
      <c r="AN911" s="19"/>
      <c r="AO911" s="19"/>
      <c r="AZ911" s="19"/>
      <c r="BA911" s="19"/>
      <c r="BB911" s="20"/>
      <c r="BC911" s="19"/>
      <c r="BE911" s="19"/>
      <c r="BF911" s="19"/>
      <c r="BG911" s="19"/>
      <c r="BH911" s="19"/>
      <c r="BI911" s="19"/>
      <c r="BJ911" s="19"/>
      <c r="BK911" s="19"/>
      <c r="BL911" s="19"/>
    </row>
    <row r="912" spans="2:64" ht="14" x14ac:dyDescent="0.2">
      <c r="B912" s="1"/>
      <c r="C912" s="1"/>
      <c r="D912" s="1"/>
      <c r="E912" s="1"/>
      <c r="H912" s="18"/>
      <c r="I912" s="18"/>
      <c r="J912" s="18"/>
      <c r="L912" s="6"/>
      <c r="AF912" s="19"/>
      <c r="AG912" s="19"/>
      <c r="AH912" s="20"/>
      <c r="AI912" s="19"/>
      <c r="AK912" s="19"/>
      <c r="AL912" s="19"/>
      <c r="AM912" s="19"/>
      <c r="AN912" s="19"/>
      <c r="AO912" s="19"/>
      <c r="AZ912" s="19"/>
      <c r="BA912" s="19"/>
      <c r="BB912" s="20"/>
      <c r="BC912" s="19"/>
      <c r="BE912" s="19"/>
      <c r="BF912" s="19"/>
      <c r="BG912" s="19"/>
      <c r="BH912" s="19"/>
      <c r="BI912" s="19"/>
      <c r="BJ912" s="19"/>
      <c r="BK912" s="19"/>
      <c r="BL912" s="19"/>
    </row>
    <row r="913" spans="2:64" ht="14" x14ac:dyDescent="0.2">
      <c r="B913" s="1"/>
      <c r="C913" s="1"/>
      <c r="D913" s="1"/>
      <c r="E913" s="1"/>
      <c r="H913" s="18"/>
      <c r="I913" s="18"/>
      <c r="J913" s="18"/>
      <c r="L913" s="6"/>
      <c r="AF913" s="19"/>
      <c r="AG913" s="19"/>
      <c r="AH913" s="20"/>
      <c r="AI913" s="19"/>
      <c r="AK913" s="19"/>
      <c r="AL913" s="19"/>
      <c r="AM913" s="19"/>
      <c r="AN913" s="19"/>
      <c r="AO913" s="19"/>
      <c r="AZ913" s="19"/>
      <c r="BA913" s="19"/>
      <c r="BB913" s="20"/>
      <c r="BC913" s="19"/>
      <c r="BE913" s="19"/>
      <c r="BF913" s="19"/>
      <c r="BG913" s="19"/>
      <c r="BH913" s="19"/>
      <c r="BI913" s="19"/>
      <c r="BJ913" s="19"/>
      <c r="BK913" s="19"/>
      <c r="BL913" s="19"/>
    </row>
    <row r="914" spans="2:64" ht="14" x14ac:dyDescent="0.2">
      <c r="B914" s="1"/>
      <c r="C914" s="1"/>
      <c r="D914" s="1"/>
      <c r="E914" s="1"/>
      <c r="H914" s="18"/>
      <c r="I914" s="18"/>
      <c r="J914" s="18"/>
      <c r="L914" s="6"/>
      <c r="AF914" s="19"/>
      <c r="AG914" s="19"/>
      <c r="AH914" s="20"/>
      <c r="AI914" s="19"/>
      <c r="AK914" s="19"/>
      <c r="AL914" s="19"/>
      <c r="AM914" s="19"/>
      <c r="AN914" s="19"/>
      <c r="AO914" s="19"/>
      <c r="AZ914" s="19"/>
      <c r="BA914" s="19"/>
      <c r="BB914" s="20"/>
      <c r="BC914" s="19"/>
      <c r="BE914" s="19"/>
      <c r="BF914" s="19"/>
      <c r="BG914" s="19"/>
      <c r="BH914" s="19"/>
      <c r="BI914" s="19"/>
      <c r="BJ914" s="19"/>
      <c r="BK914" s="19"/>
      <c r="BL914" s="19"/>
    </row>
    <row r="915" spans="2:64" ht="14" x14ac:dyDescent="0.2">
      <c r="B915" s="1"/>
      <c r="C915" s="1"/>
      <c r="D915" s="1"/>
      <c r="E915" s="1"/>
      <c r="H915" s="18"/>
      <c r="I915" s="18"/>
      <c r="J915" s="18"/>
      <c r="L915" s="6"/>
      <c r="AF915" s="19"/>
      <c r="AG915" s="19"/>
      <c r="AH915" s="20"/>
      <c r="AI915" s="19"/>
      <c r="AK915" s="19"/>
      <c r="AL915" s="19"/>
      <c r="AM915" s="19"/>
      <c r="AN915" s="19"/>
      <c r="AO915" s="19"/>
      <c r="AZ915" s="19"/>
      <c r="BA915" s="19"/>
      <c r="BB915" s="20"/>
      <c r="BC915" s="19"/>
      <c r="BE915" s="19"/>
      <c r="BF915" s="19"/>
      <c r="BG915" s="19"/>
      <c r="BH915" s="19"/>
      <c r="BI915" s="19"/>
      <c r="BJ915" s="19"/>
      <c r="BK915" s="19"/>
      <c r="BL915" s="19"/>
    </row>
    <row r="916" spans="2:64" ht="14" x14ac:dyDescent="0.2">
      <c r="B916" s="1"/>
      <c r="C916" s="1"/>
      <c r="D916" s="1"/>
      <c r="E916" s="1"/>
      <c r="H916" s="18"/>
      <c r="I916" s="18"/>
      <c r="J916" s="18"/>
      <c r="L916" s="6"/>
      <c r="AF916" s="19"/>
      <c r="AG916" s="19"/>
      <c r="AH916" s="20"/>
      <c r="AI916" s="19"/>
      <c r="AK916" s="19"/>
      <c r="AL916" s="19"/>
      <c r="AM916" s="19"/>
      <c r="AN916" s="19"/>
      <c r="AO916" s="19"/>
      <c r="AZ916" s="19"/>
      <c r="BA916" s="19"/>
      <c r="BB916" s="20"/>
      <c r="BC916" s="19"/>
      <c r="BE916" s="19"/>
      <c r="BF916" s="19"/>
      <c r="BG916" s="19"/>
      <c r="BH916" s="19"/>
      <c r="BI916" s="19"/>
      <c r="BJ916" s="19"/>
      <c r="BK916" s="19"/>
      <c r="BL916" s="19"/>
    </row>
    <row r="917" spans="2:64" ht="14" x14ac:dyDescent="0.2">
      <c r="B917" s="1"/>
      <c r="C917" s="1"/>
      <c r="D917" s="1"/>
      <c r="E917" s="1"/>
      <c r="H917" s="18"/>
      <c r="I917" s="18"/>
      <c r="J917" s="18"/>
      <c r="L917" s="6"/>
      <c r="AF917" s="19"/>
      <c r="AG917" s="19"/>
      <c r="AH917" s="20"/>
      <c r="AI917" s="19"/>
      <c r="AK917" s="19"/>
      <c r="AL917" s="19"/>
      <c r="AM917" s="19"/>
      <c r="AN917" s="19"/>
      <c r="AO917" s="19"/>
      <c r="AZ917" s="19"/>
      <c r="BA917" s="19"/>
      <c r="BB917" s="20"/>
      <c r="BC917" s="19"/>
      <c r="BE917" s="19"/>
      <c r="BF917" s="19"/>
      <c r="BG917" s="19"/>
      <c r="BH917" s="19"/>
      <c r="BI917" s="19"/>
      <c r="BJ917" s="19"/>
      <c r="BK917" s="19"/>
      <c r="BL917" s="19"/>
    </row>
    <row r="918" spans="2:64" ht="14" x14ac:dyDescent="0.2">
      <c r="B918" s="1"/>
      <c r="C918" s="1"/>
      <c r="D918" s="1"/>
      <c r="E918" s="1"/>
      <c r="H918" s="18"/>
      <c r="I918" s="18"/>
      <c r="J918" s="18"/>
      <c r="L918" s="6"/>
      <c r="AF918" s="19"/>
      <c r="AG918" s="19"/>
      <c r="AH918" s="20"/>
      <c r="AI918" s="19"/>
      <c r="AK918" s="19"/>
      <c r="AL918" s="19"/>
      <c r="AM918" s="19"/>
      <c r="AN918" s="19"/>
      <c r="AO918" s="19"/>
      <c r="AZ918" s="19"/>
      <c r="BA918" s="19"/>
      <c r="BB918" s="20"/>
      <c r="BC918" s="19"/>
      <c r="BE918" s="19"/>
      <c r="BF918" s="19"/>
      <c r="BG918" s="19"/>
      <c r="BH918" s="19"/>
      <c r="BI918" s="19"/>
      <c r="BJ918" s="19"/>
      <c r="BK918" s="19"/>
      <c r="BL918" s="19"/>
    </row>
    <row r="919" spans="2:64" ht="14" x14ac:dyDescent="0.2">
      <c r="B919" s="1"/>
      <c r="C919" s="1"/>
      <c r="D919" s="1"/>
      <c r="E919" s="1"/>
      <c r="H919" s="18"/>
      <c r="I919" s="18"/>
      <c r="J919" s="18"/>
      <c r="L919" s="6"/>
      <c r="AF919" s="19"/>
      <c r="AG919" s="19"/>
      <c r="AH919" s="20"/>
      <c r="AI919" s="19"/>
      <c r="AK919" s="19"/>
      <c r="AL919" s="19"/>
      <c r="AM919" s="19"/>
      <c r="AN919" s="19"/>
      <c r="AO919" s="19"/>
      <c r="AZ919" s="19"/>
      <c r="BA919" s="19"/>
      <c r="BB919" s="20"/>
      <c r="BC919" s="19"/>
      <c r="BE919" s="19"/>
      <c r="BF919" s="19"/>
      <c r="BG919" s="19"/>
      <c r="BH919" s="19"/>
      <c r="BI919" s="19"/>
      <c r="BJ919" s="19"/>
      <c r="BK919" s="19"/>
      <c r="BL919" s="19"/>
    </row>
    <row r="920" spans="2:64" ht="14" x14ac:dyDescent="0.2">
      <c r="B920" s="1"/>
      <c r="C920" s="1"/>
      <c r="D920" s="1"/>
      <c r="E920" s="1"/>
      <c r="H920" s="18"/>
      <c r="I920" s="18"/>
      <c r="J920" s="18"/>
      <c r="L920" s="6"/>
      <c r="AF920" s="19"/>
      <c r="AG920" s="19"/>
      <c r="AH920" s="20"/>
      <c r="AI920" s="19"/>
      <c r="AK920" s="19"/>
      <c r="AL920" s="19"/>
      <c r="AM920" s="19"/>
      <c r="AN920" s="19"/>
      <c r="AO920" s="19"/>
      <c r="AZ920" s="19"/>
      <c r="BA920" s="19"/>
      <c r="BB920" s="20"/>
      <c r="BC920" s="19"/>
      <c r="BE920" s="19"/>
      <c r="BF920" s="19"/>
      <c r="BG920" s="19"/>
      <c r="BH920" s="19"/>
      <c r="BI920" s="19"/>
      <c r="BJ920" s="19"/>
      <c r="BK920" s="19"/>
      <c r="BL920" s="19"/>
    </row>
    <row r="921" spans="2:64" ht="14" x14ac:dyDescent="0.2">
      <c r="B921" s="1"/>
      <c r="C921" s="1"/>
      <c r="D921" s="1"/>
      <c r="E921" s="1"/>
      <c r="H921" s="18"/>
      <c r="I921" s="18"/>
      <c r="J921" s="18"/>
      <c r="L921" s="6"/>
      <c r="AF921" s="19"/>
      <c r="AG921" s="19"/>
      <c r="AH921" s="20"/>
      <c r="AI921" s="19"/>
      <c r="AK921" s="19"/>
      <c r="AL921" s="19"/>
      <c r="AM921" s="19"/>
      <c r="AN921" s="19"/>
      <c r="AO921" s="19"/>
      <c r="AZ921" s="19"/>
      <c r="BA921" s="19"/>
      <c r="BB921" s="20"/>
      <c r="BC921" s="19"/>
      <c r="BE921" s="19"/>
      <c r="BF921" s="19"/>
      <c r="BG921" s="19"/>
      <c r="BH921" s="19"/>
      <c r="BI921" s="19"/>
      <c r="BJ921" s="19"/>
      <c r="BK921" s="19"/>
      <c r="BL921" s="19"/>
    </row>
    <row r="922" spans="2:64" ht="14" x14ac:dyDescent="0.2">
      <c r="B922" s="1"/>
      <c r="C922" s="1"/>
      <c r="D922" s="1"/>
      <c r="E922" s="1"/>
      <c r="H922" s="18"/>
      <c r="I922" s="18"/>
      <c r="J922" s="18"/>
      <c r="L922" s="6"/>
      <c r="AF922" s="19"/>
      <c r="AG922" s="19"/>
      <c r="AH922" s="20"/>
      <c r="AI922" s="19"/>
      <c r="AK922" s="19"/>
      <c r="AL922" s="19"/>
      <c r="AM922" s="19"/>
      <c r="AN922" s="19"/>
      <c r="AO922" s="19"/>
      <c r="AZ922" s="19"/>
      <c r="BA922" s="19"/>
      <c r="BB922" s="20"/>
      <c r="BC922" s="19"/>
      <c r="BE922" s="19"/>
      <c r="BF922" s="19"/>
      <c r="BG922" s="19"/>
      <c r="BH922" s="19"/>
      <c r="BI922" s="19"/>
      <c r="BJ922" s="19"/>
      <c r="BK922" s="19"/>
      <c r="BL922" s="19"/>
    </row>
    <row r="923" spans="2:64" ht="14" x14ac:dyDescent="0.2">
      <c r="B923" s="1"/>
      <c r="C923" s="1"/>
      <c r="D923" s="1"/>
      <c r="E923" s="1"/>
      <c r="H923" s="18"/>
      <c r="I923" s="18"/>
      <c r="J923" s="18"/>
      <c r="L923" s="6"/>
      <c r="AF923" s="19"/>
      <c r="AG923" s="19"/>
      <c r="AH923" s="20"/>
      <c r="AI923" s="19"/>
      <c r="AK923" s="19"/>
      <c r="AL923" s="19"/>
      <c r="AM923" s="19"/>
      <c r="AN923" s="19"/>
      <c r="AO923" s="19"/>
      <c r="AZ923" s="19"/>
      <c r="BA923" s="19"/>
      <c r="BB923" s="20"/>
      <c r="BC923" s="19"/>
      <c r="BE923" s="19"/>
      <c r="BF923" s="19"/>
      <c r="BG923" s="19"/>
      <c r="BH923" s="19"/>
      <c r="BI923" s="19"/>
      <c r="BJ923" s="19"/>
      <c r="BK923" s="19"/>
      <c r="BL923" s="19"/>
    </row>
    <row r="924" spans="2:64" ht="14" x14ac:dyDescent="0.2">
      <c r="B924" s="1"/>
      <c r="C924" s="1"/>
      <c r="D924" s="1"/>
      <c r="E924" s="1"/>
      <c r="H924" s="18"/>
      <c r="I924" s="18"/>
      <c r="J924" s="18"/>
      <c r="L924" s="6"/>
      <c r="AF924" s="19"/>
      <c r="AG924" s="19"/>
      <c r="AH924" s="20"/>
      <c r="AI924" s="19"/>
      <c r="AK924" s="19"/>
      <c r="AL924" s="19"/>
      <c r="AM924" s="19"/>
      <c r="AN924" s="19"/>
      <c r="AO924" s="19"/>
      <c r="AZ924" s="19"/>
      <c r="BA924" s="19"/>
      <c r="BB924" s="20"/>
      <c r="BC924" s="19"/>
      <c r="BE924" s="19"/>
      <c r="BF924" s="19"/>
      <c r="BG924" s="19"/>
      <c r="BH924" s="19"/>
      <c r="BI924" s="19"/>
      <c r="BJ924" s="19"/>
      <c r="BK924" s="19"/>
      <c r="BL924" s="19"/>
    </row>
    <row r="925" spans="2:64" ht="14" x14ac:dyDescent="0.2">
      <c r="B925" s="1"/>
      <c r="C925" s="1"/>
      <c r="D925" s="1"/>
      <c r="E925" s="1"/>
      <c r="H925" s="18"/>
      <c r="I925" s="18"/>
      <c r="J925" s="18"/>
      <c r="L925" s="6"/>
      <c r="AF925" s="19"/>
      <c r="AG925" s="19"/>
      <c r="AH925" s="20"/>
      <c r="AI925" s="19"/>
      <c r="AK925" s="19"/>
      <c r="AL925" s="19"/>
      <c r="AM925" s="19"/>
      <c r="AN925" s="19"/>
      <c r="AO925" s="19"/>
      <c r="AZ925" s="19"/>
      <c r="BA925" s="19"/>
      <c r="BB925" s="20"/>
      <c r="BC925" s="19"/>
      <c r="BE925" s="19"/>
      <c r="BF925" s="19"/>
      <c r="BG925" s="19"/>
      <c r="BH925" s="19"/>
      <c r="BI925" s="19"/>
      <c r="BJ925" s="19"/>
      <c r="BK925" s="19"/>
      <c r="BL925" s="19"/>
    </row>
    <row r="926" spans="2:64" ht="14" x14ac:dyDescent="0.2">
      <c r="B926" s="1"/>
      <c r="C926" s="1"/>
      <c r="D926" s="1"/>
      <c r="E926" s="1"/>
      <c r="H926" s="18"/>
      <c r="I926" s="18"/>
      <c r="J926" s="18"/>
      <c r="L926" s="6"/>
      <c r="AF926" s="19"/>
      <c r="AG926" s="19"/>
      <c r="AH926" s="20"/>
      <c r="AI926" s="19"/>
      <c r="AK926" s="19"/>
      <c r="AL926" s="19"/>
      <c r="AM926" s="19"/>
      <c r="AN926" s="19"/>
      <c r="AO926" s="19"/>
      <c r="AZ926" s="19"/>
      <c r="BA926" s="19"/>
      <c r="BB926" s="20"/>
      <c r="BC926" s="19"/>
      <c r="BE926" s="19"/>
      <c r="BF926" s="19"/>
      <c r="BG926" s="19"/>
      <c r="BH926" s="19"/>
      <c r="BI926" s="19"/>
      <c r="BJ926" s="19"/>
      <c r="BK926" s="19"/>
      <c r="BL926" s="19"/>
    </row>
    <row r="927" spans="2:64" ht="14" x14ac:dyDescent="0.2">
      <c r="B927" s="1"/>
      <c r="C927" s="1"/>
      <c r="D927" s="1"/>
      <c r="E927" s="1"/>
      <c r="H927" s="18"/>
      <c r="I927" s="18"/>
      <c r="J927" s="18"/>
      <c r="L927" s="6"/>
      <c r="AF927" s="19"/>
      <c r="AG927" s="19"/>
      <c r="AH927" s="20"/>
      <c r="AI927" s="19"/>
      <c r="AK927" s="19"/>
      <c r="AL927" s="19"/>
      <c r="AM927" s="19"/>
      <c r="AN927" s="19"/>
      <c r="AO927" s="19"/>
      <c r="AZ927" s="19"/>
      <c r="BA927" s="19"/>
      <c r="BB927" s="20"/>
      <c r="BC927" s="19"/>
      <c r="BE927" s="19"/>
      <c r="BF927" s="19"/>
      <c r="BG927" s="19"/>
      <c r="BH927" s="19"/>
      <c r="BI927" s="19"/>
      <c r="BJ927" s="19"/>
      <c r="BK927" s="19"/>
      <c r="BL927" s="19"/>
    </row>
    <row r="928" spans="2:64" ht="14" x14ac:dyDescent="0.2">
      <c r="B928" s="1"/>
      <c r="C928" s="1"/>
      <c r="D928" s="1"/>
      <c r="E928" s="1"/>
      <c r="H928" s="18"/>
      <c r="I928" s="18"/>
      <c r="J928" s="18"/>
      <c r="L928" s="6"/>
      <c r="AF928" s="19"/>
      <c r="AG928" s="19"/>
      <c r="AH928" s="20"/>
      <c r="AI928" s="19"/>
      <c r="AK928" s="19"/>
      <c r="AL928" s="19"/>
      <c r="AM928" s="19"/>
      <c r="AN928" s="19"/>
      <c r="AO928" s="19"/>
      <c r="AZ928" s="19"/>
      <c r="BA928" s="19"/>
      <c r="BB928" s="20"/>
      <c r="BC928" s="19"/>
      <c r="BE928" s="19"/>
      <c r="BF928" s="19"/>
      <c r="BG928" s="19"/>
      <c r="BH928" s="19"/>
      <c r="BI928" s="19"/>
      <c r="BJ928" s="19"/>
      <c r="BK928" s="19"/>
      <c r="BL928" s="19"/>
    </row>
    <row r="929" spans="2:64" ht="14" x14ac:dyDescent="0.2">
      <c r="B929" s="1"/>
      <c r="C929" s="1"/>
      <c r="D929" s="1"/>
      <c r="E929" s="1"/>
      <c r="H929" s="18"/>
      <c r="I929" s="18"/>
      <c r="J929" s="18"/>
      <c r="L929" s="6"/>
      <c r="AF929" s="19"/>
      <c r="AG929" s="19"/>
      <c r="AH929" s="20"/>
      <c r="AI929" s="19"/>
      <c r="AK929" s="19"/>
      <c r="AL929" s="19"/>
      <c r="AM929" s="19"/>
      <c r="AN929" s="19"/>
      <c r="AO929" s="19"/>
      <c r="AZ929" s="19"/>
      <c r="BA929" s="19"/>
      <c r="BB929" s="20"/>
      <c r="BC929" s="19"/>
      <c r="BE929" s="19"/>
      <c r="BF929" s="19"/>
      <c r="BG929" s="19"/>
      <c r="BH929" s="19"/>
      <c r="BI929" s="19"/>
      <c r="BJ929" s="19"/>
      <c r="BK929" s="19"/>
      <c r="BL929" s="19"/>
    </row>
    <row r="930" spans="2:64" ht="14" x14ac:dyDescent="0.2">
      <c r="B930" s="1"/>
      <c r="C930" s="1"/>
      <c r="D930" s="1"/>
      <c r="E930" s="1"/>
      <c r="H930" s="18"/>
      <c r="I930" s="18"/>
      <c r="J930" s="18"/>
      <c r="L930" s="6"/>
      <c r="AF930" s="19"/>
      <c r="AG930" s="19"/>
      <c r="AH930" s="20"/>
      <c r="AI930" s="19"/>
      <c r="AK930" s="19"/>
      <c r="AL930" s="19"/>
      <c r="AM930" s="19"/>
      <c r="AN930" s="19"/>
      <c r="AO930" s="19"/>
      <c r="AZ930" s="19"/>
      <c r="BA930" s="19"/>
      <c r="BB930" s="20"/>
      <c r="BC930" s="19"/>
      <c r="BE930" s="19"/>
      <c r="BF930" s="19"/>
      <c r="BG930" s="19"/>
      <c r="BH930" s="19"/>
      <c r="BI930" s="19"/>
      <c r="BJ930" s="19"/>
      <c r="BK930" s="19"/>
      <c r="BL930" s="19"/>
    </row>
    <row r="931" spans="2:64" ht="14" x14ac:dyDescent="0.2">
      <c r="B931" s="1"/>
      <c r="C931" s="1"/>
      <c r="D931" s="1"/>
      <c r="E931" s="1"/>
      <c r="H931" s="18"/>
      <c r="I931" s="18"/>
      <c r="J931" s="18"/>
      <c r="L931" s="6"/>
      <c r="AF931" s="19"/>
      <c r="AG931" s="19"/>
      <c r="AH931" s="20"/>
      <c r="AI931" s="19"/>
      <c r="AK931" s="19"/>
      <c r="AL931" s="19"/>
      <c r="AM931" s="19"/>
      <c r="AN931" s="19"/>
      <c r="AO931" s="19"/>
      <c r="AZ931" s="19"/>
      <c r="BA931" s="19"/>
      <c r="BB931" s="20"/>
      <c r="BC931" s="19"/>
      <c r="BE931" s="19"/>
      <c r="BF931" s="19"/>
      <c r="BG931" s="19"/>
      <c r="BH931" s="19"/>
      <c r="BI931" s="19"/>
      <c r="BJ931" s="19"/>
      <c r="BK931" s="19"/>
      <c r="BL931" s="19"/>
    </row>
    <row r="932" spans="2:64" ht="14" x14ac:dyDescent="0.2">
      <c r="B932" s="1"/>
      <c r="C932" s="1"/>
      <c r="D932" s="1"/>
      <c r="E932" s="1"/>
      <c r="H932" s="18"/>
      <c r="I932" s="18"/>
      <c r="J932" s="18"/>
      <c r="L932" s="6"/>
      <c r="AF932" s="19"/>
      <c r="AG932" s="19"/>
      <c r="AH932" s="20"/>
      <c r="AI932" s="19"/>
      <c r="AK932" s="19"/>
      <c r="AL932" s="19"/>
      <c r="AM932" s="19"/>
      <c r="AN932" s="19"/>
      <c r="AO932" s="19"/>
      <c r="AZ932" s="19"/>
      <c r="BA932" s="19"/>
      <c r="BB932" s="20"/>
      <c r="BC932" s="19"/>
      <c r="BE932" s="19"/>
      <c r="BF932" s="19"/>
      <c r="BG932" s="19"/>
      <c r="BH932" s="19"/>
      <c r="BI932" s="19"/>
      <c r="BJ932" s="19"/>
      <c r="BK932" s="19"/>
      <c r="BL932" s="19"/>
    </row>
    <row r="933" spans="2:64" ht="14" x14ac:dyDescent="0.2">
      <c r="B933" s="1"/>
      <c r="C933" s="1"/>
      <c r="D933" s="1"/>
      <c r="E933" s="1"/>
      <c r="H933" s="18"/>
      <c r="I933" s="18"/>
      <c r="J933" s="18"/>
      <c r="L933" s="6"/>
      <c r="AF933" s="19"/>
      <c r="AG933" s="19"/>
      <c r="AH933" s="20"/>
      <c r="AI933" s="19"/>
      <c r="AK933" s="19"/>
      <c r="AL933" s="19"/>
      <c r="AM933" s="19"/>
      <c r="AN933" s="19"/>
      <c r="AO933" s="19"/>
      <c r="AZ933" s="19"/>
      <c r="BA933" s="19"/>
      <c r="BB933" s="20"/>
      <c r="BC933" s="19"/>
      <c r="BE933" s="19"/>
      <c r="BF933" s="19"/>
      <c r="BG933" s="19"/>
      <c r="BH933" s="19"/>
      <c r="BI933" s="19"/>
      <c r="BJ933" s="19"/>
      <c r="BK933" s="19"/>
      <c r="BL933" s="19"/>
    </row>
    <row r="934" spans="2:64" ht="14" x14ac:dyDescent="0.2">
      <c r="B934" s="1"/>
      <c r="C934" s="1"/>
      <c r="D934" s="1"/>
      <c r="E934" s="1"/>
      <c r="H934" s="18"/>
      <c r="I934" s="18"/>
      <c r="J934" s="18"/>
      <c r="L934" s="6"/>
      <c r="AF934" s="19"/>
      <c r="AG934" s="19"/>
      <c r="AH934" s="20"/>
      <c r="AI934" s="19"/>
      <c r="AK934" s="19"/>
      <c r="AL934" s="19"/>
      <c r="AM934" s="19"/>
      <c r="AN934" s="19"/>
      <c r="AO934" s="19"/>
      <c r="AZ934" s="19"/>
      <c r="BA934" s="19"/>
      <c r="BB934" s="20"/>
      <c r="BC934" s="19"/>
      <c r="BE934" s="19"/>
      <c r="BF934" s="19"/>
      <c r="BG934" s="19"/>
      <c r="BH934" s="19"/>
      <c r="BI934" s="19"/>
      <c r="BJ934" s="19"/>
      <c r="BK934" s="19"/>
      <c r="BL934" s="19"/>
    </row>
    <row r="935" spans="2:64" ht="14" x14ac:dyDescent="0.2">
      <c r="B935" s="1"/>
      <c r="C935" s="1"/>
      <c r="D935" s="1"/>
      <c r="E935" s="1"/>
      <c r="H935" s="18"/>
      <c r="I935" s="18"/>
      <c r="J935" s="18"/>
      <c r="L935" s="6"/>
      <c r="AF935" s="19"/>
      <c r="AG935" s="19"/>
      <c r="AH935" s="20"/>
      <c r="AI935" s="19"/>
      <c r="AK935" s="19"/>
      <c r="AL935" s="19"/>
      <c r="AM935" s="19"/>
      <c r="AN935" s="19"/>
      <c r="AO935" s="19"/>
      <c r="AZ935" s="19"/>
      <c r="BA935" s="19"/>
      <c r="BB935" s="20"/>
      <c r="BC935" s="19"/>
      <c r="BE935" s="19"/>
      <c r="BF935" s="19"/>
      <c r="BG935" s="19"/>
      <c r="BH935" s="19"/>
      <c r="BI935" s="19"/>
      <c r="BJ935" s="19"/>
      <c r="BK935" s="19"/>
      <c r="BL935" s="19"/>
    </row>
    <row r="936" spans="2:64" ht="14" x14ac:dyDescent="0.2">
      <c r="B936" s="1"/>
      <c r="C936" s="1"/>
      <c r="D936" s="1"/>
      <c r="E936" s="1"/>
      <c r="H936" s="18"/>
      <c r="I936" s="18"/>
      <c r="J936" s="18"/>
      <c r="L936" s="6"/>
      <c r="AF936" s="19"/>
      <c r="AG936" s="19"/>
      <c r="AH936" s="20"/>
      <c r="AI936" s="19"/>
      <c r="AK936" s="19"/>
      <c r="AL936" s="19"/>
      <c r="AM936" s="19"/>
      <c r="AN936" s="19"/>
      <c r="AO936" s="19"/>
      <c r="AZ936" s="19"/>
      <c r="BA936" s="19"/>
      <c r="BB936" s="20"/>
      <c r="BC936" s="19"/>
      <c r="BE936" s="19"/>
      <c r="BF936" s="19"/>
      <c r="BG936" s="19"/>
      <c r="BH936" s="19"/>
      <c r="BI936" s="19"/>
      <c r="BJ936" s="19"/>
      <c r="BK936" s="19"/>
      <c r="BL936" s="19"/>
    </row>
    <row r="937" spans="2:64" ht="14" x14ac:dyDescent="0.2">
      <c r="B937" s="1"/>
      <c r="C937" s="1"/>
      <c r="D937" s="1"/>
      <c r="E937" s="1"/>
      <c r="H937" s="18"/>
      <c r="I937" s="18"/>
      <c r="J937" s="18"/>
      <c r="L937" s="6"/>
      <c r="AF937" s="19"/>
      <c r="AG937" s="19"/>
      <c r="AH937" s="20"/>
      <c r="AI937" s="19"/>
      <c r="AK937" s="19"/>
      <c r="AL937" s="19"/>
      <c r="AM937" s="19"/>
      <c r="AN937" s="19"/>
      <c r="AO937" s="19"/>
      <c r="AZ937" s="19"/>
      <c r="BA937" s="19"/>
      <c r="BB937" s="20"/>
      <c r="BC937" s="19"/>
      <c r="BE937" s="19"/>
      <c r="BF937" s="19"/>
      <c r="BG937" s="19"/>
      <c r="BH937" s="19"/>
      <c r="BI937" s="19"/>
      <c r="BJ937" s="19"/>
      <c r="BK937" s="19"/>
      <c r="BL937" s="19"/>
    </row>
    <row r="938" spans="2:64" ht="14" x14ac:dyDescent="0.2">
      <c r="B938" s="1"/>
      <c r="C938" s="1"/>
      <c r="D938" s="1"/>
      <c r="E938" s="1"/>
      <c r="H938" s="18"/>
      <c r="I938" s="18"/>
      <c r="J938" s="18"/>
      <c r="L938" s="6"/>
      <c r="AF938" s="19"/>
      <c r="AG938" s="19"/>
      <c r="AH938" s="20"/>
      <c r="AI938" s="19"/>
      <c r="AK938" s="19"/>
      <c r="AL938" s="19"/>
      <c r="AM938" s="19"/>
      <c r="AN938" s="19"/>
      <c r="AO938" s="19"/>
      <c r="AZ938" s="19"/>
      <c r="BA938" s="19"/>
      <c r="BB938" s="20"/>
      <c r="BC938" s="19"/>
      <c r="BE938" s="19"/>
      <c r="BF938" s="19"/>
      <c r="BG938" s="19"/>
      <c r="BH938" s="19"/>
      <c r="BI938" s="19"/>
      <c r="BJ938" s="19"/>
      <c r="BK938" s="19"/>
      <c r="BL938" s="19"/>
    </row>
    <row r="939" spans="2:64" ht="14" x14ac:dyDescent="0.2">
      <c r="B939" s="1"/>
      <c r="C939" s="1"/>
      <c r="D939" s="1"/>
      <c r="E939" s="1"/>
      <c r="H939" s="18"/>
      <c r="I939" s="18"/>
      <c r="J939" s="18"/>
      <c r="L939" s="6"/>
      <c r="AF939" s="19"/>
      <c r="AG939" s="19"/>
      <c r="AH939" s="20"/>
      <c r="AI939" s="19"/>
      <c r="AK939" s="19"/>
      <c r="AL939" s="19"/>
      <c r="AM939" s="19"/>
      <c r="AN939" s="19"/>
      <c r="AO939" s="19"/>
      <c r="AZ939" s="19"/>
      <c r="BA939" s="19"/>
      <c r="BB939" s="20"/>
      <c r="BC939" s="19"/>
      <c r="BE939" s="19"/>
      <c r="BF939" s="19"/>
      <c r="BG939" s="19"/>
      <c r="BH939" s="19"/>
      <c r="BI939" s="19"/>
      <c r="BJ939" s="19"/>
      <c r="BK939" s="19"/>
      <c r="BL939" s="19"/>
    </row>
    <row r="940" spans="2:64" ht="14" x14ac:dyDescent="0.2">
      <c r="B940" s="1"/>
      <c r="C940" s="1"/>
      <c r="D940" s="1"/>
      <c r="E940" s="1"/>
      <c r="H940" s="18"/>
      <c r="I940" s="18"/>
      <c r="J940" s="18"/>
      <c r="L940" s="6"/>
      <c r="AF940" s="19"/>
      <c r="AG940" s="19"/>
      <c r="AH940" s="20"/>
      <c r="AI940" s="19"/>
      <c r="AK940" s="19"/>
      <c r="AL940" s="19"/>
      <c r="AM940" s="19"/>
      <c r="AN940" s="19"/>
      <c r="AO940" s="19"/>
      <c r="AZ940" s="19"/>
      <c r="BA940" s="19"/>
      <c r="BB940" s="20"/>
      <c r="BC940" s="19"/>
      <c r="BE940" s="19"/>
      <c r="BF940" s="19"/>
      <c r="BG940" s="19"/>
      <c r="BH940" s="19"/>
      <c r="BI940" s="19"/>
      <c r="BJ940" s="19"/>
      <c r="BK940" s="19"/>
      <c r="BL940" s="19"/>
    </row>
    <row r="941" spans="2:64" ht="14" x14ac:dyDescent="0.2">
      <c r="B941" s="1"/>
      <c r="C941" s="1"/>
      <c r="D941" s="1"/>
      <c r="E941" s="1"/>
      <c r="H941" s="18"/>
      <c r="I941" s="18"/>
      <c r="J941" s="18"/>
      <c r="L941" s="6"/>
      <c r="AF941" s="19"/>
      <c r="AG941" s="19"/>
      <c r="AH941" s="20"/>
      <c r="AI941" s="19"/>
      <c r="AK941" s="19"/>
      <c r="AL941" s="19"/>
      <c r="AM941" s="19"/>
      <c r="AN941" s="19"/>
      <c r="AO941" s="19"/>
      <c r="AZ941" s="19"/>
      <c r="BA941" s="19"/>
      <c r="BB941" s="20"/>
      <c r="BC941" s="19"/>
      <c r="BE941" s="19"/>
      <c r="BF941" s="19"/>
      <c r="BG941" s="19"/>
      <c r="BH941" s="19"/>
      <c r="BI941" s="19"/>
      <c r="BJ941" s="19"/>
      <c r="BK941" s="19"/>
      <c r="BL941" s="19"/>
    </row>
    <row r="942" spans="2:64" ht="14" x14ac:dyDescent="0.2">
      <c r="B942" s="1"/>
      <c r="C942" s="1"/>
      <c r="D942" s="1"/>
      <c r="E942" s="1"/>
      <c r="H942" s="18"/>
      <c r="I942" s="18"/>
      <c r="J942" s="18"/>
      <c r="L942" s="6"/>
      <c r="AF942" s="19"/>
      <c r="AG942" s="19"/>
      <c r="AH942" s="20"/>
      <c r="AI942" s="19"/>
      <c r="AK942" s="19"/>
      <c r="AL942" s="19"/>
      <c r="AM942" s="19"/>
      <c r="AN942" s="19"/>
      <c r="AO942" s="19"/>
      <c r="AZ942" s="19"/>
      <c r="BA942" s="19"/>
      <c r="BB942" s="20"/>
      <c r="BC942" s="19"/>
      <c r="BE942" s="19"/>
      <c r="BF942" s="19"/>
      <c r="BG942" s="19"/>
      <c r="BH942" s="19"/>
      <c r="BI942" s="19"/>
      <c r="BJ942" s="19"/>
      <c r="BK942" s="19"/>
      <c r="BL942" s="19"/>
    </row>
    <row r="943" spans="2:64" ht="14" x14ac:dyDescent="0.2">
      <c r="B943" s="1"/>
      <c r="C943" s="1"/>
      <c r="D943" s="1"/>
      <c r="E943" s="1"/>
      <c r="H943" s="18"/>
      <c r="I943" s="18"/>
      <c r="J943" s="18"/>
      <c r="L943" s="6"/>
      <c r="AF943" s="19"/>
      <c r="AG943" s="19"/>
      <c r="AH943" s="20"/>
      <c r="AI943" s="19"/>
      <c r="AK943" s="19"/>
      <c r="AL943" s="19"/>
      <c r="AM943" s="19"/>
      <c r="AN943" s="19"/>
      <c r="AO943" s="19"/>
      <c r="AZ943" s="19"/>
      <c r="BA943" s="19"/>
      <c r="BB943" s="20"/>
      <c r="BC943" s="19"/>
      <c r="BE943" s="19"/>
      <c r="BF943" s="19"/>
      <c r="BG943" s="19"/>
      <c r="BH943" s="19"/>
      <c r="BI943" s="19"/>
      <c r="BJ943" s="19"/>
      <c r="BK943" s="19"/>
      <c r="BL943" s="19"/>
    </row>
    <row r="944" spans="2:64" ht="14" x14ac:dyDescent="0.2">
      <c r="B944" s="1"/>
      <c r="C944" s="1"/>
      <c r="D944" s="1"/>
      <c r="E944" s="1"/>
      <c r="H944" s="18"/>
      <c r="I944" s="18"/>
      <c r="J944" s="18"/>
      <c r="L944" s="6"/>
      <c r="AF944" s="19"/>
      <c r="AG944" s="19"/>
      <c r="AH944" s="20"/>
      <c r="AI944" s="19"/>
      <c r="AK944" s="19"/>
      <c r="AL944" s="19"/>
      <c r="AM944" s="19"/>
      <c r="AN944" s="19"/>
      <c r="AO944" s="19"/>
      <c r="AZ944" s="19"/>
      <c r="BA944" s="19"/>
      <c r="BB944" s="20"/>
      <c r="BC944" s="19"/>
      <c r="BE944" s="19"/>
      <c r="BF944" s="19"/>
      <c r="BG944" s="19"/>
      <c r="BH944" s="19"/>
      <c r="BI944" s="19"/>
      <c r="BJ944" s="19"/>
      <c r="BK944" s="19"/>
      <c r="BL944" s="19"/>
    </row>
    <row r="945" spans="2:64" ht="14" x14ac:dyDescent="0.2">
      <c r="B945" s="1"/>
      <c r="C945" s="1"/>
      <c r="D945" s="1"/>
      <c r="E945" s="1"/>
      <c r="H945" s="18"/>
      <c r="I945" s="18"/>
      <c r="J945" s="18"/>
      <c r="L945" s="6"/>
      <c r="AF945" s="19"/>
      <c r="AG945" s="19"/>
      <c r="AH945" s="20"/>
      <c r="AI945" s="19"/>
      <c r="AK945" s="19"/>
      <c r="AL945" s="19"/>
      <c r="AM945" s="19"/>
      <c r="AN945" s="19"/>
      <c r="AO945" s="19"/>
      <c r="AZ945" s="19"/>
      <c r="BA945" s="19"/>
      <c r="BB945" s="20"/>
      <c r="BC945" s="19"/>
      <c r="BE945" s="19"/>
      <c r="BF945" s="19"/>
      <c r="BG945" s="19"/>
      <c r="BH945" s="19"/>
      <c r="BI945" s="19"/>
      <c r="BJ945" s="19"/>
      <c r="BK945" s="19"/>
      <c r="BL945" s="19"/>
    </row>
    <row r="946" spans="2:64" ht="14" x14ac:dyDescent="0.2">
      <c r="B946" s="1"/>
      <c r="C946" s="1"/>
      <c r="D946" s="1"/>
      <c r="E946" s="1"/>
      <c r="H946" s="18"/>
      <c r="I946" s="18"/>
      <c r="J946" s="18"/>
      <c r="L946" s="6"/>
      <c r="AF946" s="19"/>
      <c r="AG946" s="19"/>
      <c r="AH946" s="20"/>
      <c r="AI946" s="19"/>
      <c r="AK946" s="19"/>
      <c r="AL946" s="19"/>
      <c r="AM946" s="19"/>
      <c r="AN946" s="19"/>
      <c r="AO946" s="19"/>
      <c r="AZ946" s="19"/>
      <c r="BA946" s="19"/>
      <c r="BB946" s="20"/>
      <c r="BC946" s="19"/>
      <c r="BE946" s="19"/>
      <c r="BF946" s="19"/>
      <c r="BG946" s="19"/>
      <c r="BH946" s="19"/>
      <c r="BI946" s="19"/>
      <c r="BJ946" s="19"/>
      <c r="BK946" s="19"/>
      <c r="BL946" s="19"/>
    </row>
    <row r="947" spans="2:64" ht="14" x14ac:dyDescent="0.2">
      <c r="B947" s="1"/>
      <c r="C947" s="1"/>
      <c r="D947" s="1"/>
      <c r="E947" s="1"/>
      <c r="H947" s="18"/>
      <c r="I947" s="18"/>
      <c r="J947" s="18"/>
      <c r="L947" s="6"/>
      <c r="AF947" s="19"/>
      <c r="AG947" s="19"/>
      <c r="AH947" s="20"/>
      <c r="AI947" s="19"/>
      <c r="AK947" s="19"/>
      <c r="AL947" s="19"/>
      <c r="AM947" s="19"/>
      <c r="AN947" s="19"/>
      <c r="AO947" s="19"/>
      <c r="AZ947" s="19"/>
      <c r="BA947" s="19"/>
      <c r="BB947" s="20"/>
      <c r="BC947" s="19"/>
      <c r="BE947" s="19"/>
      <c r="BF947" s="19"/>
      <c r="BG947" s="19"/>
      <c r="BH947" s="19"/>
      <c r="BI947" s="19"/>
      <c r="BJ947" s="19"/>
      <c r="BK947" s="19"/>
      <c r="BL947" s="19"/>
    </row>
    <row r="948" spans="2:64" ht="14" x14ac:dyDescent="0.2">
      <c r="B948" s="1"/>
      <c r="C948" s="1"/>
      <c r="D948" s="1"/>
      <c r="E948" s="1"/>
      <c r="H948" s="18"/>
      <c r="I948" s="18"/>
      <c r="J948" s="18"/>
      <c r="L948" s="6"/>
      <c r="AF948" s="19"/>
      <c r="AG948" s="19"/>
      <c r="AH948" s="20"/>
      <c r="AI948" s="19"/>
      <c r="AK948" s="19"/>
      <c r="AL948" s="19"/>
      <c r="AM948" s="19"/>
      <c r="AN948" s="19"/>
      <c r="AO948" s="19"/>
      <c r="AZ948" s="19"/>
      <c r="BA948" s="19"/>
      <c r="BB948" s="20"/>
      <c r="BC948" s="19"/>
      <c r="BE948" s="19"/>
      <c r="BF948" s="19"/>
      <c r="BG948" s="19"/>
      <c r="BH948" s="19"/>
      <c r="BI948" s="19"/>
      <c r="BJ948" s="19"/>
      <c r="BK948" s="19"/>
      <c r="BL948" s="19"/>
    </row>
    <row r="949" spans="2:64" ht="14" x14ac:dyDescent="0.2">
      <c r="B949" s="1"/>
      <c r="C949" s="1"/>
      <c r="D949" s="1"/>
      <c r="E949" s="1"/>
      <c r="H949" s="18"/>
      <c r="I949" s="18"/>
      <c r="J949" s="18"/>
      <c r="L949" s="6"/>
      <c r="AF949" s="19"/>
      <c r="AG949" s="19"/>
      <c r="AH949" s="20"/>
      <c r="AI949" s="19"/>
      <c r="AK949" s="19"/>
      <c r="AL949" s="19"/>
      <c r="AM949" s="19"/>
      <c r="AN949" s="19"/>
      <c r="AO949" s="19"/>
      <c r="AZ949" s="19"/>
      <c r="BA949" s="19"/>
      <c r="BB949" s="20"/>
      <c r="BC949" s="19"/>
      <c r="BE949" s="19"/>
      <c r="BF949" s="19"/>
      <c r="BG949" s="19"/>
      <c r="BH949" s="19"/>
      <c r="BI949" s="19"/>
      <c r="BJ949" s="19"/>
      <c r="BK949" s="19"/>
      <c r="BL949" s="19"/>
    </row>
    <row r="950" spans="2:64" ht="14" x14ac:dyDescent="0.2">
      <c r="B950" s="1"/>
      <c r="C950" s="1"/>
      <c r="D950" s="1"/>
      <c r="E950" s="1"/>
      <c r="H950" s="18"/>
      <c r="I950" s="18"/>
      <c r="J950" s="18"/>
      <c r="L950" s="6"/>
      <c r="AF950" s="19"/>
      <c r="AG950" s="19"/>
      <c r="AH950" s="20"/>
      <c r="AI950" s="19"/>
      <c r="AK950" s="19"/>
      <c r="AL950" s="19"/>
      <c r="AM950" s="19"/>
      <c r="AN950" s="19"/>
      <c r="AO950" s="19"/>
      <c r="AZ950" s="19"/>
      <c r="BA950" s="19"/>
      <c r="BB950" s="20"/>
      <c r="BC950" s="19"/>
      <c r="BE950" s="19"/>
      <c r="BF950" s="19"/>
      <c r="BG950" s="19"/>
      <c r="BH950" s="19"/>
      <c r="BI950" s="19"/>
      <c r="BJ950" s="19"/>
      <c r="BK950" s="19"/>
      <c r="BL950" s="19"/>
    </row>
    <row r="951" spans="2:64" ht="14" x14ac:dyDescent="0.2">
      <c r="B951" s="1"/>
      <c r="C951" s="1"/>
      <c r="D951" s="1"/>
      <c r="E951" s="1"/>
      <c r="H951" s="18"/>
      <c r="I951" s="18"/>
      <c r="J951" s="18"/>
      <c r="L951" s="6"/>
      <c r="AF951" s="19"/>
      <c r="AG951" s="19"/>
      <c r="AH951" s="20"/>
      <c r="AI951" s="19"/>
      <c r="AK951" s="19"/>
      <c r="AL951" s="19"/>
      <c r="AM951" s="19"/>
      <c r="AN951" s="19"/>
      <c r="AO951" s="19"/>
      <c r="AZ951" s="19"/>
      <c r="BA951" s="19"/>
      <c r="BB951" s="20"/>
      <c r="BC951" s="19"/>
      <c r="BE951" s="19"/>
      <c r="BF951" s="19"/>
      <c r="BG951" s="19"/>
      <c r="BH951" s="19"/>
      <c r="BI951" s="19"/>
      <c r="BJ951" s="19"/>
      <c r="BK951" s="19"/>
      <c r="BL951" s="19"/>
    </row>
    <row r="952" spans="2:64" ht="14" x14ac:dyDescent="0.2">
      <c r="B952" s="1"/>
      <c r="C952" s="1"/>
      <c r="D952" s="1"/>
      <c r="E952" s="1"/>
      <c r="H952" s="18"/>
      <c r="I952" s="18"/>
      <c r="J952" s="18"/>
      <c r="L952" s="6"/>
      <c r="AF952" s="19"/>
      <c r="AG952" s="19"/>
      <c r="AH952" s="20"/>
      <c r="AI952" s="19"/>
      <c r="AK952" s="19"/>
      <c r="AL952" s="19"/>
      <c r="AM952" s="19"/>
      <c r="AN952" s="19"/>
      <c r="AO952" s="19"/>
      <c r="AZ952" s="19"/>
      <c r="BA952" s="19"/>
      <c r="BB952" s="20"/>
      <c r="BC952" s="19"/>
      <c r="BE952" s="19"/>
      <c r="BF952" s="19"/>
      <c r="BG952" s="19"/>
      <c r="BH952" s="19"/>
      <c r="BI952" s="19"/>
      <c r="BJ952" s="19"/>
      <c r="BK952" s="19"/>
      <c r="BL952" s="19"/>
    </row>
    <row r="953" spans="2:64" ht="14" x14ac:dyDescent="0.2">
      <c r="B953" s="1"/>
      <c r="C953" s="1"/>
      <c r="D953" s="1"/>
      <c r="E953" s="1"/>
      <c r="H953" s="18"/>
      <c r="I953" s="18"/>
      <c r="J953" s="18"/>
      <c r="L953" s="6"/>
      <c r="AF953" s="19"/>
      <c r="AG953" s="19"/>
      <c r="AH953" s="20"/>
      <c r="AI953" s="19"/>
      <c r="AK953" s="19"/>
      <c r="AL953" s="19"/>
      <c r="AM953" s="19"/>
      <c r="AN953" s="19"/>
      <c r="AO953" s="19"/>
      <c r="AZ953" s="19"/>
      <c r="BA953" s="19"/>
      <c r="BB953" s="20"/>
      <c r="BC953" s="19"/>
      <c r="BE953" s="19"/>
      <c r="BF953" s="19"/>
      <c r="BG953" s="19"/>
      <c r="BH953" s="19"/>
      <c r="BI953" s="19"/>
      <c r="BJ953" s="19"/>
      <c r="BK953" s="19"/>
      <c r="BL953" s="19"/>
    </row>
    <row r="954" spans="2:64" ht="14" x14ac:dyDescent="0.2">
      <c r="B954" s="1"/>
      <c r="C954" s="1"/>
      <c r="D954" s="1"/>
      <c r="E954" s="1"/>
      <c r="H954" s="18"/>
      <c r="I954" s="18"/>
      <c r="J954" s="18"/>
      <c r="L954" s="6"/>
      <c r="AF954" s="19"/>
      <c r="AG954" s="19"/>
      <c r="AH954" s="20"/>
      <c r="AI954" s="19"/>
      <c r="AK954" s="19"/>
      <c r="AL954" s="19"/>
      <c r="AM954" s="19"/>
      <c r="AN954" s="19"/>
      <c r="AO954" s="19"/>
      <c r="AZ954" s="19"/>
      <c r="BA954" s="19"/>
      <c r="BB954" s="20"/>
      <c r="BC954" s="19"/>
      <c r="BE954" s="19"/>
      <c r="BF954" s="19"/>
      <c r="BG954" s="19"/>
      <c r="BH954" s="19"/>
      <c r="BI954" s="19"/>
      <c r="BJ954" s="19"/>
      <c r="BK954" s="19"/>
      <c r="BL954" s="19"/>
    </row>
    <row r="955" spans="2:64" ht="14" x14ac:dyDescent="0.2">
      <c r="B955" s="1"/>
      <c r="C955" s="1"/>
      <c r="D955" s="1"/>
      <c r="E955" s="1"/>
      <c r="H955" s="18"/>
      <c r="I955" s="18"/>
      <c r="J955" s="18"/>
      <c r="L955" s="6"/>
      <c r="AF955" s="19"/>
      <c r="AG955" s="19"/>
      <c r="AH955" s="20"/>
      <c r="AI955" s="19"/>
      <c r="AK955" s="19"/>
      <c r="AL955" s="19"/>
      <c r="AM955" s="19"/>
      <c r="AN955" s="19"/>
      <c r="AO955" s="19"/>
      <c r="AZ955" s="19"/>
      <c r="BA955" s="19"/>
      <c r="BB955" s="20"/>
      <c r="BC955" s="19"/>
      <c r="BE955" s="19"/>
      <c r="BF955" s="19"/>
      <c r="BG955" s="19"/>
      <c r="BH955" s="19"/>
      <c r="BI955" s="19"/>
      <c r="BJ955" s="19"/>
      <c r="BK955" s="19"/>
      <c r="BL955" s="19"/>
    </row>
    <row r="956" spans="2:64" ht="14" x14ac:dyDescent="0.2">
      <c r="B956" s="1"/>
      <c r="C956" s="1"/>
      <c r="D956" s="1"/>
      <c r="E956" s="1"/>
      <c r="H956" s="18"/>
      <c r="I956" s="18"/>
      <c r="J956" s="18"/>
      <c r="L956" s="6"/>
      <c r="AF956" s="19"/>
      <c r="AG956" s="19"/>
      <c r="AH956" s="20"/>
      <c r="AI956" s="19"/>
      <c r="AK956" s="19"/>
      <c r="AL956" s="19"/>
      <c r="AM956" s="19"/>
      <c r="AN956" s="19"/>
      <c r="AO956" s="19"/>
      <c r="AZ956" s="19"/>
      <c r="BA956" s="19"/>
      <c r="BB956" s="20"/>
      <c r="BC956" s="19"/>
      <c r="BE956" s="19"/>
      <c r="BF956" s="19"/>
      <c r="BG956" s="19"/>
      <c r="BH956" s="19"/>
      <c r="BI956" s="19"/>
      <c r="BJ956" s="19"/>
      <c r="BK956" s="19"/>
      <c r="BL956" s="19"/>
    </row>
    <row r="957" spans="2:64" ht="14" x14ac:dyDescent="0.2">
      <c r="B957" s="1"/>
      <c r="C957" s="1"/>
      <c r="D957" s="1"/>
      <c r="E957" s="1"/>
      <c r="H957" s="18"/>
      <c r="I957" s="18"/>
      <c r="J957" s="18"/>
      <c r="L957" s="6"/>
      <c r="AF957" s="19"/>
      <c r="AG957" s="19"/>
      <c r="AH957" s="20"/>
      <c r="AI957" s="19"/>
      <c r="AK957" s="19"/>
      <c r="AL957" s="19"/>
      <c r="AM957" s="19"/>
      <c r="AN957" s="19"/>
      <c r="AO957" s="19"/>
      <c r="AZ957" s="19"/>
      <c r="BA957" s="19"/>
      <c r="BB957" s="20"/>
      <c r="BC957" s="19"/>
      <c r="BE957" s="19"/>
      <c r="BF957" s="19"/>
      <c r="BG957" s="19"/>
      <c r="BH957" s="19"/>
      <c r="BI957" s="19"/>
      <c r="BJ957" s="19"/>
      <c r="BK957" s="19"/>
      <c r="BL957" s="19"/>
    </row>
    <row r="958" spans="2:64" ht="14" x14ac:dyDescent="0.2">
      <c r="B958" s="1"/>
      <c r="C958" s="1"/>
      <c r="D958" s="1"/>
      <c r="E958" s="1"/>
      <c r="H958" s="18"/>
      <c r="I958" s="18"/>
      <c r="J958" s="18"/>
      <c r="L958" s="6"/>
      <c r="AF958" s="19"/>
      <c r="AG958" s="19"/>
      <c r="AH958" s="20"/>
      <c r="AI958" s="19"/>
      <c r="AK958" s="19"/>
      <c r="AL958" s="19"/>
      <c r="AM958" s="19"/>
      <c r="AN958" s="19"/>
      <c r="AO958" s="19"/>
      <c r="AZ958" s="19"/>
      <c r="BA958" s="19"/>
      <c r="BB958" s="20"/>
      <c r="BC958" s="19"/>
      <c r="BE958" s="19"/>
      <c r="BF958" s="19"/>
      <c r="BG958" s="19"/>
      <c r="BH958" s="19"/>
      <c r="BI958" s="19"/>
      <c r="BJ958" s="19"/>
      <c r="BK958" s="19"/>
      <c r="BL958" s="19"/>
    </row>
    <row r="959" spans="2:64" ht="14" x14ac:dyDescent="0.2">
      <c r="B959" s="1"/>
      <c r="C959" s="1"/>
      <c r="D959" s="1"/>
      <c r="E959" s="1"/>
      <c r="H959" s="18"/>
      <c r="I959" s="18"/>
      <c r="J959" s="18"/>
      <c r="L959" s="6"/>
      <c r="AF959" s="19"/>
      <c r="AG959" s="19"/>
      <c r="AH959" s="20"/>
      <c r="AI959" s="19"/>
      <c r="AK959" s="19"/>
      <c r="AL959" s="19"/>
      <c r="AM959" s="19"/>
      <c r="AN959" s="19"/>
      <c r="AO959" s="19"/>
      <c r="AZ959" s="19"/>
      <c r="BA959" s="19"/>
      <c r="BB959" s="20"/>
      <c r="BC959" s="19"/>
      <c r="BE959" s="19"/>
      <c r="BF959" s="19"/>
      <c r="BG959" s="19"/>
      <c r="BH959" s="19"/>
      <c r="BI959" s="19"/>
      <c r="BJ959" s="19"/>
      <c r="BK959" s="19"/>
      <c r="BL959" s="19"/>
    </row>
    <row r="960" spans="2:64" ht="14" x14ac:dyDescent="0.2">
      <c r="B960" s="1"/>
      <c r="C960" s="1"/>
      <c r="D960" s="1"/>
      <c r="E960" s="1"/>
      <c r="H960" s="18"/>
      <c r="I960" s="18"/>
      <c r="J960" s="18"/>
      <c r="L960" s="6"/>
      <c r="AF960" s="19"/>
      <c r="AG960" s="19"/>
      <c r="AH960" s="20"/>
      <c r="AI960" s="19"/>
      <c r="AK960" s="19"/>
      <c r="AL960" s="19"/>
      <c r="AM960" s="19"/>
      <c r="AN960" s="19"/>
      <c r="AO960" s="19"/>
      <c r="AZ960" s="19"/>
      <c r="BA960" s="19"/>
      <c r="BB960" s="20"/>
      <c r="BC960" s="19"/>
      <c r="BE960" s="19"/>
      <c r="BF960" s="19"/>
      <c r="BG960" s="19"/>
      <c r="BH960" s="19"/>
      <c r="BI960" s="19"/>
      <c r="BJ960" s="19"/>
      <c r="BK960" s="19"/>
      <c r="BL960" s="19"/>
    </row>
    <row r="961" spans="2:64" ht="14" x14ac:dyDescent="0.2">
      <c r="B961" s="1"/>
      <c r="C961" s="1"/>
      <c r="D961" s="1"/>
      <c r="E961" s="1"/>
      <c r="H961" s="18"/>
      <c r="I961" s="18"/>
      <c r="J961" s="18"/>
      <c r="L961" s="6"/>
      <c r="AF961" s="19"/>
      <c r="AG961" s="19"/>
      <c r="AH961" s="20"/>
      <c r="AI961" s="19"/>
      <c r="AK961" s="19"/>
      <c r="AL961" s="19"/>
      <c r="AM961" s="19"/>
      <c r="AN961" s="19"/>
      <c r="AO961" s="19"/>
      <c r="AZ961" s="19"/>
      <c r="BA961" s="19"/>
      <c r="BB961" s="20"/>
      <c r="BC961" s="19"/>
      <c r="BE961" s="19"/>
      <c r="BF961" s="19"/>
      <c r="BG961" s="19"/>
      <c r="BH961" s="19"/>
      <c r="BI961" s="19"/>
      <c r="BJ961" s="19"/>
      <c r="BK961" s="19"/>
      <c r="BL961" s="19"/>
    </row>
    <row r="962" spans="2:64" ht="14" x14ac:dyDescent="0.2">
      <c r="B962" s="1"/>
      <c r="C962" s="1"/>
      <c r="D962" s="1"/>
      <c r="E962" s="1"/>
      <c r="H962" s="18"/>
      <c r="I962" s="18"/>
      <c r="J962" s="18"/>
      <c r="L962" s="6"/>
      <c r="AF962" s="19"/>
      <c r="AG962" s="19"/>
      <c r="AH962" s="20"/>
      <c r="AI962" s="19"/>
      <c r="AK962" s="19"/>
      <c r="AL962" s="19"/>
      <c r="AM962" s="19"/>
      <c r="AN962" s="19"/>
      <c r="AO962" s="19"/>
      <c r="AZ962" s="19"/>
      <c r="BA962" s="19"/>
      <c r="BB962" s="20"/>
      <c r="BC962" s="19"/>
      <c r="BE962" s="19"/>
      <c r="BF962" s="19"/>
      <c r="BG962" s="19"/>
      <c r="BH962" s="19"/>
      <c r="BI962" s="19"/>
      <c r="BJ962" s="19"/>
      <c r="BK962" s="19"/>
      <c r="BL962" s="19"/>
    </row>
    <row r="963" spans="2:64" ht="14" x14ac:dyDescent="0.2">
      <c r="B963" s="1"/>
      <c r="C963" s="1"/>
      <c r="D963" s="1"/>
      <c r="E963" s="1"/>
      <c r="H963" s="18"/>
      <c r="I963" s="18"/>
      <c r="J963" s="18"/>
      <c r="L963" s="6"/>
      <c r="AF963" s="19"/>
      <c r="AG963" s="19"/>
      <c r="AH963" s="20"/>
      <c r="AI963" s="19"/>
      <c r="AK963" s="19"/>
      <c r="AL963" s="19"/>
      <c r="AM963" s="19"/>
      <c r="AN963" s="19"/>
      <c r="AO963" s="19"/>
      <c r="AZ963" s="19"/>
      <c r="BA963" s="19"/>
      <c r="BB963" s="20"/>
      <c r="BC963" s="19"/>
      <c r="BE963" s="19"/>
      <c r="BF963" s="19"/>
      <c r="BG963" s="19"/>
      <c r="BH963" s="19"/>
      <c r="BI963" s="19"/>
      <c r="BJ963" s="19"/>
      <c r="BK963" s="19"/>
      <c r="BL963" s="19"/>
    </row>
    <row r="964" spans="2:64" ht="14" x14ac:dyDescent="0.2">
      <c r="B964" s="1"/>
      <c r="C964" s="1"/>
      <c r="D964" s="1"/>
      <c r="E964" s="1"/>
      <c r="H964" s="18"/>
      <c r="I964" s="18"/>
      <c r="J964" s="18"/>
      <c r="L964" s="6"/>
      <c r="AF964" s="19"/>
      <c r="AG964" s="19"/>
      <c r="AH964" s="20"/>
      <c r="AI964" s="19"/>
      <c r="AK964" s="19"/>
      <c r="AL964" s="19"/>
      <c r="AM964" s="19"/>
      <c r="AN964" s="19"/>
      <c r="AO964" s="19"/>
      <c r="AZ964" s="19"/>
      <c r="BA964" s="19"/>
      <c r="BB964" s="20"/>
      <c r="BC964" s="19"/>
      <c r="BE964" s="19"/>
      <c r="BF964" s="19"/>
      <c r="BG964" s="19"/>
      <c r="BH964" s="19"/>
      <c r="BI964" s="19"/>
      <c r="BJ964" s="19"/>
      <c r="BK964" s="19"/>
      <c r="BL964" s="19"/>
    </row>
    <row r="965" spans="2:64" ht="14" x14ac:dyDescent="0.2">
      <c r="B965" s="1"/>
      <c r="C965" s="1"/>
      <c r="D965" s="1"/>
      <c r="E965" s="1"/>
      <c r="H965" s="18"/>
      <c r="I965" s="18"/>
      <c r="J965" s="18"/>
      <c r="L965" s="6"/>
      <c r="AF965" s="19"/>
      <c r="AG965" s="19"/>
      <c r="AH965" s="20"/>
      <c r="AI965" s="19"/>
      <c r="AK965" s="19"/>
      <c r="AL965" s="19"/>
      <c r="AM965" s="19"/>
      <c r="AN965" s="19"/>
      <c r="AO965" s="19"/>
      <c r="AZ965" s="19"/>
      <c r="BA965" s="19"/>
      <c r="BB965" s="20"/>
      <c r="BC965" s="19"/>
      <c r="BE965" s="19"/>
      <c r="BF965" s="19"/>
      <c r="BG965" s="19"/>
      <c r="BH965" s="19"/>
      <c r="BI965" s="19"/>
      <c r="BJ965" s="19"/>
      <c r="BK965" s="19"/>
      <c r="BL965" s="19"/>
    </row>
    <row r="966" spans="2:64" ht="14" x14ac:dyDescent="0.2">
      <c r="B966" s="1"/>
      <c r="C966" s="1"/>
      <c r="D966" s="1"/>
      <c r="E966" s="1"/>
      <c r="H966" s="18"/>
      <c r="I966" s="18"/>
      <c r="J966" s="18"/>
      <c r="L966" s="6"/>
      <c r="AF966" s="19"/>
      <c r="AG966" s="19"/>
      <c r="AH966" s="20"/>
      <c r="AI966" s="19"/>
      <c r="AK966" s="19"/>
      <c r="AL966" s="19"/>
      <c r="AM966" s="19"/>
      <c r="AN966" s="19"/>
      <c r="AO966" s="19"/>
      <c r="AZ966" s="19"/>
      <c r="BA966" s="19"/>
      <c r="BB966" s="20"/>
      <c r="BC966" s="19"/>
      <c r="BE966" s="19"/>
      <c r="BF966" s="19"/>
      <c r="BG966" s="19"/>
      <c r="BH966" s="19"/>
      <c r="BI966" s="19"/>
      <c r="BJ966" s="19"/>
      <c r="BK966" s="19"/>
      <c r="BL966" s="19"/>
    </row>
    <row r="967" spans="2:64" ht="14" x14ac:dyDescent="0.2">
      <c r="B967" s="1"/>
      <c r="C967" s="1"/>
      <c r="D967" s="1"/>
      <c r="E967" s="1"/>
      <c r="H967" s="18"/>
      <c r="I967" s="18"/>
      <c r="J967" s="18"/>
      <c r="L967" s="6"/>
      <c r="AF967" s="19"/>
      <c r="AG967" s="19"/>
      <c r="AH967" s="20"/>
      <c r="AI967" s="19"/>
      <c r="AK967" s="19"/>
      <c r="AL967" s="19"/>
      <c r="AM967" s="19"/>
      <c r="AN967" s="19"/>
      <c r="AO967" s="19"/>
      <c r="AZ967" s="19"/>
      <c r="BA967" s="19"/>
      <c r="BB967" s="20"/>
      <c r="BC967" s="19"/>
      <c r="BE967" s="19"/>
      <c r="BF967" s="19"/>
      <c r="BG967" s="19"/>
      <c r="BH967" s="19"/>
      <c r="BI967" s="19"/>
      <c r="BJ967" s="19"/>
      <c r="BK967" s="19"/>
      <c r="BL967" s="19"/>
    </row>
    <row r="968" spans="2:64" ht="14" x14ac:dyDescent="0.2">
      <c r="B968" s="1"/>
      <c r="C968" s="1"/>
      <c r="D968" s="1"/>
      <c r="E968" s="1"/>
      <c r="H968" s="18"/>
      <c r="I968" s="18"/>
      <c r="J968" s="18"/>
      <c r="L968" s="6"/>
      <c r="AF968" s="19"/>
      <c r="AG968" s="19"/>
      <c r="AH968" s="20"/>
      <c r="AI968" s="19"/>
      <c r="AK968" s="19"/>
      <c r="AL968" s="19"/>
      <c r="AM968" s="19"/>
      <c r="AN968" s="19"/>
      <c r="AO968" s="19"/>
      <c r="AZ968" s="19"/>
      <c r="BA968" s="19"/>
      <c r="BB968" s="20"/>
      <c r="BC968" s="19"/>
      <c r="BE968" s="19"/>
      <c r="BF968" s="19"/>
      <c r="BG968" s="19"/>
      <c r="BH968" s="19"/>
      <c r="BI968" s="19"/>
      <c r="BJ968" s="19"/>
      <c r="BK968" s="19"/>
      <c r="BL968" s="19"/>
    </row>
    <row r="969" spans="2:64" ht="14" x14ac:dyDescent="0.2">
      <c r="B969" s="1"/>
      <c r="C969" s="1"/>
      <c r="D969" s="1"/>
      <c r="E969" s="1"/>
      <c r="H969" s="18"/>
      <c r="I969" s="18"/>
      <c r="J969" s="18"/>
      <c r="L969" s="6"/>
      <c r="AF969" s="19"/>
      <c r="AG969" s="19"/>
      <c r="AH969" s="20"/>
      <c r="AI969" s="19"/>
      <c r="AK969" s="19"/>
      <c r="AL969" s="19"/>
      <c r="AM969" s="19"/>
      <c r="AN969" s="19"/>
      <c r="AO969" s="19"/>
      <c r="AZ969" s="19"/>
      <c r="BA969" s="19"/>
      <c r="BB969" s="20"/>
      <c r="BC969" s="19"/>
      <c r="BE969" s="19"/>
      <c r="BF969" s="19"/>
      <c r="BG969" s="19"/>
      <c r="BH969" s="19"/>
      <c r="BI969" s="19"/>
      <c r="BJ969" s="19"/>
      <c r="BK969" s="19"/>
      <c r="BL969" s="19"/>
    </row>
    <row r="970" spans="2:64" ht="14" x14ac:dyDescent="0.2">
      <c r="B970" s="1"/>
      <c r="C970" s="1"/>
      <c r="D970" s="1"/>
      <c r="E970" s="1"/>
      <c r="H970" s="18"/>
      <c r="I970" s="18"/>
      <c r="J970" s="18"/>
      <c r="L970" s="6"/>
      <c r="AF970" s="19"/>
      <c r="AG970" s="19"/>
      <c r="AH970" s="20"/>
      <c r="AI970" s="19"/>
      <c r="AK970" s="19"/>
      <c r="AL970" s="19"/>
      <c r="AM970" s="19"/>
      <c r="AN970" s="19"/>
      <c r="AO970" s="19"/>
      <c r="AZ970" s="19"/>
      <c r="BA970" s="19"/>
      <c r="BB970" s="20"/>
      <c r="BC970" s="19"/>
      <c r="BE970" s="19"/>
      <c r="BF970" s="19"/>
      <c r="BG970" s="19"/>
      <c r="BH970" s="19"/>
      <c r="BI970" s="19"/>
      <c r="BJ970" s="19"/>
      <c r="BK970" s="19"/>
      <c r="BL970" s="19"/>
    </row>
    <row r="971" spans="2:64" ht="14" x14ac:dyDescent="0.2">
      <c r="B971" s="1"/>
      <c r="C971" s="1"/>
      <c r="D971" s="1"/>
      <c r="E971" s="1"/>
      <c r="H971" s="18"/>
      <c r="I971" s="18"/>
      <c r="J971" s="18"/>
      <c r="L971" s="6"/>
      <c r="AF971" s="19"/>
      <c r="AG971" s="19"/>
      <c r="AH971" s="20"/>
      <c r="AI971" s="19"/>
      <c r="AK971" s="19"/>
      <c r="AL971" s="19"/>
      <c r="AM971" s="19"/>
      <c r="AN971" s="19"/>
      <c r="AO971" s="19"/>
      <c r="AZ971" s="19"/>
      <c r="BA971" s="19"/>
      <c r="BB971" s="20"/>
      <c r="BC971" s="19"/>
      <c r="BE971" s="19"/>
      <c r="BF971" s="19"/>
      <c r="BG971" s="19"/>
      <c r="BH971" s="19"/>
      <c r="BI971" s="19"/>
      <c r="BJ971" s="19"/>
      <c r="BK971" s="19"/>
      <c r="BL971" s="19"/>
    </row>
    <row r="972" spans="2:64" ht="14" x14ac:dyDescent="0.2">
      <c r="B972" s="1"/>
      <c r="C972" s="1"/>
      <c r="D972" s="1"/>
      <c r="E972" s="1"/>
      <c r="H972" s="18"/>
      <c r="I972" s="18"/>
      <c r="J972" s="18"/>
      <c r="L972" s="6"/>
      <c r="AF972" s="19"/>
      <c r="AG972" s="19"/>
      <c r="AH972" s="20"/>
      <c r="AI972" s="19"/>
      <c r="AK972" s="19"/>
      <c r="AL972" s="19"/>
      <c r="AM972" s="19"/>
      <c r="AN972" s="19"/>
      <c r="AO972" s="19"/>
      <c r="AZ972" s="19"/>
      <c r="BA972" s="19"/>
      <c r="BB972" s="20"/>
      <c r="BC972" s="19"/>
      <c r="BE972" s="19"/>
      <c r="BF972" s="19"/>
      <c r="BG972" s="19"/>
      <c r="BH972" s="19"/>
      <c r="BI972" s="19"/>
      <c r="BJ972" s="19"/>
      <c r="BK972" s="19"/>
      <c r="BL972" s="19"/>
    </row>
    <row r="973" spans="2:64" ht="14" x14ac:dyDescent="0.2">
      <c r="B973" s="1"/>
      <c r="C973" s="1"/>
      <c r="D973" s="1"/>
      <c r="E973" s="1"/>
      <c r="H973" s="18"/>
      <c r="I973" s="18"/>
      <c r="J973" s="18"/>
      <c r="L973" s="6"/>
      <c r="AF973" s="19"/>
      <c r="AG973" s="19"/>
      <c r="AH973" s="20"/>
      <c r="AI973" s="19"/>
      <c r="AK973" s="19"/>
      <c r="AL973" s="19"/>
      <c r="AM973" s="19"/>
      <c r="AN973" s="19"/>
      <c r="AO973" s="19"/>
      <c r="AZ973" s="19"/>
      <c r="BA973" s="19"/>
      <c r="BB973" s="20"/>
      <c r="BC973" s="19"/>
      <c r="BE973" s="19"/>
      <c r="BF973" s="19"/>
      <c r="BG973" s="19"/>
      <c r="BH973" s="19"/>
      <c r="BI973" s="19"/>
      <c r="BJ973" s="19"/>
      <c r="BK973" s="19"/>
      <c r="BL973" s="19"/>
    </row>
    <row r="974" spans="2:64" ht="14" x14ac:dyDescent="0.2">
      <c r="B974" s="1"/>
      <c r="C974" s="1"/>
      <c r="D974" s="1"/>
      <c r="E974" s="1"/>
      <c r="H974" s="18"/>
      <c r="I974" s="18"/>
      <c r="J974" s="18"/>
      <c r="L974" s="6"/>
      <c r="AF974" s="19"/>
      <c r="AG974" s="19"/>
      <c r="AH974" s="20"/>
      <c r="AI974" s="19"/>
      <c r="AK974" s="19"/>
      <c r="AL974" s="19"/>
      <c r="AM974" s="19"/>
      <c r="AN974" s="19"/>
      <c r="AO974" s="19"/>
      <c r="AZ974" s="19"/>
      <c r="BA974" s="19"/>
      <c r="BB974" s="20"/>
      <c r="BC974" s="19"/>
      <c r="BE974" s="19"/>
      <c r="BF974" s="19"/>
      <c r="BG974" s="19"/>
      <c r="BH974" s="19"/>
      <c r="BI974" s="19"/>
      <c r="BJ974" s="19"/>
      <c r="BK974" s="19"/>
      <c r="BL974" s="19"/>
    </row>
    <row r="975" spans="2:64" ht="14" x14ac:dyDescent="0.2">
      <c r="B975" s="1"/>
      <c r="C975" s="1"/>
      <c r="D975" s="1"/>
      <c r="E975" s="1"/>
      <c r="H975" s="18"/>
      <c r="I975" s="18"/>
      <c r="J975" s="18"/>
      <c r="L975" s="6"/>
      <c r="AF975" s="19"/>
      <c r="AG975" s="19"/>
      <c r="AH975" s="20"/>
      <c r="AI975" s="19"/>
      <c r="AK975" s="19"/>
      <c r="AL975" s="19"/>
      <c r="AM975" s="19"/>
      <c r="AN975" s="19"/>
      <c r="AO975" s="19"/>
      <c r="AZ975" s="19"/>
      <c r="BA975" s="19"/>
      <c r="BB975" s="20"/>
      <c r="BC975" s="19"/>
      <c r="BE975" s="19"/>
      <c r="BF975" s="19"/>
      <c r="BG975" s="19"/>
      <c r="BH975" s="19"/>
      <c r="BI975" s="19"/>
      <c r="BJ975" s="19"/>
      <c r="BK975" s="19"/>
      <c r="BL975" s="19"/>
    </row>
    <row r="976" spans="2:64" ht="14" x14ac:dyDescent="0.2">
      <c r="B976" s="1"/>
      <c r="C976" s="1"/>
      <c r="D976" s="1"/>
      <c r="E976" s="1"/>
      <c r="H976" s="18"/>
      <c r="I976" s="18"/>
      <c r="J976" s="18"/>
      <c r="L976" s="6"/>
      <c r="AF976" s="19"/>
      <c r="AG976" s="19"/>
      <c r="AH976" s="20"/>
      <c r="AI976" s="19"/>
      <c r="AK976" s="19"/>
      <c r="AL976" s="19"/>
      <c r="AM976" s="19"/>
      <c r="AN976" s="19"/>
      <c r="AO976" s="19"/>
      <c r="AZ976" s="19"/>
      <c r="BA976" s="19"/>
      <c r="BB976" s="20"/>
      <c r="BC976" s="19"/>
      <c r="BE976" s="19"/>
      <c r="BF976" s="19"/>
      <c r="BG976" s="19"/>
      <c r="BH976" s="19"/>
      <c r="BI976" s="19"/>
      <c r="BJ976" s="19"/>
      <c r="BK976" s="19"/>
      <c r="BL976" s="19"/>
    </row>
    <row r="977" spans="2:64" ht="14" x14ac:dyDescent="0.2">
      <c r="B977" s="1"/>
      <c r="C977" s="1"/>
      <c r="D977" s="1"/>
      <c r="E977" s="1"/>
      <c r="H977" s="18"/>
      <c r="I977" s="18"/>
      <c r="J977" s="18"/>
      <c r="L977" s="6"/>
      <c r="AF977" s="19"/>
      <c r="AG977" s="19"/>
      <c r="AH977" s="20"/>
      <c r="AI977" s="19"/>
      <c r="AK977" s="19"/>
      <c r="AL977" s="19"/>
      <c r="AM977" s="19"/>
      <c r="AN977" s="19"/>
      <c r="AO977" s="19"/>
      <c r="AZ977" s="19"/>
      <c r="BA977" s="19"/>
      <c r="BB977" s="20"/>
      <c r="BC977" s="19"/>
      <c r="BE977" s="19"/>
      <c r="BF977" s="19"/>
      <c r="BG977" s="19"/>
      <c r="BH977" s="19"/>
      <c r="BI977" s="19"/>
      <c r="BJ977" s="19"/>
      <c r="BK977" s="19"/>
      <c r="BL977" s="19"/>
    </row>
    <row r="978" spans="2:64" ht="14" x14ac:dyDescent="0.2">
      <c r="B978" s="1"/>
      <c r="C978" s="1"/>
      <c r="D978" s="1"/>
      <c r="E978" s="1"/>
      <c r="H978" s="18"/>
      <c r="I978" s="18"/>
      <c r="J978" s="18"/>
      <c r="L978" s="6"/>
      <c r="AF978" s="19"/>
      <c r="AG978" s="19"/>
      <c r="AH978" s="20"/>
      <c r="AI978" s="19"/>
      <c r="AK978" s="19"/>
      <c r="AL978" s="19"/>
      <c r="AM978" s="19"/>
      <c r="AN978" s="19"/>
      <c r="AO978" s="19"/>
      <c r="AZ978" s="19"/>
      <c r="BA978" s="19"/>
      <c r="BB978" s="20"/>
      <c r="BC978" s="19"/>
      <c r="BE978" s="19"/>
      <c r="BF978" s="19"/>
      <c r="BG978" s="19"/>
      <c r="BH978" s="19"/>
      <c r="BI978" s="19"/>
      <c r="BJ978" s="19"/>
      <c r="BK978" s="19"/>
      <c r="BL978" s="19"/>
    </row>
    <row r="979" spans="2:64" ht="14" x14ac:dyDescent="0.2">
      <c r="B979" s="1"/>
      <c r="C979" s="1"/>
      <c r="D979" s="1"/>
      <c r="E979" s="1"/>
      <c r="H979" s="18"/>
      <c r="I979" s="18"/>
      <c r="J979" s="18"/>
      <c r="L979" s="6"/>
      <c r="AF979" s="19"/>
      <c r="AG979" s="19"/>
      <c r="AH979" s="20"/>
      <c r="AI979" s="19"/>
      <c r="AK979" s="19"/>
      <c r="AL979" s="19"/>
      <c r="AM979" s="19"/>
      <c r="AN979" s="19"/>
      <c r="AO979" s="19"/>
      <c r="AZ979" s="19"/>
      <c r="BA979" s="19"/>
      <c r="BB979" s="20"/>
      <c r="BC979" s="19"/>
      <c r="BE979" s="19"/>
      <c r="BF979" s="19"/>
      <c r="BG979" s="19"/>
      <c r="BH979" s="19"/>
      <c r="BI979" s="19"/>
      <c r="BJ979" s="19"/>
      <c r="BK979" s="19"/>
      <c r="BL979" s="19"/>
    </row>
    <row r="980" spans="2:64" ht="14" x14ac:dyDescent="0.2">
      <c r="B980" s="1"/>
      <c r="C980" s="1"/>
      <c r="D980" s="1"/>
      <c r="E980" s="1"/>
      <c r="H980" s="18"/>
      <c r="I980" s="18"/>
      <c r="J980" s="18"/>
      <c r="L980" s="6"/>
      <c r="AF980" s="19"/>
      <c r="AG980" s="19"/>
      <c r="AH980" s="20"/>
      <c r="AI980" s="19"/>
      <c r="AK980" s="19"/>
      <c r="AL980" s="19"/>
      <c r="AM980" s="19"/>
      <c r="AN980" s="19"/>
      <c r="AO980" s="19"/>
      <c r="AZ980" s="19"/>
      <c r="BA980" s="19"/>
      <c r="BB980" s="20"/>
      <c r="BC980" s="19"/>
      <c r="BE980" s="19"/>
      <c r="BF980" s="19"/>
      <c r="BG980" s="19"/>
      <c r="BH980" s="19"/>
      <c r="BI980" s="19"/>
      <c r="BJ980" s="19"/>
      <c r="BK980" s="19"/>
      <c r="BL980" s="19"/>
    </row>
    <row r="981" spans="2:64" ht="14" x14ac:dyDescent="0.2">
      <c r="B981" s="1"/>
      <c r="C981" s="1"/>
      <c r="D981" s="1"/>
      <c r="E981" s="1"/>
      <c r="H981" s="18"/>
      <c r="I981" s="18"/>
      <c r="J981" s="18"/>
      <c r="L981" s="6"/>
      <c r="AF981" s="19"/>
      <c r="AG981" s="19"/>
      <c r="AH981" s="20"/>
      <c r="AI981" s="19"/>
      <c r="AK981" s="19"/>
      <c r="AL981" s="19"/>
      <c r="AM981" s="19"/>
      <c r="AN981" s="19"/>
      <c r="AO981" s="19"/>
      <c r="AZ981" s="19"/>
      <c r="BA981" s="19"/>
      <c r="BB981" s="20"/>
      <c r="BC981" s="19"/>
      <c r="BE981" s="19"/>
      <c r="BF981" s="19"/>
      <c r="BG981" s="19"/>
      <c r="BH981" s="19"/>
      <c r="BI981" s="19"/>
      <c r="BJ981" s="19"/>
      <c r="BK981" s="19"/>
      <c r="BL981" s="19"/>
    </row>
    <row r="982" spans="2:64" ht="14" x14ac:dyDescent="0.2">
      <c r="B982" s="1"/>
      <c r="C982" s="1"/>
      <c r="D982" s="1"/>
      <c r="E982" s="1"/>
      <c r="H982" s="18"/>
      <c r="I982" s="18"/>
      <c r="J982" s="18"/>
      <c r="L982" s="6"/>
      <c r="AF982" s="19"/>
      <c r="AG982" s="19"/>
      <c r="AH982" s="20"/>
      <c r="AI982" s="19"/>
      <c r="AK982" s="19"/>
      <c r="AL982" s="19"/>
      <c r="AM982" s="19"/>
      <c r="AN982" s="19"/>
      <c r="AO982" s="19"/>
      <c r="AZ982" s="19"/>
      <c r="BA982" s="19"/>
      <c r="BB982" s="20"/>
      <c r="BC982" s="19"/>
      <c r="BE982" s="19"/>
      <c r="BF982" s="19"/>
      <c r="BG982" s="19"/>
      <c r="BH982" s="19"/>
      <c r="BI982" s="19"/>
      <c r="BJ982" s="19"/>
      <c r="BK982" s="19"/>
      <c r="BL982" s="19"/>
    </row>
    <row r="983" spans="2:64" ht="14" x14ac:dyDescent="0.2">
      <c r="B983" s="1"/>
      <c r="C983" s="1"/>
      <c r="D983" s="1"/>
      <c r="E983" s="1"/>
      <c r="H983" s="18"/>
      <c r="I983" s="18"/>
      <c r="J983" s="18"/>
      <c r="L983" s="6"/>
      <c r="AF983" s="19"/>
      <c r="AG983" s="19"/>
      <c r="AH983" s="20"/>
      <c r="AI983" s="19"/>
      <c r="AK983" s="19"/>
      <c r="AL983" s="19"/>
      <c r="AM983" s="19"/>
      <c r="AN983" s="19"/>
      <c r="AO983" s="19"/>
      <c r="AZ983" s="19"/>
      <c r="BA983" s="19"/>
      <c r="BB983" s="20"/>
      <c r="BC983" s="19"/>
      <c r="BE983" s="19"/>
      <c r="BF983" s="19"/>
      <c r="BG983" s="19"/>
      <c r="BH983" s="19"/>
      <c r="BI983" s="19"/>
      <c r="BJ983" s="19"/>
      <c r="BK983" s="19"/>
      <c r="BL983" s="19"/>
    </row>
    <row r="984" spans="2:64" ht="14" x14ac:dyDescent="0.2">
      <c r="B984" s="1"/>
      <c r="C984" s="1"/>
      <c r="D984" s="1"/>
      <c r="E984" s="1"/>
      <c r="H984" s="18"/>
      <c r="I984" s="18"/>
      <c r="J984" s="18"/>
      <c r="L984" s="6"/>
      <c r="AF984" s="19"/>
      <c r="AG984" s="19"/>
      <c r="AH984" s="20"/>
      <c r="AI984" s="19"/>
      <c r="AK984" s="19"/>
      <c r="AL984" s="19"/>
      <c r="AM984" s="19"/>
      <c r="AN984" s="19"/>
      <c r="AO984" s="19"/>
      <c r="AZ984" s="19"/>
      <c r="BA984" s="19"/>
      <c r="BB984" s="20"/>
      <c r="BC984" s="19"/>
      <c r="BE984" s="19"/>
      <c r="BF984" s="19"/>
      <c r="BG984" s="19"/>
      <c r="BH984" s="19"/>
      <c r="BI984" s="19"/>
      <c r="BJ984" s="19"/>
      <c r="BK984" s="19"/>
      <c r="BL984" s="19"/>
    </row>
    <row r="985" spans="2:64" ht="14" x14ac:dyDescent="0.2">
      <c r="B985" s="1"/>
      <c r="C985" s="1"/>
      <c r="D985" s="1"/>
      <c r="E985" s="1"/>
      <c r="H985" s="18"/>
      <c r="I985" s="18"/>
      <c r="J985" s="18"/>
      <c r="L985" s="6"/>
      <c r="AF985" s="19"/>
      <c r="AG985" s="19"/>
      <c r="AH985" s="20"/>
      <c r="AI985" s="19"/>
      <c r="AK985" s="19"/>
      <c r="AL985" s="19"/>
      <c r="AM985" s="19"/>
      <c r="AN985" s="19"/>
      <c r="AO985" s="19"/>
      <c r="AZ985" s="19"/>
      <c r="BA985" s="19"/>
      <c r="BB985" s="20"/>
      <c r="BC985" s="19"/>
      <c r="BE985" s="19"/>
      <c r="BF985" s="19"/>
      <c r="BG985" s="19"/>
      <c r="BH985" s="19"/>
      <c r="BI985" s="19"/>
      <c r="BJ985" s="19"/>
      <c r="BK985" s="19"/>
      <c r="BL985" s="19"/>
    </row>
    <row r="986" spans="2:64" ht="14" x14ac:dyDescent="0.2">
      <c r="B986" s="1"/>
      <c r="C986" s="1"/>
      <c r="D986" s="1"/>
      <c r="E986" s="1"/>
      <c r="H986" s="18"/>
      <c r="I986" s="18"/>
      <c r="J986" s="18"/>
      <c r="L986" s="6"/>
      <c r="AF986" s="19"/>
      <c r="AG986" s="19"/>
      <c r="AH986" s="20"/>
      <c r="AI986" s="19"/>
      <c r="AK986" s="19"/>
      <c r="AL986" s="19"/>
      <c r="AM986" s="19"/>
      <c r="AN986" s="19"/>
      <c r="AO986" s="19"/>
      <c r="AZ986" s="19"/>
      <c r="BA986" s="19"/>
      <c r="BB986" s="20"/>
      <c r="BC986" s="19"/>
      <c r="BE986" s="19"/>
      <c r="BF986" s="19"/>
      <c r="BG986" s="19"/>
      <c r="BH986" s="19"/>
      <c r="BI986" s="19"/>
      <c r="BJ986" s="19"/>
      <c r="BK986" s="19"/>
      <c r="BL986" s="19"/>
    </row>
    <row r="987" spans="2:64" ht="14" x14ac:dyDescent="0.2">
      <c r="B987" s="1"/>
      <c r="C987" s="1"/>
      <c r="D987" s="1"/>
      <c r="E987" s="1"/>
      <c r="H987" s="18"/>
      <c r="I987" s="18"/>
      <c r="J987" s="18"/>
      <c r="L987" s="6"/>
      <c r="AF987" s="19"/>
      <c r="AG987" s="19"/>
      <c r="AH987" s="20"/>
      <c r="AI987" s="19"/>
      <c r="AK987" s="19"/>
      <c r="AL987" s="19"/>
      <c r="AM987" s="19"/>
      <c r="AN987" s="19"/>
      <c r="AO987" s="19"/>
      <c r="AZ987" s="19"/>
      <c r="BA987" s="19"/>
      <c r="BB987" s="20"/>
      <c r="BC987" s="19"/>
      <c r="BE987" s="19"/>
      <c r="BF987" s="19"/>
      <c r="BG987" s="19"/>
      <c r="BH987" s="19"/>
      <c r="BI987" s="19"/>
      <c r="BJ987" s="19"/>
      <c r="BK987" s="19"/>
      <c r="BL987" s="19"/>
    </row>
    <row r="988" spans="2:64" ht="14" x14ac:dyDescent="0.2">
      <c r="B988" s="1"/>
      <c r="C988" s="1"/>
      <c r="D988" s="1"/>
      <c r="E988" s="1"/>
      <c r="H988" s="18"/>
      <c r="I988" s="18"/>
      <c r="J988" s="18"/>
      <c r="L988" s="6"/>
      <c r="AF988" s="19"/>
      <c r="AG988" s="19"/>
      <c r="AH988" s="20"/>
      <c r="AI988" s="19"/>
      <c r="AK988" s="19"/>
      <c r="AL988" s="19"/>
      <c r="AM988" s="19"/>
      <c r="AN988" s="19"/>
      <c r="AO988" s="19"/>
      <c r="AZ988" s="19"/>
      <c r="BA988" s="19"/>
      <c r="BB988" s="20"/>
      <c r="BC988" s="19"/>
      <c r="BE988" s="19"/>
      <c r="BF988" s="19"/>
      <c r="BG988" s="19"/>
      <c r="BH988" s="19"/>
      <c r="BI988" s="19"/>
      <c r="BJ988" s="19"/>
      <c r="BK988" s="19"/>
      <c r="BL988" s="19"/>
    </row>
    <row r="989" spans="2:64" ht="14" x14ac:dyDescent="0.2">
      <c r="B989" s="1"/>
      <c r="C989" s="1"/>
      <c r="D989" s="1"/>
      <c r="E989" s="1"/>
      <c r="H989" s="18"/>
      <c r="I989" s="18"/>
      <c r="J989" s="18"/>
      <c r="L989" s="6"/>
      <c r="AF989" s="19"/>
      <c r="AG989" s="19"/>
      <c r="AH989" s="20"/>
      <c r="AI989" s="19"/>
      <c r="AK989" s="19"/>
      <c r="AL989" s="19"/>
      <c r="AM989" s="19"/>
      <c r="AN989" s="19"/>
      <c r="AO989" s="19"/>
      <c r="AZ989" s="19"/>
      <c r="BA989" s="19"/>
      <c r="BB989" s="20"/>
      <c r="BC989" s="19"/>
      <c r="BE989" s="19"/>
      <c r="BF989" s="19"/>
      <c r="BG989" s="19"/>
      <c r="BH989" s="19"/>
      <c r="BI989" s="19"/>
      <c r="BJ989" s="19"/>
      <c r="BK989" s="19"/>
      <c r="BL989" s="19"/>
    </row>
    <row r="990" spans="2:64" ht="14" x14ac:dyDescent="0.2">
      <c r="B990" s="1"/>
      <c r="C990" s="1"/>
      <c r="D990" s="1"/>
      <c r="E990" s="1"/>
      <c r="H990" s="18"/>
      <c r="I990" s="18"/>
      <c r="J990" s="18"/>
      <c r="L990" s="6"/>
      <c r="AF990" s="19"/>
      <c r="AG990" s="19"/>
      <c r="AH990" s="20"/>
      <c r="AI990" s="19"/>
      <c r="AK990" s="19"/>
      <c r="AL990" s="19"/>
      <c r="AM990" s="19"/>
      <c r="AN990" s="19"/>
      <c r="AO990" s="19"/>
      <c r="AZ990" s="19"/>
      <c r="BA990" s="19"/>
      <c r="BB990" s="20"/>
      <c r="BC990" s="19"/>
      <c r="BE990" s="19"/>
      <c r="BF990" s="19"/>
      <c r="BG990" s="19"/>
      <c r="BH990" s="19"/>
      <c r="BI990" s="19"/>
      <c r="BJ990" s="19"/>
      <c r="BK990" s="19"/>
      <c r="BL990" s="19"/>
    </row>
    <row r="991" spans="2:64" ht="14" x14ac:dyDescent="0.2">
      <c r="B991" s="1"/>
      <c r="C991" s="1"/>
      <c r="D991" s="1"/>
      <c r="E991" s="1"/>
      <c r="H991" s="18"/>
      <c r="I991" s="18"/>
      <c r="J991" s="18"/>
      <c r="L991" s="6"/>
      <c r="AF991" s="19"/>
      <c r="AG991" s="19"/>
      <c r="AH991" s="20"/>
      <c r="AI991" s="19"/>
      <c r="AK991" s="19"/>
      <c r="AL991" s="19"/>
      <c r="AM991" s="19"/>
      <c r="AN991" s="19"/>
      <c r="AO991" s="19"/>
      <c r="AZ991" s="19"/>
      <c r="BA991" s="19"/>
      <c r="BB991" s="20"/>
      <c r="BC991" s="19"/>
      <c r="BE991" s="19"/>
      <c r="BF991" s="19"/>
      <c r="BG991" s="19"/>
      <c r="BH991" s="19"/>
      <c r="BI991" s="19"/>
      <c r="BJ991" s="19"/>
      <c r="BK991" s="19"/>
      <c r="BL991" s="19"/>
    </row>
    <row r="992" spans="2:64" ht="14" x14ac:dyDescent="0.2">
      <c r="B992" s="1"/>
      <c r="C992" s="1"/>
      <c r="D992" s="1"/>
      <c r="E992" s="1"/>
      <c r="H992" s="18"/>
      <c r="I992" s="18"/>
      <c r="J992" s="18"/>
      <c r="L992" s="6"/>
      <c r="AF992" s="19"/>
      <c r="AG992" s="19"/>
      <c r="AH992" s="20"/>
      <c r="AI992" s="19"/>
      <c r="AK992" s="19"/>
      <c r="AL992" s="19"/>
      <c r="AM992" s="19"/>
      <c r="AN992" s="19"/>
      <c r="AO992" s="19"/>
      <c r="AZ992" s="19"/>
      <c r="BA992" s="19"/>
      <c r="BB992" s="20"/>
      <c r="BC992" s="19"/>
      <c r="BE992" s="19"/>
      <c r="BF992" s="19"/>
      <c r="BG992" s="19"/>
      <c r="BH992" s="19"/>
      <c r="BI992" s="19"/>
      <c r="BJ992" s="19"/>
      <c r="BK992" s="19"/>
      <c r="BL992" s="19"/>
    </row>
    <row r="993" spans="2:64" ht="14" x14ac:dyDescent="0.2">
      <c r="B993" s="1"/>
      <c r="C993" s="1"/>
      <c r="D993" s="1"/>
      <c r="E993" s="1"/>
      <c r="H993" s="18"/>
      <c r="I993" s="18"/>
      <c r="J993" s="18"/>
      <c r="L993" s="6"/>
      <c r="AF993" s="19"/>
      <c r="AG993" s="19"/>
      <c r="AH993" s="20"/>
      <c r="AI993" s="19"/>
      <c r="AK993" s="19"/>
      <c r="AL993" s="19"/>
      <c r="AM993" s="19"/>
      <c r="AN993" s="19"/>
      <c r="AO993" s="19"/>
      <c r="AZ993" s="19"/>
      <c r="BA993" s="19"/>
      <c r="BB993" s="20"/>
      <c r="BC993" s="19"/>
      <c r="BE993" s="19"/>
      <c r="BF993" s="19"/>
      <c r="BG993" s="19"/>
      <c r="BH993" s="19"/>
      <c r="BI993" s="19"/>
      <c r="BJ993" s="19"/>
      <c r="BK993" s="19"/>
      <c r="BL993" s="19"/>
    </row>
    <row r="994" spans="2:64" ht="14" x14ac:dyDescent="0.2">
      <c r="B994" s="1"/>
      <c r="C994" s="1"/>
      <c r="D994" s="1"/>
      <c r="E994" s="1"/>
      <c r="H994" s="18"/>
      <c r="I994" s="18"/>
      <c r="J994" s="18"/>
      <c r="L994" s="6"/>
      <c r="AF994" s="19"/>
      <c r="AG994" s="19"/>
      <c r="AH994" s="20"/>
      <c r="AI994" s="19"/>
      <c r="AK994" s="19"/>
      <c r="AL994" s="19"/>
      <c r="AM994" s="19"/>
      <c r="AN994" s="19"/>
      <c r="AO994" s="19"/>
      <c r="AZ994" s="19"/>
      <c r="BA994" s="19"/>
      <c r="BB994" s="20"/>
      <c r="BC994" s="19"/>
      <c r="BE994" s="19"/>
      <c r="BF994" s="19"/>
      <c r="BG994" s="19"/>
      <c r="BH994" s="19"/>
      <c r="BI994" s="19"/>
      <c r="BJ994" s="19"/>
      <c r="BK994" s="19"/>
      <c r="BL994" s="19"/>
    </row>
    <row r="995" spans="2:64" ht="14" x14ac:dyDescent="0.2">
      <c r="B995" s="1"/>
      <c r="C995" s="1"/>
      <c r="D995" s="1"/>
      <c r="E995" s="1"/>
      <c r="H995" s="18"/>
      <c r="I995" s="18"/>
      <c r="J995" s="18"/>
      <c r="L995" s="6"/>
      <c r="AF995" s="19"/>
      <c r="AG995" s="19"/>
      <c r="AH995" s="20"/>
      <c r="AI995" s="19"/>
      <c r="AK995" s="19"/>
      <c r="AL995" s="19"/>
      <c r="AM995" s="19"/>
      <c r="AN995" s="19"/>
      <c r="AO995" s="19"/>
      <c r="AZ995" s="19"/>
      <c r="BA995" s="19"/>
      <c r="BB995" s="20"/>
      <c r="BC995" s="19"/>
      <c r="BE995" s="19"/>
      <c r="BF995" s="19"/>
      <c r="BG995" s="19"/>
      <c r="BH995" s="19"/>
      <c r="BI995" s="19"/>
      <c r="BJ995" s="19"/>
      <c r="BK995" s="19"/>
      <c r="BL995" s="19"/>
    </row>
    <row r="996" spans="2:64" ht="14" x14ac:dyDescent="0.2">
      <c r="B996" s="1"/>
      <c r="C996" s="1"/>
      <c r="D996" s="1"/>
      <c r="E996" s="1"/>
      <c r="H996" s="18"/>
      <c r="I996" s="18"/>
      <c r="J996" s="18"/>
      <c r="L996" s="6"/>
      <c r="AF996" s="19"/>
      <c r="AG996" s="19"/>
      <c r="AH996" s="20"/>
      <c r="AI996" s="19"/>
      <c r="AK996" s="19"/>
      <c r="AL996" s="19"/>
      <c r="AM996" s="19"/>
      <c r="AN996" s="19"/>
      <c r="AO996" s="19"/>
      <c r="AZ996" s="19"/>
      <c r="BA996" s="19"/>
      <c r="BB996" s="20"/>
      <c r="BC996" s="19"/>
      <c r="BE996" s="19"/>
      <c r="BF996" s="19"/>
      <c r="BG996" s="19"/>
      <c r="BH996" s="19"/>
      <c r="BI996" s="19"/>
      <c r="BJ996" s="19"/>
      <c r="BK996" s="19"/>
      <c r="BL996" s="19"/>
    </row>
    <row r="997" spans="2:64" ht="14" x14ac:dyDescent="0.2">
      <c r="B997" s="1"/>
      <c r="C997" s="1"/>
      <c r="D997" s="1"/>
      <c r="E997" s="1"/>
      <c r="H997" s="18"/>
      <c r="I997" s="18"/>
      <c r="J997" s="18"/>
      <c r="L997" s="6"/>
      <c r="AF997" s="19"/>
      <c r="AG997" s="19"/>
      <c r="AH997" s="20"/>
      <c r="AI997" s="19"/>
      <c r="AK997" s="19"/>
      <c r="AL997" s="19"/>
      <c r="AM997" s="19"/>
      <c r="AN997" s="19"/>
      <c r="AO997" s="19"/>
      <c r="AZ997" s="19"/>
      <c r="BA997" s="19"/>
      <c r="BB997" s="20"/>
      <c r="BC997" s="19"/>
      <c r="BE997" s="19"/>
      <c r="BF997" s="19"/>
      <c r="BG997" s="19"/>
      <c r="BH997" s="19"/>
      <c r="BI997" s="19"/>
      <c r="BJ997" s="19"/>
      <c r="BK997" s="19"/>
      <c r="BL997" s="19"/>
    </row>
    <row r="998" spans="2:64" ht="14" x14ac:dyDescent="0.2">
      <c r="B998" s="1"/>
      <c r="C998" s="1"/>
      <c r="D998" s="1"/>
      <c r="E998" s="1"/>
      <c r="H998" s="18"/>
      <c r="I998" s="18"/>
      <c r="J998" s="18"/>
      <c r="L998" s="6"/>
      <c r="AF998" s="19"/>
      <c r="AG998" s="19"/>
      <c r="AH998" s="20"/>
      <c r="AI998" s="19"/>
      <c r="AK998" s="19"/>
      <c r="AL998" s="19"/>
      <c r="AM998" s="19"/>
      <c r="AN998" s="19"/>
      <c r="AO998" s="19"/>
      <c r="AZ998" s="19"/>
      <c r="BA998" s="19"/>
      <c r="BB998" s="20"/>
      <c r="BC998" s="19"/>
      <c r="BE998" s="19"/>
      <c r="BF998" s="19"/>
      <c r="BG998" s="19"/>
      <c r="BH998" s="19"/>
      <c r="BI998" s="19"/>
      <c r="BJ998" s="19"/>
      <c r="BK998" s="19"/>
      <c r="BL998" s="19"/>
    </row>
    <row r="999" spans="2:64" ht="14" x14ac:dyDescent="0.2">
      <c r="B999" s="1"/>
      <c r="C999" s="1"/>
      <c r="D999" s="1"/>
      <c r="E999" s="1"/>
      <c r="H999" s="18"/>
      <c r="I999" s="18"/>
      <c r="J999" s="18"/>
      <c r="L999" s="6"/>
      <c r="AF999" s="19"/>
      <c r="AG999" s="19"/>
      <c r="AH999" s="20"/>
      <c r="AI999" s="19"/>
      <c r="AK999" s="19"/>
      <c r="AL999" s="19"/>
      <c r="AM999" s="19"/>
      <c r="AN999" s="19"/>
      <c r="AO999" s="19"/>
      <c r="AZ999" s="19"/>
      <c r="BA999" s="19"/>
      <c r="BB999" s="20"/>
      <c r="BC999" s="19"/>
      <c r="BE999" s="19"/>
      <c r="BF999" s="19"/>
      <c r="BG999" s="19"/>
      <c r="BH999" s="19"/>
      <c r="BI999" s="19"/>
      <c r="BJ999" s="19"/>
      <c r="BK999" s="19"/>
      <c r="BL999" s="19"/>
    </row>
    <row r="1000" spans="2:64" ht="14" x14ac:dyDescent="0.2">
      <c r="B1000" s="1"/>
      <c r="C1000" s="1"/>
      <c r="D1000" s="1"/>
      <c r="E1000" s="1"/>
      <c r="H1000" s="18"/>
      <c r="I1000" s="18"/>
      <c r="J1000" s="18"/>
      <c r="L1000" s="6"/>
      <c r="AF1000" s="19"/>
      <c r="AG1000" s="19"/>
      <c r="AH1000" s="20"/>
      <c r="AI1000" s="19"/>
      <c r="AK1000" s="19"/>
      <c r="AL1000" s="19"/>
      <c r="AM1000" s="19"/>
      <c r="AN1000" s="19"/>
      <c r="AO1000" s="19"/>
      <c r="AZ1000" s="19"/>
      <c r="BA1000" s="19"/>
      <c r="BB1000" s="20"/>
      <c r="BC1000" s="19"/>
      <c r="BE1000" s="19"/>
      <c r="BF1000" s="19"/>
      <c r="BG1000" s="19"/>
      <c r="BH1000" s="19"/>
      <c r="BI1000" s="19"/>
      <c r="BJ1000" s="19"/>
      <c r="BK1000" s="19"/>
      <c r="BL1000" s="19"/>
    </row>
    <row r="1001" spans="2:64" ht="14" x14ac:dyDescent="0.2">
      <c r="B1001" s="1"/>
      <c r="C1001" s="1"/>
      <c r="D1001" s="1"/>
      <c r="E1001" s="1"/>
      <c r="H1001" s="18"/>
      <c r="I1001" s="18"/>
      <c r="J1001" s="18"/>
      <c r="L1001" s="6"/>
      <c r="AF1001" s="19"/>
      <c r="AG1001" s="19"/>
      <c r="AH1001" s="20"/>
      <c r="AI1001" s="19"/>
      <c r="AK1001" s="19"/>
      <c r="AL1001" s="19"/>
      <c r="AM1001" s="19"/>
      <c r="AN1001" s="19"/>
      <c r="AO1001" s="19"/>
      <c r="AZ1001" s="19"/>
      <c r="BA1001" s="19"/>
      <c r="BB1001" s="20"/>
      <c r="BC1001" s="19"/>
      <c r="BE1001" s="19"/>
      <c r="BF1001" s="19"/>
      <c r="BG1001" s="19"/>
      <c r="BH1001" s="19"/>
      <c r="BI1001" s="19"/>
      <c r="BJ1001" s="19"/>
      <c r="BK1001" s="19"/>
      <c r="BL1001" s="19"/>
    </row>
    <row r="1002" spans="2:64" ht="14" x14ac:dyDescent="0.2">
      <c r="B1002" s="1"/>
      <c r="C1002" s="1"/>
      <c r="D1002" s="1"/>
      <c r="E1002" s="1"/>
      <c r="H1002" s="18"/>
      <c r="I1002" s="18"/>
      <c r="J1002" s="18"/>
      <c r="L1002" s="6"/>
      <c r="AF1002" s="19"/>
      <c r="AG1002" s="19"/>
      <c r="AH1002" s="20"/>
      <c r="AI1002" s="19"/>
      <c r="AK1002" s="19"/>
      <c r="AL1002" s="19"/>
      <c r="AM1002" s="19"/>
      <c r="AN1002" s="19"/>
      <c r="AO1002" s="19"/>
      <c r="AZ1002" s="19"/>
      <c r="BA1002" s="19"/>
      <c r="BB1002" s="20"/>
      <c r="BC1002" s="19"/>
      <c r="BE1002" s="19"/>
      <c r="BF1002" s="19"/>
      <c r="BG1002" s="19"/>
      <c r="BH1002" s="19"/>
      <c r="BI1002" s="19"/>
      <c r="BJ1002" s="19"/>
      <c r="BK1002" s="19"/>
      <c r="BL1002" s="19"/>
    </row>
    <row r="1003" spans="2:64" ht="14" x14ac:dyDescent="0.2">
      <c r="B1003" s="1"/>
      <c r="C1003" s="1"/>
      <c r="D1003" s="1"/>
      <c r="E1003" s="1"/>
      <c r="H1003" s="18"/>
      <c r="I1003" s="18"/>
      <c r="J1003" s="18"/>
      <c r="L1003" s="6"/>
      <c r="AF1003" s="19"/>
      <c r="AG1003" s="19"/>
      <c r="AH1003" s="20"/>
      <c r="AI1003" s="19"/>
      <c r="AK1003" s="19"/>
      <c r="AL1003" s="19"/>
      <c r="AM1003" s="19"/>
      <c r="AN1003" s="19"/>
      <c r="AO1003" s="19"/>
      <c r="AZ1003" s="19"/>
      <c r="BA1003" s="19"/>
      <c r="BB1003" s="20"/>
      <c r="BC1003" s="19"/>
      <c r="BE1003" s="19"/>
      <c r="BF1003" s="19"/>
      <c r="BG1003" s="19"/>
      <c r="BH1003" s="19"/>
      <c r="BI1003" s="19"/>
      <c r="BJ1003" s="19"/>
      <c r="BK1003" s="19"/>
      <c r="BL1003" s="19"/>
    </row>
    <row r="1004" spans="2:64" ht="14" x14ac:dyDescent="0.2">
      <c r="B1004" s="1"/>
      <c r="C1004" s="1"/>
      <c r="D1004" s="1"/>
      <c r="E1004" s="1"/>
      <c r="H1004" s="18"/>
      <c r="I1004" s="18"/>
      <c r="J1004" s="18"/>
      <c r="L1004" s="6"/>
      <c r="AF1004" s="19"/>
      <c r="AG1004" s="19"/>
      <c r="AH1004" s="20"/>
      <c r="AI1004" s="19"/>
      <c r="AK1004" s="19"/>
      <c r="AL1004" s="19"/>
      <c r="AM1004" s="19"/>
      <c r="AN1004" s="19"/>
      <c r="AO1004" s="19"/>
      <c r="AZ1004" s="19"/>
      <c r="BA1004" s="19"/>
      <c r="BB1004" s="20"/>
      <c r="BC1004" s="19"/>
      <c r="BE1004" s="19"/>
      <c r="BF1004" s="19"/>
      <c r="BG1004" s="19"/>
      <c r="BH1004" s="19"/>
      <c r="BI1004" s="19"/>
      <c r="BJ1004" s="19"/>
      <c r="BK1004" s="19"/>
      <c r="BL1004" s="19"/>
    </row>
    <row r="1005" spans="2:64" ht="14" x14ac:dyDescent="0.2">
      <c r="B1005" s="1"/>
      <c r="C1005" s="1"/>
      <c r="D1005" s="1"/>
      <c r="E1005" s="1"/>
      <c r="H1005" s="18"/>
      <c r="I1005" s="18"/>
      <c r="J1005" s="18"/>
      <c r="L1005" s="6"/>
      <c r="AF1005" s="19"/>
      <c r="AG1005" s="19"/>
      <c r="AH1005" s="20"/>
      <c r="AI1005" s="19"/>
      <c r="AK1005" s="19"/>
      <c r="AL1005" s="19"/>
      <c r="AM1005" s="19"/>
      <c r="AN1005" s="19"/>
      <c r="AO1005" s="19"/>
      <c r="AZ1005" s="19"/>
      <c r="BA1005" s="19"/>
      <c r="BB1005" s="20"/>
      <c r="BC1005" s="19"/>
      <c r="BE1005" s="19"/>
      <c r="BF1005" s="19"/>
      <c r="BG1005" s="19"/>
      <c r="BH1005" s="19"/>
      <c r="BI1005" s="19"/>
      <c r="BJ1005" s="19"/>
      <c r="BK1005" s="19"/>
      <c r="BL1005" s="19"/>
    </row>
    <row r="1006" spans="2:64" ht="14" x14ac:dyDescent="0.2">
      <c r="B1006" s="1"/>
      <c r="C1006" s="1"/>
      <c r="D1006" s="1"/>
      <c r="E1006" s="1"/>
      <c r="H1006" s="18"/>
      <c r="I1006" s="18"/>
      <c r="J1006" s="18"/>
      <c r="L1006" s="6"/>
      <c r="AF1006" s="19"/>
      <c r="AG1006" s="19"/>
      <c r="AH1006" s="20"/>
      <c r="AI1006" s="19"/>
      <c r="AK1006" s="19"/>
      <c r="AL1006" s="19"/>
      <c r="AM1006" s="19"/>
      <c r="AN1006" s="19"/>
      <c r="AO1006" s="19"/>
      <c r="AZ1006" s="19"/>
      <c r="BA1006" s="19"/>
      <c r="BB1006" s="20"/>
      <c r="BC1006" s="19"/>
      <c r="BE1006" s="19"/>
      <c r="BF1006" s="19"/>
      <c r="BG1006" s="19"/>
      <c r="BH1006" s="19"/>
      <c r="BI1006" s="19"/>
      <c r="BJ1006" s="19"/>
      <c r="BK1006" s="19"/>
      <c r="BL1006" s="19"/>
    </row>
    <row r="1007" spans="2:64" ht="14" x14ac:dyDescent="0.2">
      <c r="B1007" s="1"/>
      <c r="C1007" s="1"/>
      <c r="D1007" s="1"/>
      <c r="E1007" s="1"/>
      <c r="H1007" s="18"/>
      <c r="I1007" s="18"/>
      <c r="J1007" s="18"/>
      <c r="L1007" s="6"/>
      <c r="AF1007" s="19"/>
      <c r="AG1007" s="19"/>
      <c r="AH1007" s="20"/>
      <c r="AI1007" s="19"/>
      <c r="AK1007" s="19"/>
      <c r="AL1007" s="19"/>
      <c r="AM1007" s="19"/>
      <c r="AN1007" s="19"/>
      <c r="AO1007" s="19"/>
      <c r="AZ1007" s="19"/>
      <c r="BA1007" s="19"/>
      <c r="BB1007" s="20"/>
      <c r="BC1007" s="19"/>
      <c r="BE1007" s="19"/>
      <c r="BF1007" s="19"/>
      <c r="BG1007" s="19"/>
      <c r="BH1007" s="19"/>
      <c r="BI1007" s="19"/>
      <c r="BJ1007" s="19"/>
      <c r="BK1007" s="19"/>
      <c r="BL1007" s="19"/>
    </row>
    <row r="1008" spans="2:64" ht="14" x14ac:dyDescent="0.2">
      <c r="B1008" s="1"/>
      <c r="C1008" s="1"/>
      <c r="D1008" s="1"/>
      <c r="E1008" s="1"/>
      <c r="H1008" s="18"/>
      <c r="I1008" s="18"/>
      <c r="J1008" s="18"/>
      <c r="L1008" s="6"/>
      <c r="AF1008" s="19"/>
      <c r="AG1008" s="19"/>
      <c r="AH1008" s="20"/>
      <c r="AI1008" s="19"/>
      <c r="AK1008" s="19"/>
      <c r="AL1008" s="19"/>
      <c r="AM1008" s="19"/>
      <c r="AN1008" s="19"/>
      <c r="AO1008" s="19"/>
      <c r="AZ1008" s="19"/>
      <c r="BA1008" s="19"/>
      <c r="BB1008" s="20"/>
      <c r="BC1008" s="19"/>
      <c r="BE1008" s="19"/>
      <c r="BF1008" s="19"/>
      <c r="BG1008" s="19"/>
      <c r="BH1008" s="19"/>
      <c r="BI1008" s="19"/>
      <c r="BJ1008" s="19"/>
      <c r="BK1008" s="19"/>
      <c r="BL1008" s="19"/>
    </row>
    <row r="1009" spans="2:64" ht="14" x14ac:dyDescent="0.2">
      <c r="B1009" s="1"/>
      <c r="C1009" s="1"/>
      <c r="D1009" s="1"/>
      <c r="E1009" s="1"/>
      <c r="H1009" s="18"/>
      <c r="I1009" s="18"/>
      <c r="J1009" s="18"/>
      <c r="L1009" s="6"/>
      <c r="AF1009" s="19"/>
      <c r="AG1009" s="19"/>
      <c r="AH1009" s="20"/>
      <c r="AI1009" s="19"/>
      <c r="AK1009" s="19"/>
      <c r="AL1009" s="19"/>
      <c r="AM1009" s="19"/>
      <c r="AN1009" s="19"/>
      <c r="AO1009" s="19"/>
      <c r="AZ1009" s="19"/>
      <c r="BA1009" s="19"/>
      <c r="BB1009" s="20"/>
      <c r="BC1009" s="19"/>
      <c r="BE1009" s="19"/>
      <c r="BF1009" s="19"/>
      <c r="BG1009" s="19"/>
      <c r="BH1009" s="19"/>
      <c r="BI1009" s="19"/>
      <c r="BJ1009" s="19"/>
      <c r="BK1009" s="19"/>
      <c r="BL1009" s="19"/>
    </row>
    <row r="1010" spans="2:64" ht="14" x14ac:dyDescent="0.2">
      <c r="B1010" s="1"/>
      <c r="C1010" s="1"/>
      <c r="D1010" s="1"/>
      <c r="E1010" s="1"/>
      <c r="H1010" s="18"/>
      <c r="I1010" s="18"/>
      <c r="J1010" s="18"/>
      <c r="L1010" s="6"/>
      <c r="AF1010" s="19"/>
      <c r="AG1010" s="19"/>
      <c r="AH1010" s="20"/>
      <c r="AI1010" s="19"/>
      <c r="AK1010" s="19"/>
      <c r="AL1010" s="19"/>
      <c r="AM1010" s="19"/>
      <c r="AN1010" s="19"/>
      <c r="AO1010" s="19"/>
      <c r="AZ1010" s="19"/>
      <c r="BA1010" s="19"/>
      <c r="BB1010" s="20"/>
      <c r="BC1010" s="19"/>
      <c r="BE1010" s="19"/>
      <c r="BF1010" s="19"/>
      <c r="BG1010" s="19"/>
      <c r="BH1010" s="19"/>
      <c r="BI1010" s="19"/>
      <c r="BJ1010" s="19"/>
      <c r="BK1010" s="19"/>
      <c r="BL1010" s="19"/>
    </row>
    <row r="1011" spans="2:64" ht="14" x14ac:dyDescent="0.2">
      <c r="B1011" s="1"/>
      <c r="C1011" s="1"/>
      <c r="D1011" s="1"/>
      <c r="E1011" s="1"/>
      <c r="H1011" s="18"/>
      <c r="I1011" s="18"/>
      <c r="J1011" s="18"/>
      <c r="L1011" s="6"/>
      <c r="AF1011" s="19"/>
      <c r="AG1011" s="19"/>
      <c r="AH1011" s="20"/>
      <c r="AI1011" s="19"/>
      <c r="AK1011" s="19"/>
      <c r="AL1011" s="19"/>
      <c r="AM1011" s="19"/>
      <c r="AN1011" s="19"/>
      <c r="AO1011" s="19"/>
      <c r="AZ1011" s="19"/>
      <c r="BA1011" s="19"/>
      <c r="BB1011" s="20"/>
      <c r="BC1011" s="19"/>
      <c r="BE1011" s="19"/>
      <c r="BF1011" s="19"/>
      <c r="BG1011" s="19"/>
      <c r="BH1011" s="19"/>
      <c r="BI1011" s="19"/>
      <c r="BJ1011" s="19"/>
      <c r="BK1011" s="19"/>
      <c r="BL1011" s="19"/>
    </row>
    <row r="1012" spans="2:64" ht="14" x14ac:dyDescent="0.2">
      <c r="B1012" s="1"/>
      <c r="C1012" s="1"/>
      <c r="D1012" s="1"/>
      <c r="E1012" s="1"/>
      <c r="H1012" s="18"/>
      <c r="I1012" s="18"/>
      <c r="J1012" s="18"/>
      <c r="L1012" s="6"/>
      <c r="AF1012" s="19"/>
      <c r="AG1012" s="19"/>
      <c r="AH1012" s="20"/>
      <c r="AI1012" s="19"/>
      <c r="AK1012" s="19"/>
      <c r="AL1012" s="19"/>
      <c r="AM1012" s="19"/>
      <c r="AN1012" s="19"/>
      <c r="AO1012" s="19"/>
      <c r="AZ1012" s="19"/>
      <c r="BA1012" s="19"/>
      <c r="BB1012" s="20"/>
      <c r="BC1012" s="19"/>
      <c r="BE1012" s="19"/>
      <c r="BF1012" s="19"/>
      <c r="BG1012" s="19"/>
      <c r="BH1012" s="19"/>
      <c r="BI1012" s="19"/>
      <c r="BJ1012" s="19"/>
      <c r="BK1012" s="19"/>
      <c r="BL1012" s="19"/>
    </row>
    <row r="1013" spans="2:64" ht="14" x14ac:dyDescent="0.2">
      <c r="B1013" s="1"/>
      <c r="C1013" s="1"/>
      <c r="D1013" s="1"/>
      <c r="E1013" s="1"/>
      <c r="H1013" s="18"/>
      <c r="I1013" s="18"/>
      <c r="J1013" s="18"/>
      <c r="L1013" s="6"/>
      <c r="AF1013" s="19"/>
      <c r="AG1013" s="19"/>
      <c r="AH1013" s="20"/>
      <c r="AI1013" s="19"/>
      <c r="AK1013" s="19"/>
      <c r="AL1013" s="19"/>
      <c r="AM1013" s="19"/>
      <c r="AN1013" s="19"/>
      <c r="AO1013" s="19"/>
      <c r="AZ1013" s="19"/>
      <c r="BA1013" s="19"/>
      <c r="BB1013" s="20"/>
      <c r="BC1013" s="19"/>
      <c r="BE1013" s="19"/>
      <c r="BF1013" s="19"/>
      <c r="BG1013" s="19"/>
      <c r="BH1013" s="19"/>
      <c r="BI1013" s="19"/>
      <c r="BJ1013" s="19"/>
      <c r="BK1013" s="19"/>
      <c r="BL1013" s="19"/>
    </row>
    <row r="1014" spans="2:64" ht="14" x14ac:dyDescent="0.2">
      <c r="B1014" s="1"/>
      <c r="C1014" s="1"/>
      <c r="D1014" s="1"/>
      <c r="E1014" s="1"/>
      <c r="H1014" s="18"/>
      <c r="I1014" s="18"/>
      <c r="J1014" s="18"/>
      <c r="L1014" s="6"/>
      <c r="AF1014" s="19"/>
      <c r="AG1014" s="19"/>
      <c r="AH1014" s="20"/>
      <c r="AI1014" s="19"/>
      <c r="AK1014" s="19"/>
      <c r="AL1014" s="19"/>
      <c r="AM1014" s="19"/>
      <c r="AN1014" s="19"/>
      <c r="AO1014" s="19"/>
      <c r="AZ1014" s="19"/>
      <c r="BA1014" s="19"/>
      <c r="BB1014" s="20"/>
      <c r="BC1014" s="19"/>
      <c r="BE1014" s="19"/>
      <c r="BF1014" s="19"/>
      <c r="BG1014" s="19"/>
      <c r="BH1014" s="19"/>
      <c r="BI1014" s="19"/>
      <c r="BJ1014" s="19"/>
      <c r="BK1014" s="19"/>
      <c r="BL1014" s="19"/>
    </row>
  </sheetData>
  <mergeCells count="12">
    <mergeCell ref="AA2:AD2"/>
    <mergeCell ref="AF2:AI2"/>
    <mergeCell ref="B2:E2"/>
    <mergeCell ref="G2:J2"/>
    <mergeCell ref="L2:O2"/>
    <mergeCell ref="Q2:T2"/>
    <mergeCell ref="V2:Y2"/>
    <mergeCell ref="AK2:AN2"/>
    <mergeCell ref="AP2:AS2"/>
    <mergeCell ref="AU2:AX2"/>
    <mergeCell ref="AZ2:BC2"/>
    <mergeCell ref="BE2:BH2"/>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3C98-E969-4440-AFDA-8ECE85D148CF}">
  <dimension ref="A1:C3025"/>
  <sheetViews>
    <sheetView topLeftCell="A811" workbookViewId="0">
      <selection activeCell="A2" sqref="A2:C3025"/>
    </sheetView>
  </sheetViews>
  <sheetFormatPr baseColWidth="10" defaultRowHeight="14" x14ac:dyDescent="0.2"/>
  <cols>
    <col min="1" max="1" width="17.796875" bestFit="1" customWidth="1"/>
    <col min="2" max="2" width="25.3984375" bestFit="1" customWidth="1"/>
    <col min="3" max="3" width="12.3984375" bestFit="1" customWidth="1"/>
  </cols>
  <sheetData>
    <row r="1" spans="1:3" x14ac:dyDescent="0.2">
      <c r="A1" t="s">
        <v>307</v>
      </c>
      <c r="B1" t="s">
        <v>290</v>
      </c>
      <c r="C1" t="s">
        <v>57</v>
      </c>
    </row>
    <row r="2" spans="1:3" ht="24" x14ac:dyDescent="0.3">
      <c r="A2" s="109"/>
      <c r="B2" s="109"/>
      <c r="C2" s="109"/>
    </row>
    <row r="3" spans="1:3" ht="24" x14ac:dyDescent="0.3">
      <c r="A3" s="109" t="s">
        <v>1</v>
      </c>
      <c r="B3" s="109" t="s">
        <v>62</v>
      </c>
      <c r="C3" s="109">
        <v>8</v>
      </c>
    </row>
    <row r="4" spans="1:3" ht="24" x14ac:dyDescent="0.3">
      <c r="A4" s="109" t="s">
        <v>1</v>
      </c>
      <c r="B4" s="109" t="s">
        <v>63</v>
      </c>
      <c r="C4" s="109">
        <v>5</v>
      </c>
    </row>
    <row r="5" spans="1:3" ht="24" x14ac:dyDescent="0.3">
      <c r="A5" s="109" t="s">
        <v>1</v>
      </c>
      <c r="B5" s="109" t="s">
        <v>64</v>
      </c>
      <c r="C5" s="109">
        <v>0</v>
      </c>
    </row>
    <row r="6" spans="1:3" ht="24" x14ac:dyDescent="0.3">
      <c r="A6" s="109" t="s">
        <v>1</v>
      </c>
      <c r="B6" s="109" t="s">
        <v>65</v>
      </c>
      <c r="C6" s="109">
        <v>6</v>
      </c>
    </row>
    <row r="7" spans="1:3" ht="24" x14ac:dyDescent="0.3">
      <c r="A7" s="109" t="s">
        <v>1</v>
      </c>
      <c r="B7" s="109" t="s">
        <v>66</v>
      </c>
      <c r="C7" s="109">
        <v>2</v>
      </c>
    </row>
    <row r="8" spans="1:3" ht="24" x14ac:dyDescent="0.3">
      <c r="A8" s="109" t="s">
        <v>1</v>
      </c>
      <c r="B8" s="109" t="s">
        <v>67</v>
      </c>
      <c r="C8" s="109">
        <v>0</v>
      </c>
    </row>
    <row r="9" spans="1:3" ht="24" x14ac:dyDescent="0.3">
      <c r="A9" s="109" t="s">
        <v>1</v>
      </c>
      <c r="B9" s="109" t="s">
        <v>68</v>
      </c>
      <c r="C9" s="109">
        <v>0</v>
      </c>
    </row>
    <row r="10" spans="1:3" ht="24" x14ac:dyDescent="0.3">
      <c r="A10" s="109" t="s">
        <v>1</v>
      </c>
      <c r="B10" s="109" t="s">
        <v>69</v>
      </c>
      <c r="C10" s="109">
        <v>2</v>
      </c>
    </row>
    <row r="11" spans="1:3" ht="24" x14ac:dyDescent="0.3">
      <c r="A11" s="109" t="s">
        <v>1</v>
      </c>
      <c r="B11" s="109" t="s">
        <v>70</v>
      </c>
      <c r="C11" s="109">
        <v>1</v>
      </c>
    </row>
    <row r="12" spans="1:3" ht="24" x14ac:dyDescent="0.3">
      <c r="A12" s="109" t="s">
        <v>1</v>
      </c>
      <c r="B12" s="109" t="s">
        <v>71</v>
      </c>
      <c r="C12" s="109">
        <v>1</v>
      </c>
    </row>
    <row r="13" spans="1:3" ht="24" x14ac:dyDescent="0.3">
      <c r="A13" s="109" t="s">
        <v>1</v>
      </c>
      <c r="B13" s="109" t="s">
        <v>72</v>
      </c>
      <c r="C13" s="109">
        <v>0</v>
      </c>
    </row>
    <row r="14" spans="1:3" ht="24" x14ac:dyDescent="0.3">
      <c r="A14" s="109" t="s">
        <v>1</v>
      </c>
      <c r="B14" s="109" t="s">
        <v>73</v>
      </c>
      <c r="C14" s="109">
        <v>1</v>
      </c>
    </row>
    <row r="15" spans="1:3" ht="24" x14ac:dyDescent="0.3">
      <c r="A15" s="109" t="s">
        <v>1</v>
      </c>
      <c r="B15" s="109" t="s">
        <v>74</v>
      </c>
      <c r="C15" s="109">
        <v>2</v>
      </c>
    </row>
    <row r="16" spans="1:3" ht="24" x14ac:dyDescent="0.3">
      <c r="A16" s="109" t="s">
        <v>1</v>
      </c>
      <c r="B16" s="109" t="s">
        <v>75</v>
      </c>
      <c r="C16" s="109">
        <v>1</v>
      </c>
    </row>
    <row r="17" spans="1:3" ht="24" x14ac:dyDescent="0.3">
      <c r="A17" s="109" t="s">
        <v>1</v>
      </c>
      <c r="B17" s="109" t="s">
        <v>76</v>
      </c>
      <c r="C17" s="109">
        <v>0</v>
      </c>
    </row>
    <row r="18" spans="1:3" ht="24" x14ac:dyDescent="0.3">
      <c r="A18" s="109" t="s">
        <v>1</v>
      </c>
      <c r="B18" s="109" t="s">
        <v>77</v>
      </c>
      <c r="C18" s="109">
        <v>1</v>
      </c>
    </row>
    <row r="19" spans="1:3" ht="24" x14ac:dyDescent="0.3">
      <c r="A19" s="109" t="s">
        <v>1</v>
      </c>
      <c r="B19" s="109" t="s">
        <v>78</v>
      </c>
      <c r="C19" s="109">
        <v>12</v>
      </c>
    </row>
    <row r="20" spans="1:3" ht="24" x14ac:dyDescent="0.3">
      <c r="A20" s="109" t="s">
        <v>1</v>
      </c>
      <c r="B20" s="109" t="s">
        <v>79</v>
      </c>
      <c r="C20" s="109">
        <v>5</v>
      </c>
    </row>
    <row r="21" spans="1:3" ht="24" x14ac:dyDescent="0.3">
      <c r="A21" s="109" t="s">
        <v>1</v>
      </c>
      <c r="B21" s="109" t="s">
        <v>80</v>
      </c>
      <c r="C21" s="109">
        <v>0</v>
      </c>
    </row>
    <row r="22" spans="1:3" ht="24" x14ac:dyDescent="0.3">
      <c r="A22" s="109" t="s">
        <v>1</v>
      </c>
      <c r="B22" s="109" t="s">
        <v>81</v>
      </c>
      <c r="C22" s="109">
        <v>5</v>
      </c>
    </row>
    <row r="23" spans="1:3" ht="24" x14ac:dyDescent="0.3">
      <c r="A23" s="109" t="s">
        <v>1</v>
      </c>
      <c r="B23" s="109" t="s">
        <v>83</v>
      </c>
      <c r="C23" s="109">
        <v>438</v>
      </c>
    </row>
    <row r="24" spans="1:3" ht="24" x14ac:dyDescent="0.3">
      <c r="A24" s="109" t="s">
        <v>1</v>
      </c>
      <c r="B24" s="109" t="s">
        <v>84</v>
      </c>
      <c r="C24" s="109">
        <v>150</v>
      </c>
    </row>
    <row r="25" spans="1:3" ht="24" x14ac:dyDescent="0.3">
      <c r="A25" s="109" t="s">
        <v>1</v>
      </c>
      <c r="B25" s="109" t="s">
        <v>85</v>
      </c>
      <c r="C25" s="109">
        <v>30</v>
      </c>
    </row>
    <row r="26" spans="1:3" ht="24" x14ac:dyDescent="0.3">
      <c r="A26" s="109" t="s">
        <v>1</v>
      </c>
      <c r="B26" s="109" t="s">
        <v>86</v>
      </c>
      <c r="C26" s="109">
        <v>15</v>
      </c>
    </row>
    <row r="27" spans="1:3" ht="24" x14ac:dyDescent="0.3">
      <c r="A27" s="109" t="s">
        <v>1</v>
      </c>
      <c r="B27" s="109" t="s">
        <v>87</v>
      </c>
      <c r="C27" s="109">
        <v>15</v>
      </c>
    </row>
    <row r="28" spans="1:3" ht="24" x14ac:dyDescent="0.3">
      <c r="A28" s="109" t="s">
        <v>1</v>
      </c>
      <c r="B28" s="109" t="s">
        <v>88</v>
      </c>
      <c r="C28" s="109">
        <v>6</v>
      </c>
    </row>
    <row r="29" spans="1:3" ht="24" x14ac:dyDescent="0.3">
      <c r="A29" s="109" t="s">
        <v>1</v>
      </c>
      <c r="B29" s="109" t="s">
        <v>89</v>
      </c>
      <c r="C29" s="109">
        <v>0</v>
      </c>
    </row>
    <row r="30" spans="1:3" ht="24" x14ac:dyDescent="0.3">
      <c r="A30" s="109" t="s">
        <v>1</v>
      </c>
      <c r="B30" s="109" t="s">
        <v>90</v>
      </c>
      <c r="C30" s="109">
        <v>100</v>
      </c>
    </row>
    <row r="31" spans="1:3" ht="24" x14ac:dyDescent="0.3">
      <c r="A31" s="109" t="s">
        <v>1</v>
      </c>
      <c r="B31" s="109" t="s">
        <v>92</v>
      </c>
      <c r="C31" s="109">
        <v>2</v>
      </c>
    </row>
    <row r="32" spans="1:3" ht="24" x14ac:dyDescent="0.3">
      <c r="A32" s="109" t="s">
        <v>1</v>
      </c>
      <c r="B32" s="109" t="s">
        <v>93</v>
      </c>
      <c r="C32" s="109">
        <v>4</v>
      </c>
    </row>
    <row r="33" spans="1:3" ht="24" x14ac:dyDescent="0.3">
      <c r="A33" s="109" t="s">
        <v>1</v>
      </c>
      <c r="B33" s="109" t="s">
        <v>94</v>
      </c>
      <c r="C33" s="109">
        <v>0</v>
      </c>
    </row>
    <row r="34" spans="1:3" ht="24" x14ac:dyDescent="0.3">
      <c r="A34" s="109" t="s">
        <v>1</v>
      </c>
      <c r="B34" s="109" t="s">
        <v>95</v>
      </c>
      <c r="C34" s="109">
        <v>0</v>
      </c>
    </row>
    <row r="35" spans="1:3" ht="24" x14ac:dyDescent="0.3">
      <c r="A35" s="109" t="s">
        <v>1</v>
      </c>
      <c r="B35" s="109" t="s">
        <v>96</v>
      </c>
      <c r="C35" s="109">
        <v>1</v>
      </c>
    </row>
    <row r="36" spans="1:3" ht="24" x14ac:dyDescent="0.3">
      <c r="A36" s="109" t="s">
        <v>1</v>
      </c>
      <c r="B36" s="109" t="s">
        <v>97</v>
      </c>
      <c r="C36" s="109">
        <v>1</v>
      </c>
    </row>
    <row r="37" spans="1:3" ht="24" x14ac:dyDescent="0.3">
      <c r="A37" s="109" t="s">
        <v>1</v>
      </c>
      <c r="B37" s="109" t="s">
        <v>98</v>
      </c>
      <c r="C37" s="109">
        <v>0</v>
      </c>
    </row>
    <row r="38" spans="1:3" ht="24" x14ac:dyDescent="0.3">
      <c r="A38" s="109" t="s">
        <v>1</v>
      </c>
      <c r="B38" s="109" t="s">
        <v>99</v>
      </c>
      <c r="C38" s="109">
        <v>10</v>
      </c>
    </row>
    <row r="39" spans="1:3" ht="24" x14ac:dyDescent="0.3">
      <c r="A39" s="109" t="s">
        <v>1</v>
      </c>
      <c r="B39" s="109" t="s">
        <v>100</v>
      </c>
      <c r="C39" s="109">
        <v>10</v>
      </c>
    </row>
    <row r="40" spans="1:3" ht="24" x14ac:dyDescent="0.3">
      <c r="A40" s="109" t="s">
        <v>1</v>
      </c>
      <c r="B40" s="109" t="s">
        <v>101</v>
      </c>
      <c r="C40" s="109">
        <v>0.4</v>
      </c>
    </row>
    <row r="41" spans="1:3" ht="24" x14ac:dyDescent="0.3">
      <c r="A41" s="109" t="s">
        <v>1</v>
      </c>
      <c r="B41" s="109" t="s">
        <v>102</v>
      </c>
      <c r="C41" s="109">
        <v>0.5</v>
      </c>
    </row>
    <row r="42" spans="1:3" ht="24" x14ac:dyDescent="0.3">
      <c r="A42" s="109" t="s">
        <v>1</v>
      </c>
      <c r="B42" s="109" t="s">
        <v>103</v>
      </c>
      <c r="C42" s="109">
        <v>0</v>
      </c>
    </row>
    <row r="43" spans="1:3" ht="24" x14ac:dyDescent="0.3">
      <c r="A43" s="109" t="s">
        <v>1</v>
      </c>
      <c r="B43" s="109" t="s">
        <v>104</v>
      </c>
      <c r="C43" s="109">
        <v>0</v>
      </c>
    </row>
    <row r="44" spans="1:3" ht="24" x14ac:dyDescent="0.3">
      <c r="A44" s="109" t="s">
        <v>1</v>
      </c>
      <c r="B44" s="109" t="s">
        <v>105</v>
      </c>
      <c r="C44" s="109">
        <v>0</v>
      </c>
    </row>
    <row r="45" spans="1:3" ht="24" x14ac:dyDescent="0.3">
      <c r="A45" s="109" t="s">
        <v>1</v>
      </c>
      <c r="B45" s="109" t="s">
        <v>106</v>
      </c>
      <c r="C45" s="109">
        <v>0</v>
      </c>
    </row>
    <row r="46" spans="1:3" ht="24" x14ac:dyDescent="0.3">
      <c r="A46" s="109" t="s">
        <v>1</v>
      </c>
      <c r="B46" s="109" t="s">
        <v>107</v>
      </c>
      <c r="C46" s="109">
        <v>0</v>
      </c>
    </row>
    <row r="47" spans="1:3" ht="24" x14ac:dyDescent="0.3">
      <c r="A47" s="109" t="s">
        <v>1</v>
      </c>
      <c r="B47" s="109" t="s">
        <v>108</v>
      </c>
      <c r="C47" s="109">
        <v>0.5</v>
      </c>
    </row>
    <row r="48" spans="1:3" ht="24" x14ac:dyDescent="0.3">
      <c r="A48" s="109" t="s">
        <v>1</v>
      </c>
      <c r="B48" s="109" t="s">
        <v>109</v>
      </c>
      <c r="C48" s="109">
        <v>0</v>
      </c>
    </row>
    <row r="49" spans="1:3" ht="24" x14ac:dyDescent="0.3">
      <c r="A49" s="109" t="s">
        <v>1</v>
      </c>
      <c r="B49" s="109" t="s">
        <v>110</v>
      </c>
      <c r="C49" s="109">
        <v>0</v>
      </c>
    </row>
    <row r="50" spans="1:3" ht="24" x14ac:dyDescent="0.3">
      <c r="A50" s="109" t="s">
        <v>1</v>
      </c>
      <c r="B50" s="109" t="s">
        <v>111</v>
      </c>
      <c r="C50" s="109">
        <v>0</v>
      </c>
    </row>
    <row r="51" spans="1:3" ht="24" x14ac:dyDescent="0.3">
      <c r="A51" s="109" t="s">
        <v>1</v>
      </c>
      <c r="B51" s="109" t="s">
        <v>112</v>
      </c>
      <c r="C51" s="109">
        <v>0</v>
      </c>
    </row>
    <row r="52" spans="1:3" ht="24" x14ac:dyDescent="0.3">
      <c r="A52" s="109" t="s">
        <v>1</v>
      </c>
      <c r="B52" s="109" t="s">
        <v>113</v>
      </c>
      <c r="C52" s="109">
        <v>0</v>
      </c>
    </row>
    <row r="53" spans="1:3" ht="24" x14ac:dyDescent="0.3">
      <c r="A53" s="109" t="s">
        <v>1</v>
      </c>
      <c r="B53" s="109" t="s">
        <v>114</v>
      </c>
      <c r="C53" s="109">
        <v>0</v>
      </c>
    </row>
    <row r="54" spans="1:3" ht="24" x14ac:dyDescent="0.3">
      <c r="A54" s="109" t="s">
        <v>1</v>
      </c>
      <c r="B54" s="109" t="s">
        <v>115</v>
      </c>
      <c r="C54" s="109">
        <v>0</v>
      </c>
    </row>
    <row r="55" spans="1:3" ht="24" x14ac:dyDescent="0.3">
      <c r="A55" s="109" t="s">
        <v>1</v>
      </c>
      <c r="B55" s="109" t="s">
        <v>116</v>
      </c>
      <c r="C55" s="109">
        <v>1</v>
      </c>
    </row>
    <row r="56" spans="1:3" ht="24" x14ac:dyDescent="0.3">
      <c r="A56" s="109" t="s">
        <v>1</v>
      </c>
      <c r="B56" s="109" t="s">
        <v>117</v>
      </c>
      <c r="C56" s="109">
        <v>3</v>
      </c>
    </row>
    <row r="57" spans="1:3" ht="24" x14ac:dyDescent="0.3">
      <c r="A57" s="109" t="s">
        <v>1</v>
      </c>
      <c r="B57" s="109" t="s">
        <v>118</v>
      </c>
      <c r="C57" s="109">
        <v>24</v>
      </c>
    </row>
    <row r="58" spans="1:3" ht="24" x14ac:dyDescent="0.3">
      <c r="A58" s="109" t="s">
        <v>1</v>
      </c>
      <c r="B58" s="109" t="s">
        <v>120</v>
      </c>
      <c r="C58" s="109">
        <v>0.5</v>
      </c>
    </row>
    <row r="59" spans="1:3" ht="24" x14ac:dyDescent="0.3">
      <c r="A59" s="109" t="s">
        <v>1</v>
      </c>
      <c r="B59" s="109" t="s">
        <v>121</v>
      </c>
      <c r="C59" s="109">
        <v>5</v>
      </c>
    </row>
    <row r="60" spans="1:3" ht="24" x14ac:dyDescent="0.3">
      <c r="A60" s="109" t="s">
        <v>1</v>
      </c>
      <c r="B60" s="109" t="s">
        <v>122</v>
      </c>
      <c r="C60" s="109">
        <v>1</v>
      </c>
    </row>
    <row r="61" spans="1:3" ht="24" x14ac:dyDescent="0.3">
      <c r="A61" s="109" t="s">
        <v>1</v>
      </c>
      <c r="B61" s="109" t="s">
        <v>123</v>
      </c>
      <c r="C61" s="109">
        <v>0</v>
      </c>
    </row>
    <row r="62" spans="1:3" ht="24" x14ac:dyDescent="0.3">
      <c r="A62" s="109" t="s">
        <v>1</v>
      </c>
      <c r="B62" s="109" t="s">
        <v>124</v>
      </c>
      <c r="C62" s="109">
        <v>0</v>
      </c>
    </row>
    <row r="63" spans="1:3" ht="24" x14ac:dyDescent="0.3">
      <c r="A63" s="109" t="s">
        <v>1</v>
      </c>
      <c r="B63" s="109" t="s">
        <v>125</v>
      </c>
      <c r="C63" s="109">
        <v>0</v>
      </c>
    </row>
    <row r="64" spans="1:3" ht="24" x14ac:dyDescent="0.3">
      <c r="A64" s="109" t="s">
        <v>1</v>
      </c>
      <c r="B64" s="109" t="s">
        <v>126</v>
      </c>
      <c r="C64" s="109">
        <v>400</v>
      </c>
    </row>
    <row r="65" spans="1:3" ht="24" x14ac:dyDescent="0.3">
      <c r="A65" s="109"/>
      <c r="B65" s="109"/>
      <c r="C65" s="109"/>
    </row>
    <row r="66" spans="1:3" ht="24" x14ac:dyDescent="0.3">
      <c r="A66" s="109" t="s">
        <v>25</v>
      </c>
      <c r="B66" s="109" t="s">
        <v>62</v>
      </c>
      <c r="C66" s="109">
        <v>10</v>
      </c>
    </row>
    <row r="67" spans="1:3" ht="24" x14ac:dyDescent="0.3">
      <c r="A67" s="109" t="s">
        <v>25</v>
      </c>
      <c r="B67" s="109" t="s">
        <v>63</v>
      </c>
      <c r="C67" s="109">
        <v>12</v>
      </c>
    </row>
    <row r="68" spans="1:3" ht="24" x14ac:dyDescent="0.3">
      <c r="A68" s="109" t="s">
        <v>25</v>
      </c>
      <c r="B68" s="109" t="s">
        <v>64</v>
      </c>
      <c r="C68" s="109">
        <v>8</v>
      </c>
    </row>
    <row r="69" spans="1:3" ht="24" x14ac:dyDescent="0.3">
      <c r="A69" s="109" t="s">
        <v>25</v>
      </c>
      <c r="B69" s="109" t="s">
        <v>65</v>
      </c>
      <c r="C69" s="109">
        <v>12</v>
      </c>
    </row>
    <row r="70" spans="1:3" ht="24" x14ac:dyDescent="0.3">
      <c r="A70" s="109" t="s">
        <v>25</v>
      </c>
      <c r="B70" s="109" t="s">
        <v>66</v>
      </c>
      <c r="C70" s="109">
        <v>5</v>
      </c>
    </row>
    <row r="71" spans="1:3" ht="24" x14ac:dyDescent="0.3">
      <c r="A71" s="109" t="s">
        <v>25</v>
      </c>
      <c r="B71" s="109" t="s">
        <v>67</v>
      </c>
      <c r="C71" s="109">
        <v>0</v>
      </c>
    </row>
    <row r="72" spans="1:3" ht="24" x14ac:dyDescent="0.3">
      <c r="A72" s="109" t="s">
        <v>25</v>
      </c>
      <c r="B72" s="109" t="s">
        <v>68</v>
      </c>
      <c r="C72" s="109">
        <v>3</v>
      </c>
    </row>
    <row r="73" spans="1:3" ht="24" x14ac:dyDescent="0.3">
      <c r="A73" s="109" t="s">
        <v>25</v>
      </c>
      <c r="B73" s="109" t="s">
        <v>69</v>
      </c>
      <c r="C73" s="109">
        <v>2</v>
      </c>
    </row>
    <row r="74" spans="1:3" ht="24" x14ac:dyDescent="0.3">
      <c r="A74" s="109" t="s">
        <v>25</v>
      </c>
      <c r="B74" s="109" t="s">
        <v>70</v>
      </c>
      <c r="C74" s="109">
        <v>2</v>
      </c>
    </row>
    <row r="75" spans="1:3" ht="24" x14ac:dyDescent="0.3">
      <c r="A75" s="109" t="s">
        <v>25</v>
      </c>
      <c r="B75" s="109" t="s">
        <v>71</v>
      </c>
      <c r="C75" s="109">
        <v>2</v>
      </c>
    </row>
    <row r="76" spans="1:3" ht="24" x14ac:dyDescent="0.3">
      <c r="A76" s="109" t="s">
        <v>25</v>
      </c>
      <c r="B76" s="109" t="s">
        <v>72</v>
      </c>
      <c r="C76" s="109">
        <v>1</v>
      </c>
    </row>
    <row r="77" spans="1:3" ht="24" x14ac:dyDescent="0.3">
      <c r="A77" s="109" t="s">
        <v>25</v>
      </c>
      <c r="B77" s="109" t="s">
        <v>73</v>
      </c>
      <c r="C77" s="109">
        <v>1.5</v>
      </c>
    </row>
    <row r="78" spans="1:3" ht="24" x14ac:dyDescent="0.3">
      <c r="A78" s="109" t="s">
        <v>25</v>
      </c>
      <c r="B78" s="109" t="s">
        <v>74</v>
      </c>
      <c r="C78" s="109">
        <v>3</v>
      </c>
    </row>
    <row r="79" spans="1:3" ht="24" x14ac:dyDescent="0.3">
      <c r="A79" s="109" t="s">
        <v>25</v>
      </c>
      <c r="B79" s="109" t="s">
        <v>75</v>
      </c>
      <c r="C79" s="109">
        <v>1</v>
      </c>
    </row>
    <row r="80" spans="1:3" ht="24" x14ac:dyDescent="0.3">
      <c r="A80" s="109" t="s">
        <v>25</v>
      </c>
      <c r="B80" s="109" t="s">
        <v>76</v>
      </c>
      <c r="C80" s="109">
        <v>0</v>
      </c>
    </row>
    <row r="81" spans="1:3" ht="24" x14ac:dyDescent="0.3">
      <c r="A81" s="109" t="s">
        <v>25</v>
      </c>
      <c r="B81" s="109" t="s">
        <v>77</v>
      </c>
      <c r="C81" s="109">
        <v>2</v>
      </c>
    </row>
    <row r="82" spans="1:3" ht="24" x14ac:dyDescent="0.3">
      <c r="A82" s="109" t="s">
        <v>25</v>
      </c>
      <c r="B82" s="109" t="s">
        <v>78</v>
      </c>
      <c r="C82" s="109">
        <v>25</v>
      </c>
    </row>
    <row r="83" spans="1:3" ht="24" x14ac:dyDescent="0.3">
      <c r="A83" s="109" t="s">
        <v>25</v>
      </c>
      <c r="B83" s="109" t="s">
        <v>79</v>
      </c>
      <c r="C83" s="109">
        <v>6</v>
      </c>
    </row>
    <row r="84" spans="1:3" ht="24" x14ac:dyDescent="0.3">
      <c r="A84" s="109" t="s">
        <v>25</v>
      </c>
      <c r="B84" s="109" t="s">
        <v>80</v>
      </c>
      <c r="C84" s="109">
        <v>6</v>
      </c>
    </row>
    <row r="85" spans="1:3" ht="24" x14ac:dyDescent="0.3">
      <c r="A85" s="109" t="s">
        <v>25</v>
      </c>
      <c r="B85" s="109" t="s">
        <v>81</v>
      </c>
      <c r="C85" s="109">
        <v>2</v>
      </c>
    </row>
    <row r="86" spans="1:3" ht="24" x14ac:dyDescent="0.3">
      <c r="A86" s="109" t="s">
        <v>25</v>
      </c>
      <c r="B86" s="109" t="s">
        <v>83</v>
      </c>
      <c r="C86" s="109">
        <v>231</v>
      </c>
    </row>
    <row r="87" spans="1:3" ht="24" x14ac:dyDescent="0.3">
      <c r="A87" s="109" t="s">
        <v>25</v>
      </c>
      <c r="B87" s="109" t="s">
        <v>84</v>
      </c>
      <c r="C87" s="109">
        <v>135</v>
      </c>
    </row>
    <row r="88" spans="1:3" ht="24" x14ac:dyDescent="0.3">
      <c r="A88" s="109" t="s">
        <v>25</v>
      </c>
      <c r="B88" s="109" t="s">
        <v>85</v>
      </c>
      <c r="C88" s="109">
        <v>25</v>
      </c>
    </row>
    <row r="89" spans="1:3" ht="24" x14ac:dyDescent="0.3">
      <c r="A89" s="109" t="s">
        <v>25</v>
      </c>
      <c r="B89" s="109" t="s">
        <v>86</v>
      </c>
      <c r="C89" s="109">
        <v>15</v>
      </c>
    </row>
    <row r="90" spans="1:3" ht="24" x14ac:dyDescent="0.3">
      <c r="A90" s="109" t="s">
        <v>25</v>
      </c>
      <c r="B90" s="109" t="s">
        <v>87</v>
      </c>
      <c r="C90" s="109">
        <v>9</v>
      </c>
    </row>
    <row r="91" spans="1:3" ht="24" x14ac:dyDescent="0.3">
      <c r="A91" s="109" t="s">
        <v>25</v>
      </c>
      <c r="B91" s="109" t="s">
        <v>88</v>
      </c>
      <c r="C91" s="109">
        <v>9</v>
      </c>
    </row>
    <row r="92" spans="1:3" ht="24" x14ac:dyDescent="0.3">
      <c r="A92" s="109" t="s">
        <v>25</v>
      </c>
      <c r="B92" s="109" t="s">
        <v>89</v>
      </c>
      <c r="C92" s="109">
        <v>0</v>
      </c>
    </row>
    <row r="93" spans="1:3" ht="24" x14ac:dyDescent="0.3">
      <c r="A93" s="109" t="s">
        <v>25</v>
      </c>
      <c r="B93" s="109" t="s">
        <v>90</v>
      </c>
      <c r="C93" s="109">
        <v>0</v>
      </c>
    </row>
    <row r="94" spans="1:3" ht="24" x14ac:dyDescent="0.3">
      <c r="A94" s="109" t="s">
        <v>25</v>
      </c>
      <c r="B94" s="109" t="s">
        <v>92</v>
      </c>
      <c r="C94" s="109">
        <v>2</v>
      </c>
    </row>
    <row r="95" spans="1:3" ht="24" x14ac:dyDescent="0.3">
      <c r="A95" s="109" t="s">
        <v>25</v>
      </c>
      <c r="B95" s="109" t="s">
        <v>93</v>
      </c>
      <c r="C95" s="109">
        <v>7</v>
      </c>
    </row>
    <row r="96" spans="1:3" ht="24" x14ac:dyDescent="0.3">
      <c r="A96" s="109" t="s">
        <v>25</v>
      </c>
      <c r="B96" s="109" t="s">
        <v>94</v>
      </c>
      <c r="C96" s="109">
        <v>1</v>
      </c>
    </row>
    <row r="97" spans="1:3" ht="24" x14ac:dyDescent="0.3">
      <c r="A97" s="109" t="s">
        <v>25</v>
      </c>
      <c r="B97" s="109" t="s">
        <v>95</v>
      </c>
      <c r="C97" s="109">
        <v>1</v>
      </c>
    </row>
    <row r="98" spans="1:3" ht="24" x14ac:dyDescent="0.3">
      <c r="A98" s="109" t="s">
        <v>25</v>
      </c>
      <c r="B98" s="109" t="s">
        <v>96</v>
      </c>
      <c r="C98" s="109">
        <v>1</v>
      </c>
    </row>
    <row r="99" spans="1:3" ht="24" x14ac:dyDescent="0.3">
      <c r="A99" s="109" t="s">
        <v>25</v>
      </c>
      <c r="B99" s="109" t="s">
        <v>97</v>
      </c>
      <c r="C99" s="109">
        <v>1</v>
      </c>
    </row>
    <row r="100" spans="1:3" ht="24" x14ac:dyDescent="0.3">
      <c r="A100" s="109" t="s">
        <v>25</v>
      </c>
      <c r="B100" s="109" t="s">
        <v>98</v>
      </c>
      <c r="C100" s="109">
        <v>0.1</v>
      </c>
    </row>
    <row r="101" spans="1:3" ht="24" x14ac:dyDescent="0.3">
      <c r="A101" s="109" t="s">
        <v>25</v>
      </c>
      <c r="B101" s="109" t="s">
        <v>99</v>
      </c>
      <c r="C101" s="109">
        <v>25</v>
      </c>
    </row>
    <row r="102" spans="1:3" ht="24" x14ac:dyDescent="0.3">
      <c r="A102" s="109" t="s">
        <v>25</v>
      </c>
      <c r="B102" s="109" t="s">
        <v>100</v>
      </c>
      <c r="C102" s="109">
        <v>25</v>
      </c>
    </row>
    <row r="103" spans="1:3" ht="24" x14ac:dyDescent="0.3">
      <c r="A103" s="109" t="s">
        <v>25</v>
      </c>
      <c r="B103" s="109" t="s">
        <v>101</v>
      </c>
      <c r="C103" s="109">
        <v>0.5</v>
      </c>
    </row>
    <row r="104" spans="1:3" ht="24" x14ac:dyDescent="0.3">
      <c r="A104" s="109" t="s">
        <v>25</v>
      </c>
      <c r="B104" s="109" t="s">
        <v>102</v>
      </c>
      <c r="C104" s="109">
        <v>0.5</v>
      </c>
    </row>
    <row r="105" spans="1:3" ht="24" x14ac:dyDescent="0.3">
      <c r="A105" s="109" t="s">
        <v>25</v>
      </c>
      <c r="B105" s="109" t="s">
        <v>103</v>
      </c>
      <c r="C105" s="109">
        <v>0.5</v>
      </c>
    </row>
    <row r="106" spans="1:3" ht="24" x14ac:dyDescent="0.3">
      <c r="A106" s="109" t="s">
        <v>25</v>
      </c>
      <c r="B106" s="109" t="s">
        <v>104</v>
      </c>
      <c r="C106" s="109">
        <v>1</v>
      </c>
    </row>
    <row r="107" spans="1:3" ht="24" x14ac:dyDescent="0.3">
      <c r="A107" s="109" t="s">
        <v>25</v>
      </c>
      <c r="B107" s="109" t="s">
        <v>105</v>
      </c>
      <c r="C107" s="109">
        <v>0</v>
      </c>
    </row>
    <row r="108" spans="1:3" ht="24" x14ac:dyDescent="0.3">
      <c r="A108" s="109" t="s">
        <v>25</v>
      </c>
      <c r="B108" s="109" t="s">
        <v>106</v>
      </c>
      <c r="C108" s="109">
        <v>0.5</v>
      </c>
    </row>
    <row r="109" spans="1:3" ht="24" x14ac:dyDescent="0.3">
      <c r="A109" s="109" t="s">
        <v>25</v>
      </c>
      <c r="B109" s="109" t="s">
        <v>107</v>
      </c>
      <c r="C109" s="109">
        <v>0.3</v>
      </c>
    </row>
    <row r="110" spans="1:3" ht="24" x14ac:dyDescent="0.3">
      <c r="A110" s="109" t="s">
        <v>25</v>
      </c>
      <c r="B110" s="109" t="s">
        <v>108</v>
      </c>
      <c r="C110" s="109">
        <v>0.5</v>
      </c>
    </row>
    <row r="111" spans="1:3" ht="24" x14ac:dyDescent="0.3">
      <c r="A111" s="109" t="s">
        <v>25</v>
      </c>
      <c r="B111" s="109" t="s">
        <v>109</v>
      </c>
      <c r="C111" s="109">
        <v>0</v>
      </c>
    </row>
    <row r="112" spans="1:3" ht="24" x14ac:dyDescent="0.3">
      <c r="A112" s="109" t="s">
        <v>25</v>
      </c>
      <c r="B112" s="109" t="s">
        <v>110</v>
      </c>
      <c r="C112" s="109">
        <v>0.5</v>
      </c>
    </row>
    <row r="113" spans="1:3" ht="24" x14ac:dyDescent="0.3">
      <c r="A113" s="109" t="s">
        <v>25</v>
      </c>
      <c r="B113" s="109" t="s">
        <v>111</v>
      </c>
      <c r="C113" s="109">
        <v>0</v>
      </c>
    </row>
    <row r="114" spans="1:3" ht="24" x14ac:dyDescent="0.3">
      <c r="A114" s="109" t="s">
        <v>25</v>
      </c>
      <c r="B114" s="109" t="s">
        <v>112</v>
      </c>
      <c r="C114" s="109">
        <v>0</v>
      </c>
    </row>
    <row r="115" spans="1:3" ht="24" x14ac:dyDescent="0.3">
      <c r="A115" s="109" t="s">
        <v>25</v>
      </c>
      <c r="B115" s="109" t="s">
        <v>113</v>
      </c>
      <c r="C115" s="109">
        <v>0</v>
      </c>
    </row>
    <row r="116" spans="1:3" ht="24" x14ac:dyDescent="0.3">
      <c r="A116" s="109" t="s">
        <v>25</v>
      </c>
      <c r="B116" s="109" t="s">
        <v>114</v>
      </c>
      <c r="C116" s="109">
        <v>0</v>
      </c>
    </row>
    <row r="117" spans="1:3" ht="24" x14ac:dyDescent="0.3">
      <c r="A117" s="109" t="s">
        <v>25</v>
      </c>
      <c r="B117" s="109" t="s">
        <v>115</v>
      </c>
      <c r="C117" s="109">
        <v>0</v>
      </c>
    </row>
    <row r="118" spans="1:3" ht="24" x14ac:dyDescent="0.3">
      <c r="A118" s="109" t="s">
        <v>25</v>
      </c>
      <c r="B118" s="109" t="s">
        <v>116</v>
      </c>
      <c r="C118" s="109">
        <v>2</v>
      </c>
    </row>
    <row r="119" spans="1:3" ht="24" x14ac:dyDescent="0.3">
      <c r="A119" s="109" t="s">
        <v>25</v>
      </c>
      <c r="B119" s="109" t="s">
        <v>117</v>
      </c>
      <c r="C119" s="109">
        <v>2</v>
      </c>
    </row>
    <row r="120" spans="1:3" ht="24" x14ac:dyDescent="0.3">
      <c r="A120" s="109" t="s">
        <v>25</v>
      </c>
      <c r="B120" s="109" t="s">
        <v>118</v>
      </c>
      <c r="C120" s="109">
        <v>24</v>
      </c>
    </row>
    <row r="121" spans="1:3" ht="24" x14ac:dyDescent="0.3">
      <c r="A121" s="109" t="s">
        <v>25</v>
      </c>
      <c r="B121" s="109" t="s">
        <v>120</v>
      </c>
      <c r="C121" s="109">
        <v>2</v>
      </c>
    </row>
    <row r="122" spans="1:3" ht="24" x14ac:dyDescent="0.3">
      <c r="A122" s="109" t="s">
        <v>25</v>
      </c>
      <c r="B122" s="109" t="s">
        <v>121</v>
      </c>
      <c r="C122" s="109">
        <v>5</v>
      </c>
    </row>
    <row r="123" spans="1:3" ht="24" x14ac:dyDescent="0.3">
      <c r="A123" s="109" t="s">
        <v>25</v>
      </c>
      <c r="B123" s="109" t="s">
        <v>122</v>
      </c>
      <c r="C123" s="109">
        <v>1</v>
      </c>
    </row>
    <row r="124" spans="1:3" ht="24" x14ac:dyDescent="0.3">
      <c r="A124" s="109" t="s">
        <v>25</v>
      </c>
      <c r="B124" s="109" t="s">
        <v>123</v>
      </c>
      <c r="C124" s="109">
        <v>0</v>
      </c>
    </row>
    <row r="125" spans="1:3" ht="24" x14ac:dyDescent="0.3">
      <c r="A125" s="109" t="s">
        <v>25</v>
      </c>
      <c r="B125" s="109" t="s">
        <v>124</v>
      </c>
      <c r="C125" s="109">
        <v>0</v>
      </c>
    </row>
    <row r="126" spans="1:3" ht="24" x14ac:dyDescent="0.3">
      <c r="A126" s="109" t="s">
        <v>25</v>
      </c>
      <c r="B126" s="109" t="s">
        <v>125</v>
      </c>
      <c r="C126" s="109">
        <v>1</v>
      </c>
    </row>
    <row r="127" spans="1:3" ht="24" x14ac:dyDescent="0.3">
      <c r="A127" s="109" t="s">
        <v>25</v>
      </c>
      <c r="B127" s="109" t="s">
        <v>126</v>
      </c>
      <c r="C127" s="109">
        <v>0</v>
      </c>
    </row>
    <row r="128" spans="1:3" ht="24" x14ac:dyDescent="0.3">
      <c r="A128" s="109"/>
      <c r="B128" s="109"/>
      <c r="C128" s="109"/>
    </row>
    <row r="129" spans="1:3" ht="24" x14ac:dyDescent="0.3">
      <c r="A129" s="109" t="s">
        <v>3</v>
      </c>
      <c r="B129" s="109" t="s">
        <v>62</v>
      </c>
      <c r="C129" s="109">
        <v>8</v>
      </c>
    </row>
    <row r="130" spans="1:3" ht="24" x14ac:dyDescent="0.3">
      <c r="A130" s="109" t="s">
        <v>3</v>
      </c>
      <c r="B130" s="109" t="s">
        <v>63</v>
      </c>
      <c r="C130" s="109">
        <v>5</v>
      </c>
    </row>
    <row r="131" spans="1:3" ht="24" x14ac:dyDescent="0.3">
      <c r="A131" s="109" t="s">
        <v>3</v>
      </c>
      <c r="B131" s="109" t="s">
        <v>64</v>
      </c>
      <c r="C131" s="109">
        <v>4</v>
      </c>
    </row>
    <row r="132" spans="1:3" ht="24" x14ac:dyDescent="0.3">
      <c r="A132" s="109" t="s">
        <v>3</v>
      </c>
      <c r="B132" s="109" t="s">
        <v>65</v>
      </c>
      <c r="C132" s="109">
        <v>0</v>
      </c>
    </row>
    <row r="133" spans="1:3" ht="24" x14ac:dyDescent="0.3">
      <c r="A133" s="109" t="s">
        <v>3</v>
      </c>
      <c r="B133" s="109" t="s">
        <v>66</v>
      </c>
      <c r="C133" s="109">
        <v>3</v>
      </c>
    </row>
    <row r="134" spans="1:3" ht="24" x14ac:dyDescent="0.3">
      <c r="A134" s="109" t="s">
        <v>3</v>
      </c>
      <c r="B134" s="109" t="s">
        <v>67</v>
      </c>
      <c r="C134" s="109">
        <v>0</v>
      </c>
    </row>
    <row r="135" spans="1:3" ht="24" x14ac:dyDescent="0.3">
      <c r="A135" s="109" t="s">
        <v>3</v>
      </c>
      <c r="B135" s="109" t="s">
        <v>68</v>
      </c>
      <c r="C135" s="109">
        <v>3</v>
      </c>
    </row>
    <row r="136" spans="1:3" ht="24" x14ac:dyDescent="0.3">
      <c r="A136" s="109" t="s">
        <v>3</v>
      </c>
      <c r="B136" s="109" t="s">
        <v>69</v>
      </c>
      <c r="C136" s="109">
        <v>3</v>
      </c>
    </row>
    <row r="137" spans="1:3" ht="24" x14ac:dyDescent="0.3">
      <c r="A137" s="109" t="s">
        <v>3</v>
      </c>
      <c r="B137" s="109" t="s">
        <v>70</v>
      </c>
      <c r="C137" s="109">
        <v>3</v>
      </c>
    </row>
    <row r="138" spans="1:3" ht="24" x14ac:dyDescent="0.3">
      <c r="A138" s="109" t="s">
        <v>3</v>
      </c>
      <c r="B138" s="109" t="s">
        <v>71</v>
      </c>
      <c r="C138" s="109">
        <v>2</v>
      </c>
    </row>
    <row r="139" spans="1:3" ht="24" x14ac:dyDescent="0.3">
      <c r="A139" s="109" t="s">
        <v>3</v>
      </c>
      <c r="B139" s="109" t="s">
        <v>72</v>
      </c>
      <c r="C139" s="109">
        <v>0</v>
      </c>
    </row>
    <row r="140" spans="1:3" ht="24" x14ac:dyDescent="0.3">
      <c r="A140" s="109" t="s">
        <v>3</v>
      </c>
      <c r="B140" s="109" t="s">
        <v>73</v>
      </c>
      <c r="C140" s="109">
        <v>0</v>
      </c>
    </row>
    <row r="141" spans="1:3" ht="24" x14ac:dyDescent="0.3">
      <c r="A141" s="109" t="s">
        <v>3</v>
      </c>
      <c r="B141" s="109" t="s">
        <v>74</v>
      </c>
      <c r="C141" s="109">
        <v>1</v>
      </c>
    </row>
    <row r="142" spans="1:3" ht="24" x14ac:dyDescent="0.3">
      <c r="A142" s="109" t="s">
        <v>3</v>
      </c>
      <c r="B142" s="109" t="s">
        <v>75</v>
      </c>
      <c r="C142" s="109">
        <v>0</v>
      </c>
    </row>
    <row r="143" spans="1:3" ht="24" x14ac:dyDescent="0.3">
      <c r="A143" s="109" t="s">
        <v>3</v>
      </c>
      <c r="B143" s="109" t="s">
        <v>76</v>
      </c>
      <c r="C143" s="109">
        <v>1</v>
      </c>
    </row>
    <row r="144" spans="1:3" ht="24" x14ac:dyDescent="0.3">
      <c r="A144" s="109" t="s">
        <v>3</v>
      </c>
      <c r="B144" s="109" t="s">
        <v>77</v>
      </c>
      <c r="C144" s="109">
        <v>0</v>
      </c>
    </row>
    <row r="145" spans="1:3" ht="24" x14ac:dyDescent="0.3">
      <c r="A145" s="109" t="s">
        <v>3</v>
      </c>
      <c r="B145" s="109" t="s">
        <v>78</v>
      </c>
      <c r="C145" s="109">
        <v>15</v>
      </c>
    </row>
    <row r="146" spans="1:3" ht="24" x14ac:dyDescent="0.3">
      <c r="A146" s="109" t="s">
        <v>3</v>
      </c>
      <c r="B146" s="109" t="s">
        <v>79</v>
      </c>
      <c r="C146" s="109">
        <v>4</v>
      </c>
    </row>
    <row r="147" spans="1:3" ht="24" x14ac:dyDescent="0.3">
      <c r="A147" s="109" t="s">
        <v>3</v>
      </c>
      <c r="B147" s="109" t="s">
        <v>80</v>
      </c>
      <c r="C147" s="109">
        <v>5</v>
      </c>
    </row>
    <row r="148" spans="1:3" ht="24" x14ac:dyDescent="0.3">
      <c r="A148" s="109" t="s">
        <v>3</v>
      </c>
      <c r="B148" s="109" t="s">
        <v>81</v>
      </c>
      <c r="C148" s="109">
        <v>0</v>
      </c>
    </row>
    <row r="149" spans="1:3" ht="24" x14ac:dyDescent="0.3">
      <c r="A149" s="109" t="s">
        <v>3</v>
      </c>
      <c r="B149" s="109" t="s">
        <v>83</v>
      </c>
      <c r="C149" s="109">
        <v>156</v>
      </c>
    </row>
    <row r="150" spans="1:3" ht="24" x14ac:dyDescent="0.3">
      <c r="A150" s="109" t="s">
        <v>3</v>
      </c>
      <c r="B150" s="109" t="s">
        <v>84</v>
      </c>
      <c r="C150" s="109">
        <v>105</v>
      </c>
    </row>
    <row r="151" spans="1:3" ht="24" x14ac:dyDescent="0.3">
      <c r="A151" s="109" t="s">
        <v>3</v>
      </c>
      <c r="B151" s="109" t="s">
        <v>85</v>
      </c>
      <c r="C151" s="109">
        <v>0</v>
      </c>
    </row>
    <row r="152" spans="1:3" ht="24" x14ac:dyDescent="0.3">
      <c r="A152" s="109" t="s">
        <v>3</v>
      </c>
      <c r="B152" s="109" t="s">
        <v>86</v>
      </c>
      <c r="C152" s="109">
        <v>15</v>
      </c>
    </row>
    <row r="153" spans="1:3" ht="24" x14ac:dyDescent="0.3">
      <c r="A153" s="109" t="s">
        <v>3</v>
      </c>
      <c r="B153" s="109" t="s">
        <v>87</v>
      </c>
      <c r="C153" s="109">
        <v>8</v>
      </c>
    </row>
    <row r="154" spans="1:3" ht="24" x14ac:dyDescent="0.3">
      <c r="A154" s="109" t="s">
        <v>3</v>
      </c>
      <c r="B154" s="109" t="s">
        <v>88</v>
      </c>
      <c r="C154" s="109">
        <v>8</v>
      </c>
    </row>
    <row r="155" spans="1:3" ht="24" x14ac:dyDescent="0.3">
      <c r="A155" s="109" t="s">
        <v>3</v>
      </c>
      <c r="B155" s="109" t="s">
        <v>89</v>
      </c>
      <c r="C155" s="109">
        <v>0</v>
      </c>
    </row>
    <row r="156" spans="1:3" ht="24" x14ac:dyDescent="0.3">
      <c r="A156" s="109" t="s">
        <v>3</v>
      </c>
      <c r="B156" s="109" t="s">
        <v>90</v>
      </c>
      <c r="C156" s="109">
        <v>40</v>
      </c>
    </row>
    <row r="157" spans="1:3" ht="24" x14ac:dyDescent="0.3">
      <c r="A157" s="109" t="s">
        <v>3</v>
      </c>
      <c r="B157" s="109" t="s">
        <v>92</v>
      </c>
      <c r="C157" s="109">
        <v>2</v>
      </c>
    </row>
    <row r="158" spans="1:3" ht="24" x14ac:dyDescent="0.3">
      <c r="A158" s="109" t="s">
        <v>3</v>
      </c>
      <c r="B158" s="109" t="s">
        <v>93</v>
      </c>
      <c r="C158" s="109">
        <v>5</v>
      </c>
    </row>
    <row r="159" spans="1:3" ht="24" x14ac:dyDescent="0.3">
      <c r="A159" s="109" t="s">
        <v>3</v>
      </c>
      <c r="B159" s="109" t="s">
        <v>94</v>
      </c>
      <c r="C159" s="109">
        <v>0</v>
      </c>
    </row>
    <row r="160" spans="1:3" ht="24" x14ac:dyDescent="0.3">
      <c r="A160" s="109" t="s">
        <v>3</v>
      </c>
      <c r="B160" s="109" t="s">
        <v>95</v>
      </c>
      <c r="C160" s="109">
        <v>1</v>
      </c>
    </row>
    <row r="161" spans="1:3" ht="24" x14ac:dyDescent="0.3">
      <c r="A161" s="109" t="s">
        <v>3</v>
      </c>
      <c r="B161" s="109" t="s">
        <v>96</v>
      </c>
      <c r="C161" s="109">
        <v>1</v>
      </c>
    </row>
    <row r="162" spans="1:3" ht="24" x14ac:dyDescent="0.3">
      <c r="A162" s="109" t="s">
        <v>3</v>
      </c>
      <c r="B162" s="109" t="s">
        <v>97</v>
      </c>
      <c r="C162" s="109">
        <v>1</v>
      </c>
    </row>
    <row r="163" spans="1:3" ht="24" x14ac:dyDescent="0.3">
      <c r="A163" s="109" t="s">
        <v>3</v>
      </c>
      <c r="B163" s="109" t="s">
        <v>98</v>
      </c>
      <c r="C163" s="109">
        <v>0.1</v>
      </c>
    </row>
    <row r="164" spans="1:3" ht="24" x14ac:dyDescent="0.3">
      <c r="A164" s="109" t="s">
        <v>3</v>
      </c>
      <c r="B164" s="109" t="s">
        <v>99</v>
      </c>
      <c r="C164" s="109">
        <v>0</v>
      </c>
    </row>
    <row r="165" spans="1:3" ht="24" x14ac:dyDescent="0.3">
      <c r="A165" s="109" t="s">
        <v>3</v>
      </c>
      <c r="B165" s="109" t="s">
        <v>100</v>
      </c>
      <c r="C165" s="109">
        <v>15</v>
      </c>
    </row>
    <row r="166" spans="1:3" ht="24" x14ac:dyDescent="0.3">
      <c r="A166" s="109" t="s">
        <v>3</v>
      </c>
      <c r="B166" s="109" t="s">
        <v>101</v>
      </c>
      <c r="C166" s="109">
        <v>0.5</v>
      </c>
    </row>
    <row r="167" spans="1:3" ht="24" x14ac:dyDescent="0.3">
      <c r="A167" s="109" t="s">
        <v>3</v>
      </c>
      <c r="B167" s="109" t="s">
        <v>102</v>
      </c>
      <c r="C167" s="109">
        <v>0.3</v>
      </c>
    </row>
    <row r="168" spans="1:3" ht="24" x14ac:dyDescent="0.3">
      <c r="A168" s="109" t="s">
        <v>3</v>
      </c>
      <c r="B168" s="109" t="s">
        <v>103</v>
      </c>
      <c r="C168" s="109">
        <v>0</v>
      </c>
    </row>
    <row r="169" spans="1:3" ht="24" x14ac:dyDescent="0.3">
      <c r="A169" s="109" t="s">
        <v>3</v>
      </c>
      <c r="B169" s="109" t="s">
        <v>104</v>
      </c>
      <c r="C169" s="109">
        <v>0</v>
      </c>
    </row>
    <row r="170" spans="1:3" ht="24" x14ac:dyDescent="0.3">
      <c r="A170" s="109" t="s">
        <v>3</v>
      </c>
      <c r="B170" s="109" t="s">
        <v>105</v>
      </c>
      <c r="C170" s="109">
        <v>0</v>
      </c>
    </row>
    <row r="171" spans="1:3" ht="24" x14ac:dyDescent="0.3">
      <c r="A171" s="109" t="s">
        <v>3</v>
      </c>
      <c r="B171" s="109" t="s">
        <v>106</v>
      </c>
      <c r="C171" s="109">
        <v>0.3</v>
      </c>
    </row>
    <row r="172" spans="1:3" ht="24" x14ac:dyDescent="0.3">
      <c r="A172" s="109" t="s">
        <v>3</v>
      </c>
      <c r="B172" s="109" t="s">
        <v>107</v>
      </c>
      <c r="C172" s="109">
        <v>0</v>
      </c>
    </row>
    <row r="173" spans="1:3" ht="24" x14ac:dyDescent="0.3">
      <c r="A173" s="109" t="s">
        <v>3</v>
      </c>
      <c r="B173" s="109" t="s">
        <v>108</v>
      </c>
      <c r="C173" s="109">
        <v>0</v>
      </c>
    </row>
    <row r="174" spans="1:3" ht="24" x14ac:dyDescent="0.3">
      <c r="A174" s="109" t="s">
        <v>3</v>
      </c>
      <c r="B174" s="109" t="s">
        <v>109</v>
      </c>
      <c r="C174" s="109">
        <v>0</v>
      </c>
    </row>
    <row r="175" spans="1:3" ht="24" x14ac:dyDescent="0.3">
      <c r="A175" s="109" t="s">
        <v>3</v>
      </c>
      <c r="B175" s="109" t="s">
        <v>110</v>
      </c>
      <c r="C175" s="109">
        <v>0</v>
      </c>
    </row>
    <row r="176" spans="1:3" ht="24" x14ac:dyDescent="0.3">
      <c r="A176" s="109" t="s">
        <v>3</v>
      </c>
      <c r="B176" s="109" t="s">
        <v>111</v>
      </c>
      <c r="C176" s="109">
        <v>0</v>
      </c>
    </row>
    <row r="177" spans="1:3" ht="24" x14ac:dyDescent="0.3">
      <c r="A177" s="109" t="s">
        <v>3</v>
      </c>
      <c r="B177" s="109" t="s">
        <v>112</v>
      </c>
      <c r="C177" s="109">
        <v>0</v>
      </c>
    </row>
    <row r="178" spans="1:3" ht="24" x14ac:dyDescent="0.3">
      <c r="A178" s="109" t="s">
        <v>3</v>
      </c>
      <c r="B178" s="109" t="s">
        <v>113</v>
      </c>
      <c r="C178" s="109">
        <v>0</v>
      </c>
    </row>
    <row r="179" spans="1:3" ht="24" x14ac:dyDescent="0.3">
      <c r="A179" s="109" t="s">
        <v>3</v>
      </c>
      <c r="B179" s="109" t="s">
        <v>114</v>
      </c>
      <c r="C179" s="109">
        <v>0</v>
      </c>
    </row>
    <row r="180" spans="1:3" ht="24" x14ac:dyDescent="0.3">
      <c r="A180" s="109" t="s">
        <v>3</v>
      </c>
      <c r="B180" s="109" t="s">
        <v>115</v>
      </c>
      <c r="C180" s="109">
        <v>0</v>
      </c>
    </row>
    <row r="181" spans="1:3" ht="24" x14ac:dyDescent="0.3">
      <c r="A181" s="109" t="s">
        <v>3</v>
      </c>
      <c r="B181" s="109" t="s">
        <v>116</v>
      </c>
      <c r="C181" s="109">
        <v>0</v>
      </c>
    </row>
    <row r="182" spans="1:3" ht="24" x14ac:dyDescent="0.3">
      <c r="A182" s="109" t="s">
        <v>3</v>
      </c>
      <c r="B182" s="109" t="s">
        <v>117</v>
      </c>
      <c r="C182" s="109">
        <v>2</v>
      </c>
    </row>
    <row r="183" spans="1:3" ht="24" x14ac:dyDescent="0.3">
      <c r="A183" s="109" t="s">
        <v>3</v>
      </c>
      <c r="B183" s="109" t="s">
        <v>118</v>
      </c>
      <c r="C183" s="109">
        <v>0</v>
      </c>
    </row>
    <row r="184" spans="1:3" ht="24" x14ac:dyDescent="0.3">
      <c r="A184" s="109" t="s">
        <v>3</v>
      </c>
      <c r="B184" s="109" t="s">
        <v>120</v>
      </c>
      <c r="C184" s="109">
        <v>0</v>
      </c>
    </row>
    <row r="185" spans="1:3" ht="24" x14ac:dyDescent="0.3">
      <c r="A185" s="109" t="s">
        <v>3</v>
      </c>
      <c r="B185" s="109" t="s">
        <v>121</v>
      </c>
      <c r="C185" s="109">
        <v>3</v>
      </c>
    </row>
    <row r="186" spans="1:3" ht="24" x14ac:dyDescent="0.3">
      <c r="A186" s="109" t="s">
        <v>3</v>
      </c>
      <c r="B186" s="109" t="s">
        <v>122</v>
      </c>
      <c r="C186" s="109">
        <v>1</v>
      </c>
    </row>
    <row r="187" spans="1:3" ht="24" x14ac:dyDescent="0.3">
      <c r="A187" s="109" t="s">
        <v>3</v>
      </c>
      <c r="B187" s="109" t="s">
        <v>123</v>
      </c>
      <c r="C187" s="109">
        <v>0</v>
      </c>
    </row>
    <row r="188" spans="1:3" ht="24" x14ac:dyDescent="0.3">
      <c r="A188" s="109" t="s">
        <v>3</v>
      </c>
      <c r="B188" s="109" t="s">
        <v>124</v>
      </c>
      <c r="C188" s="109">
        <v>2</v>
      </c>
    </row>
    <row r="189" spans="1:3" ht="24" x14ac:dyDescent="0.3">
      <c r="A189" s="109" t="s">
        <v>3</v>
      </c>
      <c r="B189" s="109" t="s">
        <v>125</v>
      </c>
      <c r="C189" s="109">
        <v>1</v>
      </c>
    </row>
    <row r="190" spans="1:3" ht="24" x14ac:dyDescent="0.3">
      <c r="A190" s="109" t="s">
        <v>3</v>
      </c>
      <c r="B190" s="109" t="s">
        <v>126</v>
      </c>
      <c r="C190" s="109">
        <v>400</v>
      </c>
    </row>
    <row r="191" spans="1:3" ht="24" x14ac:dyDescent="0.3">
      <c r="A191" s="109"/>
      <c r="B191" s="109"/>
      <c r="C191" s="109"/>
    </row>
    <row r="192" spans="1:3" ht="24" x14ac:dyDescent="0.3">
      <c r="A192" s="109" t="s">
        <v>4</v>
      </c>
      <c r="B192" s="109" t="s">
        <v>62</v>
      </c>
      <c r="C192" s="109">
        <v>10</v>
      </c>
    </row>
    <row r="193" spans="1:3" ht="24" x14ac:dyDescent="0.3">
      <c r="A193" s="109" t="s">
        <v>4</v>
      </c>
      <c r="B193" s="109" t="s">
        <v>63</v>
      </c>
      <c r="C193" s="109">
        <v>7</v>
      </c>
    </row>
    <row r="194" spans="1:3" ht="24" x14ac:dyDescent="0.3">
      <c r="A194" s="109" t="s">
        <v>4</v>
      </c>
      <c r="B194" s="109" t="s">
        <v>64</v>
      </c>
      <c r="C194" s="109">
        <v>8</v>
      </c>
    </row>
    <row r="195" spans="1:3" ht="24" x14ac:dyDescent="0.3">
      <c r="A195" s="109" t="s">
        <v>4</v>
      </c>
      <c r="B195" s="109" t="s">
        <v>65</v>
      </c>
      <c r="C195" s="109">
        <v>10</v>
      </c>
    </row>
    <row r="196" spans="1:3" ht="24" x14ac:dyDescent="0.3">
      <c r="A196" s="109" t="s">
        <v>4</v>
      </c>
      <c r="B196" s="109" t="s">
        <v>66</v>
      </c>
      <c r="C196" s="109">
        <v>4</v>
      </c>
    </row>
    <row r="197" spans="1:3" ht="24" x14ac:dyDescent="0.3">
      <c r="A197" s="109" t="s">
        <v>4</v>
      </c>
      <c r="B197" s="109" t="s">
        <v>67</v>
      </c>
      <c r="C197" s="109">
        <v>3</v>
      </c>
    </row>
    <row r="198" spans="1:3" ht="24" x14ac:dyDescent="0.3">
      <c r="A198" s="109" t="s">
        <v>4</v>
      </c>
      <c r="B198" s="109" t="s">
        <v>68</v>
      </c>
      <c r="C198" s="109">
        <v>3</v>
      </c>
    </row>
    <row r="199" spans="1:3" ht="24" x14ac:dyDescent="0.3">
      <c r="A199" s="109" t="s">
        <v>4</v>
      </c>
      <c r="B199" s="109" t="s">
        <v>69</v>
      </c>
      <c r="C199" s="109">
        <v>3</v>
      </c>
    </row>
    <row r="200" spans="1:3" ht="24" x14ac:dyDescent="0.3">
      <c r="A200" s="109" t="s">
        <v>4</v>
      </c>
      <c r="B200" s="109" t="s">
        <v>70</v>
      </c>
      <c r="C200" s="109">
        <v>2</v>
      </c>
    </row>
    <row r="201" spans="1:3" ht="24" x14ac:dyDescent="0.3">
      <c r="A201" s="109" t="s">
        <v>4</v>
      </c>
      <c r="B201" s="109" t="s">
        <v>71</v>
      </c>
      <c r="C201" s="109">
        <v>2</v>
      </c>
    </row>
    <row r="202" spans="1:3" ht="24" x14ac:dyDescent="0.3">
      <c r="A202" s="109" t="s">
        <v>4</v>
      </c>
      <c r="B202" s="109" t="s">
        <v>72</v>
      </c>
      <c r="C202" s="109">
        <v>1</v>
      </c>
    </row>
    <row r="203" spans="1:3" ht="24" x14ac:dyDescent="0.3">
      <c r="A203" s="109" t="s">
        <v>4</v>
      </c>
      <c r="B203" s="109" t="s">
        <v>73</v>
      </c>
      <c r="C203" s="109">
        <v>3</v>
      </c>
    </row>
    <row r="204" spans="1:3" ht="24" x14ac:dyDescent="0.3">
      <c r="A204" s="109" t="s">
        <v>4</v>
      </c>
      <c r="B204" s="109" t="s">
        <v>74</v>
      </c>
      <c r="C204" s="109">
        <v>2</v>
      </c>
    </row>
    <row r="205" spans="1:3" ht="24" x14ac:dyDescent="0.3">
      <c r="A205" s="109" t="s">
        <v>4</v>
      </c>
      <c r="B205" s="109" t="s">
        <v>75</v>
      </c>
      <c r="C205" s="109">
        <v>1</v>
      </c>
    </row>
    <row r="206" spans="1:3" ht="24" x14ac:dyDescent="0.3">
      <c r="A206" s="109" t="s">
        <v>4</v>
      </c>
      <c r="B206" s="109" t="s">
        <v>76</v>
      </c>
      <c r="C206" s="109">
        <v>0</v>
      </c>
    </row>
    <row r="207" spans="1:3" ht="24" x14ac:dyDescent="0.3">
      <c r="A207" s="109" t="s">
        <v>4</v>
      </c>
      <c r="B207" s="109" t="s">
        <v>77</v>
      </c>
      <c r="C207" s="109">
        <v>3</v>
      </c>
    </row>
    <row r="208" spans="1:3" ht="24" x14ac:dyDescent="0.3">
      <c r="A208" s="109" t="s">
        <v>4</v>
      </c>
      <c r="B208" s="109" t="s">
        <v>78</v>
      </c>
      <c r="C208" s="109">
        <v>13</v>
      </c>
    </row>
    <row r="209" spans="1:3" ht="24" x14ac:dyDescent="0.3">
      <c r="A209" s="109" t="s">
        <v>4</v>
      </c>
      <c r="B209" s="109" t="s">
        <v>79</v>
      </c>
      <c r="C209" s="109">
        <v>5</v>
      </c>
    </row>
    <row r="210" spans="1:3" ht="24" x14ac:dyDescent="0.3">
      <c r="A210" s="109" t="s">
        <v>4</v>
      </c>
      <c r="B210" s="109" t="s">
        <v>80</v>
      </c>
      <c r="C210" s="109">
        <v>5</v>
      </c>
    </row>
    <row r="211" spans="1:3" ht="24" x14ac:dyDescent="0.3">
      <c r="A211" s="109" t="s">
        <v>4</v>
      </c>
      <c r="B211" s="109" t="s">
        <v>81</v>
      </c>
      <c r="C211" s="109">
        <v>6</v>
      </c>
    </row>
    <row r="212" spans="1:3" ht="24" x14ac:dyDescent="0.3">
      <c r="A212" s="109" t="s">
        <v>4</v>
      </c>
      <c r="B212" s="109" t="s">
        <v>83</v>
      </c>
      <c r="C212" s="109">
        <v>130</v>
      </c>
    </row>
    <row r="213" spans="1:3" ht="24" x14ac:dyDescent="0.3">
      <c r="A213" s="109" t="s">
        <v>4</v>
      </c>
      <c r="B213" s="109" t="s">
        <v>84</v>
      </c>
      <c r="C213" s="109">
        <v>120</v>
      </c>
    </row>
    <row r="214" spans="1:3" ht="24" x14ac:dyDescent="0.3">
      <c r="A214" s="109" t="s">
        <v>4</v>
      </c>
      <c r="B214" s="109" t="s">
        <v>85</v>
      </c>
      <c r="C214" s="109">
        <v>25</v>
      </c>
    </row>
    <row r="215" spans="1:3" ht="24" x14ac:dyDescent="0.3">
      <c r="A215" s="109" t="s">
        <v>4</v>
      </c>
      <c r="B215" s="109" t="s">
        <v>86</v>
      </c>
      <c r="C215" s="109">
        <v>15</v>
      </c>
    </row>
    <row r="216" spans="1:3" ht="24" x14ac:dyDescent="0.3">
      <c r="A216" s="109" t="s">
        <v>4</v>
      </c>
      <c r="B216" s="109" t="s">
        <v>87</v>
      </c>
      <c r="C216" s="109">
        <v>12</v>
      </c>
    </row>
    <row r="217" spans="1:3" ht="24" x14ac:dyDescent="0.3">
      <c r="A217" s="109" t="s">
        <v>4</v>
      </c>
      <c r="B217" s="109" t="s">
        <v>88</v>
      </c>
      <c r="C217" s="109">
        <v>12</v>
      </c>
    </row>
    <row r="218" spans="1:3" ht="24" x14ac:dyDescent="0.3">
      <c r="A218" s="109" t="s">
        <v>4</v>
      </c>
      <c r="B218" s="109" t="s">
        <v>89</v>
      </c>
      <c r="C218" s="109">
        <v>0</v>
      </c>
    </row>
    <row r="219" spans="1:3" ht="24" x14ac:dyDescent="0.3">
      <c r="A219" s="109" t="s">
        <v>4</v>
      </c>
      <c r="B219" s="109" t="s">
        <v>90</v>
      </c>
      <c r="C219" s="109">
        <v>90</v>
      </c>
    </row>
    <row r="220" spans="1:3" ht="24" x14ac:dyDescent="0.3">
      <c r="A220" s="109" t="s">
        <v>4</v>
      </c>
      <c r="B220" s="109" t="s">
        <v>92</v>
      </c>
      <c r="C220" s="109">
        <v>2</v>
      </c>
    </row>
    <row r="221" spans="1:3" ht="24" x14ac:dyDescent="0.3">
      <c r="A221" s="109" t="s">
        <v>4</v>
      </c>
      <c r="B221" s="109" t="s">
        <v>93</v>
      </c>
      <c r="C221" s="109">
        <v>8</v>
      </c>
    </row>
    <row r="222" spans="1:3" ht="24" x14ac:dyDescent="0.3">
      <c r="A222" s="109" t="s">
        <v>4</v>
      </c>
      <c r="B222" s="109" t="s">
        <v>94</v>
      </c>
      <c r="C222" s="109">
        <v>1</v>
      </c>
    </row>
    <row r="223" spans="1:3" ht="24" x14ac:dyDescent="0.3">
      <c r="A223" s="109" t="s">
        <v>4</v>
      </c>
      <c r="B223" s="109" t="s">
        <v>95</v>
      </c>
      <c r="C223" s="109">
        <v>0.2</v>
      </c>
    </row>
    <row r="224" spans="1:3" ht="24" x14ac:dyDescent="0.3">
      <c r="A224" s="109" t="s">
        <v>4</v>
      </c>
      <c r="B224" s="109" t="s">
        <v>96</v>
      </c>
      <c r="C224" s="109">
        <v>1</v>
      </c>
    </row>
    <row r="225" spans="1:3" ht="24" x14ac:dyDescent="0.3">
      <c r="A225" s="109" t="s">
        <v>4</v>
      </c>
      <c r="B225" s="109" t="s">
        <v>97</v>
      </c>
      <c r="C225" s="109">
        <v>1</v>
      </c>
    </row>
    <row r="226" spans="1:3" ht="24" x14ac:dyDescent="0.3">
      <c r="A226" s="109" t="s">
        <v>4</v>
      </c>
      <c r="B226" s="109" t="s">
        <v>98</v>
      </c>
      <c r="C226" s="109">
        <v>0.1</v>
      </c>
    </row>
    <row r="227" spans="1:3" ht="24" x14ac:dyDescent="0.3">
      <c r="A227" s="109" t="s">
        <v>4</v>
      </c>
      <c r="B227" s="109" t="s">
        <v>99</v>
      </c>
      <c r="C227" s="109">
        <v>10</v>
      </c>
    </row>
    <row r="228" spans="1:3" ht="24" x14ac:dyDescent="0.3">
      <c r="A228" s="109" t="s">
        <v>4</v>
      </c>
      <c r="B228" s="109" t="s">
        <v>100</v>
      </c>
      <c r="C228" s="109">
        <v>17</v>
      </c>
    </row>
    <row r="229" spans="1:3" ht="24" x14ac:dyDescent="0.3">
      <c r="A229" s="109" t="s">
        <v>4</v>
      </c>
      <c r="B229" s="109" t="s">
        <v>101</v>
      </c>
      <c r="C229" s="109">
        <v>0.6</v>
      </c>
    </row>
    <row r="230" spans="1:3" ht="24" x14ac:dyDescent="0.3">
      <c r="A230" s="109" t="s">
        <v>4</v>
      </c>
      <c r="B230" s="109" t="s">
        <v>102</v>
      </c>
      <c r="C230" s="109">
        <v>0.2</v>
      </c>
    </row>
    <row r="231" spans="1:3" ht="24" x14ac:dyDescent="0.3">
      <c r="A231" s="109" t="s">
        <v>4</v>
      </c>
      <c r="B231" s="109" t="s">
        <v>103</v>
      </c>
      <c r="C231" s="109">
        <v>0.5</v>
      </c>
    </row>
    <row r="232" spans="1:3" ht="24" x14ac:dyDescent="0.3">
      <c r="A232" s="109" t="s">
        <v>4</v>
      </c>
      <c r="B232" s="109" t="s">
        <v>104</v>
      </c>
      <c r="C232" s="109">
        <v>0.3</v>
      </c>
    </row>
    <row r="233" spans="1:3" ht="24" x14ac:dyDescent="0.3">
      <c r="A233" s="109" t="s">
        <v>4</v>
      </c>
      <c r="B233" s="109" t="s">
        <v>105</v>
      </c>
      <c r="C233" s="109">
        <v>0</v>
      </c>
    </row>
    <row r="234" spans="1:3" ht="24" x14ac:dyDescent="0.3">
      <c r="A234" s="109" t="s">
        <v>4</v>
      </c>
      <c r="B234" s="109" t="s">
        <v>106</v>
      </c>
      <c r="C234" s="109">
        <v>0.6</v>
      </c>
    </row>
    <row r="235" spans="1:3" ht="24" x14ac:dyDescent="0.3">
      <c r="A235" s="109" t="s">
        <v>4</v>
      </c>
      <c r="B235" s="109" t="s">
        <v>107</v>
      </c>
      <c r="C235" s="109">
        <v>0</v>
      </c>
    </row>
    <row r="236" spans="1:3" ht="24" x14ac:dyDescent="0.3">
      <c r="A236" s="109" t="s">
        <v>4</v>
      </c>
      <c r="B236" s="109" t="s">
        <v>108</v>
      </c>
      <c r="C236" s="109">
        <v>1</v>
      </c>
    </row>
    <row r="237" spans="1:3" ht="24" x14ac:dyDescent="0.3">
      <c r="A237" s="109" t="s">
        <v>4</v>
      </c>
      <c r="B237" s="109" t="s">
        <v>109</v>
      </c>
      <c r="C237" s="109">
        <v>0</v>
      </c>
    </row>
    <row r="238" spans="1:3" ht="24" x14ac:dyDescent="0.3">
      <c r="A238" s="109" t="s">
        <v>4</v>
      </c>
      <c r="B238" s="109" t="s">
        <v>110</v>
      </c>
      <c r="C238" s="109">
        <v>0.3</v>
      </c>
    </row>
    <row r="239" spans="1:3" ht="24" x14ac:dyDescent="0.3">
      <c r="A239" s="109" t="s">
        <v>4</v>
      </c>
      <c r="B239" s="109" t="s">
        <v>111</v>
      </c>
      <c r="C239" s="109">
        <v>0</v>
      </c>
    </row>
    <row r="240" spans="1:3" ht="24" x14ac:dyDescent="0.3">
      <c r="A240" s="109" t="s">
        <v>4</v>
      </c>
      <c r="B240" s="109" t="s">
        <v>112</v>
      </c>
      <c r="C240" s="109">
        <v>0</v>
      </c>
    </row>
    <row r="241" spans="1:3" ht="24" x14ac:dyDescent="0.3">
      <c r="A241" s="109" t="s">
        <v>4</v>
      </c>
      <c r="B241" s="109" t="s">
        <v>113</v>
      </c>
      <c r="C241" s="109">
        <v>0</v>
      </c>
    </row>
    <row r="242" spans="1:3" ht="24" x14ac:dyDescent="0.3">
      <c r="A242" s="109" t="s">
        <v>4</v>
      </c>
      <c r="B242" s="109" t="s">
        <v>114</v>
      </c>
      <c r="C242" s="109">
        <v>0</v>
      </c>
    </row>
    <row r="243" spans="1:3" ht="24" x14ac:dyDescent="0.3">
      <c r="A243" s="109" t="s">
        <v>4</v>
      </c>
      <c r="B243" s="109" t="s">
        <v>115</v>
      </c>
      <c r="C243" s="109">
        <v>0</v>
      </c>
    </row>
    <row r="244" spans="1:3" ht="24" x14ac:dyDescent="0.3">
      <c r="A244" s="109" t="s">
        <v>4</v>
      </c>
      <c r="B244" s="109" t="s">
        <v>116</v>
      </c>
      <c r="C244" s="109">
        <v>1</v>
      </c>
    </row>
    <row r="245" spans="1:3" ht="24" x14ac:dyDescent="0.3">
      <c r="A245" s="109" t="s">
        <v>4</v>
      </c>
      <c r="B245" s="109" t="s">
        <v>117</v>
      </c>
      <c r="C245" s="109">
        <v>1.5</v>
      </c>
    </row>
    <row r="246" spans="1:3" ht="24" x14ac:dyDescent="0.3">
      <c r="A246" s="109" t="s">
        <v>4</v>
      </c>
      <c r="B246" s="109" t="s">
        <v>118</v>
      </c>
      <c r="C246" s="109">
        <v>14</v>
      </c>
    </row>
    <row r="247" spans="1:3" ht="24" x14ac:dyDescent="0.3">
      <c r="A247" s="109" t="s">
        <v>4</v>
      </c>
      <c r="B247" s="109" t="s">
        <v>120</v>
      </c>
      <c r="C247" s="109">
        <v>0</v>
      </c>
    </row>
    <row r="248" spans="1:3" ht="24" x14ac:dyDescent="0.3">
      <c r="A248" s="109" t="s">
        <v>4</v>
      </c>
      <c r="B248" s="109" t="s">
        <v>121</v>
      </c>
      <c r="C248" s="109">
        <v>5</v>
      </c>
    </row>
    <row r="249" spans="1:3" ht="24" x14ac:dyDescent="0.3">
      <c r="A249" s="109" t="s">
        <v>4</v>
      </c>
      <c r="B249" s="109" t="s">
        <v>122</v>
      </c>
      <c r="C249" s="109">
        <v>1</v>
      </c>
    </row>
    <row r="250" spans="1:3" ht="24" x14ac:dyDescent="0.3">
      <c r="A250" s="109" t="s">
        <v>4</v>
      </c>
      <c r="B250" s="109" t="s">
        <v>123</v>
      </c>
      <c r="C250" s="109">
        <v>0</v>
      </c>
    </row>
    <row r="251" spans="1:3" ht="24" x14ac:dyDescent="0.3">
      <c r="A251" s="109" t="s">
        <v>4</v>
      </c>
      <c r="B251" s="109" t="s">
        <v>124</v>
      </c>
      <c r="C251" s="109">
        <v>2</v>
      </c>
    </row>
    <row r="252" spans="1:3" ht="24" x14ac:dyDescent="0.3">
      <c r="A252" s="109" t="s">
        <v>4</v>
      </c>
      <c r="B252" s="109" t="s">
        <v>125</v>
      </c>
      <c r="C252" s="109">
        <v>0</v>
      </c>
    </row>
    <row r="253" spans="1:3" ht="24" x14ac:dyDescent="0.3">
      <c r="A253" s="109" t="s">
        <v>4</v>
      </c>
      <c r="B253" s="109" t="s">
        <v>126</v>
      </c>
      <c r="C253" s="109">
        <v>400</v>
      </c>
    </row>
    <row r="254" spans="1:3" ht="24" x14ac:dyDescent="0.3">
      <c r="A254" s="109"/>
      <c r="B254" s="109"/>
      <c r="C254" s="109"/>
    </row>
    <row r="255" spans="1:3" ht="24" x14ac:dyDescent="0.3">
      <c r="A255" s="109" t="s">
        <v>5</v>
      </c>
      <c r="B255" s="109" t="s">
        <v>62</v>
      </c>
      <c r="C255" s="109">
        <v>13</v>
      </c>
    </row>
    <row r="256" spans="1:3" ht="24" x14ac:dyDescent="0.3">
      <c r="A256" s="109" t="s">
        <v>5</v>
      </c>
      <c r="B256" s="109" t="s">
        <v>63</v>
      </c>
      <c r="C256" s="109">
        <v>10</v>
      </c>
    </row>
    <row r="257" spans="1:3" ht="24" x14ac:dyDescent="0.3">
      <c r="A257" s="109" t="s">
        <v>5</v>
      </c>
      <c r="B257" s="109" t="s">
        <v>64</v>
      </c>
      <c r="C257" s="109">
        <v>10</v>
      </c>
    </row>
    <row r="258" spans="1:3" ht="24" x14ac:dyDescent="0.3">
      <c r="A258" s="109" t="s">
        <v>5</v>
      </c>
      <c r="B258" s="109" t="s">
        <v>65</v>
      </c>
      <c r="C258" s="109">
        <v>12</v>
      </c>
    </row>
    <row r="259" spans="1:3" ht="24" x14ac:dyDescent="0.3">
      <c r="A259" s="109" t="s">
        <v>5</v>
      </c>
      <c r="B259" s="109" t="s">
        <v>66</v>
      </c>
      <c r="C259" s="109">
        <v>5</v>
      </c>
    </row>
    <row r="260" spans="1:3" ht="24" x14ac:dyDescent="0.3">
      <c r="A260" s="109" t="s">
        <v>5</v>
      </c>
      <c r="B260" s="109" t="s">
        <v>67</v>
      </c>
      <c r="C260" s="109">
        <v>4</v>
      </c>
    </row>
    <row r="261" spans="1:3" ht="24" x14ac:dyDescent="0.3">
      <c r="A261" s="109" t="s">
        <v>5</v>
      </c>
      <c r="B261" s="109" t="s">
        <v>68</v>
      </c>
      <c r="C261" s="109">
        <v>6</v>
      </c>
    </row>
    <row r="262" spans="1:3" ht="24" x14ac:dyDescent="0.3">
      <c r="A262" s="109" t="s">
        <v>5</v>
      </c>
      <c r="B262" s="109" t="s">
        <v>69</v>
      </c>
      <c r="C262" s="109">
        <v>4</v>
      </c>
    </row>
    <row r="263" spans="1:3" ht="24" x14ac:dyDescent="0.3">
      <c r="A263" s="109" t="s">
        <v>5</v>
      </c>
      <c r="B263" s="109" t="s">
        <v>70</v>
      </c>
      <c r="C263" s="109">
        <v>1</v>
      </c>
    </row>
    <row r="264" spans="1:3" ht="24" x14ac:dyDescent="0.3">
      <c r="A264" s="109" t="s">
        <v>5</v>
      </c>
      <c r="B264" s="109" t="s">
        <v>71</v>
      </c>
      <c r="C264" s="109">
        <v>2</v>
      </c>
    </row>
    <row r="265" spans="1:3" ht="24" x14ac:dyDescent="0.3">
      <c r="A265" s="109" t="s">
        <v>5</v>
      </c>
      <c r="B265" s="109" t="s">
        <v>72</v>
      </c>
      <c r="C265" s="109">
        <v>1</v>
      </c>
    </row>
    <row r="266" spans="1:3" ht="24" x14ac:dyDescent="0.3">
      <c r="A266" s="109" t="s">
        <v>5</v>
      </c>
      <c r="B266" s="109" t="s">
        <v>73</v>
      </c>
      <c r="C266" s="109">
        <v>2.5</v>
      </c>
    </row>
    <row r="267" spans="1:3" ht="24" x14ac:dyDescent="0.3">
      <c r="A267" s="109" t="s">
        <v>5</v>
      </c>
      <c r="B267" s="109" t="s">
        <v>74</v>
      </c>
      <c r="C267" s="109">
        <v>3</v>
      </c>
    </row>
    <row r="268" spans="1:3" ht="24" x14ac:dyDescent="0.3">
      <c r="A268" s="109" t="s">
        <v>5</v>
      </c>
      <c r="B268" s="109" t="s">
        <v>75</v>
      </c>
      <c r="C268" s="109">
        <v>2</v>
      </c>
    </row>
    <row r="269" spans="1:3" ht="24" x14ac:dyDescent="0.3">
      <c r="A269" s="109" t="s">
        <v>5</v>
      </c>
      <c r="B269" s="109" t="s">
        <v>76</v>
      </c>
      <c r="C269" s="109">
        <v>1</v>
      </c>
    </row>
    <row r="270" spans="1:3" ht="24" x14ac:dyDescent="0.3">
      <c r="A270" s="109" t="s">
        <v>5</v>
      </c>
      <c r="B270" s="109" t="s">
        <v>77</v>
      </c>
      <c r="C270" s="109">
        <v>1</v>
      </c>
    </row>
    <row r="271" spans="1:3" ht="24" x14ac:dyDescent="0.3">
      <c r="A271" s="109" t="s">
        <v>5</v>
      </c>
      <c r="B271" s="109" t="s">
        <v>78</v>
      </c>
      <c r="C271" s="109">
        <v>20</v>
      </c>
    </row>
    <row r="272" spans="1:3" ht="24" x14ac:dyDescent="0.3">
      <c r="A272" s="109" t="s">
        <v>5</v>
      </c>
      <c r="B272" s="109" t="s">
        <v>79</v>
      </c>
      <c r="C272" s="109">
        <v>6</v>
      </c>
    </row>
    <row r="273" spans="1:3" ht="24" x14ac:dyDescent="0.3">
      <c r="A273" s="109" t="s">
        <v>5</v>
      </c>
      <c r="B273" s="109" t="s">
        <v>80</v>
      </c>
      <c r="C273" s="109">
        <v>4</v>
      </c>
    </row>
    <row r="274" spans="1:3" ht="24" x14ac:dyDescent="0.3">
      <c r="A274" s="109" t="s">
        <v>5</v>
      </c>
      <c r="B274" s="109" t="s">
        <v>81</v>
      </c>
      <c r="C274" s="109">
        <v>6</v>
      </c>
    </row>
    <row r="275" spans="1:3" ht="24" x14ac:dyDescent="0.3">
      <c r="A275" s="109" t="s">
        <v>5</v>
      </c>
      <c r="B275" s="109" t="s">
        <v>83</v>
      </c>
      <c r="C275" s="109">
        <v>337</v>
      </c>
    </row>
    <row r="276" spans="1:3" ht="24" x14ac:dyDescent="0.3">
      <c r="A276" s="109" t="s">
        <v>5</v>
      </c>
      <c r="B276" s="109" t="s">
        <v>84</v>
      </c>
      <c r="C276" s="109">
        <v>170</v>
      </c>
    </row>
    <row r="277" spans="1:3" ht="24" x14ac:dyDescent="0.3">
      <c r="A277" s="109" t="s">
        <v>5</v>
      </c>
      <c r="B277" s="109" t="s">
        <v>85</v>
      </c>
      <c r="C277" s="109">
        <v>25</v>
      </c>
    </row>
    <row r="278" spans="1:3" ht="24" x14ac:dyDescent="0.3">
      <c r="A278" s="109" t="s">
        <v>5</v>
      </c>
      <c r="B278" s="109" t="s">
        <v>86</v>
      </c>
      <c r="C278" s="109">
        <v>15</v>
      </c>
    </row>
    <row r="279" spans="1:3" ht="24" x14ac:dyDescent="0.3">
      <c r="A279" s="109" t="s">
        <v>5</v>
      </c>
      <c r="B279" s="109" t="s">
        <v>87</v>
      </c>
      <c r="C279" s="109">
        <v>12</v>
      </c>
    </row>
    <row r="280" spans="1:3" ht="24" x14ac:dyDescent="0.3">
      <c r="A280" s="109" t="s">
        <v>5</v>
      </c>
      <c r="B280" s="109" t="s">
        <v>88</v>
      </c>
      <c r="C280" s="109">
        <v>16</v>
      </c>
    </row>
    <row r="281" spans="1:3" ht="24" x14ac:dyDescent="0.3">
      <c r="A281" s="109" t="s">
        <v>5</v>
      </c>
      <c r="B281" s="109" t="s">
        <v>89</v>
      </c>
      <c r="C281" s="109">
        <v>0</v>
      </c>
    </row>
    <row r="282" spans="1:3" ht="24" x14ac:dyDescent="0.3">
      <c r="A282" s="109" t="s">
        <v>5</v>
      </c>
      <c r="B282" s="109" t="s">
        <v>90</v>
      </c>
      <c r="C282" s="109">
        <v>50</v>
      </c>
    </row>
    <row r="283" spans="1:3" ht="24" x14ac:dyDescent="0.3">
      <c r="A283" s="109" t="s">
        <v>5</v>
      </c>
      <c r="B283" s="109" t="s">
        <v>92</v>
      </c>
      <c r="C283" s="109">
        <v>2</v>
      </c>
    </row>
    <row r="284" spans="1:3" ht="24" x14ac:dyDescent="0.3">
      <c r="A284" s="109" t="s">
        <v>5</v>
      </c>
      <c r="B284" s="109" t="s">
        <v>93</v>
      </c>
      <c r="C284" s="109">
        <v>10</v>
      </c>
    </row>
    <row r="285" spans="1:3" ht="24" x14ac:dyDescent="0.3">
      <c r="A285" s="109" t="s">
        <v>5</v>
      </c>
      <c r="B285" s="109" t="s">
        <v>94</v>
      </c>
      <c r="C285" s="109">
        <v>1</v>
      </c>
    </row>
    <row r="286" spans="1:3" ht="24" x14ac:dyDescent="0.3">
      <c r="A286" s="109" t="s">
        <v>5</v>
      </c>
      <c r="B286" s="109" t="s">
        <v>95</v>
      </c>
      <c r="C286" s="109">
        <v>2</v>
      </c>
    </row>
    <row r="287" spans="1:3" ht="24" x14ac:dyDescent="0.3">
      <c r="A287" s="109" t="s">
        <v>5</v>
      </c>
      <c r="B287" s="109" t="s">
        <v>96</v>
      </c>
      <c r="C287" s="109">
        <v>1</v>
      </c>
    </row>
    <row r="288" spans="1:3" ht="24" x14ac:dyDescent="0.3">
      <c r="A288" s="109" t="s">
        <v>5</v>
      </c>
      <c r="B288" s="109" t="s">
        <v>97</v>
      </c>
      <c r="C288" s="109">
        <v>1</v>
      </c>
    </row>
    <row r="289" spans="1:3" ht="24" x14ac:dyDescent="0.3">
      <c r="A289" s="109" t="s">
        <v>5</v>
      </c>
      <c r="B289" s="109" t="s">
        <v>98</v>
      </c>
      <c r="C289" s="109">
        <v>0.1</v>
      </c>
    </row>
    <row r="290" spans="1:3" ht="24" x14ac:dyDescent="0.3">
      <c r="A290" s="109" t="s">
        <v>5</v>
      </c>
      <c r="B290" s="109" t="s">
        <v>99</v>
      </c>
      <c r="C290" s="109">
        <v>12</v>
      </c>
    </row>
    <row r="291" spans="1:3" ht="24" x14ac:dyDescent="0.3">
      <c r="A291" s="109" t="s">
        <v>5</v>
      </c>
      <c r="B291" s="109" t="s">
        <v>100</v>
      </c>
      <c r="C291" s="109">
        <v>15</v>
      </c>
    </row>
    <row r="292" spans="1:3" ht="24" x14ac:dyDescent="0.3">
      <c r="A292" s="109" t="s">
        <v>5</v>
      </c>
      <c r="B292" s="109" t="s">
        <v>101</v>
      </c>
      <c r="C292" s="109">
        <v>1</v>
      </c>
    </row>
    <row r="293" spans="1:3" ht="24" x14ac:dyDescent="0.3">
      <c r="A293" s="109" t="s">
        <v>5</v>
      </c>
      <c r="B293" s="109" t="s">
        <v>102</v>
      </c>
      <c r="C293" s="109">
        <v>0</v>
      </c>
    </row>
    <row r="294" spans="1:3" ht="24" x14ac:dyDescent="0.3">
      <c r="A294" s="109" t="s">
        <v>5</v>
      </c>
      <c r="B294" s="109" t="s">
        <v>103</v>
      </c>
      <c r="C294" s="109">
        <v>1</v>
      </c>
    </row>
    <row r="295" spans="1:3" ht="24" x14ac:dyDescent="0.3">
      <c r="A295" s="109" t="s">
        <v>5</v>
      </c>
      <c r="B295" s="109" t="s">
        <v>104</v>
      </c>
      <c r="C295" s="109">
        <v>0.4</v>
      </c>
    </row>
    <row r="296" spans="1:3" ht="24" x14ac:dyDescent="0.3">
      <c r="A296" s="109" t="s">
        <v>5</v>
      </c>
      <c r="B296" s="109" t="s">
        <v>105</v>
      </c>
      <c r="C296" s="109">
        <v>0</v>
      </c>
    </row>
    <row r="297" spans="1:3" ht="24" x14ac:dyDescent="0.3">
      <c r="A297" s="109" t="s">
        <v>5</v>
      </c>
      <c r="B297" s="109" t="s">
        <v>106</v>
      </c>
      <c r="C297" s="109">
        <v>0.7</v>
      </c>
    </row>
    <row r="298" spans="1:3" ht="24" x14ac:dyDescent="0.3">
      <c r="A298" s="109" t="s">
        <v>5</v>
      </c>
      <c r="B298" s="109" t="s">
        <v>107</v>
      </c>
      <c r="C298" s="109">
        <v>0.2</v>
      </c>
    </row>
    <row r="299" spans="1:3" ht="24" x14ac:dyDescent="0.3">
      <c r="A299" s="109" t="s">
        <v>5</v>
      </c>
      <c r="B299" s="109" t="s">
        <v>108</v>
      </c>
      <c r="C299" s="109">
        <v>1</v>
      </c>
    </row>
    <row r="300" spans="1:3" ht="24" x14ac:dyDescent="0.3">
      <c r="A300" s="109" t="s">
        <v>5</v>
      </c>
      <c r="B300" s="109" t="s">
        <v>109</v>
      </c>
      <c r="C300" s="109">
        <v>0</v>
      </c>
    </row>
    <row r="301" spans="1:3" ht="24" x14ac:dyDescent="0.3">
      <c r="A301" s="109" t="s">
        <v>5</v>
      </c>
      <c r="B301" s="109" t="s">
        <v>110</v>
      </c>
      <c r="C301" s="109">
        <v>0.2</v>
      </c>
    </row>
    <row r="302" spans="1:3" ht="24" x14ac:dyDescent="0.3">
      <c r="A302" s="109" t="s">
        <v>5</v>
      </c>
      <c r="B302" s="109" t="s">
        <v>111</v>
      </c>
      <c r="C302" s="109">
        <v>0</v>
      </c>
    </row>
    <row r="303" spans="1:3" ht="24" x14ac:dyDescent="0.3">
      <c r="A303" s="109" t="s">
        <v>5</v>
      </c>
      <c r="B303" s="109" t="s">
        <v>112</v>
      </c>
      <c r="C303" s="109">
        <v>1</v>
      </c>
    </row>
    <row r="304" spans="1:3" ht="24" x14ac:dyDescent="0.3">
      <c r="A304" s="109" t="s">
        <v>5</v>
      </c>
      <c r="B304" s="109" t="s">
        <v>113</v>
      </c>
      <c r="C304" s="109">
        <v>0.4</v>
      </c>
    </row>
    <row r="305" spans="1:3" ht="24" x14ac:dyDescent="0.3">
      <c r="A305" s="109" t="s">
        <v>5</v>
      </c>
      <c r="B305" s="109" t="s">
        <v>114</v>
      </c>
      <c r="C305" s="109">
        <v>0.1</v>
      </c>
    </row>
    <row r="306" spans="1:3" ht="24" x14ac:dyDescent="0.3">
      <c r="A306" s="109" t="s">
        <v>5</v>
      </c>
      <c r="B306" s="109" t="s">
        <v>115</v>
      </c>
      <c r="C306" s="109">
        <v>0</v>
      </c>
    </row>
    <row r="307" spans="1:3" ht="24" x14ac:dyDescent="0.3">
      <c r="A307" s="109" t="s">
        <v>5</v>
      </c>
      <c r="B307" s="109" t="s">
        <v>116</v>
      </c>
      <c r="C307" s="109">
        <v>1</v>
      </c>
    </row>
    <row r="308" spans="1:3" ht="24" x14ac:dyDescent="0.3">
      <c r="A308" s="109" t="s">
        <v>5</v>
      </c>
      <c r="B308" s="109" t="s">
        <v>117</v>
      </c>
      <c r="C308" s="109">
        <v>1.5</v>
      </c>
    </row>
    <row r="309" spans="1:3" ht="24" x14ac:dyDescent="0.3">
      <c r="A309" s="109" t="s">
        <v>5</v>
      </c>
      <c r="B309" s="109" t="s">
        <v>118</v>
      </c>
      <c r="C309" s="109">
        <v>24</v>
      </c>
    </row>
    <row r="310" spans="1:3" ht="24" x14ac:dyDescent="0.3">
      <c r="A310" s="109" t="s">
        <v>5</v>
      </c>
      <c r="B310" s="109" t="s">
        <v>120</v>
      </c>
      <c r="C310" s="109">
        <v>0.5</v>
      </c>
    </row>
    <row r="311" spans="1:3" ht="24" x14ac:dyDescent="0.3">
      <c r="A311" s="109" t="s">
        <v>5</v>
      </c>
      <c r="B311" s="109" t="s">
        <v>121</v>
      </c>
      <c r="C311" s="109">
        <v>5</v>
      </c>
    </row>
    <row r="312" spans="1:3" ht="24" x14ac:dyDescent="0.3">
      <c r="A312" s="109" t="s">
        <v>5</v>
      </c>
      <c r="B312" s="109" t="s">
        <v>122</v>
      </c>
      <c r="C312" s="109">
        <v>1</v>
      </c>
    </row>
    <row r="313" spans="1:3" ht="24" x14ac:dyDescent="0.3">
      <c r="A313" s="109" t="s">
        <v>5</v>
      </c>
      <c r="B313" s="109" t="s">
        <v>123</v>
      </c>
      <c r="C313" s="109">
        <v>0</v>
      </c>
    </row>
    <row r="314" spans="1:3" ht="24" x14ac:dyDescent="0.3">
      <c r="A314" s="109" t="s">
        <v>5</v>
      </c>
      <c r="B314" s="109" t="s">
        <v>124</v>
      </c>
      <c r="C314" s="109">
        <v>2</v>
      </c>
    </row>
    <row r="315" spans="1:3" ht="24" x14ac:dyDescent="0.3">
      <c r="A315" s="109" t="s">
        <v>5</v>
      </c>
      <c r="B315" s="109" t="s">
        <v>125</v>
      </c>
      <c r="C315" s="109">
        <v>0</v>
      </c>
    </row>
    <row r="316" spans="1:3" ht="24" x14ac:dyDescent="0.3">
      <c r="A316" s="109" t="s">
        <v>5</v>
      </c>
      <c r="B316" s="109" t="s">
        <v>126</v>
      </c>
      <c r="C316" s="109">
        <v>0</v>
      </c>
    </row>
    <row r="317" spans="1:3" ht="24" x14ac:dyDescent="0.3">
      <c r="A317" s="109"/>
      <c r="B317" s="109"/>
      <c r="C317" s="109"/>
    </row>
    <row r="318" spans="1:3" ht="24" x14ac:dyDescent="0.3">
      <c r="A318" s="109" t="s">
        <v>6</v>
      </c>
      <c r="B318" s="109" t="s">
        <v>62</v>
      </c>
      <c r="C318" s="109">
        <v>12</v>
      </c>
    </row>
    <row r="319" spans="1:3" ht="24" x14ac:dyDescent="0.3">
      <c r="A319" s="109" t="s">
        <v>6</v>
      </c>
      <c r="B319" s="109" t="s">
        <v>63</v>
      </c>
      <c r="C319" s="109">
        <v>10</v>
      </c>
    </row>
    <row r="320" spans="1:3" ht="24" x14ac:dyDescent="0.3">
      <c r="A320" s="109" t="s">
        <v>6</v>
      </c>
      <c r="B320" s="109" t="s">
        <v>64</v>
      </c>
      <c r="C320" s="109">
        <v>6</v>
      </c>
    </row>
    <row r="321" spans="1:3" ht="24" x14ac:dyDescent="0.3">
      <c r="A321" s="109" t="s">
        <v>6</v>
      </c>
      <c r="B321" s="109" t="s">
        <v>65</v>
      </c>
      <c r="C321" s="109">
        <v>9</v>
      </c>
    </row>
    <row r="322" spans="1:3" ht="24" x14ac:dyDescent="0.3">
      <c r="A322" s="109" t="s">
        <v>6</v>
      </c>
      <c r="B322" s="109" t="s">
        <v>66</v>
      </c>
      <c r="C322" s="109">
        <v>4</v>
      </c>
    </row>
    <row r="323" spans="1:3" ht="24" x14ac:dyDescent="0.3">
      <c r="A323" s="109" t="s">
        <v>6</v>
      </c>
      <c r="B323" s="109" t="s">
        <v>67</v>
      </c>
      <c r="C323" s="109">
        <v>3</v>
      </c>
    </row>
    <row r="324" spans="1:3" ht="24" x14ac:dyDescent="0.3">
      <c r="A324" s="109" t="s">
        <v>6</v>
      </c>
      <c r="B324" s="109" t="s">
        <v>68</v>
      </c>
      <c r="C324" s="109">
        <v>6</v>
      </c>
    </row>
    <row r="325" spans="1:3" ht="24" x14ac:dyDescent="0.3">
      <c r="A325" s="109" t="s">
        <v>6</v>
      </c>
      <c r="B325" s="109" t="s">
        <v>69</v>
      </c>
      <c r="C325" s="109">
        <v>4</v>
      </c>
    </row>
    <row r="326" spans="1:3" ht="24" x14ac:dyDescent="0.3">
      <c r="A326" s="109" t="s">
        <v>6</v>
      </c>
      <c r="B326" s="109" t="s">
        <v>70</v>
      </c>
      <c r="C326" s="109">
        <v>3</v>
      </c>
    </row>
    <row r="327" spans="1:3" ht="24" x14ac:dyDescent="0.3">
      <c r="A327" s="109" t="s">
        <v>6</v>
      </c>
      <c r="B327" s="109" t="s">
        <v>71</v>
      </c>
      <c r="C327" s="109">
        <v>3</v>
      </c>
    </row>
    <row r="328" spans="1:3" ht="24" x14ac:dyDescent="0.3">
      <c r="A328" s="109" t="s">
        <v>6</v>
      </c>
      <c r="B328" s="109" t="s">
        <v>72</v>
      </c>
      <c r="C328" s="109">
        <v>2</v>
      </c>
    </row>
    <row r="329" spans="1:3" ht="24" x14ac:dyDescent="0.3">
      <c r="A329" s="109" t="s">
        <v>6</v>
      </c>
      <c r="B329" s="109" t="s">
        <v>73</v>
      </c>
      <c r="C329" s="109">
        <v>3</v>
      </c>
    </row>
    <row r="330" spans="1:3" ht="24" x14ac:dyDescent="0.3">
      <c r="A330" s="109" t="s">
        <v>6</v>
      </c>
      <c r="B330" s="109" t="s">
        <v>74</v>
      </c>
      <c r="C330" s="109">
        <v>3</v>
      </c>
    </row>
    <row r="331" spans="1:3" ht="24" x14ac:dyDescent="0.3">
      <c r="A331" s="109" t="s">
        <v>6</v>
      </c>
      <c r="B331" s="109" t="s">
        <v>75</v>
      </c>
      <c r="C331" s="109">
        <v>2</v>
      </c>
    </row>
    <row r="332" spans="1:3" ht="24" x14ac:dyDescent="0.3">
      <c r="A332" s="109" t="s">
        <v>6</v>
      </c>
      <c r="B332" s="109" t="s">
        <v>76</v>
      </c>
      <c r="C332" s="109">
        <v>0</v>
      </c>
    </row>
    <row r="333" spans="1:3" ht="24" x14ac:dyDescent="0.3">
      <c r="A333" s="109" t="s">
        <v>6</v>
      </c>
      <c r="B333" s="109" t="s">
        <v>77</v>
      </c>
      <c r="C333" s="109">
        <v>0</v>
      </c>
    </row>
    <row r="334" spans="1:3" ht="24" x14ac:dyDescent="0.3">
      <c r="A334" s="109" t="s">
        <v>6</v>
      </c>
      <c r="B334" s="109" t="s">
        <v>78</v>
      </c>
      <c r="C334" s="109">
        <v>20</v>
      </c>
    </row>
    <row r="335" spans="1:3" ht="24" x14ac:dyDescent="0.3">
      <c r="A335" s="109" t="s">
        <v>6</v>
      </c>
      <c r="B335" s="109" t="s">
        <v>79</v>
      </c>
      <c r="C335" s="109">
        <v>4</v>
      </c>
    </row>
    <row r="336" spans="1:3" ht="24" x14ac:dyDescent="0.3">
      <c r="A336" s="109" t="s">
        <v>6</v>
      </c>
      <c r="B336" s="109" t="s">
        <v>80</v>
      </c>
      <c r="C336" s="109">
        <v>5</v>
      </c>
    </row>
    <row r="337" spans="1:3" ht="24" x14ac:dyDescent="0.3">
      <c r="A337" s="109" t="s">
        <v>6</v>
      </c>
      <c r="B337" s="109" t="s">
        <v>81</v>
      </c>
      <c r="C337" s="109">
        <v>3</v>
      </c>
    </row>
    <row r="338" spans="1:3" ht="24" x14ac:dyDescent="0.3">
      <c r="A338" s="109" t="s">
        <v>6</v>
      </c>
      <c r="B338" s="109" t="s">
        <v>83</v>
      </c>
      <c r="C338" s="109">
        <v>156</v>
      </c>
    </row>
    <row r="339" spans="1:3" ht="24" x14ac:dyDescent="0.3">
      <c r="A339" s="109" t="s">
        <v>6</v>
      </c>
      <c r="B339" s="109" t="s">
        <v>84</v>
      </c>
      <c r="C339" s="109">
        <v>102</v>
      </c>
    </row>
    <row r="340" spans="1:3" ht="24" x14ac:dyDescent="0.3">
      <c r="A340" s="109" t="s">
        <v>6</v>
      </c>
      <c r="B340" s="109" t="s">
        <v>85</v>
      </c>
      <c r="C340" s="109">
        <v>25</v>
      </c>
    </row>
    <row r="341" spans="1:3" ht="24" x14ac:dyDescent="0.3">
      <c r="A341" s="109" t="s">
        <v>6</v>
      </c>
      <c r="B341" s="109" t="s">
        <v>86</v>
      </c>
      <c r="C341" s="109">
        <v>20</v>
      </c>
    </row>
    <row r="342" spans="1:3" ht="24" x14ac:dyDescent="0.3">
      <c r="A342" s="109" t="s">
        <v>6</v>
      </c>
      <c r="B342" s="109" t="s">
        <v>87</v>
      </c>
      <c r="C342" s="109">
        <v>12</v>
      </c>
    </row>
    <row r="343" spans="1:3" ht="24" x14ac:dyDescent="0.3">
      <c r="A343" s="109" t="s">
        <v>6</v>
      </c>
      <c r="B343" s="109" t="s">
        <v>88</v>
      </c>
      <c r="C343" s="109">
        <v>12</v>
      </c>
    </row>
    <row r="344" spans="1:3" ht="24" x14ac:dyDescent="0.3">
      <c r="A344" s="109" t="s">
        <v>6</v>
      </c>
      <c r="B344" s="109" t="s">
        <v>89</v>
      </c>
      <c r="C344" s="109">
        <v>0</v>
      </c>
    </row>
    <row r="345" spans="1:3" ht="24" x14ac:dyDescent="0.3">
      <c r="A345" s="109" t="s">
        <v>6</v>
      </c>
      <c r="B345" s="109" t="s">
        <v>90</v>
      </c>
      <c r="C345" s="109">
        <v>58</v>
      </c>
    </row>
    <row r="346" spans="1:3" ht="24" x14ac:dyDescent="0.3">
      <c r="A346" s="109" t="s">
        <v>6</v>
      </c>
      <c r="B346" s="109" t="s">
        <v>92</v>
      </c>
      <c r="C346" s="109">
        <v>2</v>
      </c>
    </row>
    <row r="347" spans="1:3" ht="24" x14ac:dyDescent="0.3">
      <c r="A347" s="109" t="s">
        <v>6</v>
      </c>
      <c r="B347" s="109" t="s">
        <v>93</v>
      </c>
      <c r="C347" s="109">
        <v>6</v>
      </c>
    </row>
    <row r="348" spans="1:3" ht="24" x14ac:dyDescent="0.3">
      <c r="A348" s="109" t="s">
        <v>6</v>
      </c>
      <c r="B348" s="109" t="s">
        <v>94</v>
      </c>
      <c r="C348" s="109">
        <v>1</v>
      </c>
    </row>
    <row r="349" spans="1:3" ht="24" x14ac:dyDescent="0.3">
      <c r="A349" s="109" t="s">
        <v>6</v>
      </c>
      <c r="B349" s="109" t="s">
        <v>95</v>
      </c>
      <c r="C349" s="109">
        <v>1</v>
      </c>
    </row>
    <row r="350" spans="1:3" ht="24" x14ac:dyDescent="0.3">
      <c r="A350" s="109" t="s">
        <v>6</v>
      </c>
      <c r="B350" s="109" t="s">
        <v>96</v>
      </c>
      <c r="C350" s="109">
        <v>1</v>
      </c>
    </row>
    <row r="351" spans="1:3" ht="24" x14ac:dyDescent="0.3">
      <c r="A351" s="109" t="s">
        <v>6</v>
      </c>
      <c r="B351" s="109" t="s">
        <v>97</v>
      </c>
      <c r="C351" s="109">
        <v>1</v>
      </c>
    </row>
    <row r="352" spans="1:3" ht="24" x14ac:dyDescent="0.3">
      <c r="A352" s="109" t="s">
        <v>6</v>
      </c>
      <c r="B352" s="109" t="s">
        <v>98</v>
      </c>
      <c r="C352" s="109">
        <v>0.1</v>
      </c>
    </row>
    <row r="353" spans="1:3" ht="24" x14ac:dyDescent="0.3">
      <c r="A353" s="109" t="s">
        <v>6</v>
      </c>
      <c r="B353" s="109" t="s">
        <v>99</v>
      </c>
      <c r="C353" s="109">
        <v>13</v>
      </c>
    </row>
    <row r="354" spans="1:3" ht="24" x14ac:dyDescent="0.3">
      <c r="A354" s="109" t="s">
        <v>6</v>
      </c>
      <c r="B354" s="109" t="s">
        <v>100</v>
      </c>
      <c r="C354" s="109">
        <v>10</v>
      </c>
    </row>
    <row r="355" spans="1:3" ht="24" x14ac:dyDescent="0.3">
      <c r="A355" s="109" t="s">
        <v>6</v>
      </c>
      <c r="B355" s="109" t="s">
        <v>101</v>
      </c>
      <c r="C355" s="109">
        <v>0.4</v>
      </c>
    </row>
    <row r="356" spans="1:3" ht="24" x14ac:dyDescent="0.3">
      <c r="A356" s="109" t="s">
        <v>6</v>
      </c>
      <c r="B356" s="109" t="s">
        <v>102</v>
      </c>
      <c r="C356" s="109">
        <v>0</v>
      </c>
    </row>
    <row r="357" spans="1:3" ht="24" x14ac:dyDescent="0.3">
      <c r="A357" s="109" t="s">
        <v>6</v>
      </c>
      <c r="B357" s="109" t="s">
        <v>103</v>
      </c>
      <c r="C357" s="109">
        <v>1</v>
      </c>
    </row>
    <row r="358" spans="1:3" ht="24" x14ac:dyDescent="0.3">
      <c r="A358" s="109" t="s">
        <v>6</v>
      </c>
      <c r="B358" s="109" t="s">
        <v>104</v>
      </c>
      <c r="C358" s="109">
        <v>0</v>
      </c>
    </row>
    <row r="359" spans="1:3" ht="24" x14ac:dyDescent="0.3">
      <c r="A359" s="109" t="s">
        <v>6</v>
      </c>
      <c r="B359" s="109" t="s">
        <v>105</v>
      </c>
      <c r="C359" s="109">
        <v>0</v>
      </c>
    </row>
    <row r="360" spans="1:3" ht="24" x14ac:dyDescent="0.3">
      <c r="A360" s="109" t="s">
        <v>6</v>
      </c>
      <c r="B360" s="109" t="s">
        <v>106</v>
      </c>
      <c r="C360" s="109">
        <v>1</v>
      </c>
    </row>
    <row r="361" spans="1:3" ht="24" x14ac:dyDescent="0.3">
      <c r="A361" s="109" t="s">
        <v>6</v>
      </c>
      <c r="B361" s="109" t="s">
        <v>107</v>
      </c>
      <c r="C361" s="109">
        <v>0</v>
      </c>
    </row>
    <row r="362" spans="1:3" ht="24" x14ac:dyDescent="0.3">
      <c r="A362" s="109" t="s">
        <v>6</v>
      </c>
      <c r="B362" s="109" t="s">
        <v>108</v>
      </c>
      <c r="C362" s="109">
        <v>0</v>
      </c>
    </row>
    <row r="363" spans="1:3" ht="24" x14ac:dyDescent="0.3">
      <c r="A363" s="109" t="s">
        <v>6</v>
      </c>
      <c r="B363" s="109" t="s">
        <v>109</v>
      </c>
      <c r="C363" s="109">
        <v>0</v>
      </c>
    </row>
    <row r="364" spans="1:3" ht="24" x14ac:dyDescent="0.3">
      <c r="A364" s="109" t="s">
        <v>6</v>
      </c>
      <c r="B364" s="109" t="s">
        <v>110</v>
      </c>
      <c r="C364" s="109">
        <v>0.3</v>
      </c>
    </row>
    <row r="365" spans="1:3" ht="24" x14ac:dyDescent="0.3">
      <c r="A365" s="109" t="s">
        <v>6</v>
      </c>
      <c r="B365" s="109" t="s">
        <v>111</v>
      </c>
      <c r="C365" s="109">
        <v>0</v>
      </c>
    </row>
    <row r="366" spans="1:3" ht="24" x14ac:dyDescent="0.3">
      <c r="A366" s="109" t="s">
        <v>6</v>
      </c>
      <c r="B366" s="109" t="s">
        <v>112</v>
      </c>
      <c r="C366" s="109">
        <v>0</v>
      </c>
    </row>
    <row r="367" spans="1:3" ht="24" x14ac:dyDescent="0.3">
      <c r="A367" s="109" t="s">
        <v>6</v>
      </c>
      <c r="B367" s="109" t="s">
        <v>113</v>
      </c>
      <c r="C367" s="109">
        <v>0</v>
      </c>
    </row>
    <row r="368" spans="1:3" ht="24" x14ac:dyDescent="0.3">
      <c r="A368" s="109" t="s">
        <v>6</v>
      </c>
      <c r="B368" s="109" t="s">
        <v>114</v>
      </c>
      <c r="C368" s="109">
        <v>0</v>
      </c>
    </row>
    <row r="369" spans="1:3" ht="24" x14ac:dyDescent="0.3">
      <c r="A369" s="109" t="s">
        <v>6</v>
      </c>
      <c r="B369" s="109" t="s">
        <v>115</v>
      </c>
      <c r="C369" s="109">
        <v>0</v>
      </c>
    </row>
    <row r="370" spans="1:3" ht="24" x14ac:dyDescent="0.3">
      <c r="A370" s="109" t="s">
        <v>6</v>
      </c>
      <c r="B370" s="109" t="s">
        <v>116</v>
      </c>
      <c r="C370" s="109">
        <v>0</v>
      </c>
    </row>
    <row r="371" spans="1:3" ht="24" x14ac:dyDescent="0.3">
      <c r="A371" s="109" t="s">
        <v>6</v>
      </c>
      <c r="B371" s="109" t="s">
        <v>117</v>
      </c>
      <c r="C371" s="109">
        <v>0</v>
      </c>
    </row>
    <row r="372" spans="1:3" ht="24" x14ac:dyDescent="0.3">
      <c r="A372" s="109" t="s">
        <v>6</v>
      </c>
      <c r="B372" s="109" t="s">
        <v>118</v>
      </c>
      <c r="C372" s="109">
        <v>0</v>
      </c>
    </row>
    <row r="373" spans="1:3" ht="24" x14ac:dyDescent="0.3">
      <c r="A373" s="109" t="s">
        <v>6</v>
      </c>
      <c r="B373" s="109" t="s">
        <v>120</v>
      </c>
      <c r="C373" s="109">
        <v>0</v>
      </c>
    </row>
    <row r="374" spans="1:3" ht="24" x14ac:dyDescent="0.3">
      <c r="A374" s="109" t="s">
        <v>6</v>
      </c>
      <c r="B374" s="109" t="s">
        <v>121</v>
      </c>
      <c r="C374" s="109">
        <v>4</v>
      </c>
    </row>
    <row r="375" spans="1:3" ht="24" x14ac:dyDescent="0.3">
      <c r="A375" s="109" t="s">
        <v>6</v>
      </c>
      <c r="B375" s="109" t="s">
        <v>122</v>
      </c>
      <c r="C375" s="109">
        <v>1</v>
      </c>
    </row>
    <row r="376" spans="1:3" ht="24" x14ac:dyDescent="0.3">
      <c r="A376" s="109" t="s">
        <v>6</v>
      </c>
      <c r="B376" s="109" t="s">
        <v>123</v>
      </c>
      <c r="C376" s="109">
        <v>0</v>
      </c>
    </row>
    <row r="377" spans="1:3" ht="24" x14ac:dyDescent="0.3">
      <c r="A377" s="109" t="s">
        <v>6</v>
      </c>
      <c r="B377" s="109" t="s">
        <v>124</v>
      </c>
      <c r="C377" s="109">
        <v>2</v>
      </c>
    </row>
    <row r="378" spans="1:3" ht="24" x14ac:dyDescent="0.3">
      <c r="A378" s="109" t="s">
        <v>6</v>
      </c>
      <c r="B378" s="109" t="s">
        <v>125</v>
      </c>
      <c r="C378" s="109">
        <v>1</v>
      </c>
    </row>
    <row r="379" spans="1:3" ht="24" x14ac:dyDescent="0.3">
      <c r="A379" s="109" t="s">
        <v>6</v>
      </c>
      <c r="B379" s="109" t="s">
        <v>126</v>
      </c>
      <c r="C379" s="109">
        <v>0</v>
      </c>
    </row>
    <row r="380" spans="1:3" ht="24" x14ac:dyDescent="0.3">
      <c r="A380" s="109"/>
      <c r="B380" s="109"/>
      <c r="C380" s="109"/>
    </row>
    <row r="381" spans="1:3" ht="24" x14ac:dyDescent="0.3">
      <c r="A381" s="109" t="s">
        <v>7</v>
      </c>
      <c r="B381" s="109" t="s">
        <v>62</v>
      </c>
      <c r="C381" s="109">
        <v>10</v>
      </c>
    </row>
    <row r="382" spans="1:3" ht="24" x14ac:dyDescent="0.3">
      <c r="A382" s="109" t="s">
        <v>7</v>
      </c>
      <c r="B382" s="109" t="s">
        <v>63</v>
      </c>
      <c r="C382" s="109">
        <v>6</v>
      </c>
    </row>
    <row r="383" spans="1:3" ht="24" x14ac:dyDescent="0.3">
      <c r="A383" s="109" t="s">
        <v>7</v>
      </c>
      <c r="B383" s="109" t="s">
        <v>64</v>
      </c>
      <c r="C383" s="109">
        <v>6</v>
      </c>
    </row>
    <row r="384" spans="1:3" ht="24" x14ac:dyDescent="0.3">
      <c r="A384" s="109" t="s">
        <v>7</v>
      </c>
      <c r="B384" s="109" t="s">
        <v>65</v>
      </c>
      <c r="C384" s="109">
        <v>8</v>
      </c>
    </row>
    <row r="385" spans="1:3" ht="24" x14ac:dyDescent="0.3">
      <c r="A385" s="109" t="s">
        <v>7</v>
      </c>
      <c r="B385" s="109" t="s">
        <v>66</v>
      </c>
      <c r="C385" s="109">
        <v>3</v>
      </c>
    </row>
    <row r="386" spans="1:3" ht="24" x14ac:dyDescent="0.3">
      <c r="A386" s="109" t="s">
        <v>7</v>
      </c>
      <c r="B386" s="109" t="s">
        <v>67</v>
      </c>
      <c r="C386" s="109">
        <v>1</v>
      </c>
    </row>
    <row r="387" spans="1:3" ht="24" x14ac:dyDescent="0.3">
      <c r="A387" s="109" t="s">
        <v>7</v>
      </c>
      <c r="B387" s="109" t="s">
        <v>68</v>
      </c>
      <c r="C387" s="109">
        <v>2</v>
      </c>
    </row>
    <row r="388" spans="1:3" ht="24" x14ac:dyDescent="0.3">
      <c r="A388" s="109" t="s">
        <v>7</v>
      </c>
      <c r="B388" s="109" t="s">
        <v>69</v>
      </c>
      <c r="C388" s="109">
        <v>3</v>
      </c>
    </row>
    <row r="389" spans="1:3" ht="24" x14ac:dyDescent="0.3">
      <c r="A389" s="109" t="s">
        <v>7</v>
      </c>
      <c r="B389" s="109" t="s">
        <v>70</v>
      </c>
      <c r="C389" s="109">
        <v>5</v>
      </c>
    </row>
    <row r="390" spans="1:3" ht="24" x14ac:dyDescent="0.3">
      <c r="A390" s="109" t="s">
        <v>7</v>
      </c>
      <c r="B390" s="109" t="s">
        <v>71</v>
      </c>
      <c r="C390" s="109">
        <v>6</v>
      </c>
    </row>
    <row r="391" spans="1:3" ht="24" x14ac:dyDescent="0.3">
      <c r="A391" s="109" t="s">
        <v>7</v>
      </c>
      <c r="B391" s="109" t="s">
        <v>72</v>
      </c>
      <c r="C391" s="109">
        <v>1</v>
      </c>
    </row>
    <row r="392" spans="1:3" ht="24" x14ac:dyDescent="0.3">
      <c r="A392" s="109" t="s">
        <v>7</v>
      </c>
      <c r="B392" s="109" t="s">
        <v>73</v>
      </c>
      <c r="C392" s="109">
        <v>2.5</v>
      </c>
    </row>
    <row r="393" spans="1:3" ht="24" x14ac:dyDescent="0.3">
      <c r="A393" s="109" t="s">
        <v>7</v>
      </c>
      <c r="B393" s="109" t="s">
        <v>74</v>
      </c>
      <c r="C393" s="109">
        <v>3</v>
      </c>
    </row>
    <row r="394" spans="1:3" ht="24" x14ac:dyDescent="0.3">
      <c r="A394" s="109" t="s">
        <v>7</v>
      </c>
      <c r="B394" s="109" t="s">
        <v>75</v>
      </c>
      <c r="C394" s="109">
        <v>3</v>
      </c>
    </row>
    <row r="395" spans="1:3" ht="24" x14ac:dyDescent="0.3">
      <c r="A395" s="109" t="s">
        <v>7</v>
      </c>
      <c r="B395" s="109" t="s">
        <v>76</v>
      </c>
      <c r="C395" s="109">
        <v>1</v>
      </c>
    </row>
    <row r="396" spans="1:3" ht="24" x14ac:dyDescent="0.3">
      <c r="A396" s="109" t="s">
        <v>7</v>
      </c>
      <c r="B396" s="109" t="s">
        <v>77</v>
      </c>
      <c r="C396" s="109">
        <v>0</v>
      </c>
    </row>
    <row r="397" spans="1:3" ht="24" x14ac:dyDescent="0.3">
      <c r="A397" s="109" t="s">
        <v>7</v>
      </c>
      <c r="B397" s="109" t="s">
        <v>78</v>
      </c>
      <c r="C397" s="109">
        <v>15</v>
      </c>
    </row>
    <row r="398" spans="1:3" ht="24" x14ac:dyDescent="0.3">
      <c r="A398" s="109" t="s">
        <v>7</v>
      </c>
      <c r="B398" s="109" t="s">
        <v>79</v>
      </c>
      <c r="C398" s="109">
        <v>7</v>
      </c>
    </row>
    <row r="399" spans="1:3" ht="24" x14ac:dyDescent="0.3">
      <c r="A399" s="109" t="s">
        <v>7</v>
      </c>
      <c r="B399" s="109" t="s">
        <v>80</v>
      </c>
      <c r="C399" s="109">
        <v>5</v>
      </c>
    </row>
    <row r="400" spans="1:3" ht="24" x14ac:dyDescent="0.3">
      <c r="A400" s="109" t="s">
        <v>7</v>
      </c>
      <c r="B400" s="109" t="s">
        <v>81</v>
      </c>
      <c r="C400" s="109">
        <v>3</v>
      </c>
    </row>
    <row r="401" spans="1:3" ht="24" x14ac:dyDescent="0.3">
      <c r="A401" s="109" t="s">
        <v>7</v>
      </c>
      <c r="B401" s="109" t="s">
        <v>83</v>
      </c>
      <c r="C401" s="109">
        <v>294</v>
      </c>
    </row>
    <row r="402" spans="1:3" ht="24" x14ac:dyDescent="0.3">
      <c r="A402" s="109" t="s">
        <v>7</v>
      </c>
      <c r="B402" s="109" t="s">
        <v>84</v>
      </c>
      <c r="C402" s="109">
        <v>138</v>
      </c>
    </row>
    <row r="403" spans="1:3" ht="24" x14ac:dyDescent="0.3">
      <c r="A403" s="109" t="s">
        <v>7</v>
      </c>
      <c r="B403" s="109" t="s">
        <v>85</v>
      </c>
      <c r="C403" s="109">
        <v>25</v>
      </c>
    </row>
    <row r="404" spans="1:3" ht="24" x14ac:dyDescent="0.3">
      <c r="A404" s="109" t="s">
        <v>7</v>
      </c>
      <c r="B404" s="109" t="s">
        <v>86</v>
      </c>
      <c r="C404" s="109">
        <v>28</v>
      </c>
    </row>
    <row r="405" spans="1:3" ht="24" x14ac:dyDescent="0.3">
      <c r="A405" s="109" t="s">
        <v>7</v>
      </c>
      <c r="B405" s="109" t="s">
        <v>87</v>
      </c>
      <c r="C405" s="109">
        <v>12</v>
      </c>
    </row>
    <row r="406" spans="1:3" ht="24" x14ac:dyDescent="0.3">
      <c r="A406" s="109" t="s">
        <v>7</v>
      </c>
      <c r="B406" s="109" t="s">
        <v>88</v>
      </c>
      <c r="C406" s="109">
        <v>16</v>
      </c>
    </row>
    <row r="407" spans="1:3" ht="24" x14ac:dyDescent="0.3">
      <c r="A407" s="109" t="s">
        <v>7</v>
      </c>
      <c r="B407" s="109" t="s">
        <v>89</v>
      </c>
      <c r="C407" s="109">
        <v>0</v>
      </c>
    </row>
    <row r="408" spans="1:3" ht="24" x14ac:dyDescent="0.3">
      <c r="A408" s="109" t="s">
        <v>7</v>
      </c>
      <c r="B408" s="109" t="s">
        <v>90</v>
      </c>
      <c r="C408" s="109">
        <v>59</v>
      </c>
    </row>
    <row r="409" spans="1:3" ht="24" x14ac:dyDescent="0.3">
      <c r="A409" s="109" t="s">
        <v>7</v>
      </c>
      <c r="B409" s="109" t="s">
        <v>92</v>
      </c>
      <c r="C409" s="109">
        <v>2</v>
      </c>
    </row>
    <row r="410" spans="1:3" ht="24" x14ac:dyDescent="0.3">
      <c r="A410" s="109" t="s">
        <v>7</v>
      </c>
      <c r="B410" s="109" t="s">
        <v>93</v>
      </c>
      <c r="C410" s="109">
        <v>6</v>
      </c>
    </row>
    <row r="411" spans="1:3" ht="24" x14ac:dyDescent="0.3">
      <c r="A411" s="109" t="s">
        <v>7</v>
      </c>
      <c r="B411" s="109" t="s">
        <v>94</v>
      </c>
      <c r="C411" s="109">
        <v>1.5</v>
      </c>
    </row>
    <row r="412" spans="1:3" ht="24" x14ac:dyDescent="0.3">
      <c r="A412" s="109" t="s">
        <v>7</v>
      </c>
      <c r="B412" s="109" t="s">
        <v>95</v>
      </c>
      <c r="C412" s="109">
        <v>0.5</v>
      </c>
    </row>
    <row r="413" spans="1:3" ht="24" x14ac:dyDescent="0.3">
      <c r="A413" s="109" t="s">
        <v>7</v>
      </c>
      <c r="B413" s="109" t="s">
        <v>96</v>
      </c>
      <c r="C413" s="109">
        <v>2</v>
      </c>
    </row>
    <row r="414" spans="1:3" ht="24" x14ac:dyDescent="0.3">
      <c r="A414" s="109" t="s">
        <v>7</v>
      </c>
      <c r="B414" s="109" t="s">
        <v>97</v>
      </c>
      <c r="C414" s="109">
        <v>2</v>
      </c>
    </row>
    <row r="415" spans="1:3" ht="24" x14ac:dyDescent="0.3">
      <c r="A415" s="109" t="s">
        <v>7</v>
      </c>
      <c r="B415" s="109" t="s">
        <v>98</v>
      </c>
      <c r="C415" s="109">
        <v>0.30000000000000004</v>
      </c>
    </row>
    <row r="416" spans="1:3" ht="24" x14ac:dyDescent="0.3">
      <c r="A416" s="109" t="s">
        <v>7</v>
      </c>
      <c r="B416" s="109" t="s">
        <v>99</v>
      </c>
      <c r="C416" s="109">
        <v>10</v>
      </c>
    </row>
    <row r="417" spans="1:3" ht="24" x14ac:dyDescent="0.3">
      <c r="A417" s="109" t="s">
        <v>7</v>
      </c>
      <c r="B417" s="109" t="s">
        <v>100</v>
      </c>
      <c r="C417" s="109">
        <v>22</v>
      </c>
    </row>
    <row r="418" spans="1:3" ht="24" x14ac:dyDescent="0.3">
      <c r="A418" s="109" t="s">
        <v>7</v>
      </c>
      <c r="B418" s="109" t="s">
        <v>101</v>
      </c>
      <c r="C418" s="109">
        <v>0.5</v>
      </c>
    </row>
    <row r="419" spans="1:3" ht="24" x14ac:dyDescent="0.3">
      <c r="A419" s="109" t="s">
        <v>7</v>
      </c>
      <c r="B419" s="109" t="s">
        <v>102</v>
      </c>
      <c r="C419" s="109">
        <v>0.5</v>
      </c>
    </row>
    <row r="420" spans="1:3" ht="24" x14ac:dyDescent="0.3">
      <c r="A420" s="109" t="s">
        <v>7</v>
      </c>
      <c r="B420" s="109" t="s">
        <v>103</v>
      </c>
      <c r="C420" s="109">
        <v>0.6</v>
      </c>
    </row>
    <row r="421" spans="1:3" ht="24" x14ac:dyDescent="0.3">
      <c r="A421" s="109" t="s">
        <v>7</v>
      </c>
      <c r="B421" s="109" t="s">
        <v>104</v>
      </c>
      <c r="C421" s="109">
        <v>0.3</v>
      </c>
    </row>
    <row r="422" spans="1:3" ht="24" x14ac:dyDescent="0.3">
      <c r="A422" s="109" t="s">
        <v>7</v>
      </c>
      <c r="B422" s="109" t="s">
        <v>105</v>
      </c>
      <c r="C422" s="109">
        <v>0</v>
      </c>
    </row>
    <row r="423" spans="1:3" ht="24" x14ac:dyDescent="0.3">
      <c r="A423" s="109" t="s">
        <v>7</v>
      </c>
      <c r="B423" s="109" t="s">
        <v>106</v>
      </c>
      <c r="C423" s="109">
        <v>1</v>
      </c>
    </row>
    <row r="424" spans="1:3" ht="24" x14ac:dyDescent="0.3">
      <c r="A424" s="109" t="s">
        <v>7</v>
      </c>
      <c r="B424" s="109" t="s">
        <v>107</v>
      </c>
      <c r="C424" s="109">
        <v>0.2</v>
      </c>
    </row>
    <row r="425" spans="1:3" ht="24" x14ac:dyDescent="0.3">
      <c r="A425" s="109" t="s">
        <v>7</v>
      </c>
      <c r="B425" s="109" t="s">
        <v>108</v>
      </c>
      <c r="C425" s="109">
        <v>0</v>
      </c>
    </row>
    <row r="426" spans="1:3" ht="24" x14ac:dyDescent="0.3">
      <c r="A426" s="109" t="s">
        <v>7</v>
      </c>
      <c r="B426" s="109" t="s">
        <v>109</v>
      </c>
      <c r="C426" s="109">
        <v>0</v>
      </c>
    </row>
    <row r="427" spans="1:3" ht="24" x14ac:dyDescent="0.3">
      <c r="A427" s="109" t="s">
        <v>7</v>
      </c>
      <c r="B427" s="109" t="s">
        <v>110</v>
      </c>
      <c r="C427" s="109">
        <v>0.6</v>
      </c>
    </row>
    <row r="428" spans="1:3" ht="24" x14ac:dyDescent="0.3">
      <c r="A428" s="109" t="s">
        <v>7</v>
      </c>
      <c r="B428" s="109" t="s">
        <v>111</v>
      </c>
      <c r="C428" s="109">
        <v>0</v>
      </c>
    </row>
    <row r="429" spans="1:3" ht="24" x14ac:dyDescent="0.3">
      <c r="A429" s="109" t="s">
        <v>7</v>
      </c>
      <c r="B429" s="109" t="s">
        <v>112</v>
      </c>
      <c r="C429" s="109">
        <v>0</v>
      </c>
    </row>
    <row r="430" spans="1:3" ht="24" x14ac:dyDescent="0.3">
      <c r="A430" s="109" t="s">
        <v>7</v>
      </c>
      <c r="B430" s="109" t="s">
        <v>113</v>
      </c>
      <c r="C430" s="109">
        <v>0</v>
      </c>
    </row>
    <row r="431" spans="1:3" ht="24" x14ac:dyDescent="0.3">
      <c r="A431" s="109" t="s">
        <v>7</v>
      </c>
      <c r="B431" s="109" t="s">
        <v>114</v>
      </c>
      <c r="C431" s="109">
        <v>0</v>
      </c>
    </row>
    <row r="432" spans="1:3" ht="24" x14ac:dyDescent="0.3">
      <c r="A432" s="109" t="s">
        <v>7</v>
      </c>
      <c r="B432" s="109" t="s">
        <v>115</v>
      </c>
      <c r="C432" s="109">
        <v>0</v>
      </c>
    </row>
    <row r="433" spans="1:3" ht="24" x14ac:dyDescent="0.3">
      <c r="A433" s="109" t="s">
        <v>7</v>
      </c>
      <c r="B433" s="109" t="s">
        <v>116</v>
      </c>
      <c r="C433" s="109">
        <v>0</v>
      </c>
    </row>
    <row r="434" spans="1:3" ht="24" x14ac:dyDescent="0.3">
      <c r="A434" s="109" t="s">
        <v>7</v>
      </c>
      <c r="B434" s="109" t="s">
        <v>117</v>
      </c>
      <c r="C434" s="109">
        <v>0</v>
      </c>
    </row>
    <row r="435" spans="1:3" ht="24" x14ac:dyDescent="0.3">
      <c r="A435" s="109" t="s">
        <v>7</v>
      </c>
      <c r="B435" s="109" t="s">
        <v>118</v>
      </c>
      <c r="C435" s="109">
        <v>0</v>
      </c>
    </row>
    <row r="436" spans="1:3" ht="24" x14ac:dyDescent="0.3">
      <c r="A436" s="109" t="s">
        <v>7</v>
      </c>
      <c r="B436" s="109" t="s">
        <v>120</v>
      </c>
      <c r="C436" s="109">
        <v>0</v>
      </c>
    </row>
    <row r="437" spans="1:3" ht="24" x14ac:dyDescent="0.3">
      <c r="A437" s="109" t="s">
        <v>7</v>
      </c>
      <c r="B437" s="109" t="s">
        <v>121</v>
      </c>
      <c r="C437" s="109">
        <v>4</v>
      </c>
    </row>
    <row r="438" spans="1:3" ht="24" x14ac:dyDescent="0.3">
      <c r="A438" s="109" t="s">
        <v>7</v>
      </c>
      <c r="B438" s="109" t="s">
        <v>122</v>
      </c>
      <c r="C438" s="109">
        <v>2</v>
      </c>
    </row>
    <row r="439" spans="1:3" ht="24" x14ac:dyDescent="0.3">
      <c r="A439" s="109" t="s">
        <v>7</v>
      </c>
      <c r="B439" s="109" t="s">
        <v>123</v>
      </c>
      <c r="C439" s="109">
        <v>0</v>
      </c>
    </row>
    <row r="440" spans="1:3" ht="24" x14ac:dyDescent="0.3">
      <c r="A440" s="109" t="s">
        <v>7</v>
      </c>
      <c r="B440" s="109" t="s">
        <v>124</v>
      </c>
      <c r="C440" s="109">
        <v>3</v>
      </c>
    </row>
    <row r="441" spans="1:3" ht="24" x14ac:dyDescent="0.3">
      <c r="A441" s="109" t="s">
        <v>7</v>
      </c>
      <c r="B441" s="109" t="s">
        <v>125</v>
      </c>
      <c r="C441" s="109">
        <v>0</v>
      </c>
    </row>
    <row r="442" spans="1:3" ht="24" x14ac:dyDescent="0.3">
      <c r="A442" s="109" t="s">
        <v>7</v>
      </c>
      <c r="B442" s="109" t="s">
        <v>126</v>
      </c>
      <c r="C442" s="109">
        <v>0</v>
      </c>
    </row>
    <row r="443" spans="1:3" ht="24" x14ac:dyDescent="0.3">
      <c r="A443" s="109"/>
      <c r="B443" s="109"/>
      <c r="C443" s="109"/>
    </row>
    <row r="444" spans="1:3" ht="24" x14ac:dyDescent="0.3">
      <c r="A444" s="109" t="s">
        <v>331</v>
      </c>
      <c r="B444" s="109" t="s">
        <v>62</v>
      </c>
      <c r="C444" s="109">
        <v>12</v>
      </c>
    </row>
    <row r="445" spans="1:3" ht="24" x14ac:dyDescent="0.3">
      <c r="A445" s="109" t="s">
        <v>331</v>
      </c>
      <c r="B445" s="109" t="s">
        <v>63</v>
      </c>
      <c r="C445" s="109">
        <v>8</v>
      </c>
    </row>
    <row r="446" spans="1:3" ht="24" x14ac:dyDescent="0.3">
      <c r="A446" s="109" t="s">
        <v>331</v>
      </c>
      <c r="B446" s="109" t="s">
        <v>64</v>
      </c>
      <c r="C446" s="109">
        <v>6</v>
      </c>
    </row>
    <row r="447" spans="1:3" ht="24" x14ac:dyDescent="0.3">
      <c r="A447" s="109" t="s">
        <v>331</v>
      </c>
      <c r="B447" s="109" t="s">
        <v>65</v>
      </c>
      <c r="C447" s="109">
        <v>9</v>
      </c>
    </row>
    <row r="448" spans="1:3" ht="24" x14ac:dyDescent="0.3">
      <c r="A448" s="109" t="s">
        <v>331</v>
      </c>
      <c r="B448" s="109" t="s">
        <v>66</v>
      </c>
      <c r="C448" s="109">
        <v>2</v>
      </c>
    </row>
    <row r="449" spans="1:3" ht="24" x14ac:dyDescent="0.3">
      <c r="A449" s="109" t="s">
        <v>331</v>
      </c>
      <c r="B449" s="109" t="s">
        <v>67</v>
      </c>
      <c r="C449" s="109">
        <v>2</v>
      </c>
    </row>
    <row r="450" spans="1:3" ht="24" x14ac:dyDescent="0.3">
      <c r="A450" s="109" t="s">
        <v>331</v>
      </c>
      <c r="B450" s="109" t="s">
        <v>68</v>
      </c>
      <c r="C450" s="109">
        <v>0</v>
      </c>
    </row>
    <row r="451" spans="1:3" ht="24" x14ac:dyDescent="0.3">
      <c r="A451" s="109" t="s">
        <v>331</v>
      </c>
      <c r="B451" s="109" t="s">
        <v>69</v>
      </c>
      <c r="C451" s="109">
        <v>3</v>
      </c>
    </row>
    <row r="452" spans="1:3" ht="24" x14ac:dyDescent="0.3">
      <c r="A452" s="109" t="s">
        <v>331</v>
      </c>
      <c r="B452" s="109" t="s">
        <v>70</v>
      </c>
      <c r="C452" s="109">
        <v>9</v>
      </c>
    </row>
    <row r="453" spans="1:3" ht="24" x14ac:dyDescent="0.3">
      <c r="A453" s="109" t="s">
        <v>331</v>
      </c>
      <c r="B453" s="109" t="s">
        <v>71</v>
      </c>
      <c r="C453" s="109">
        <v>9</v>
      </c>
    </row>
    <row r="454" spans="1:3" ht="24" x14ac:dyDescent="0.3">
      <c r="A454" s="109" t="s">
        <v>331</v>
      </c>
      <c r="B454" s="109" t="s">
        <v>72</v>
      </c>
      <c r="C454" s="109">
        <v>3</v>
      </c>
    </row>
    <row r="455" spans="1:3" ht="24" x14ac:dyDescent="0.3">
      <c r="A455" s="109" t="s">
        <v>331</v>
      </c>
      <c r="B455" s="109" t="s">
        <v>73</v>
      </c>
      <c r="C455" s="109">
        <v>2.5</v>
      </c>
    </row>
    <row r="456" spans="1:3" ht="24" x14ac:dyDescent="0.3">
      <c r="A456" s="109" t="s">
        <v>331</v>
      </c>
      <c r="B456" s="109" t="s">
        <v>74</v>
      </c>
      <c r="C456" s="109">
        <v>7</v>
      </c>
    </row>
    <row r="457" spans="1:3" ht="24" x14ac:dyDescent="0.3">
      <c r="A457" s="109" t="s">
        <v>331</v>
      </c>
      <c r="B457" s="109" t="s">
        <v>75</v>
      </c>
      <c r="C457" s="109">
        <v>4</v>
      </c>
    </row>
    <row r="458" spans="1:3" ht="24" x14ac:dyDescent="0.3">
      <c r="A458" s="109" t="s">
        <v>331</v>
      </c>
      <c r="B458" s="109" t="s">
        <v>76</v>
      </c>
      <c r="C458" s="109">
        <v>1</v>
      </c>
    </row>
    <row r="459" spans="1:3" ht="24" x14ac:dyDescent="0.3">
      <c r="A459" s="109" t="s">
        <v>331</v>
      </c>
      <c r="B459" s="109" t="s">
        <v>77</v>
      </c>
      <c r="C459" s="109">
        <v>2.2000000000000002</v>
      </c>
    </row>
    <row r="460" spans="1:3" ht="24" x14ac:dyDescent="0.3">
      <c r="A460" s="109" t="s">
        <v>331</v>
      </c>
      <c r="B460" s="109" t="s">
        <v>78</v>
      </c>
      <c r="C460" s="109">
        <v>17</v>
      </c>
    </row>
    <row r="461" spans="1:3" ht="24" x14ac:dyDescent="0.3">
      <c r="A461" s="109" t="s">
        <v>331</v>
      </c>
      <c r="B461" s="109" t="s">
        <v>79</v>
      </c>
      <c r="C461" s="109">
        <v>11</v>
      </c>
    </row>
    <row r="462" spans="1:3" ht="24" x14ac:dyDescent="0.3">
      <c r="A462" s="109" t="s">
        <v>331</v>
      </c>
      <c r="B462" s="109" t="s">
        <v>80</v>
      </c>
      <c r="C462" s="109">
        <v>5</v>
      </c>
    </row>
    <row r="463" spans="1:3" ht="24" x14ac:dyDescent="0.3">
      <c r="A463" s="109" t="s">
        <v>331</v>
      </c>
      <c r="B463" s="109" t="s">
        <v>81</v>
      </c>
      <c r="C463" s="109">
        <v>10</v>
      </c>
    </row>
    <row r="464" spans="1:3" ht="24" x14ac:dyDescent="0.3">
      <c r="A464" s="109" t="s">
        <v>331</v>
      </c>
      <c r="B464" s="109" t="s">
        <v>83</v>
      </c>
      <c r="C464" s="109">
        <v>592</v>
      </c>
    </row>
    <row r="465" spans="1:3" ht="24" x14ac:dyDescent="0.3">
      <c r="A465" s="109" t="s">
        <v>331</v>
      </c>
      <c r="B465" s="109" t="s">
        <v>84</v>
      </c>
      <c r="C465" s="109">
        <v>320</v>
      </c>
    </row>
    <row r="466" spans="1:3" ht="24" x14ac:dyDescent="0.3">
      <c r="A466" s="109" t="s">
        <v>331</v>
      </c>
      <c r="B466" s="109" t="s">
        <v>85</v>
      </c>
      <c r="C466" s="109">
        <v>0</v>
      </c>
    </row>
    <row r="467" spans="1:3" ht="24" x14ac:dyDescent="0.3">
      <c r="A467" s="109" t="s">
        <v>331</v>
      </c>
      <c r="B467" s="109" t="s">
        <v>86</v>
      </c>
      <c r="C467" s="109">
        <v>0</v>
      </c>
    </row>
    <row r="468" spans="1:3" ht="24" x14ac:dyDescent="0.3">
      <c r="A468" s="109" t="s">
        <v>331</v>
      </c>
      <c r="B468" s="109" t="s">
        <v>87</v>
      </c>
      <c r="C468" s="109">
        <v>0</v>
      </c>
    </row>
    <row r="469" spans="1:3" ht="24" x14ac:dyDescent="0.3">
      <c r="A469" s="109" t="s">
        <v>331</v>
      </c>
      <c r="B469" s="109" t="s">
        <v>88</v>
      </c>
      <c r="C469" s="109">
        <v>0</v>
      </c>
    </row>
    <row r="470" spans="1:3" ht="24" x14ac:dyDescent="0.3">
      <c r="A470" s="109" t="s">
        <v>331</v>
      </c>
      <c r="B470" s="109" t="s">
        <v>89</v>
      </c>
      <c r="C470" s="109">
        <v>0</v>
      </c>
    </row>
    <row r="471" spans="1:3" ht="24" x14ac:dyDescent="0.3">
      <c r="A471" s="109" t="s">
        <v>331</v>
      </c>
      <c r="B471" s="109" t="s">
        <v>90</v>
      </c>
      <c r="C471" s="109">
        <v>50</v>
      </c>
    </row>
    <row r="472" spans="1:3" ht="24" x14ac:dyDescent="0.3">
      <c r="A472" s="109" t="s">
        <v>331</v>
      </c>
      <c r="B472" s="109" t="s">
        <v>92</v>
      </c>
      <c r="C472" s="109">
        <v>2</v>
      </c>
    </row>
    <row r="473" spans="1:3" ht="24" x14ac:dyDescent="0.3">
      <c r="A473" s="109" t="s">
        <v>331</v>
      </c>
      <c r="B473" s="109" t="s">
        <v>93</v>
      </c>
      <c r="C473" s="109">
        <v>10.1</v>
      </c>
    </row>
    <row r="474" spans="1:3" ht="24" x14ac:dyDescent="0.3">
      <c r="A474" s="109" t="s">
        <v>331</v>
      </c>
      <c r="B474" s="109" t="s">
        <v>94</v>
      </c>
      <c r="C474" s="109">
        <v>2</v>
      </c>
    </row>
    <row r="475" spans="1:3" ht="24" x14ac:dyDescent="0.3">
      <c r="A475" s="109" t="s">
        <v>331</v>
      </c>
      <c r="B475" s="109" t="s">
        <v>95</v>
      </c>
      <c r="C475" s="109">
        <v>1.6</v>
      </c>
    </row>
    <row r="476" spans="1:3" ht="24" x14ac:dyDescent="0.3">
      <c r="A476" s="109" t="s">
        <v>331</v>
      </c>
      <c r="B476" s="109" t="s">
        <v>96</v>
      </c>
      <c r="C476" s="109">
        <v>1</v>
      </c>
    </row>
    <row r="477" spans="1:3" ht="24" x14ac:dyDescent="0.3">
      <c r="A477" s="109" t="s">
        <v>331</v>
      </c>
      <c r="B477" s="109" t="s">
        <v>97</v>
      </c>
      <c r="C477" s="109">
        <v>1</v>
      </c>
    </row>
    <row r="478" spans="1:3" ht="24" x14ac:dyDescent="0.3">
      <c r="A478" s="109" t="s">
        <v>331</v>
      </c>
      <c r="B478" s="109" t="s">
        <v>98</v>
      </c>
      <c r="C478" s="109">
        <v>0.1</v>
      </c>
    </row>
    <row r="479" spans="1:3" ht="24" x14ac:dyDescent="0.3">
      <c r="A479" s="109" t="s">
        <v>331</v>
      </c>
      <c r="B479" s="109" t="s">
        <v>99</v>
      </c>
      <c r="C479" s="109">
        <v>15</v>
      </c>
    </row>
    <row r="480" spans="1:3" ht="24" x14ac:dyDescent="0.3">
      <c r="A480" s="109" t="s">
        <v>331</v>
      </c>
      <c r="B480" s="109" t="s">
        <v>100</v>
      </c>
      <c r="C480" s="109">
        <v>30</v>
      </c>
    </row>
    <row r="481" spans="1:3" ht="24" x14ac:dyDescent="0.3">
      <c r="A481" s="109" t="s">
        <v>331</v>
      </c>
      <c r="B481" s="109" t="s">
        <v>101</v>
      </c>
      <c r="C481" s="109">
        <v>1.5</v>
      </c>
    </row>
    <row r="482" spans="1:3" ht="24" x14ac:dyDescent="0.3">
      <c r="A482" s="109" t="s">
        <v>331</v>
      </c>
      <c r="B482" s="109" t="s">
        <v>102</v>
      </c>
      <c r="C482" s="109">
        <v>0.5</v>
      </c>
    </row>
    <row r="483" spans="1:3" ht="24" x14ac:dyDescent="0.3">
      <c r="A483" s="109" t="s">
        <v>331</v>
      </c>
      <c r="B483" s="109" t="s">
        <v>103</v>
      </c>
      <c r="C483" s="109">
        <v>1</v>
      </c>
    </row>
    <row r="484" spans="1:3" ht="24" x14ac:dyDescent="0.3">
      <c r="A484" s="109" t="s">
        <v>331</v>
      </c>
      <c r="B484" s="109" t="s">
        <v>104</v>
      </c>
      <c r="C484" s="109">
        <v>1</v>
      </c>
    </row>
    <row r="485" spans="1:3" ht="24" x14ac:dyDescent="0.3">
      <c r="A485" s="109" t="s">
        <v>331</v>
      </c>
      <c r="B485" s="109" t="s">
        <v>105</v>
      </c>
      <c r="C485" s="109">
        <v>0</v>
      </c>
    </row>
    <row r="486" spans="1:3" ht="24" x14ac:dyDescent="0.3">
      <c r="A486" s="109" t="s">
        <v>331</v>
      </c>
      <c r="B486" s="109" t="s">
        <v>106</v>
      </c>
      <c r="C486" s="109">
        <v>0.5</v>
      </c>
    </row>
    <row r="487" spans="1:3" ht="24" x14ac:dyDescent="0.3">
      <c r="A487" s="109" t="s">
        <v>331</v>
      </c>
      <c r="B487" s="109" t="s">
        <v>107</v>
      </c>
      <c r="C487" s="109">
        <v>0.5</v>
      </c>
    </row>
    <row r="488" spans="1:3" ht="24" x14ac:dyDescent="0.3">
      <c r="A488" s="109" t="s">
        <v>331</v>
      </c>
      <c r="B488" s="109" t="s">
        <v>108</v>
      </c>
      <c r="C488" s="109">
        <v>3</v>
      </c>
    </row>
    <row r="489" spans="1:3" ht="24" x14ac:dyDescent="0.3">
      <c r="A489" s="109" t="s">
        <v>331</v>
      </c>
      <c r="B489" s="109" t="s">
        <v>109</v>
      </c>
      <c r="C489" s="109">
        <v>0</v>
      </c>
    </row>
    <row r="490" spans="1:3" ht="24" x14ac:dyDescent="0.3">
      <c r="A490" s="109" t="s">
        <v>331</v>
      </c>
      <c r="B490" s="109" t="s">
        <v>110</v>
      </c>
      <c r="C490" s="109">
        <v>1.2</v>
      </c>
    </row>
    <row r="491" spans="1:3" ht="24" x14ac:dyDescent="0.3">
      <c r="A491" s="109" t="s">
        <v>331</v>
      </c>
      <c r="B491" s="109" t="s">
        <v>111</v>
      </c>
      <c r="C491" s="109">
        <v>0</v>
      </c>
    </row>
    <row r="492" spans="1:3" ht="24" x14ac:dyDescent="0.3">
      <c r="A492" s="109" t="s">
        <v>331</v>
      </c>
      <c r="B492" s="109" t="s">
        <v>112</v>
      </c>
      <c r="C492" s="109">
        <v>0.5</v>
      </c>
    </row>
    <row r="493" spans="1:3" ht="24" x14ac:dyDescent="0.3">
      <c r="A493" s="109" t="s">
        <v>331</v>
      </c>
      <c r="B493" s="109" t="s">
        <v>113</v>
      </c>
      <c r="C493" s="109">
        <v>0</v>
      </c>
    </row>
    <row r="494" spans="1:3" ht="24" x14ac:dyDescent="0.3">
      <c r="A494" s="109" t="s">
        <v>331</v>
      </c>
      <c r="B494" s="109" t="s">
        <v>114</v>
      </c>
      <c r="C494" s="109">
        <v>0</v>
      </c>
    </row>
    <row r="495" spans="1:3" ht="24" x14ac:dyDescent="0.3">
      <c r="A495" s="109" t="s">
        <v>331</v>
      </c>
      <c r="B495" s="109" t="s">
        <v>115</v>
      </c>
      <c r="C495" s="109">
        <v>0</v>
      </c>
    </row>
    <row r="496" spans="1:3" ht="24" x14ac:dyDescent="0.3">
      <c r="A496" s="109" t="s">
        <v>331</v>
      </c>
      <c r="B496" s="109" t="s">
        <v>116</v>
      </c>
      <c r="C496" s="109">
        <v>2</v>
      </c>
    </row>
    <row r="497" spans="1:3" ht="24" x14ac:dyDescent="0.3">
      <c r="A497" s="109" t="s">
        <v>331</v>
      </c>
      <c r="B497" s="109" t="s">
        <v>117</v>
      </c>
      <c r="C497" s="109">
        <v>2</v>
      </c>
    </row>
    <row r="498" spans="1:3" ht="24" x14ac:dyDescent="0.3">
      <c r="A498" s="109" t="s">
        <v>331</v>
      </c>
      <c r="B498" s="109" t="s">
        <v>118</v>
      </c>
      <c r="C498" s="109">
        <v>24</v>
      </c>
    </row>
    <row r="499" spans="1:3" ht="24" x14ac:dyDescent="0.3">
      <c r="A499" s="109" t="s">
        <v>331</v>
      </c>
      <c r="B499" s="109" t="s">
        <v>120</v>
      </c>
      <c r="C499" s="109">
        <v>0.5</v>
      </c>
    </row>
    <row r="500" spans="1:3" ht="24" x14ac:dyDescent="0.3">
      <c r="A500" s="109" t="s">
        <v>331</v>
      </c>
      <c r="B500" s="109" t="s">
        <v>121</v>
      </c>
      <c r="C500" s="109">
        <v>5</v>
      </c>
    </row>
    <row r="501" spans="1:3" ht="24" x14ac:dyDescent="0.3">
      <c r="A501" s="109" t="s">
        <v>331</v>
      </c>
      <c r="B501" s="109" t="s">
        <v>122</v>
      </c>
      <c r="C501" s="109">
        <v>1</v>
      </c>
    </row>
    <row r="502" spans="1:3" ht="24" x14ac:dyDescent="0.3">
      <c r="A502" s="109" t="s">
        <v>331</v>
      </c>
      <c r="B502" s="109" t="s">
        <v>123</v>
      </c>
      <c r="C502" s="109">
        <v>1</v>
      </c>
    </row>
    <row r="503" spans="1:3" ht="24" x14ac:dyDescent="0.3">
      <c r="A503" s="109" t="s">
        <v>331</v>
      </c>
      <c r="B503" s="109" t="s">
        <v>124</v>
      </c>
      <c r="C503" s="109">
        <v>3</v>
      </c>
    </row>
    <row r="504" spans="1:3" ht="24" x14ac:dyDescent="0.3">
      <c r="A504" s="109" t="s">
        <v>331</v>
      </c>
      <c r="B504" s="109" t="s">
        <v>125</v>
      </c>
      <c r="C504" s="109">
        <v>1</v>
      </c>
    </row>
    <row r="505" spans="1:3" ht="24" x14ac:dyDescent="0.3">
      <c r="A505" s="109" t="s">
        <v>331</v>
      </c>
      <c r="B505" s="109" t="s">
        <v>126</v>
      </c>
      <c r="C505" s="109">
        <v>200</v>
      </c>
    </row>
    <row r="506" spans="1:3" ht="24" x14ac:dyDescent="0.3">
      <c r="A506" s="109"/>
      <c r="B506" s="109"/>
      <c r="C506" s="109"/>
    </row>
    <row r="507" spans="1:3" ht="24" x14ac:dyDescent="0.3">
      <c r="A507" s="109" t="s">
        <v>9</v>
      </c>
      <c r="B507" s="109" t="s">
        <v>62</v>
      </c>
      <c r="C507" s="109">
        <v>12</v>
      </c>
    </row>
    <row r="508" spans="1:3" ht="24" x14ac:dyDescent="0.3">
      <c r="A508" s="109" t="s">
        <v>9</v>
      </c>
      <c r="B508" s="109" t="s">
        <v>63</v>
      </c>
      <c r="C508" s="109">
        <v>8</v>
      </c>
    </row>
    <row r="509" spans="1:3" ht="24" x14ac:dyDescent="0.3">
      <c r="A509" s="109" t="s">
        <v>9</v>
      </c>
      <c r="B509" s="109" t="s">
        <v>64</v>
      </c>
      <c r="C509" s="109">
        <v>6</v>
      </c>
    </row>
    <row r="510" spans="1:3" ht="24" x14ac:dyDescent="0.3">
      <c r="A510" s="109" t="s">
        <v>9</v>
      </c>
      <c r="B510" s="109" t="s">
        <v>65</v>
      </c>
      <c r="C510" s="109">
        <v>9</v>
      </c>
    </row>
    <row r="511" spans="1:3" ht="24" x14ac:dyDescent="0.3">
      <c r="A511" s="109" t="s">
        <v>9</v>
      </c>
      <c r="B511" s="109" t="s">
        <v>66</v>
      </c>
      <c r="C511" s="109">
        <v>1</v>
      </c>
    </row>
    <row r="512" spans="1:3" ht="24" x14ac:dyDescent="0.3">
      <c r="A512" s="109" t="s">
        <v>9</v>
      </c>
      <c r="B512" s="109" t="s">
        <v>67</v>
      </c>
      <c r="C512" s="109">
        <v>2</v>
      </c>
    </row>
    <row r="513" spans="1:3" ht="24" x14ac:dyDescent="0.3">
      <c r="A513" s="109" t="s">
        <v>9</v>
      </c>
      <c r="B513" s="109" t="s">
        <v>68</v>
      </c>
      <c r="C513" s="109">
        <v>0</v>
      </c>
    </row>
    <row r="514" spans="1:3" ht="24" x14ac:dyDescent="0.3">
      <c r="A514" s="109" t="s">
        <v>9</v>
      </c>
      <c r="B514" s="109" t="s">
        <v>69</v>
      </c>
      <c r="C514" s="109">
        <v>4</v>
      </c>
    </row>
    <row r="515" spans="1:3" ht="24" x14ac:dyDescent="0.3">
      <c r="A515" s="109" t="s">
        <v>9</v>
      </c>
      <c r="B515" s="109" t="s">
        <v>70</v>
      </c>
      <c r="C515" s="109">
        <v>3</v>
      </c>
    </row>
    <row r="516" spans="1:3" ht="24" x14ac:dyDescent="0.3">
      <c r="A516" s="109" t="s">
        <v>9</v>
      </c>
      <c r="B516" s="109" t="s">
        <v>71</v>
      </c>
      <c r="C516" s="109">
        <v>3</v>
      </c>
    </row>
    <row r="517" spans="1:3" ht="24" x14ac:dyDescent="0.3">
      <c r="A517" s="109" t="s">
        <v>9</v>
      </c>
      <c r="B517" s="109" t="s">
        <v>72</v>
      </c>
      <c r="C517" s="109">
        <v>2</v>
      </c>
    </row>
    <row r="518" spans="1:3" ht="24" x14ac:dyDescent="0.3">
      <c r="A518" s="109" t="s">
        <v>9</v>
      </c>
      <c r="B518" s="109" t="s">
        <v>73</v>
      </c>
      <c r="C518" s="109">
        <v>2.5</v>
      </c>
    </row>
    <row r="519" spans="1:3" ht="24" x14ac:dyDescent="0.3">
      <c r="A519" s="109" t="s">
        <v>9</v>
      </c>
      <c r="B519" s="109" t="s">
        <v>74</v>
      </c>
      <c r="C519" s="109">
        <v>0</v>
      </c>
    </row>
    <row r="520" spans="1:3" ht="24" x14ac:dyDescent="0.3">
      <c r="A520" s="109" t="s">
        <v>9</v>
      </c>
      <c r="B520" s="109" t="s">
        <v>75</v>
      </c>
      <c r="C520" s="109">
        <v>0</v>
      </c>
    </row>
    <row r="521" spans="1:3" ht="24" x14ac:dyDescent="0.3">
      <c r="A521" s="109" t="s">
        <v>9</v>
      </c>
      <c r="B521" s="109" t="s">
        <v>76</v>
      </c>
      <c r="C521" s="109">
        <v>0</v>
      </c>
    </row>
    <row r="522" spans="1:3" ht="24" x14ac:dyDescent="0.3">
      <c r="A522" s="109" t="s">
        <v>9</v>
      </c>
      <c r="B522" s="109" t="s">
        <v>77</v>
      </c>
      <c r="C522" s="109">
        <v>1</v>
      </c>
    </row>
    <row r="523" spans="1:3" ht="24" x14ac:dyDescent="0.3">
      <c r="A523" s="109" t="s">
        <v>9</v>
      </c>
      <c r="B523" s="109" t="s">
        <v>78</v>
      </c>
      <c r="C523" s="109">
        <v>20</v>
      </c>
    </row>
    <row r="524" spans="1:3" ht="24" x14ac:dyDescent="0.3">
      <c r="A524" s="109" t="s">
        <v>9</v>
      </c>
      <c r="B524" s="109" t="s">
        <v>79</v>
      </c>
      <c r="C524" s="109">
        <v>5</v>
      </c>
    </row>
    <row r="525" spans="1:3" ht="24" x14ac:dyDescent="0.3">
      <c r="A525" s="109" t="s">
        <v>9</v>
      </c>
      <c r="B525" s="109" t="s">
        <v>80</v>
      </c>
      <c r="C525" s="109">
        <v>7</v>
      </c>
    </row>
    <row r="526" spans="1:3" ht="24" x14ac:dyDescent="0.3">
      <c r="A526" s="109" t="s">
        <v>9</v>
      </c>
      <c r="B526" s="109" t="s">
        <v>81</v>
      </c>
      <c r="C526" s="109">
        <v>7</v>
      </c>
    </row>
    <row r="527" spans="1:3" ht="24" x14ac:dyDescent="0.3">
      <c r="A527" s="109" t="s">
        <v>9</v>
      </c>
      <c r="B527" s="109" t="s">
        <v>83</v>
      </c>
      <c r="C527" s="109">
        <v>360</v>
      </c>
    </row>
    <row r="528" spans="1:3" ht="24" x14ac:dyDescent="0.3">
      <c r="A528" s="109" t="s">
        <v>9</v>
      </c>
      <c r="B528" s="109" t="s">
        <v>84</v>
      </c>
      <c r="C528" s="109">
        <v>112</v>
      </c>
    </row>
    <row r="529" spans="1:3" ht="24" x14ac:dyDescent="0.3">
      <c r="A529" s="109" t="s">
        <v>9</v>
      </c>
      <c r="B529" s="109" t="s">
        <v>85</v>
      </c>
      <c r="C529" s="109">
        <v>0</v>
      </c>
    </row>
    <row r="530" spans="1:3" ht="24" x14ac:dyDescent="0.3">
      <c r="A530" s="109" t="s">
        <v>9</v>
      </c>
      <c r="B530" s="109" t="s">
        <v>86</v>
      </c>
      <c r="C530" s="109">
        <v>0</v>
      </c>
    </row>
    <row r="531" spans="1:3" ht="24" x14ac:dyDescent="0.3">
      <c r="A531" s="109" t="s">
        <v>9</v>
      </c>
      <c r="B531" s="109" t="s">
        <v>87</v>
      </c>
      <c r="C531" s="109">
        <v>10</v>
      </c>
    </row>
    <row r="532" spans="1:3" ht="24" x14ac:dyDescent="0.3">
      <c r="A532" s="109" t="s">
        <v>9</v>
      </c>
      <c r="B532" s="109" t="s">
        <v>88</v>
      </c>
      <c r="C532" s="109">
        <v>14</v>
      </c>
    </row>
    <row r="533" spans="1:3" ht="24" x14ac:dyDescent="0.3">
      <c r="A533" s="109" t="s">
        <v>9</v>
      </c>
      <c r="B533" s="109" t="s">
        <v>89</v>
      </c>
      <c r="C533" s="109">
        <v>0</v>
      </c>
    </row>
    <row r="534" spans="1:3" ht="24" x14ac:dyDescent="0.3">
      <c r="A534" s="109" t="s">
        <v>9</v>
      </c>
      <c r="B534" s="109" t="s">
        <v>90</v>
      </c>
      <c r="C534" s="109">
        <v>50</v>
      </c>
    </row>
    <row r="535" spans="1:3" ht="24" x14ac:dyDescent="0.3">
      <c r="A535" s="109" t="s">
        <v>9</v>
      </c>
      <c r="B535" s="109" t="s">
        <v>92</v>
      </c>
      <c r="C535" s="109">
        <v>2</v>
      </c>
    </row>
    <row r="536" spans="1:3" ht="24" x14ac:dyDescent="0.3">
      <c r="A536" s="109" t="s">
        <v>9</v>
      </c>
      <c r="B536" s="109" t="s">
        <v>93</v>
      </c>
      <c r="C536" s="109">
        <v>10</v>
      </c>
    </row>
    <row r="537" spans="1:3" ht="24" x14ac:dyDescent="0.3">
      <c r="A537" s="109" t="s">
        <v>9</v>
      </c>
      <c r="B537" s="109" t="s">
        <v>94</v>
      </c>
      <c r="C537" s="109">
        <v>2</v>
      </c>
    </row>
    <row r="538" spans="1:3" ht="24" x14ac:dyDescent="0.3">
      <c r="A538" s="109" t="s">
        <v>9</v>
      </c>
      <c r="B538" s="109" t="s">
        <v>95</v>
      </c>
      <c r="C538" s="109">
        <v>1</v>
      </c>
    </row>
    <row r="539" spans="1:3" ht="24" x14ac:dyDescent="0.3">
      <c r="A539" s="109" t="s">
        <v>9</v>
      </c>
      <c r="B539" s="109" t="s">
        <v>96</v>
      </c>
      <c r="C539" s="109">
        <v>1</v>
      </c>
    </row>
    <row r="540" spans="1:3" ht="24" x14ac:dyDescent="0.3">
      <c r="A540" s="109" t="s">
        <v>9</v>
      </c>
      <c r="B540" s="109" t="s">
        <v>97</v>
      </c>
      <c r="C540" s="109">
        <v>1</v>
      </c>
    </row>
    <row r="541" spans="1:3" ht="24" x14ac:dyDescent="0.3">
      <c r="A541" s="109" t="s">
        <v>9</v>
      </c>
      <c r="B541" s="109" t="s">
        <v>98</v>
      </c>
      <c r="C541" s="109">
        <v>0.1</v>
      </c>
    </row>
    <row r="542" spans="1:3" ht="24" x14ac:dyDescent="0.3">
      <c r="A542" s="109" t="s">
        <v>9</v>
      </c>
      <c r="B542" s="109" t="s">
        <v>99</v>
      </c>
      <c r="C542" s="109">
        <v>15</v>
      </c>
    </row>
    <row r="543" spans="1:3" ht="24" x14ac:dyDescent="0.3">
      <c r="A543" s="109" t="s">
        <v>9</v>
      </c>
      <c r="B543" s="109" t="s">
        <v>100</v>
      </c>
      <c r="C543" s="109">
        <v>30</v>
      </c>
    </row>
    <row r="544" spans="1:3" ht="24" x14ac:dyDescent="0.3">
      <c r="A544" s="109" t="s">
        <v>9</v>
      </c>
      <c r="B544" s="109" t="s">
        <v>101</v>
      </c>
      <c r="C544" s="109">
        <v>0</v>
      </c>
    </row>
    <row r="545" spans="1:3" ht="24" x14ac:dyDescent="0.3">
      <c r="A545" s="109" t="s">
        <v>9</v>
      </c>
      <c r="B545" s="109" t="s">
        <v>102</v>
      </c>
      <c r="C545" s="109">
        <v>0</v>
      </c>
    </row>
    <row r="546" spans="1:3" ht="24" x14ac:dyDescent="0.3">
      <c r="A546" s="109" t="s">
        <v>9</v>
      </c>
      <c r="B546" s="109" t="s">
        <v>103</v>
      </c>
      <c r="C546" s="109">
        <v>0.5</v>
      </c>
    </row>
    <row r="547" spans="1:3" ht="24" x14ac:dyDescent="0.3">
      <c r="A547" s="109" t="s">
        <v>9</v>
      </c>
      <c r="B547" s="109" t="s">
        <v>104</v>
      </c>
      <c r="C547" s="109">
        <v>0.5</v>
      </c>
    </row>
    <row r="548" spans="1:3" ht="24" x14ac:dyDescent="0.3">
      <c r="A548" s="109" t="s">
        <v>9</v>
      </c>
      <c r="B548" s="109" t="s">
        <v>105</v>
      </c>
      <c r="C548" s="109">
        <v>0</v>
      </c>
    </row>
    <row r="549" spans="1:3" ht="24" x14ac:dyDescent="0.3">
      <c r="A549" s="109" t="s">
        <v>9</v>
      </c>
      <c r="B549" s="109" t="s">
        <v>106</v>
      </c>
      <c r="C549" s="109">
        <v>1</v>
      </c>
    </row>
    <row r="550" spans="1:3" ht="24" x14ac:dyDescent="0.3">
      <c r="A550" s="109" t="s">
        <v>9</v>
      </c>
      <c r="B550" s="109" t="s">
        <v>107</v>
      </c>
      <c r="C550" s="109">
        <v>0</v>
      </c>
    </row>
    <row r="551" spans="1:3" ht="24" x14ac:dyDescent="0.3">
      <c r="A551" s="109" t="s">
        <v>9</v>
      </c>
      <c r="B551" s="109" t="s">
        <v>108</v>
      </c>
      <c r="C551" s="109">
        <v>0</v>
      </c>
    </row>
    <row r="552" spans="1:3" ht="24" x14ac:dyDescent="0.3">
      <c r="A552" s="109" t="s">
        <v>9</v>
      </c>
      <c r="B552" s="109" t="s">
        <v>109</v>
      </c>
      <c r="C552" s="109">
        <v>0</v>
      </c>
    </row>
    <row r="553" spans="1:3" ht="24" x14ac:dyDescent="0.3">
      <c r="A553" s="109" t="s">
        <v>9</v>
      </c>
      <c r="B553" s="109" t="s">
        <v>110</v>
      </c>
      <c r="C553" s="109">
        <v>1</v>
      </c>
    </row>
    <row r="554" spans="1:3" ht="24" x14ac:dyDescent="0.3">
      <c r="A554" s="109" t="s">
        <v>9</v>
      </c>
      <c r="B554" s="109" t="s">
        <v>111</v>
      </c>
      <c r="C554" s="109">
        <v>0</v>
      </c>
    </row>
    <row r="555" spans="1:3" ht="24" x14ac:dyDescent="0.3">
      <c r="A555" s="109" t="s">
        <v>9</v>
      </c>
      <c r="B555" s="109" t="s">
        <v>112</v>
      </c>
      <c r="C555" s="109">
        <v>0</v>
      </c>
    </row>
    <row r="556" spans="1:3" ht="24" x14ac:dyDescent="0.3">
      <c r="A556" s="109" t="s">
        <v>9</v>
      </c>
      <c r="B556" s="109" t="s">
        <v>113</v>
      </c>
      <c r="C556" s="109">
        <v>0</v>
      </c>
    </row>
    <row r="557" spans="1:3" ht="24" x14ac:dyDescent="0.3">
      <c r="A557" s="109" t="s">
        <v>9</v>
      </c>
      <c r="B557" s="109" t="s">
        <v>114</v>
      </c>
      <c r="C557" s="109">
        <v>0</v>
      </c>
    </row>
    <row r="558" spans="1:3" ht="24" x14ac:dyDescent="0.3">
      <c r="A558" s="109" t="s">
        <v>9</v>
      </c>
      <c r="B558" s="109" t="s">
        <v>115</v>
      </c>
      <c r="C558" s="109">
        <v>0</v>
      </c>
    </row>
    <row r="559" spans="1:3" ht="24" x14ac:dyDescent="0.3">
      <c r="A559" s="109" t="s">
        <v>9</v>
      </c>
      <c r="B559" s="109" t="s">
        <v>116</v>
      </c>
      <c r="C559" s="109">
        <v>0</v>
      </c>
    </row>
    <row r="560" spans="1:3" ht="24" x14ac:dyDescent="0.3">
      <c r="A560" s="109" t="s">
        <v>9</v>
      </c>
      <c r="B560" s="109" t="s">
        <v>117</v>
      </c>
      <c r="C560" s="109">
        <v>0</v>
      </c>
    </row>
    <row r="561" spans="1:3" ht="24" x14ac:dyDescent="0.3">
      <c r="A561" s="109" t="s">
        <v>9</v>
      </c>
      <c r="B561" s="109" t="s">
        <v>118</v>
      </c>
      <c r="C561" s="109">
        <v>0</v>
      </c>
    </row>
    <row r="562" spans="1:3" ht="24" x14ac:dyDescent="0.3">
      <c r="A562" s="109" t="s">
        <v>9</v>
      </c>
      <c r="B562" s="109" t="s">
        <v>120</v>
      </c>
      <c r="C562" s="109">
        <v>0</v>
      </c>
    </row>
    <row r="563" spans="1:3" ht="24" x14ac:dyDescent="0.3">
      <c r="A563" s="109" t="s">
        <v>9</v>
      </c>
      <c r="B563" s="109" t="s">
        <v>121</v>
      </c>
      <c r="C563" s="109">
        <v>3</v>
      </c>
    </row>
    <row r="564" spans="1:3" ht="24" x14ac:dyDescent="0.3">
      <c r="A564" s="109" t="s">
        <v>9</v>
      </c>
      <c r="B564" s="109" t="s">
        <v>122</v>
      </c>
      <c r="C564" s="109">
        <v>1</v>
      </c>
    </row>
    <row r="565" spans="1:3" ht="24" x14ac:dyDescent="0.3">
      <c r="A565" s="109" t="s">
        <v>9</v>
      </c>
      <c r="B565" s="109" t="s">
        <v>123</v>
      </c>
      <c r="C565" s="109">
        <v>0</v>
      </c>
    </row>
    <row r="566" spans="1:3" ht="24" x14ac:dyDescent="0.3">
      <c r="A566" s="109" t="s">
        <v>9</v>
      </c>
      <c r="B566" s="109" t="s">
        <v>124</v>
      </c>
      <c r="C566" s="109">
        <v>3</v>
      </c>
    </row>
    <row r="567" spans="1:3" ht="24" x14ac:dyDescent="0.3">
      <c r="A567" s="109" t="s">
        <v>9</v>
      </c>
      <c r="B567" s="109" t="s">
        <v>125</v>
      </c>
      <c r="C567" s="109">
        <v>1</v>
      </c>
    </row>
    <row r="568" spans="1:3" ht="24" x14ac:dyDescent="0.3">
      <c r="A568" s="109" t="s">
        <v>9</v>
      </c>
      <c r="B568" s="109" t="s">
        <v>126</v>
      </c>
      <c r="C568" s="109">
        <v>0</v>
      </c>
    </row>
    <row r="569" spans="1:3" ht="24" x14ac:dyDescent="0.3">
      <c r="A569" s="109"/>
      <c r="B569" s="109"/>
      <c r="C569" s="109"/>
    </row>
    <row r="570" spans="1:3" ht="24" x14ac:dyDescent="0.3">
      <c r="A570" s="109" t="s">
        <v>10</v>
      </c>
      <c r="B570" s="109" t="s">
        <v>62</v>
      </c>
      <c r="C570" s="109">
        <v>8</v>
      </c>
    </row>
    <row r="571" spans="1:3" ht="24" x14ac:dyDescent="0.3">
      <c r="A571" s="109" t="s">
        <v>10</v>
      </c>
      <c r="B571" s="109" t="s">
        <v>63</v>
      </c>
      <c r="C571" s="109">
        <v>6</v>
      </c>
    </row>
    <row r="572" spans="1:3" ht="24" x14ac:dyDescent="0.3">
      <c r="A572" s="109" t="s">
        <v>10</v>
      </c>
      <c r="B572" s="109" t="s">
        <v>64</v>
      </c>
      <c r="C572" s="109">
        <v>7</v>
      </c>
    </row>
    <row r="573" spans="1:3" ht="24" x14ac:dyDescent="0.3">
      <c r="A573" s="109" t="s">
        <v>10</v>
      </c>
      <c r="B573" s="109" t="s">
        <v>65</v>
      </c>
      <c r="C573" s="109">
        <v>6</v>
      </c>
    </row>
    <row r="574" spans="1:3" ht="24" x14ac:dyDescent="0.3">
      <c r="A574" s="109" t="s">
        <v>10</v>
      </c>
      <c r="B574" s="109" t="s">
        <v>66</v>
      </c>
      <c r="C574" s="109">
        <v>3</v>
      </c>
    </row>
    <row r="575" spans="1:3" ht="24" x14ac:dyDescent="0.3">
      <c r="A575" s="109" t="s">
        <v>10</v>
      </c>
      <c r="B575" s="109" t="s">
        <v>67</v>
      </c>
      <c r="C575" s="109">
        <v>2</v>
      </c>
    </row>
    <row r="576" spans="1:3" ht="24" x14ac:dyDescent="0.3">
      <c r="A576" s="109" t="s">
        <v>10</v>
      </c>
      <c r="B576" s="109" t="s">
        <v>68</v>
      </c>
      <c r="C576" s="109">
        <v>0</v>
      </c>
    </row>
    <row r="577" spans="1:3" ht="24" x14ac:dyDescent="0.3">
      <c r="A577" s="109" t="s">
        <v>10</v>
      </c>
      <c r="B577" s="109" t="s">
        <v>69</v>
      </c>
      <c r="C577" s="109">
        <v>5</v>
      </c>
    </row>
    <row r="578" spans="1:3" ht="24" x14ac:dyDescent="0.3">
      <c r="A578" s="109" t="s">
        <v>10</v>
      </c>
      <c r="B578" s="109" t="s">
        <v>70</v>
      </c>
      <c r="C578" s="109">
        <v>10</v>
      </c>
    </row>
    <row r="579" spans="1:3" ht="24" x14ac:dyDescent="0.3">
      <c r="A579" s="109" t="s">
        <v>10</v>
      </c>
      <c r="B579" s="109" t="s">
        <v>71</v>
      </c>
      <c r="C579" s="109">
        <v>10</v>
      </c>
    </row>
    <row r="580" spans="1:3" ht="24" x14ac:dyDescent="0.3">
      <c r="A580" s="109" t="s">
        <v>10</v>
      </c>
      <c r="B580" s="109" t="s">
        <v>72</v>
      </c>
      <c r="C580" s="109">
        <v>0</v>
      </c>
    </row>
    <row r="581" spans="1:3" ht="24" x14ac:dyDescent="0.3">
      <c r="A581" s="109" t="s">
        <v>10</v>
      </c>
      <c r="B581" s="109" t="s">
        <v>73</v>
      </c>
      <c r="C581" s="109">
        <v>2</v>
      </c>
    </row>
    <row r="582" spans="1:3" ht="24" x14ac:dyDescent="0.3">
      <c r="A582" s="109" t="s">
        <v>10</v>
      </c>
      <c r="B582" s="109" t="s">
        <v>74</v>
      </c>
      <c r="C582" s="109">
        <v>2</v>
      </c>
    </row>
    <row r="583" spans="1:3" ht="24" x14ac:dyDescent="0.3">
      <c r="A583" s="109" t="s">
        <v>10</v>
      </c>
      <c r="B583" s="109" t="s">
        <v>75</v>
      </c>
      <c r="C583" s="109">
        <v>2</v>
      </c>
    </row>
    <row r="584" spans="1:3" ht="24" x14ac:dyDescent="0.3">
      <c r="A584" s="109" t="s">
        <v>10</v>
      </c>
      <c r="B584" s="109" t="s">
        <v>76</v>
      </c>
      <c r="C584" s="109">
        <v>0</v>
      </c>
    </row>
    <row r="585" spans="1:3" ht="24" x14ac:dyDescent="0.3">
      <c r="A585" s="109" t="s">
        <v>10</v>
      </c>
      <c r="B585" s="109" t="s">
        <v>77</v>
      </c>
      <c r="C585" s="109">
        <v>1</v>
      </c>
    </row>
    <row r="586" spans="1:3" ht="24" x14ac:dyDescent="0.3">
      <c r="A586" s="109" t="s">
        <v>10</v>
      </c>
      <c r="B586" s="109" t="s">
        <v>78</v>
      </c>
      <c r="C586" s="109">
        <v>15</v>
      </c>
    </row>
    <row r="587" spans="1:3" ht="24" x14ac:dyDescent="0.3">
      <c r="A587" s="109" t="s">
        <v>10</v>
      </c>
      <c r="B587" s="109" t="s">
        <v>79</v>
      </c>
      <c r="C587" s="109">
        <v>5</v>
      </c>
    </row>
    <row r="588" spans="1:3" ht="24" x14ac:dyDescent="0.3">
      <c r="A588" s="109" t="s">
        <v>10</v>
      </c>
      <c r="B588" s="109" t="s">
        <v>80</v>
      </c>
      <c r="C588" s="109">
        <v>5</v>
      </c>
    </row>
    <row r="589" spans="1:3" ht="24" x14ac:dyDescent="0.3">
      <c r="A589" s="109" t="s">
        <v>10</v>
      </c>
      <c r="B589" s="109" t="s">
        <v>81</v>
      </c>
      <c r="C589" s="109">
        <v>6</v>
      </c>
    </row>
    <row r="590" spans="1:3" ht="24" x14ac:dyDescent="0.3">
      <c r="A590" s="109" t="s">
        <v>10</v>
      </c>
      <c r="B590" s="109" t="s">
        <v>83</v>
      </c>
      <c r="C590" s="109">
        <v>300</v>
      </c>
    </row>
    <row r="591" spans="1:3" ht="24" x14ac:dyDescent="0.3">
      <c r="A591" s="109" t="s">
        <v>10</v>
      </c>
      <c r="B591" s="109" t="s">
        <v>84</v>
      </c>
      <c r="C591" s="109">
        <v>180</v>
      </c>
    </row>
    <row r="592" spans="1:3" ht="24" x14ac:dyDescent="0.3">
      <c r="A592" s="109" t="s">
        <v>10</v>
      </c>
      <c r="B592" s="109" t="s">
        <v>85</v>
      </c>
      <c r="C592" s="109">
        <v>25</v>
      </c>
    </row>
    <row r="593" spans="1:3" ht="24" x14ac:dyDescent="0.3">
      <c r="A593" s="109" t="s">
        <v>10</v>
      </c>
      <c r="B593" s="109" t="s">
        <v>86</v>
      </c>
      <c r="C593" s="109">
        <v>5</v>
      </c>
    </row>
    <row r="594" spans="1:3" ht="24" x14ac:dyDescent="0.3">
      <c r="A594" s="109" t="s">
        <v>10</v>
      </c>
      <c r="B594" s="109" t="s">
        <v>87</v>
      </c>
      <c r="C594" s="109">
        <v>17</v>
      </c>
    </row>
    <row r="595" spans="1:3" ht="24" x14ac:dyDescent="0.3">
      <c r="A595" s="109" t="s">
        <v>10</v>
      </c>
      <c r="B595" s="109" t="s">
        <v>88</v>
      </c>
      <c r="C595" s="109">
        <v>10</v>
      </c>
    </row>
    <row r="596" spans="1:3" ht="24" x14ac:dyDescent="0.3">
      <c r="A596" s="109" t="s">
        <v>10</v>
      </c>
      <c r="B596" s="109" t="s">
        <v>89</v>
      </c>
      <c r="C596" s="109">
        <v>0</v>
      </c>
    </row>
    <row r="597" spans="1:3" ht="24" x14ac:dyDescent="0.3">
      <c r="A597" s="109" t="s">
        <v>10</v>
      </c>
      <c r="B597" s="109" t="s">
        <v>90</v>
      </c>
      <c r="C597" s="109">
        <v>50</v>
      </c>
    </row>
    <row r="598" spans="1:3" ht="24" x14ac:dyDescent="0.3">
      <c r="A598" s="109" t="s">
        <v>10</v>
      </c>
      <c r="B598" s="109" t="s">
        <v>92</v>
      </c>
      <c r="C598" s="109">
        <v>2</v>
      </c>
    </row>
    <row r="599" spans="1:3" ht="24" x14ac:dyDescent="0.3">
      <c r="A599" s="109" t="s">
        <v>10</v>
      </c>
      <c r="B599" s="109" t="s">
        <v>93</v>
      </c>
      <c r="C599" s="109">
        <v>10</v>
      </c>
    </row>
    <row r="600" spans="1:3" ht="24" x14ac:dyDescent="0.3">
      <c r="A600" s="109" t="s">
        <v>10</v>
      </c>
      <c r="B600" s="109" t="s">
        <v>94</v>
      </c>
      <c r="C600" s="109">
        <v>0</v>
      </c>
    </row>
    <row r="601" spans="1:3" ht="24" x14ac:dyDescent="0.3">
      <c r="A601" s="109" t="s">
        <v>10</v>
      </c>
      <c r="B601" s="109" t="s">
        <v>95</v>
      </c>
      <c r="C601" s="109">
        <v>0</v>
      </c>
    </row>
    <row r="602" spans="1:3" ht="24" x14ac:dyDescent="0.3">
      <c r="A602" s="109" t="s">
        <v>10</v>
      </c>
      <c r="B602" s="109" t="s">
        <v>96</v>
      </c>
      <c r="C602" s="109">
        <v>1</v>
      </c>
    </row>
    <row r="603" spans="1:3" ht="24" x14ac:dyDescent="0.3">
      <c r="A603" s="109" t="s">
        <v>10</v>
      </c>
      <c r="B603" s="109" t="s">
        <v>97</v>
      </c>
      <c r="C603" s="109">
        <v>1</v>
      </c>
    </row>
    <row r="604" spans="1:3" ht="24" x14ac:dyDescent="0.3">
      <c r="A604" s="109" t="s">
        <v>10</v>
      </c>
      <c r="B604" s="109" t="s">
        <v>98</v>
      </c>
      <c r="C604" s="109">
        <v>0.1</v>
      </c>
    </row>
    <row r="605" spans="1:3" ht="24" x14ac:dyDescent="0.3">
      <c r="A605" s="109" t="s">
        <v>10</v>
      </c>
      <c r="B605" s="109" t="s">
        <v>99</v>
      </c>
      <c r="C605" s="109">
        <v>0</v>
      </c>
    </row>
    <row r="606" spans="1:3" ht="24" x14ac:dyDescent="0.3">
      <c r="A606" s="109" t="s">
        <v>10</v>
      </c>
      <c r="B606" s="109" t="s">
        <v>100</v>
      </c>
      <c r="C606" s="109">
        <v>15</v>
      </c>
    </row>
    <row r="607" spans="1:3" ht="24" x14ac:dyDescent="0.3">
      <c r="A607" s="109" t="s">
        <v>10</v>
      </c>
      <c r="B607" s="109" t="s">
        <v>101</v>
      </c>
      <c r="C607" s="109">
        <v>0.5</v>
      </c>
    </row>
    <row r="608" spans="1:3" ht="24" x14ac:dyDescent="0.3">
      <c r="A608" s="109" t="s">
        <v>10</v>
      </c>
      <c r="B608" s="109" t="s">
        <v>102</v>
      </c>
      <c r="C608" s="109">
        <v>0</v>
      </c>
    </row>
    <row r="609" spans="1:3" ht="24" x14ac:dyDescent="0.3">
      <c r="A609" s="109" t="s">
        <v>10</v>
      </c>
      <c r="B609" s="109" t="s">
        <v>103</v>
      </c>
      <c r="C609" s="109">
        <v>0</v>
      </c>
    </row>
    <row r="610" spans="1:3" ht="24" x14ac:dyDescent="0.3">
      <c r="A610" s="109" t="s">
        <v>10</v>
      </c>
      <c r="B610" s="109" t="s">
        <v>104</v>
      </c>
      <c r="C610" s="109">
        <v>0.4</v>
      </c>
    </row>
    <row r="611" spans="1:3" ht="24" x14ac:dyDescent="0.3">
      <c r="A611" s="109" t="s">
        <v>10</v>
      </c>
      <c r="B611" s="109" t="s">
        <v>105</v>
      </c>
      <c r="C611" s="109">
        <v>0</v>
      </c>
    </row>
    <row r="612" spans="1:3" ht="24" x14ac:dyDescent="0.3">
      <c r="A612" s="109" t="s">
        <v>10</v>
      </c>
      <c r="B612" s="109" t="s">
        <v>106</v>
      </c>
      <c r="C612" s="109">
        <v>1</v>
      </c>
    </row>
    <row r="613" spans="1:3" ht="24" x14ac:dyDescent="0.3">
      <c r="A613" s="109" t="s">
        <v>10</v>
      </c>
      <c r="B613" s="109" t="s">
        <v>107</v>
      </c>
      <c r="C613" s="109">
        <v>0</v>
      </c>
    </row>
    <row r="614" spans="1:3" ht="24" x14ac:dyDescent="0.3">
      <c r="A614" s="109" t="s">
        <v>10</v>
      </c>
      <c r="B614" s="109" t="s">
        <v>108</v>
      </c>
      <c r="C614" s="109">
        <v>0</v>
      </c>
    </row>
    <row r="615" spans="1:3" ht="24" x14ac:dyDescent="0.3">
      <c r="A615" s="109" t="s">
        <v>10</v>
      </c>
      <c r="B615" s="109" t="s">
        <v>109</v>
      </c>
      <c r="C615" s="109">
        <v>0</v>
      </c>
    </row>
    <row r="616" spans="1:3" ht="24" x14ac:dyDescent="0.3">
      <c r="A616" s="109" t="s">
        <v>10</v>
      </c>
      <c r="B616" s="109" t="s">
        <v>110</v>
      </c>
      <c r="C616" s="109">
        <v>0</v>
      </c>
    </row>
    <row r="617" spans="1:3" ht="24" x14ac:dyDescent="0.3">
      <c r="A617" s="109" t="s">
        <v>10</v>
      </c>
      <c r="B617" s="109" t="s">
        <v>111</v>
      </c>
      <c r="C617" s="109">
        <v>0</v>
      </c>
    </row>
    <row r="618" spans="1:3" ht="24" x14ac:dyDescent="0.3">
      <c r="A618" s="109" t="s">
        <v>10</v>
      </c>
      <c r="B618" s="109" t="s">
        <v>112</v>
      </c>
      <c r="C618" s="109">
        <v>0</v>
      </c>
    </row>
    <row r="619" spans="1:3" ht="24" x14ac:dyDescent="0.3">
      <c r="A619" s="109" t="s">
        <v>10</v>
      </c>
      <c r="B619" s="109" t="s">
        <v>113</v>
      </c>
      <c r="C619" s="109">
        <v>0</v>
      </c>
    </row>
    <row r="620" spans="1:3" ht="24" x14ac:dyDescent="0.3">
      <c r="A620" s="109" t="s">
        <v>10</v>
      </c>
      <c r="B620" s="109" t="s">
        <v>114</v>
      </c>
      <c r="C620" s="109">
        <v>0</v>
      </c>
    </row>
    <row r="621" spans="1:3" ht="24" x14ac:dyDescent="0.3">
      <c r="A621" s="109" t="s">
        <v>10</v>
      </c>
      <c r="B621" s="109" t="s">
        <v>115</v>
      </c>
      <c r="C621" s="109">
        <v>0</v>
      </c>
    </row>
    <row r="622" spans="1:3" ht="24" x14ac:dyDescent="0.3">
      <c r="A622" s="109" t="s">
        <v>10</v>
      </c>
      <c r="B622" s="109" t="s">
        <v>116</v>
      </c>
      <c r="C622" s="109">
        <v>0</v>
      </c>
    </row>
    <row r="623" spans="1:3" ht="24" x14ac:dyDescent="0.3">
      <c r="A623" s="109" t="s">
        <v>10</v>
      </c>
      <c r="B623" s="109" t="s">
        <v>117</v>
      </c>
      <c r="C623" s="109">
        <v>0</v>
      </c>
    </row>
    <row r="624" spans="1:3" ht="24" x14ac:dyDescent="0.3">
      <c r="A624" s="109" t="s">
        <v>10</v>
      </c>
      <c r="B624" s="109" t="s">
        <v>118</v>
      </c>
      <c r="C624" s="109">
        <v>0</v>
      </c>
    </row>
    <row r="625" spans="1:3" ht="24" x14ac:dyDescent="0.3">
      <c r="A625" s="109" t="s">
        <v>10</v>
      </c>
      <c r="B625" s="109" t="s">
        <v>120</v>
      </c>
      <c r="C625" s="109">
        <v>0</v>
      </c>
    </row>
    <row r="626" spans="1:3" ht="24" x14ac:dyDescent="0.3">
      <c r="A626" s="109" t="s">
        <v>10</v>
      </c>
      <c r="B626" s="109" t="s">
        <v>121</v>
      </c>
      <c r="C626" s="109">
        <v>0</v>
      </c>
    </row>
    <row r="627" spans="1:3" ht="24" x14ac:dyDescent="0.3">
      <c r="A627" s="109" t="s">
        <v>10</v>
      </c>
      <c r="B627" s="109" t="s">
        <v>122</v>
      </c>
      <c r="C627" s="109">
        <v>0</v>
      </c>
    </row>
    <row r="628" spans="1:3" ht="24" x14ac:dyDescent="0.3">
      <c r="A628" s="109" t="s">
        <v>10</v>
      </c>
      <c r="B628" s="109" t="s">
        <v>123</v>
      </c>
      <c r="C628" s="109">
        <v>0</v>
      </c>
    </row>
    <row r="629" spans="1:3" ht="24" x14ac:dyDescent="0.3">
      <c r="A629" s="109" t="s">
        <v>10</v>
      </c>
      <c r="B629" s="109" t="s">
        <v>124</v>
      </c>
      <c r="C629" s="109">
        <v>3</v>
      </c>
    </row>
    <row r="630" spans="1:3" ht="24" x14ac:dyDescent="0.3">
      <c r="A630" s="109" t="s">
        <v>10</v>
      </c>
      <c r="B630" s="109" t="s">
        <v>125</v>
      </c>
      <c r="C630" s="109">
        <v>0</v>
      </c>
    </row>
    <row r="631" spans="1:3" ht="24" x14ac:dyDescent="0.3">
      <c r="A631" s="109" t="s">
        <v>10</v>
      </c>
      <c r="B631" s="109" t="s">
        <v>126</v>
      </c>
      <c r="C631" s="109">
        <v>600</v>
      </c>
    </row>
    <row r="632" spans="1:3" ht="24" x14ac:dyDescent="0.3">
      <c r="A632" s="109"/>
      <c r="B632" s="109"/>
      <c r="C632" s="109"/>
    </row>
    <row r="633" spans="1:3" ht="24" x14ac:dyDescent="0.3">
      <c r="A633" s="109" t="s">
        <v>11</v>
      </c>
      <c r="B633" s="109" t="s">
        <v>62</v>
      </c>
      <c r="C633" s="109">
        <v>12</v>
      </c>
    </row>
    <row r="634" spans="1:3" ht="24" x14ac:dyDescent="0.3">
      <c r="A634" s="109" t="s">
        <v>11</v>
      </c>
      <c r="B634" s="109" t="s">
        <v>63</v>
      </c>
      <c r="C634" s="109">
        <v>6</v>
      </c>
    </row>
    <row r="635" spans="1:3" ht="24" x14ac:dyDescent="0.3">
      <c r="A635" s="109" t="s">
        <v>11</v>
      </c>
      <c r="B635" s="109" t="s">
        <v>64</v>
      </c>
      <c r="C635" s="109">
        <v>0</v>
      </c>
    </row>
    <row r="636" spans="1:3" ht="24" x14ac:dyDescent="0.3">
      <c r="A636" s="109" t="s">
        <v>11</v>
      </c>
      <c r="B636" s="109" t="s">
        <v>65</v>
      </c>
      <c r="C636" s="109">
        <v>12</v>
      </c>
    </row>
    <row r="637" spans="1:3" ht="24" x14ac:dyDescent="0.3">
      <c r="A637" s="109" t="s">
        <v>11</v>
      </c>
      <c r="B637" s="109" t="s">
        <v>66</v>
      </c>
      <c r="C637" s="109">
        <v>5</v>
      </c>
    </row>
    <row r="638" spans="1:3" ht="24" x14ac:dyDescent="0.3">
      <c r="A638" s="109" t="s">
        <v>11</v>
      </c>
      <c r="B638" s="109" t="s">
        <v>67</v>
      </c>
      <c r="C638" s="109">
        <v>0</v>
      </c>
    </row>
    <row r="639" spans="1:3" ht="24" x14ac:dyDescent="0.3">
      <c r="A639" s="109" t="s">
        <v>11</v>
      </c>
      <c r="B639" s="109" t="s">
        <v>68</v>
      </c>
      <c r="C639" s="109">
        <v>0</v>
      </c>
    </row>
    <row r="640" spans="1:3" ht="24" x14ac:dyDescent="0.3">
      <c r="A640" s="109" t="s">
        <v>11</v>
      </c>
      <c r="B640" s="109" t="s">
        <v>69</v>
      </c>
      <c r="C640" s="109">
        <v>5</v>
      </c>
    </row>
    <row r="641" spans="1:3" ht="24" x14ac:dyDescent="0.3">
      <c r="A641" s="109" t="s">
        <v>11</v>
      </c>
      <c r="B641" s="109" t="s">
        <v>70</v>
      </c>
      <c r="C641" s="109">
        <v>6</v>
      </c>
    </row>
    <row r="642" spans="1:3" ht="24" x14ac:dyDescent="0.3">
      <c r="A642" s="109" t="s">
        <v>11</v>
      </c>
      <c r="B642" s="109" t="s">
        <v>71</v>
      </c>
      <c r="C642" s="109">
        <v>6</v>
      </c>
    </row>
    <row r="643" spans="1:3" ht="24" x14ac:dyDescent="0.3">
      <c r="A643" s="109" t="s">
        <v>11</v>
      </c>
      <c r="B643" s="109" t="s">
        <v>72</v>
      </c>
      <c r="C643" s="109">
        <v>0</v>
      </c>
    </row>
    <row r="644" spans="1:3" ht="24" x14ac:dyDescent="0.3">
      <c r="A644" s="109" t="s">
        <v>11</v>
      </c>
      <c r="B644" s="109" t="s">
        <v>73</v>
      </c>
      <c r="C644" s="109">
        <v>3</v>
      </c>
    </row>
    <row r="645" spans="1:3" ht="24" x14ac:dyDescent="0.3">
      <c r="A645" s="109" t="s">
        <v>11</v>
      </c>
      <c r="B645" s="109" t="s">
        <v>74</v>
      </c>
      <c r="C645" s="109">
        <v>3</v>
      </c>
    </row>
    <row r="646" spans="1:3" ht="24" x14ac:dyDescent="0.3">
      <c r="A646" s="109" t="s">
        <v>11</v>
      </c>
      <c r="B646" s="109" t="s">
        <v>75</v>
      </c>
      <c r="C646" s="109">
        <v>3</v>
      </c>
    </row>
    <row r="647" spans="1:3" ht="24" x14ac:dyDescent="0.3">
      <c r="A647" s="109" t="s">
        <v>11</v>
      </c>
      <c r="B647" s="109" t="s">
        <v>76</v>
      </c>
      <c r="C647" s="109">
        <v>0</v>
      </c>
    </row>
    <row r="648" spans="1:3" ht="24" x14ac:dyDescent="0.3">
      <c r="A648" s="109" t="s">
        <v>11</v>
      </c>
      <c r="B648" s="109" t="s">
        <v>77</v>
      </c>
      <c r="C648" s="109">
        <v>1</v>
      </c>
    </row>
    <row r="649" spans="1:3" ht="24" x14ac:dyDescent="0.3">
      <c r="A649" s="109" t="s">
        <v>11</v>
      </c>
      <c r="B649" s="109" t="s">
        <v>78</v>
      </c>
      <c r="C649" s="109">
        <v>15</v>
      </c>
    </row>
    <row r="650" spans="1:3" ht="24" x14ac:dyDescent="0.3">
      <c r="A650" s="109" t="s">
        <v>11</v>
      </c>
      <c r="B650" s="109" t="s">
        <v>79</v>
      </c>
      <c r="C650" s="109">
        <v>3</v>
      </c>
    </row>
    <row r="651" spans="1:3" ht="24" x14ac:dyDescent="0.3">
      <c r="A651" s="109" t="s">
        <v>11</v>
      </c>
      <c r="B651" s="109" t="s">
        <v>80</v>
      </c>
      <c r="C651" s="109">
        <v>2</v>
      </c>
    </row>
    <row r="652" spans="1:3" ht="24" x14ac:dyDescent="0.3">
      <c r="A652" s="109" t="s">
        <v>11</v>
      </c>
      <c r="B652" s="109" t="s">
        <v>81</v>
      </c>
      <c r="C652" s="109">
        <v>6</v>
      </c>
    </row>
    <row r="653" spans="1:3" ht="24" x14ac:dyDescent="0.3">
      <c r="A653" s="109" t="s">
        <v>11</v>
      </c>
      <c r="B653" s="109" t="s">
        <v>83</v>
      </c>
      <c r="C653" s="109">
        <v>60</v>
      </c>
    </row>
    <row r="654" spans="1:3" ht="24" x14ac:dyDescent="0.3">
      <c r="A654" s="109" t="s">
        <v>11</v>
      </c>
      <c r="B654" s="109" t="s">
        <v>84</v>
      </c>
      <c r="C654" s="109">
        <v>32</v>
      </c>
    </row>
    <row r="655" spans="1:3" ht="24" x14ac:dyDescent="0.3">
      <c r="A655" s="109" t="s">
        <v>11</v>
      </c>
      <c r="B655" s="109" t="s">
        <v>85</v>
      </c>
      <c r="C655" s="109">
        <v>15</v>
      </c>
    </row>
    <row r="656" spans="1:3" ht="24" x14ac:dyDescent="0.3">
      <c r="A656" s="109" t="s">
        <v>11</v>
      </c>
      <c r="B656" s="109" t="s">
        <v>86</v>
      </c>
      <c r="C656" s="109">
        <v>5</v>
      </c>
    </row>
    <row r="657" spans="1:3" ht="24" x14ac:dyDescent="0.3">
      <c r="A657" s="109" t="s">
        <v>11</v>
      </c>
      <c r="B657" s="109" t="s">
        <v>87</v>
      </c>
      <c r="C657" s="109">
        <v>0</v>
      </c>
    </row>
    <row r="658" spans="1:3" ht="24" x14ac:dyDescent="0.3">
      <c r="A658" s="109" t="s">
        <v>11</v>
      </c>
      <c r="B658" s="109" t="s">
        <v>88</v>
      </c>
      <c r="C658" s="109">
        <v>0</v>
      </c>
    </row>
    <row r="659" spans="1:3" ht="24" x14ac:dyDescent="0.3">
      <c r="A659" s="109" t="s">
        <v>11</v>
      </c>
      <c r="B659" s="109" t="s">
        <v>89</v>
      </c>
      <c r="C659" s="109">
        <v>0</v>
      </c>
    </row>
    <row r="660" spans="1:3" ht="24" x14ac:dyDescent="0.3">
      <c r="A660" s="109" t="s">
        <v>11</v>
      </c>
      <c r="B660" s="109" t="s">
        <v>90</v>
      </c>
      <c r="C660" s="109">
        <v>0</v>
      </c>
    </row>
    <row r="661" spans="1:3" ht="24" x14ac:dyDescent="0.3">
      <c r="A661" s="109" t="s">
        <v>11</v>
      </c>
      <c r="B661" s="109" t="s">
        <v>92</v>
      </c>
      <c r="C661" s="109">
        <v>0</v>
      </c>
    </row>
    <row r="662" spans="1:3" ht="24" x14ac:dyDescent="0.3">
      <c r="A662" s="109" t="s">
        <v>11</v>
      </c>
      <c r="B662" s="109" t="s">
        <v>93</v>
      </c>
      <c r="C662" s="109">
        <v>2</v>
      </c>
    </row>
    <row r="663" spans="1:3" ht="24" x14ac:dyDescent="0.3">
      <c r="A663" s="109" t="s">
        <v>11</v>
      </c>
      <c r="B663" s="109" t="s">
        <v>94</v>
      </c>
      <c r="C663" s="109">
        <v>0</v>
      </c>
    </row>
    <row r="664" spans="1:3" ht="24" x14ac:dyDescent="0.3">
      <c r="A664" s="109" t="s">
        <v>11</v>
      </c>
      <c r="B664" s="109" t="s">
        <v>95</v>
      </c>
      <c r="C664" s="109">
        <v>0</v>
      </c>
    </row>
    <row r="665" spans="1:3" ht="24" x14ac:dyDescent="0.3">
      <c r="A665" s="109" t="s">
        <v>11</v>
      </c>
      <c r="B665" s="109" t="s">
        <v>96</v>
      </c>
      <c r="C665" s="109">
        <v>1</v>
      </c>
    </row>
    <row r="666" spans="1:3" ht="24" x14ac:dyDescent="0.3">
      <c r="A666" s="109" t="s">
        <v>11</v>
      </c>
      <c r="B666" s="109" t="s">
        <v>97</v>
      </c>
      <c r="C666" s="109">
        <v>1</v>
      </c>
    </row>
    <row r="667" spans="1:3" ht="24" x14ac:dyDescent="0.3">
      <c r="A667" s="109" t="s">
        <v>11</v>
      </c>
      <c r="B667" s="109" t="s">
        <v>98</v>
      </c>
      <c r="C667" s="109">
        <v>0.1</v>
      </c>
    </row>
    <row r="668" spans="1:3" ht="24" x14ac:dyDescent="0.3">
      <c r="A668" s="109" t="s">
        <v>11</v>
      </c>
      <c r="B668" s="109" t="s">
        <v>99</v>
      </c>
      <c r="C668" s="109">
        <v>10</v>
      </c>
    </row>
    <row r="669" spans="1:3" ht="24" x14ac:dyDescent="0.3">
      <c r="A669" s="109" t="s">
        <v>11</v>
      </c>
      <c r="B669" s="109" t="s">
        <v>100</v>
      </c>
      <c r="C669" s="109">
        <v>15</v>
      </c>
    </row>
    <row r="670" spans="1:3" ht="24" x14ac:dyDescent="0.3">
      <c r="A670" s="109" t="s">
        <v>11</v>
      </c>
      <c r="B670" s="109" t="s">
        <v>101</v>
      </c>
      <c r="C670" s="109">
        <v>0.5</v>
      </c>
    </row>
    <row r="671" spans="1:3" ht="24" x14ac:dyDescent="0.3">
      <c r="A671" s="109" t="s">
        <v>11</v>
      </c>
      <c r="B671" s="109" t="s">
        <v>102</v>
      </c>
      <c r="C671" s="109">
        <v>0</v>
      </c>
    </row>
    <row r="672" spans="1:3" ht="24" x14ac:dyDescent="0.3">
      <c r="A672" s="109" t="s">
        <v>11</v>
      </c>
      <c r="B672" s="109" t="s">
        <v>103</v>
      </c>
      <c r="C672" s="109">
        <v>0.5</v>
      </c>
    </row>
    <row r="673" spans="1:3" ht="24" x14ac:dyDescent="0.3">
      <c r="A673" s="109" t="s">
        <v>11</v>
      </c>
      <c r="B673" s="109" t="s">
        <v>104</v>
      </c>
      <c r="C673" s="109">
        <v>0</v>
      </c>
    </row>
    <row r="674" spans="1:3" ht="24" x14ac:dyDescent="0.3">
      <c r="A674" s="109" t="s">
        <v>11</v>
      </c>
      <c r="B674" s="109" t="s">
        <v>105</v>
      </c>
      <c r="C674" s="109">
        <v>0</v>
      </c>
    </row>
    <row r="675" spans="1:3" ht="24" x14ac:dyDescent="0.3">
      <c r="A675" s="109" t="s">
        <v>11</v>
      </c>
      <c r="B675" s="109" t="s">
        <v>106</v>
      </c>
      <c r="C675" s="109">
        <v>0.5</v>
      </c>
    </row>
    <row r="676" spans="1:3" ht="24" x14ac:dyDescent="0.3">
      <c r="A676" s="109" t="s">
        <v>11</v>
      </c>
      <c r="B676" s="109" t="s">
        <v>107</v>
      </c>
      <c r="C676" s="109">
        <v>0</v>
      </c>
    </row>
    <row r="677" spans="1:3" ht="24" x14ac:dyDescent="0.3">
      <c r="A677" s="109" t="s">
        <v>11</v>
      </c>
      <c r="B677" s="109" t="s">
        <v>108</v>
      </c>
      <c r="C677" s="109">
        <v>0</v>
      </c>
    </row>
    <row r="678" spans="1:3" ht="24" x14ac:dyDescent="0.3">
      <c r="A678" s="109" t="s">
        <v>11</v>
      </c>
      <c r="B678" s="109" t="s">
        <v>109</v>
      </c>
      <c r="C678" s="109">
        <v>0</v>
      </c>
    </row>
    <row r="679" spans="1:3" ht="24" x14ac:dyDescent="0.3">
      <c r="A679" s="109" t="s">
        <v>11</v>
      </c>
      <c r="B679" s="109" t="s">
        <v>110</v>
      </c>
      <c r="C679" s="109">
        <v>0</v>
      </c>
    </row>
    <row r="680" spans="1:3" ht="24" x14ac:dyDescent="0.3">
      <c r="A680" s="109" t="s">
        <v>11</v>
      </c>
      <c r="B680" s="109" t="s">
        <v>111</v>
      </c>
      <c r="C680" s="109">
        <v>0</v>
      </c>
    </row>
    <row r="681" spans="1:3" ht="24" x14ac:dyDescent="0.3">
      <c r="A681" s="109" t="s">
        <v>11</v>
      </c>
      <c r="B681" s="109" t="s">
        <v>112</v>
      </c>
      <c r="C681" s="109">
        <v>0</v>
      </c>
    </row>
    <row r="682" spans="1:3" ht="24" x14ac:dyDescent="0.3">
      <c r="A682" s="109" t="s">
        <v>11</v>
      </c>
      <c r="B682" s="109" t="s">
        <v>113</v>
      </c>
      <c r="C682" s="109">
        <v>0</v>
      </c>
    </row>
    <row r="683" spans="1:3" ht="24" x14ac:dyDescent="0.3">
      <c r="A683" s="109" t="s">
        <v>11</v>
      </c>
      <c r="B683" s="109" t="s">
        <v>114</v>
      </c>
      <c r="C683" s="109">
        <v>0</v>
      </c>
    </row>
    <row r="684" spans="1:3" ht="24" x14ac:dyDescent="0.3">
      <c r="A684" s="109" t="s">
        <v>11</v>
      </c>
      <c r="B684" s="109" t="s">
        <v>115</v>
      </c>
      <c r="C684" s="109">
        <v>0</v>
      </c>
    </row>
    <row r="685" spans="1:3" ht="24" x14ac:dyDescent="0.3">
      <c r="A685" s="109" t="s">
        <v>11</v>
      </c>
      <c r="B685" s="109" t="s">
        <v>116</v>
      </c>
      <c r="C685" s="109">
        <v>0</v>
      </c>
    </row>
    <row r="686" spans="1:3" ht="24" x14ac:dyDescent="0.3">
      <c r="A686" s="109" t="s">
        <v>11</v>
      </c>
      <c r="B686" s="109" t="s">
        <v>117</v>
      </c>
      <c r="C686" s="109">
        <v>0</v>
      </c>
    </row>
    <row r="687" spans="1:3" ht="24" x14ac:dyDescent="0.3">
      <c r="A687" s="109" t="s">
        <v>11</v>
      </c>
      <c r="B687" s="109" t="s">
        <v>118</v>
      </c>
      <c r="C687" s="109">
        <v>0</v>
      </c>
    </row>
    <row r="688" spans="1:3" ht="24" x14ac:dyDescent="0.3">
      <c r="A688" s="109" t="s">
        <v>11</v>
      </c>
      <c r="B688" s="109" t="s">
        <v>120</v>
      </c>
      <c r="C688" s="109">
        <v>0</v>
      </c>
    </row>
    <row r="689" spans="1:3" ht="24" x14ac:dyDescent="0.3">
      <c r="A689" s="109" t="s">
        <v>11</v>
      </c>
      <c r="B689" s="109" t="s">
        <v>121</v>
      </c>
      <c r="C689" s="109">
        <v>2</v>
      </c>
    </row>
    <row r="690" spans="1:3" ht="24" x14ac:dyDescent="0.3">
      <c r="A690" s="109" t="s">
        <v>11</v>
      </c>
      <c r="B690" s="109" t="s">
        <v>122</v>
      </c>
      <c r="C690" s="109">
        <v>1</v>
      </c>
    </row>
    <row r="691" spans="1:3" ht="24" x14ac:dyDescent="0.3">
      <c r="A691" s="109" t="s">
        <v>11</v>
      </c>
      <c r="B691" s="109" t="s">
        <v>123</v>
      </c>
      <c r="C691" s="109">
        <v>0</v>
      </c>
    </row>
    <row r="692" spans="1:3" ht="24" x14ac:dyDescent="0.3">
      <c r="A692" s="109" t="s">
        <v>11</v>
      </c>
      <c r="B692" s="109" t="s">
        <v>124</v>
      </c>
      <c r="C692" s="109">
        <v>2</v>
      </c>
    </row>
    <row r="693" spans="1:3" ht="24" x14ac:dyDescent="0.3">
      <c r="A693" s="109" t="s">
        <v>11</v>
      </c>
      <c r="B693" s="109" t="s">
        <v>125</v>
      </c>
      <c r="C693" s="109">
        <v>0</v>
      </c>
    </row>
    <row r="694" spans="1:3" ht="24" x14ac:dyDescent="0.3">
      <c r="A694" s="109" t="s">
        <v>11</v>
      </c>
      <c r="B694" s="109" t="s">
        <v>126</v>
      </c>
      <c r="C694" s="109">
        <v>600</v>
      </c>
    </row>
    <row r="695" spans="1:3" ht="24" x14ac:dyDescent="0.3">
      <c r="A695" s="109"/>
      <c r="B695" s="109"/>
      <c r="C695" s="109"/>
    </row>
    <row r="696" spans="1:3" ht="24" x14ac:dyDescent="0.3">
      <c r="A696" s="109" t="s">
        <v>12</v>
      </c>
      <c r="B696" s="109" t="s">
        <v>62</v>
      </c>
      <c r="C696" s="109">
        <v>11</v>
      </c>
    </row>
    <row r="697" spans="1:3" ht="24" x14ac:dyDescent="0.3">
      <c r="A697" s="109" t="s">
        <v>12</v>
      </c>
      <c r="B697" s="109" t="s">
        <v>63</v>
      </c>
      <c r="C697" s="109">
        <v>2</v>
      </c>
    </row>
    <row r="698" spans="1:3" ht="24" x14ac:dyDescent="0.3">
      <c r="A698" s="109" t="s">
        <v>12</v>
      </c>
      <c r="B698" s="109" t="s">
        <v>64</v>
      </c>
      <c r="C698" s="109">
        <v>4</v>
      </c>
    </row>
    <row r="699" spans="1:3" ht="24" x14ac:dyDescent="0.3">
      <c r="A699" s="109" t="s">
        <v>12</v>
      </c>
      <c r="B699" s="109" t="s">
        <v>65</v>
      </c>
      <c r="C699" s="109">
        <v>8</v>
      </c>
    </row>
    <row r="700" spans="1:3" ht="24" x14ac:dyDescent="0.3">
      <c r="A700" s="109" t="s">
        <v>12</v>
      </c>
      <c r="B700" s="109" t="s">
        <v>66</v>
      </c>
      <c r="C700" s="109">
        <v>2</v>
      </c>
    </row>
    <row r="701" spans="1:3" ht="24" x14ac:dyDescent="0.3">
      <c r="A701" s="109" t="s">
        <v>12</v>
      </c>
      <c r="B701" s="109" t="s">
        <v>67</v>
      </c>
      <c r="C701" s="109">
        <v>2</v>
      </c>
    </row>
    <row r="702" spans="1:3" ht="24" x14ac:dyDescent="0.3">
      <c r="A702" s="109" t="s">
        <v>12</v>
      </c>
      <c r="B702" s="109" t="s">
        <v>68</v>
      </c>
      <c r="C702" s="109">
        <v>0</v>
      </c>
    </row>
    <row r="703" spans="1:3" ht="24" x14ac:dyDescent="0.3">
      <c r="A703" s="109" t="s">
        <v>12</v>
      </c>
      <c r="B703" s="109" t="s">
        <v>69</v>
      </c>
      <c r="C703" s="109">
        <v>0</v>
      </c>
    </row>
    <row r="704" spans="1:3" ht="24" x14ac:dyDescent="0.3">
      <c r="A704" s="109" t="s">
        <v>12</v>
      </c>
      <c r="B704" s="109" t="s">
        <v>70</v>
      </c>
      <c r="C704" s="109">
        <v>5</v>
      </c>
    </row>
    <row r="705" spans="1:3" ht="24" x14ac:dyDescent="0.3">
      <c r="A705" s="109" t="s">
        <v>12</v>
      </c>
      <c r="B705" s="109" t="s">
        <v>71</v>
      </c>
      <c r="C705" s="109">
        <v>5</v>
      </c>
    </row>
    <row r="706" spans="1:3" ht="24" x14ac:dyDescent="0.3">
      <c r="A706" s="109" t="s">
        <v>12</v>
      </c>
      <c r="B706" s="109" t="s">
        <v>72</v>
      </c>
      <c r="C706" s="109">
        <v>0</v>
      </c>
    </row>
    <row r="707" spans="1:3" ht="24" x14ac:dyDescent="0.3">
      <c r="A707" s="109" t="s">
        <v>12</v>
      </c>
      <c r="B707" s="109" t="s">
        <v>73</v>
      </c>
      <c r="C707" s="109">
        <v>2</v>
      </c>
    </row>
    <row r="708" spans="1:3" ht="24" x14ac:dyDescent="0.3">
      <c r="A708" s="109" t="s">
        <v>12</v>
      </c>
      <c r="B708" s="109" t="s">
        <v>74</v>
      </c>
      <c r="C708" s="109">
        <v>2</v>
      </c>
    </row>
    <row r="709" spans="1:3" ht="24" x14ac:dyDescent="0.3">
      <c r="A709" s="109" t="s">
        <v>12</v>
      </c>
      <c r="B709" s="109" t="s">
        <v>75</v>
      </c>
      <c r="C709" s="109">
        <v>2</v>
      </c>
    </row>
    <row r="710" spans="1:3" ht="24" x14ac:dyDescent="0.3">
      <c r="A710" s="109" t="s">
        <v>12</v>
      </c>
      <c r="B710" s="109" t="s">
        <v>76</v>
      </c>
      <c r="C710" s="109">
        <v>0</v>
      </c>
    </row>
    <row r="711" spans="1:3" ht="24" x14ac:dyDescent="0.3">
      <c r="A711" s="109" t="s">
        <v>12</v>
      </c>
      <c r="B711" s="109" t="s">
        <v>77</v>
      </c>
      <c r="C711" s="109">
        <v>0</v>
      </c>
    </row>
    <row r="712" spans="1:3" ht="24" x14ac:dyDescent="0.3">
      <c r="A712" s="109" t="s">
        <v>12</v>
      </c>
      <c r="B712" s="109" t="s">
        <v>78</v>
      </c>
      <c r="C712" s="109">
        <v>15</v>
      </c>
    </row>
    <row r="713" spans="1:3" ht="24" x14ac:dyDescent="0.3">
      <c r="A713" s="109" t="s">
        <v>12</v>
      </c>
      <c r="B713" s="109" t="s">
        <v>79</v>
      </c>
      <c r="C713" s="109">
        <v>3</v>
      </c>
    </row>
    <row r="714" spans="1:3" ht="24" x14ac:dyDescent="0.3">
      <c r="A714" s="109" t="s">
        <v>12</v>
      </c>
      <c r="B714" s="109" t="s">
        <v>80</v>
      </c>
      <c r="C714" s="109">
        <v>0</v>
      </c>
    </row>
    <row r="715" spans="1:3" ht="24" x14ac:dyDescent="0.3">
      <c r="A715" s="109" t="s">
        <v>12</v>
      </c>
      <c r="B715" s="109" t="s">
        <v>81</v>
      </c>
      <c r="C715" s="109">
        <v>0</v>
      </c>
    </row>
    <row r="716" spans="1:3" ht="24" x14ac:dyDescent="0.3">
      <c r="A716" s="109" t="s">
        <v>12</v>
      </c>
      <c r="B716" s="109" t="s">
        <v>83</v>
      </c>
      <c r="C716" s="109">
        <v>180</v>
      </c>
    </row>
    <row r="717" spans="1:3" ht="24" x14ac:dyDescent="0.3">
      <c r="A717" s="109" t="s">
        <v>12</v>
      </c>
      <c r="B717" s="109" t="s">
        <v>84</v>
      </c>
      <c r="C717" s="109">
        <v>128</v>
      </c>
    </row>
    <row r="718" spans="1:3" ht="24" x14ac:dyDescent="0.3">
      <c r="A718" s="109" t="s">
        <v>12</v>
      </c>
      <c r="B718" s="109" t="s">
        <v>85</v>
      </c>
      <c r="C718" s="109">
        <v>10</v>
      </c>
    </row>
    <row r="719" spans="1:3" ht="24" x14ac:dyDescent="0.3">
      <c r="A719" s="109" t="s">
        <v>12</v>
      </c>
      <c r="B719" s="109" t="s">
        <v>86</v>
      </c>
      <c r="C719" s="109">
        <v>3</v>
      </c>
    </row>
    <row r="720" spans="1:3" ht="24" x14ac:dyDescent="0.3">
      <c r="A720" s="109" t="s">
        <v>12</v>
      </c>
      <c r="B720" s="109" t="s">
        <v>87</v>
      </c>
      <c r="C720" s="109">
        <v>0</v>
      </c>
    </row>
    <row r="721" spans="1:3" ht="24" x14ac:dyDescent="0.3">
      <c r="A721" s="109" t="s">
        <v>12</v>
      </c>
      <c r="B721" s="109" t="s">
        <v>88</v>
      </c>
      <c r="C721" s="109">
        <v>0</v>
      </c>
    </row>
    <row r="722" spans="1:3" ht="24" x14ac:dyDescent="0.3">
      <c r="A722" s="109" t="s">
        <v>12</v>
      </c>
      <c r="B722" s="109" t="s">
        <v>89</v>
      </c>
      <c r="C722" s="109">
        <v>0</v>
      </c>
    </row>
    <row r="723" spans="1:3" ht="24" x14ac:dyDescent="0.3">
      <c r="A723" s="109" t="s">
        <v>12</v>
      </c>
      <c r="B723" s="109" t="s">
        <v>90</v>
      </c>
      <c r="C723" s="109">
        <v>50</v>
      </c>
    </row>
    <row r="724" spans="1:3" ht="24" x14ac:dyDescent="0.3">
      <c r="A724" s="109" t="s">
        <v>12</v>
      </c>
      <c r="B724" s="109" t="s">
        <v>92</v>
      </c>
      <c r="C724" s="109">
        <v>2</v>
      </c>
    </row>
    <row r="725" spans="1:3" ht="24" x14ac:dyDescent="0.3">
      <c r="A725" s="109" t="s">
        <v>12</v>
      </c>
      <c r="B725" s="109" t="s">
        <v>93</v>
      </c>
      <c r="C725" s="109">
        <v>10</v>
      </c>
    </row>
    <row r="726" spans="1:3" ht="24" x14ac:dyDescent="0.3">
      <c r="A726" s="109" t="s">
        <v>12</v>
      </c>
      <c r="B726" s="109" t="s">
        <v>94</v>
      </c>
      <c r="C726" s="109">
        <v>0</v>
      </c>
    </row>
    <row r="727" spans="1:3" ht="24" x14ac:dyDescent="0.3">
      <c r="A727" s="109" t="s">
        <v>12</v>
      </c>
      <c r="B727" s="109" t="s">
        <v>95</v>
      </c>
      <c r="C727" s="109">
        <v>0</v>
      </c>
    </row>
    <row r="728" spans="1:3" ht="24" x14ac:dyDescent="0.3">
      <c r="A728" s="109" t="s">
        <v>12</v>
      </c>
      <c r="B728" s="109" t="s">
        <v>96</v>
      </c>
      <c r="C728" s="109">
        <v>1</v>
      </c>
    </row>
    <row r="729" spans="1:3" ht="24" x14ac:dyDescent="0.3">
      <c r="A729" s="109" t="s">
        <v>12</v>
      </c>
      <c r="B729" s="109" t="s">
        <v>97</v>
      </c>
      <c r="C729" s="109">
        <v>1</v>
      </c>
    </row>
    <row r="730" spans="1:3" ht="24" x14ac:dyDescent="0.3">
      <c r="A730" s="109" t="s">
        <v>12</v>
      </c>
      <c r="B730" s="109" t="s">
        <v>98</v>
      </c>
      <c r="C730" s="109">
        <v>0.1</v>
      </c>
    </row>
    <row r="731" spans="1:3" ht="24" x14ac:dyDescent="0.3">
      <c r="A731" s="109" t="s">
        <v>12</v>
      </c>
      <c r="B731" s="109" t="s">
        <v>99</v>
      </c>
      <c r="C731" s="109">
        <v>8</v>
      </c>
    </row>
    <row r="732" spans="1:3" ht="24" x14ac:dyDescent="0.3">
      <c r="A732" s="109" t="s">
        <v>12</v>
      </c>
      <c r="B732" s="109" t="s">
        <v>100</v>
      </c>
      <c r="C732" s="109">
        <v>15</v>
      </c>
    </row>
    <row r="733" spans="1:3" ht="24" x14ac:dyDescent="0.3">
      <c r="A733" s="109" t="s">
        <v>12</v>
      </c>
      <c r="B733" s="109" t="s">
        <v>101</v>
      </c>
      <c r="C733" s="109">
        <v>0.5</v>
      </c>
    </row>
    <row r="734" spans="1:3" ht="24" x14ac:dyDescent="0.3">
      <c r="A734" s="109" t="s">
        <v>12</v>
      </c>
      <c r="B734" s="109" t="s">
        <v>102</v>
      </c>
      <c r="C734" s="109">
        <v>0.25</v>
      </c>
    </row>
    <row r="735" spans="1:3" ht="24" x14ac:dyDescent="0.3">
      <c r="A735" s="109" t="s">
        <v>12</v>
      </c>
      <c r="B735" s="109" t="s">
        <v>103</v>
      </c>
      <c r="C735" s="109">
        <v>0.5</v>
      </c>
    </row>
    <row r="736" spans="1:3" ht="24" x14ac:dyDescent="0.3">
      <c r="A736" s="109" t="s">
        <v>12</v>
      </c>
      <c r="B736" s="109" t="s">
        <v>104</v>
      </c>
      <c r="C736" s="109">
        <v>0.2</v>
      </c>
    </row>
    <row r="737" spans="1:3" ht="24" x14ac:dyDescent="0.3">
      <c r="A737" s="109" t="s">
        <v>12</v>
      </c>
      <c r="B737" s="109" t="s">
        <v>105</v>
      </c>
      <c r="C737" s="109">
        <v>0</v>
      </c>
    </row>
    <row r="738" spans="1:3" ht="24" x14ac:dyDescent="0.3">
      <c r="A738" s="109" t="s">
        <v>12</v>
      </c>
      <c r="B738" s="109" t="s">
        <v>106</v>
      </c>
      <c r="C738" s="109">
        <v>1</v>
      </c>
    </row>
    <row r="739" spans="1:3" ht="24" x14ac:dyDescent="0.3">
      <c r="A739" s="109" t="s">
        <v>12</v>
      </c>
      <c r="B739" s="109" t="s">
        <v>107</v>
      </c>
      <c r="C739" s="109">
        <v>0.2</v>
      </c>
    </row>
    <row r="740" spans="1:3" ht="24" x14ac:dyDescent="0.3">
      <c r="A740" s="109" t="s">
        <v>12</v>
      </c>
      <c r="B740" s="109" t="s">
        <v>108</v>
      </c>
      <c r="C740" s="109">
        <v>0</v>
      </c>
    </row>
    <row r="741" spans="1:3" ht="24" x14ac:dyDescent="0.3">
      <c r="A741" s="109" t="s">
        <v>12</v>
      </c>
      <c r="B741" s="109" t="s">
        <v>109</v>
      </c>
      <c r="C741" s="109">
        <v>0</v>
      </c>
    </row>
    <row r="742" spans="1:3" ht="24" x14ac:dyDescent="0.3">
      <c r="A742" s="109" t="s">
        <v>12</v>
      </c>
      <c r="B742" s="109" t="s">
        <v>110</v>
      </c>
      <c r="C742" s="109">
        <v>0.3</v>
      </c>
    </row>
    <row r="743" spans="1:3" ht="24" x14ac:dyDescent="0.3">
      <c r="A743" s="109" t="s">
        <v>12</v>
      </c>
      <c r="B743" s="109" t="s">
        <v>111</v>
      </c>
      <c r="C743" s="109">
        <v>0</v>
      </c>
    </row>
    <row r="744" spans="1:3" ht="24" x14ac:dyDescent="0.3">
      <c r="A744" s="109" t="s">
        <v>12</v>
      </c>
      <c r="B744" s="109" t="s">
        <v>112</v>
      </c>
      <c r="C744" s="109">
        <v>0</v>
      </c>
    </row>
    <row r="745" spans="1:3" ht="24" x14ac:dyDescent="0.3">
      <c r="A745" s="109" t="s">
        <v>12</v>
      </c>
      <c r="B745" s="109" t="s">
        <v>113</v>
      </c>
      <c r="C745" s="109">
        <v>0</v>
      </c>
    </row>
    <row r="746" spans="1:3" ht="24" x14ac:dyDescent="0.3">
      <c r="A746" s="109" t="s">
        <v>12</v>
      </c>
      <c r="B746" s="109" t="s">
        <v>114</v>
      </c>
      <c r="C746" s="109">
        <v>0</v>
      </c>
    </row>
    <row r="747" spans="1:3" ht="24" x14ac:dyDescent="0.3">
      <c r="A747" s="109" t="s">
        <v>12</v>
      </c>
      <c r="B747" s="109" t="s">
        <v>115</v>
      </c>
      <c r="C747" s="109">
        <v>0</v>
      </c>
    </row>
    <row r="748" spans="1:3" ht="24" x14ac:dyDescent="0.3">
      <c r="A748" s="109" t="s">
        <v>12</v>
      </c>
      <c r="B748" s="109" t="s">
        <v>116</v>
      </c>
      <c r="C748" s="109">
        <v>0</v>
      </c>
    </row>
    <row r="749" spans="1:3" ht="24" x14ac:dyDescent="0.3">
      <c r="A749" s="109" t="s">
        <v>12</v>
      </c>
      <c r="B749" s="109" t="s">
        <v>117</v>
      </c>
      <c r="C749" s="109">
        <v>0</v>
      </c>
    </row>
    <row r="750" spans="1:3" ht="24" x14ac:dyDescent="0.3">
      <c r="A750" s="109" t="s">
        <v>12</v>
      </c>
      <c r="B750" s="109" t="s">
        <v>118</v>
      </c>
      <c r="C750" s="109">
        <v>0</v>
      </c>
    </row>
    <row r="751" spans="1:3" ht="24" x14ac:dyDescent="0.3">
      <c r="A751" s="109" t="s">
        <v>12</v>
      </c>
      <c r="B751" s="109" t="s">
        <v>120</v>
      </c>
      <c r="C751" s="109">
        <v>0</v>
      </c>
    </row>
    <row r="752" spans="1:3" ht="24" x14ac:dyDescent="0.3">
      <c r="A752" s="109" t="s">
        <v>12</v>
      </c>
      <c r="B752" s="109" t="s">
        <v>121</v>
      </c>
      <c r="C752" s="109">
        <v>3</v>
      </c>
    </row>
    <row r="753" spans="1:3" ht="24" x14ac:dyDescent="0.3">
      <c r="A753" s="109" t="s">
        <v>12</v>
      </c>
      <c r="B753" s="109" t="s">
        <v>122</v>
      </c>
      <c r="C753" s="109">
        <v>1</v>
      </c>
    </row>
    <row r="754" spans="1:3" ht="24" x14ac:dyDescent="0.3">
      <c r="A754" s="109" t="s">
        <v>12</v>
      </c>
      <c r="B754" s="109" t="s">
        <v>123</v>
      </c>
      <c r="C754" s="109">
        <v>0</v>
      </c>
    </row>
    <row r="755" spans="1:3" ht="24" x14ac:dyDescent="0.3">
      <c r="A755" s="109" t="s">
        <v>12</v>
      </c>
      <c r="B755" s="109" t="s">
        <v>124</v>
      </c>
      <c r="C755" s="109">
        <v>2</v>
      </c>
    </row>
    <row r="756" spans="1:3" ht="24" x14ac:dyDescent="0.3">
      <c r="A756" s="109" t="s">
        <v>12</v>
      </c>
      <c r="B756" s="109" t="s">
        <v>125</v>
      </c>
      <c r="C756" s="109">
        <v>0</v>
      </c>
    </row>
    <row r="757" spans="1:3" ht="24" x14ac:dyDescent="0.3">
      <c r="A757" s="109" t="s">
        <v>12</v>
      </c>
      <c r="B757" s="109" t="s">
        <v>126</v>
      </c>
      <c r="C757" s="109">
        <v>0</v>
      </c>
    </row>
    <row r="758" spans="1:3" ht="24" x14ac:dyDescent="0.3">
      <c r="A758" s="109" t="s">
        <v>1</v>
      </c>
      <c r="B758" s="109" t="s">
        <v>206</v>
      </c>
      <c r="C758" s="109" t="s">
        <v>60</v>
      </c>
    </row>
    <row r="759" spans="1:3" ht="24" x14ac:dyDescent="0.3">
      <c r="A759" s="109" t="s">
        <v>1</v>
      </c>
      <c r="B759" s="109" t="s">
        <v>62</v>
      </c>
      <c r="C759" s="109">
        <v>1</v>
      </c>
    </row>
    <row r="760" spans="1:3" ht="24" x14ac:dyDescent="0.3">
      <c r="A760" s="109" t="s">
        <v>1</v>
      </c>
      <c r="B760" s="109" t="s">
        <v>63</v>
      </c>
      <c r="C760" s="109">
        <v>1</v>
      </c>
    </row>
    <row r="761" spans="1:3" ht="24" x14ac:dyDescent="0.3">
      <c r="A761" s="109" t="s">
        <v>1</v>
      </c>
      <c r="B761" s="109" t="s">
        <v>64</v>
      </c>
      <c r="C761" s="109">
        <v>2</v>
      </c>
    </row>
    <row r="762" spans="1:3" ht="24" x14ac:dyDescent="0.3">
      <c r="A762" s="109" t="s">
        <v>1</v>
      </c>
      <c r="B762" s="109" t="s">
        <v>65</v>
      </c>
      <c r="C762" s="109">
        <v>1</v>
      </c>
    </row>
    <row r="763" spans="1:3" ht="24" x14ac:dyDescent="0.3">
      <c r="A763" s="109" t="s">
        <v>1</v>
      </c>
      <c r="B763" s="109" t="s">
        <v>66</v>
      </c>
      <c r="C763" s="109">
        <v>1</v>
      </c>
    </row>
    <row r="764" spans="1:3" ht="24" x14ac:dyDescent="0.3">
      <c r="A764" s="109" t="s">
        <v>1</v>
      </c>
      <c r="B764" s="109" t="s">
        <v>67</v>
      </c>
      <c r="C764" s="109">
        <v>6</v>
      </c>
    </row>
    <row r="765" spans="1:3" ht="24" x14ac:dyDescent="0.3">
      <c r="A765" s="109" t="s">
        <v>1</v>
      </c>
      <c r="B765" s="109" t="s">
        <v>68</v>
      </c>
      <c r="C765" s="109">
        <v>3</v>
      </c>
    </row>
    <row r="766" spans="1:3" ht="24" x14ac:dyDescent="0.3">
      <c r="A766" s="109" t="s">
        <v>1</v>
      </c>
      <c r="B766" s="109" t="s">
        <v>69</v>
      </c>
      <c r="C766" s="109">
        <v>2</v>
      </c>
    </row>
    <row r="767" spans="1:3" ht="24" x14ac:dyDescent="0.3">
      <c r="A767" s="109" t="s">
        <v>1</v>
      </c>
      <c r="B767" s="109" t="s">
        <v>70</v>
      </c>
      <c r="C767" s="109">
        <v>1</v>
      </c>
    </row>
    <row r="768" spans="1:3" ht="24" x14ac:dyDescent="0.3">
      <c r="A768" s="109" t="s">
        <v>1</v>
      </c>
      <c r="B768" s="109" t="s">
        <v>71</v>
      </c>
      <c r="C768" s="109">
        <v>1</v>
      </c>
    </row>
    <row r="769" spans="1:3" ht="24" x14ac:dyDescent="0.3">
      <c r="A769" s="109" t="s">
        <v>1</v>
      </c>
      <c r="B769" s="109" t="s">
        <v>72</v>
      </c>
      <c r="C769" s="109">
        <v>2</v>
      </c>
    </row>
    <row r="770" spans="1:3" ht="24" x14ac:dyDescent="0.3">
      <c r="A770" s="109" t="s">
        <v>1</v>
      </c>
      <c r="B770" s="109" t="s">
        <v>73</v>
      </c>
      <c r="C770" s="109">
        <v>1.5</v>
      </c>
    </row>
    <row r="771" spans="1:3" ht="24" x14ac:dyDescent="0.3">
      <c r="A771" s="109" t="s">
        <v>1</v>
      </c>
      <c r="B771" s="109" t="s">
        <v>74</v>
      </c>
      <c r="C771" s="109">
        <v>0.4</v>
      </c>
    </row>
    <row r="772" spans="1:3" ht="24" x14ac:dyDescent="0.3">
      <c r="A772" s="109" t="s">
        <v>1</v>
      </c>
      <c r="B772" s="109" t="s">
        <v>75</v>
      </c>
      <c r="C772" s="109">
        <v>2</v>
      </c>
    </row>
    <row r="773" spans="1:3" ht="24" x14ac:dyDescent="0.3">
      <c r="A773" s="109" t="s">
        <v>1</v>
      </c>
      <c r="B773" s="109" t="s">
        <v>76</v>
      </c>
      <c r="C773" s="109">
        <v>1</v>
      </c>
    </row>
    <row r="774" spans="1:3" ht="24" x14ac:dyDescent="0.3">
      <c r="A774" s="109" t="s">
        <v>1</v>
      </c>
      <c r="B774" s="109" t="s">
        <v>77</v>
      </c>
      <c r="C774" s="109">
        <v>1</v>
      </c>
    </row>
    <row r="775" spans="1:3" ht="24" x14ac:dyDescent="0.3">
      <c r="A775" s="109" t="s">
        <v>1</v>
      </c>
      <c r="B775" s="109" t="s">
        <v>78</v>
      </c>
      <c r="C775" s="109">
        <v>0</v>
      </c>
    </row>
    <row r="776" spans="1:3" ht="24" x14ac:dyDescent="0.3">
      <c r="A776" s="109" t="s">
        <v>1</v>
      </c>
      <c r="B776" s="109" t="s">
        <v>79</v>
      </c>
      <c r="C776" s="109">
        <v>0</v>
      </c>
    </row>
    <row r="777" spans="1:3" ht="24" x14ac:dyDescent="0.3">
      <c r="A777" s="109" t="s">
        <v>1</v>
      </c>
      <c r="B777" s="109" t="s">
        <v>80</v>
      </c>
      <c r="C777" s="109">
        <v>2</v>
      </c>
    </row>
    <row r="778" spans="1:3" ht="24" x14ac:dyDescent="0.3">
      <c r="A778" s="109" t="s">
        <v>1</v>
      </c>
      <c r="B778" s="109" t="s">
        <v>81</v>
      </c>
      <c r="C778" s="109">
        <v>4</v>
      </c>
    </row>
    <row r="779" spans="1:3" ht="24" x14ac:dyDescent="0.3">
      <c r="A779" s="109" t="s">
        <v>1</v>
      </c>
      <c r="B779" s="109" t="s">
        <v>83</v>
      </c>
      <c r="C779" s="109">
        <v>95</v>
      </c>
    </row>
    <row r="780" spans="1:3" ht="24" x14ac:dyDescent="0.3">
      <c r="A780" s="109" t="s">
        <v>1</v>
      </c>
      <c r="B780" s="109" t="s">
        <v>84</v>
      </c>
      <c r="C780" s="109">
        <v>6</v>
      </c>
    </row>
    <row r="781" spans="1:3" ht="24" x14ac:dyDescent="0.3">
      <c r="A781" s="109" t="s">
        <v>1</v>
      </c>
      <c r="B781" s="109" t="s">
        <v>85</v>
      </c>
      <c r="C781" s="109">
        <v>25</v>
      </c>
    </row>
    <row r="782" spans="1:3" ht="24" x14ac:dyDescent="0.3">
      <c r="A782" s="109" t="s">
        <v>1</v>
      </c>
      <c r="B782" s="109" t="s">
        <v>86</v>
      </c>
      <c r="C782" s="109">
        <v>5</v>
      </c>
    </row>
    <row r="783" spans="1:3" ht="24" x14ac:dyDescent="0.3">
      <c r="A783" s="109" t="s">
        <v>1</v>
      </c>
      <c r="B783" s="109" t="s">
        <v>87</v>
      </c>
      <c r="C783" s="109">
        <v>7</v>
      </c>
    </row>
    <row r="784" spans="1:3" ht="24" x14ac:dyDescent="0.3">
      <c r="A784" s="109" t="s">
        <v>1</v>
      </c>
      <c r="B784" s="109" t="s">
        <v>88</v>
      </c>
      <c r="C784" s="109">
        <v>1</v>
      </c>
    </row>
    <row r="785" spans="1:3" ht="24" x14ac:dyDescent="0.3">
      <c r="A785" s="109" t="s">
        <v>1</v>
      </c>
      <c r="B785" s="109" t="s">
        <v>89</v>
      </c>
      <c r="C785" s="109">
        <v>0</v>
      </c>
    </row>
    <row r="786" spans="1:3" ht="24" x14ac:dyDescent="0.3">
      <c r="A786" s="109" t="s">
        <v>1</v>
      </c>
      <c r="B786" s="109" t="s">
        <v>90</v>
      </c>
      <c r="C786" s="109">
        <v>43</v>
      </c>
    </row>
    <row r="787" spans="1:3" ht="24" x14ac:dyDescent="0.3">
      <c r="A787" s="109" t="s">
        <v>1</v>
      </c>
      <c r="B787" s="109" t="s">
        <v>92</v>
      </c>
      <c r="C787" s="109">
        <v>0</v>
      </c>
    </row>
    <row r="788" spans="1:3" ht="24" x14ac:dyDescent="0.3">
      <c r="A788" s="109" t="s">
        <v>1</v>
      </c>
      <c r="B788" s="109" t="s">
        <v>93</v>
      </c>
      <c r="C788" s="109">
        <v>0</v>
      </c>
    </row>
    <row r="789" spans="1:3" ht="24" x14ac:dyDescent="0.3">
      <c r="A789" s="109" t="s">
        <v>1</v>
      </c>
      <c r="B789" s="109" t="s">
        <v>94</v>
      </c>
      <c r="C789" s="109">
        <v>1</v>
      </c>
    </row>
    <row r="790" spans="1:3" ht="24" x14ac:dyDescent="0.3">
      <c r="A790" s="109" t="s">
        <v>1</v>
      </c>
      <c r="B790" s="109" t="s">
        <v>95</v>
      </c>
      <c r="C790" s="109">
        <v>0.5</v>
      </c>
    </row>
    <row r="791" spans="1:3" ht="24" x14ac:dyDescent="0.3">
      <c r="A791" s="109" t="s">
        <v>1</v>
      </c>
      <c r="B791" s="109" t="s">
        <v>96</v>
      </c>
      <c r="C791" s="109">
        <v>0</v>
      </c>
    </row>
    <row r="792" spans="1:3" ht="24" x14ac:dyDescent="0.3">
      <c r="A792" s="109" t="s">
        <v>1</v>
      </c>
      <c r="B792" s="109" t="s">
        <v>97</v>
      </c>
      <c r="C792" s="109">
        <v>0</v>
      </c>
    </row>
    <row r="793" spans="1:3" ht="24" x14ac:dyDescent="0.3">
      <c r="A793" s="109" t="s">
        <v>1</v>
      </c>
      <c r="B793" s="109" t="s">
        <v>98</v>
      </c>
      <c r="C793" s="109">
        <v>0</v>
      </c>
    </row>
    <row r="794" spans="1:3" ht="24" x14ac:dyDescent="0.3">
      <c r="A794" s="109" t="s">
        <v>1</v>
      </c>
      <c r="B794" s="109" t="s">
        <v>99</v>
      </c>
      <c r="C794" s="109">
        <v>3</v>
      </c>
    </row>
    <row r="795" spans="1:3" ht="24" x14ac:dyDescent="0.3">
      <c r="A795" s="109" t="s">
        <v>1</v>
      </c>
      <c r="B795" s="109" t="s">
        <v>100</v>
      </c>
      <c r="C795" s="109">
        <v>0</v>
      </c>
    </row>
    <row r="796" spans="1:3" ht="24" x14ac:dyDescent="0.3">
      <c r="A796" s="109" t="s">
        <v>1</v>
      </c>
      <c r="B796" s="109" t="s">
        <v>101</v>
      </c>
      <c r="C796" s="109">
        <v>0.35</v>
      </c>
    </row>
    <row r="797" spans="1:3" ht="24" x14ac:dyDescent="0.3">
      <c r="A797" s="109" t="s">
        <v>1</v>
      </c>
      <c r="B797" s="109" t="s">
        <v>102</v>
      </c>
      <c r="C797" s="109">
        <v>0.8</v>
      </c>
    </row>
    <row r="798" spans="1:3" ht="24" x14ac:dyDescent="0.3">
      <c r="A798" s="109" t="s">
        <v>1</v>
      </c>
      <c r="B798" s="109" t="s">
        <v>103</v>
      </c>
      <c r="C798" s="109">
        <v>0.4</v>
      </c>
    </row>
    <row r="799" spans="1:3" ht="24" x14ac:dyDescent="0.3">
      <c r="A799" s="109" t="s">
        <v>1</v>
      </c>
      <c r="B799" s="109" t="s">
        <v>104</v>
      </c>
      <c r="C799" s="109">
        <v>0.1</v>
      </c>
    </row>
    <row r="800" spans="1:3" ht="24" x14ac:dyDescent="0.3">
      <c r="A800" s="109" t="s">
        <v>1</v>
      </c>
      <c r="B800" s="109" t="s">
        <v>105</v>
      </c>
      <c r="C800" s="109">
        <v>0</v>
      </c>
    </row>
    <row r="801" spans="1:3" ht="24" x14ac:dyDescent="0.3">
      <c r="A801" s="109" t="s">
        <v>1</v>
      </c>
      <c r="B801" s="109" t="s">
        <v>106</v>
      </c>
      <c r="C801" s="109">
        <v>0.6</v>
      </c>
    </row>
    <row r="802" spans="1:3" ht="24" x14ac:dyDescent="0.3">
      <c r="A802" s="109" t="s">
        <v>1</v>
      </c>
      <c r="B802" s="109" t="s">
        <v>107</v>
      </c>
      <c r="C802" s="109">
        <v>0.15</v>
      </c>
    </row>
    <row r="803" spans="1:3" ht="24" x14ac:dyDescent="0.3">
      <c r="A803" s="109" t="s">
        <v>1</v>
      </c>
      <c r="B803" s="109" t="s">
        <v>108</v>
      </c>
      <c r="C803" s="109">
        <v>0.5</v>
      </c>
    </row>
    <row r="804" spans="1:3" ht="24" x14ac:dyDescent="0.3">
      <c r="A804" s="109" t="s">
        <v>1</v>
      </c>
      <c r="B804" s="109" t="s">
        <v>109</v>
      </c>
      <c r="C804" s="109">
        <v>1.3</v>
      </c>
    </row>
    <row r="805" spans="1:3" ht="24" x14ac:dyDescent="0.3">
      <c r="A805" s="109" t="s">
        <v>1</v>
      </c>
      <c r="B805" s="109" t="s">
        <v>110</v>
      </c>
      <c r="C805" s="109">
        <v>0.6</v>
      </c>
    </row>
    <row r="806" spans="1:3" ht="24" x14ac:dyDescent="0.3">
      <c r="A806" s="109" t="s">
        <v>1</v>
      </c>
      <c r="B806" s="109" t="s">
        <v>111</v>
      </c>
      <c r="C806" s="109">
        <v>0.6</v>
      </c>
    </row>
    <row r="807" spans="1:3" ht="24" x14ac:dyDescent="0.3">
      <c r="A807" s="109" t="s">
        <v>1</v>
      </c>
      <c r="B807" s="109" t="s">
        <v>112</v>
      </c>
      <c r="C807" s="109">
        <v>0.4</v>
      </c>
    </row>
    <row r="808" spans="1:3" ht="24" x14ac:dyDescent="0.3">
      <c r="A808" s="109" t="s">
        <v>1</v>
      </c>
      <c r="B808" s="109" t="s">
        <v>113</v>
      </c>
      <c r="C808" s="109">
        <v>0</v>
      </c>
    </row>
    <row r="809" spans="1:3" ht="24" x14ac:dyDescent="0.3">
      <c r="A809" s="109" t="s">
        <v>1</v>
      </c>
      <c r="B809" s="109" t="s">
        <v>114</v>
      </c>
      <c r="C809" s="109">
        <v>0.1</v>
      </c>
    </row>
    <row r="810" spans="1:3" ht="24" x14ac:dyDescent="0.3">
      <c r="A810" s="109" t="s">
        <v>1</v>
      </c>
      <c r="B810" s="109" t="s">
        <v>115</v>
      </c>
      <c r="C810" s="109">
        <v>0.2</v>
      </c>
    </row>
    <row r="811" spans="1:3" ht="24" x14ac:dyDescent="0.3">
      <c r="A811" s="109" t="s">
        <v>1</v>
      </c>
      <c r="B811" s="109" t="s">
        <v>116</v>
      </c>
      <c r="C811" s="109">
        <v>1</v>
      </c>
    </row>
    <row r="812" spans="1:3" ht="24" x14ac:dyDescent="0.3">
      <c r="A812" s="109" t="s">
        <v>1</v>
      </c>
      <c r="B812" s="109" t="s">
        <v>117</v>
      </c>
      <c r="C812" s="109">
        <v>0.8</v>
      </c>
    </row>
    <row r="813" spans="1:3" ht="24" x14ac:dyDescent="0.3">
      <c r="A813" s="109" t="s">
        <v>1</v>
      </c>
      <c r="B813" s="109" t="s">
        <v>118</v>
      </c>
      <c r="C813" s="109">
        <v>15</v>
      </c>
    </row>
    <row r="814" spans="1:3" ht="24" x14ac:dyDescent="0.3">
      <c r="A814" s="109" t="s">
        <v>1</v>
      </c>
      <c r="B814" s="109" t="s">
        <v>120</v>
      </c>
      <c r="C814" s="109">
        <v>1.3</v>
      </c>
    </row>
    <row r="815" spans="1:3" ht="24" x14ac:dyDescent="0.3">
      <c r="A815" s="109" t="s">
        <v>1</v>
      </c>
      <c r="B815" s="109" t="s">
        <v>121</v>
      </c>
      <c r="C815" s="109">
        <v>0.8</v>
      </c>
    </row>
    <row r="816" spans="1:3" ht="24" x14ac:dyDescent="0.3">
      <c r="A816" s="109" t="s">
        <v>1</v>
      </c>
      <c r="B816" s="109" t="s">
        <v>122</v>
      </c>
      <c r="C816" s="109">
        <v>0</v>
      </c>
    </row>
    <row r="817" spans="1:3" ht="24" x14ac:dyDescent="0.3">
      <c r="A817" s="109" t="s">
        <v>1</v>
      </c>
      <c r="B817" s="109" t="s">
        <v>123</v>
      </c>
      <c r="C817" s="109">
        <v>0</v>
      </c>
    </row>
    <row r="818" spans="1:3" ht="24" x14ac:dyDescent="0.3">
      <c r="A818" s="109" t="s">
        <v>1</v>
      </c>
      <c r="B818" s="109" t="s">
        <v>124</v>
      </c>
      <c r="C818" s="109">
        <v>0</v>
      </c>
    </row>
    <row r="819" spans="1:3" ht="24" x14ac:dyDescent="0.3">
      <c r="A819" s="109" t="s">
        <v>1</v>
      </c>
      <c r="B819" s="109" t="s">
        <v>125</v>
      </c>
      <c r="C819" s="109">
        <v>0</v>
      </c>
    </row>
    <row r="820" spans="1:3" ht="24" x14ac:dyDescent="0.3">
      <c r="A820" s="109" t="s">
        <v>1</v>
      </c>
      <c r="B820" s="109" t="s">
        <v>126</v>
      </c>
      <c r="C820" s="109">
        <v>0</v>
      </c>
    </row>
    <row r="821" spans="1:3" ht="24" x14ac:dyDescent="0.3">
      <c r="A821" s="109" t="s">
        <v>25</v>
      </c>
      <c r="B821" s="109" t="s">
        <v>206</v>
      </c>
      <c r="C821" s="109" t="s">
        <v>60</v>
      </c>
    </row>
    <row r="822" spans="1:3" ht="24" x14ac:dyDescent="0.3">
      <c r="A822" s="109" t="s">
        <v>25</v>
      </c>
      <c r="B822" s="109" t="s">
        <v>62</v>
      </c>
      <c r="C822" s="109">
        <v>3</v>
      </c>
    </row>
    <row r="823" spans="1:3" ht="24" x14ac:dyDescent="0.3">
      <c r="A823" s="109" t="s">
        <v>25</v>
      </c>
      <c r="B823" s="109" t="s">
        <v>63</v>
      </c>
      <c r="C823" s="109">
        <v>5</v>
      </c>
    </row>
    <row r="824" spans="1:3" ht="24" x14ac:dyDescent="0.3">
      <c r="A824" s="109" t="s">
        <v>25</v>
      </c>
      <c r="B824" s="109" t="s">
        <v>64</v>
      </c>
      <c r="C824" s="109">
        <v>4</v>
      </c>
    </row>
    <row r="825" spans="1:3" ht="24" x14ac:dyDescent="0.3">
      <c r="A825" s="109" t="s">
        <v>25</v>
      </c>
      <c r="B825" s="109" t="s">
        <v>65</v>
      </c>
      <c r="C825" s="109">
        <v>8</v>
      </c>
    </row>
    <row r="826" spans="1:3" ht="24" x14ac:dyDescent="0.3">
      <c r="A826" s="109" t="s">
        <v>25</v>
      </c>
      <c r="B826" s="109" t="s">
        <v>66</v>
      </c>
      <c r="C826" s="109">
        <v>2</v>
      </c>
    </row>
    <row r="827" spans="1:3" ht="24" x14ac:dyDescent="0.3">
      <c r="A827" s="109" t="s">
        <v>25</v>
      </c>
      <c r="B827" s="109" t="s">
        <v>67</v>
      </c>
      <c r="C827" s="109">
        <v>4</v>
      </c>
    </row>
    <row r="828" spans="1:3" ht="24" x14ac:dyDescent="0.3">
      <c r="A828" s="109" t="s">
        <v>25</v>
      </c>
      <c r="B828" s="109" t="s">
        <v>68</v>
      </c>
      <c r="C828" s="109">
        <v>2</v>
      </c>
    </row>
    <row r="829" spans="1:3" ht="24" x14ac:dyDescent="0.3">
      <c r="A829" s="109" t="s">
        <v>25</v>
      </c>
      <c r="B829" s="109" t="s">
        <v>69</v>
      </c>
      <c r="C829" s="109">
        <v>1</v>
      </c>
    </row>
    <row r="830" spans="1:3" ht="24" x14ac:dyDescent="0.3">
      <c r="A830" s="109" t="s">
        <v>25</v>
      </c>
      <c r="B830" s="109" t="s">
        <v>70</v>
      </c>
      <c r="C830" s="109">
        <v>0</v>
      </c>
    </row>
    <row r="831" spans="1:3" ht="24" x14ac:dyDescent="0.3">
      <c r="A831" s="109" t="s">
        <v>25</v>
      </c>
      <c r="B831" s="109" t="s">
        <v>71</v>
      </c>
      <c r="C831" s="109">
        <v>1</v>
      </c>
    </row>
    <row r="832" spans="1:3" ht="24" x14ac:dyDescent="0.3">
      <c r="A832" s="109" t="s">
        <v>25</v>
      </c>
      <c r="B832" s="109" t="s">
        <v>72</v>
      </c>
      <c r="C832" s="109">
        <v>2</v>
      </c>
    </row>
    <row r="833" spans="1:3" ht="24" x14ac:dyDescent="0.3">
      <c r="A833" s="109" t="s">
        <v>25</v>
      </c>
      <c r="B833" s="109" t="s">
        <v>73</v>
      </c>
      <c r="C833" s="109">
        <v>2</v>
      </c>
    </row>
    <row r="834" spans="1:3" ht="24" x14ac:dyDescent="0.3">
      <c r="A834" s="109" t="s">
        <v>25</v>
      </c>
      <c r="B834" s="109" t="s">
        <v>74</v>
      </c>
      <c r="C834" s="109">
        <v>2</v>
      </c>
    </row>
    <row r="835" spans="1:3" ht="24" x14ac:dyDescent="0.3">
      <c r="A835" s="109" t="s">
        <v>25</v>
      </c>
      <c r="B835" s="109" t="s">
        <v>75</v>
      </c>
      <c r="C835" s="109">
        <v>2</v>
      </c>
    </row>
    <row r="836" spans="1:3" ht="24" x14ac:dyDescent="0.3">
      <c r="A836" s="109" t="s">
        <v>25</v>
      </c>
      <c r="B836" s="109" t="s">
        <v>76</v>
      </c>
      <c r="C836" s="109">
        <v>0</v>
      </c>
    </row>
    <row r="837" spans="1:3" ht="24" x14ac:dyDescent="0.3">
      <c r="A837" s="109" t="s">
        <v>25</v>
      </c>
      <c r="B837" s="109" t="s">
        <v>77</v>
      </c>
      <c r="C837" s="109">
        <v>3</v>
      </c>
    </row>
    <row r="838" spans="1:3" ht="24" x14ac:dyDescent="0.3">
      <c r="A838" s="109" t="s">
        <v>25</v>
      </c>
      <c r="B838" s="109" t="s">
        <v>78</v>
      </c>
      <c r="C838" s="109">
        <v>11</v>
      </c>
    </row>
    <row r="839" spans="1:3" ht="24" x14ac:dyDescent="0.3">
      <c r="A839" s="109" t="s">
        <v>25</v>
      </c>
      <c r="B839" s="109" t="s">
        <v>79</v>
      </c>
      <c r="C839" s="109">
        <v>2</v>
      </c>
    </row>
    <row r="840" spans="1:3" ht="24" x14ac:dyDescent="0.3">
      <c r="A840" s="109" t="s">
        <v>25</v>
      </c>
      <c r="B840" s="109" t="s">
        <v>80</v>
      </c>
      <c r="C840" s="109">
        <v>3</v>
      </c>
    </row>
    <row r="841" spans="1:3" ht="24" x14ac:dyDescent="0.3">
      <c r="A841" s="109" t="s">
        <v>25</v>
      </c>
      <c r="B841" s="109" t="s">
        <v>81</v>
      </c>
      <c r="C841" s="109">
        <v>6</v>
      </c>
    </row>
    <row r="842" spans="1:3" ht="24" x14ac:dyDescent="0.3">
      <c r="A842" s="109" t="s">
        <v>25</v>
      </c>
      <c r="B842" s="109" t="s">
        <v>83</v>
      </c>
      <c r="C842" s="109">
        <v>166</v>
      </c>
    </row>
    <row r="843" spans="1:3" ht="24" x14ac:dyDescent="0.3">
      <c r="A843" s="109" t="s">
        <v>25</v>
      </c>
      <c r="B843" s="109" t="s">
        <v>84</v>
      </c>
      <c r="C843" s="109">
        <v>38</v>
      </c>
    </row>
    <row r="844" spans="1:3" ht="24" x14ac:dyDescent="0.3">
      <c r="A844" s="109" t="s">
        <v>25</v>
      </c>
      <c r="B844" s="109" t="s">
        <v>85</v>
      </c>
      <c r="C844" s="109">
        <v>22</v>
      </c>
    </row>
    <row r="845" spans="1:3" ht="24" x14ac:dyDescent="0.3">
      <c r="A845" s="109" t="s">
        <v>25</v>
      </c>
      <c r="B845" s="109" t="s">
        <v>86</v>
      </c>
      <c r="C845" s="109">
        <v>8</v>
      </c>
    </row>
    <row r="846" spans="1:3" ht="24" x14ac:dyDescent="0.3">
      <c r="A846" s="109" t="s">
        <v>25</v>
      </c>
      <c r="B846" s="109" t="s">
        <v>87</v>
      </c>
      <c r="C846" s="109">
        <v>0</v>
      </c>
    </row>
    <row r="847" spans="1:3" ht="24" x14ac:dyDescent="0.3">
      <c r="A847" s="109" t="s">
        <v>25</v>
      </c>
      <c r="B847" s="109" t="s">
        <v>88</v>
      </c>
      <c r="C847" s="109">
        <v>0</v>
      </c>
    </row>
    <row r="848" spans="1:3" ht="24" x14ac:dyDescent="0.3">
      <c r="A848" s="109" t="s">
        <v>25</v>
      </c>
      <c r="B848" s="109" t="s">
        <v>89</v>
      </c>
      <c r="C848" s="109">
        <v>0</v>
      </c>
    </row>
    <row r="849" spans="1:3" ht="24" x14ac:dyDescent="0.3">
      <c r="A849" s="109" t="s">
        <v>25</v>
      </c>
      <c r="B849" s="109" t="s">
        <v>90</v>
      </c>
      <c r="C849" s="109">
        <v>0</v>
      </c>
    </row>
    <row r="850" spans="1:3" ht="24" x14ac:dyDescent="0.3">
      <c r="A850" s="109" t="s">
        <v>25</v>
      </c>
      <c r="B850" s="109" t="s">
        <v>92</v>
      </c>
      <c r="C850" s="109">
        <v>0</v>
      </c>
    </row>
    <row r="851" spans="1:3" ht="24" x14ac:dyDescent="0.3">
      <c r="A851" s="109" t="s">
        <v>25</v>
      </c>
      <c r="B851" s="109" t="s">
        <v>93</v>
      </c>
      <c r="C851" s="109">
        <v>2</v>
      </c>
    </row>
    <row r="852" spans="1:3" ht="24" x14ac:dyDescent="0.3">
      <c r="A852" s="109" t="s">
        <v>25</v>
      </c>
      <c r="B852" s="109" t="s">
        <v>94</v>
      </c>
      <c r="C852" s="109">
        <v>1.5</v>
      </c>
    </row>
    <row r="853" spans="1:3" ht="24" x14ac:dyDescent="0.3">
      <c r="A853" s="109" t="s">
        <v>25</v>
      </c>
      <c r="B853" s="109" t="s">
        <v>95</v>
      </c>
      <c r="C853" s="109">
        <v>0.7</v>
      </c>
    </row>
    <row r="854" spans="1:3" ht="24" x14ac:dyDescent="0.3">
      <c r="A854" s="109" t="s">
        <v>25</v>
      </c>
      <c r="B854" s="109" t="s">
        <v>96</v>
      </c>
      <c r="C854" s="109">
        <v>0</v>
      </c>
    </row>
    <row r="855" spans="1:3" ht="24" x14ac:dyDescent="0.3">
      <c r="A855" s="109" t="s">
        <v>25</v>
      </c>
      <c r="B855" s="109" t="s">
        <v>97</v>
      </c>
      <c r="C855" s="109">
        <v>0</v>
      </c>
    </row>
    <row r="856" spans="1:3" ht="24" x14ac:dyDescent="0.3">
      <c r="A856" s="109" t="s">
        <v>25</v>
      </c>
      <c r="B856" s="109" t="s">
        <v>98</v>
      </c>
      <c r="C856" s="109">
        <v>0</v>
      </c>
    </row>
    <row r="857" spans="1:3" ht="24" x14ac:dyDescent="0.3">
      <c r="A857" s="109" t="s">
        <v>25</v>
      </c>
      <c r="B857" s="109" t="s">
        <v>99</v>
      </c>
      <c r="C857" s="109">
        <v>20</v>
      </c>
    </row>
    <row r="858" spans="1:3" ht="24" x14ac:dyDescent="0.3">
      <c r="A858" s="109" t="s">
        <v>25</v>
      </c>
      <c r="B858" s="109" t="s">
        <v>100</v>
      </c>
      <c r="C858" s="109">
        <v>12</v>
      </c>
    </row>
    <row r="859" spans="1:3" ht="24" x14ac:dyDescent="0.3">
      <c r="A859" s="109" t="s">
        <v>25</v>
      </c>
      <c r="B859" s="109" t="s">
        <v>101</v>
      </c>
      <c r="C859" s="109">
        <v>0.4</v>
      </c>
    </row>
    <row r="860" spans="1:3" ht="24" x14ac:dyDescent="0.3">
      <c r="A860" s="109" t="s">
        <v>25</v>
      </c>
      <c r="B860" s="109" t="s">
        <v>102</v>
      </c>
      <c r="C860" s="109">
        <v>1</v>
      </c>
    </row>
    <row r="861" spans="1:3" ht="24" x14ac:dyDescent="0.3">
      <c r="A861" s="109" t="s">
        <v>25</v>
      </c>
      <c r="B861" s="109" t="s">
        <v>103</v>
      </c>
      <c r="C861" s="109">
        <v>7</v>
      </c>
    </row>
    <row r="862" spans="1:3" ht="24" x14ac:dyDescent="0.3">
      <c r="A862" s="109" t="s">
        <v>25</v>
      </c>
      <c r="B862" s="109" t="s">
        <v>104</v>
      </c>
      <c r="C862" s="109">
        <v>0.8</v>
      </c>
    </row>
    <row r="863" spans="1:3" ht="24" x14ac:dyDescent="0.3">
      <c r="A863" s="109" t="s">
        <v>25</v>
      </c>
      <c r="B863" s="109" t="s">
        <v>105</v>
      </c>
      <c r="C863" s="109">
        <v>0</v>
      </c>
    </row>
    <row r="864" spans="1:3" ht="24" x14ac:dyDescent="0.3">
      <c r="A864" s="109" t="s">
        <v>25</v>
      </c>
      <c r="B864" s="109" t="s">
        <v>106</v>
      </c>
      <c r="C864" s="109">
        <v>0.6</v>
      </c>
    </row>
    <row r="865" spans="1:3" ht="24" x14ac:dyDescent="0.3">
      <c r="A865" s="109" t="s">
        <v>25</v>
      </c>
      <c r="B865" s="109" t="s">
        <v>107</v>
      </c>
      <c r="C865" s="109">
        <v>0.4</v>
      </c>
    </row>
    <row r="866" spans="1:3" ht="24" x14ac:dyDescent="0.3">
      <c r="A866" s="109" t="s">
        <v>25</v>
      </c>
      <c r="B866" s="109" t="s">
        <v>108</v>
      </c>
      <c r="C866" s="109">
        <v>0.8</v>
      </c>
    </row>
    <row r="867" spans="1:3" ht="24" x14ac:dyDescent="0.3">
      <c r="A867" s="109" t="s">
        <v>25</v>
      </c>
      <c r="B867" s="109" t="s">
        <v>109</v>
      </c>
      <c r="C867" s="109">
        <v>0</v>
      </c>
    </row>
    <row r="868" spans="1:3" ht="24" x14ac:dyDescent="0.3">
      <c r="A868" s="109" t="s">
        <v>25</v>
      </c>
      <c r="B868" s="109" t="s">
        <v>110</v>
      </c>
      <c r="C868" s="109">
        <v>0.7</v>
      </c>
    </row>
    <row r="869" spans="1:3" ht="24" x14ac:dyDescent="0.3">
      <c r="A869" s="109" t="s">
        <v>25</v>
      </c>
      <c r="B869" s="109" t="s">
        <v>111</v>
      </c>
      <c r="C869" s="109">
        <v>0.6</v>
      </c>
    </row>
    <row r="870" spans="1:3" ht="24" x14ac:dyDescent="0.3">
      <c r="A870" s="109" t="s">
        <v>25</v>
      </c>
      <c r="B870" s="109" t="s">
        <v>112</v>
      </c>
      <c r="C870" s="109">
        <v>0.3</v>
      </c>
    </row>
    <row r="871" spans="1:3" ht="24" x14ac:dyDescent="0.3">
      <c r="A871" s="109" t="s">
        <v>25</v>
      </c>
      <c r="B871" s="109" t="s">
        <v>113</v>
      </c>
      <c r="C871" s="109">
        <v>0</v>
      </c>
    </row>
    <row r="872" spans="1:3" ht="24" x14ac:dyDescent="0.3">
      <c r="A872" s="109" t="s">
        <v>25</v>
      </c>
      <c r="B872" s="109" t="s">
        <v>114</v>
      </c>
      <c r="C872" s="109">
        <v>0.1</v>
      </c>
    </row>
    <row r="873" spans="1:3" ht="24" x14ac:dyDescent="0.3">
      <c r="A873" s="109" t="s">
        <v>25</v>
      </c>
      <c r="B873" s="109" t="s">
        <v>115</v>
      </c>
      <c r="C873" s="109">
        <v>0.2</v>
      </c>
    </row>
    <row r="874" spans="1:3" ht="24" x14ac:dyDescent="0.3">
      <c r="A874" s="109" t="s">
        <v>25</v>
      </c>
      <c r="B874" s="109" t="s">
        <v>116</v>
      </c>
      <c r="C874" s="109">
        <v>2</v>
      </c>
    </row>
    <row r="875" spans="1:3" ht="24" x14ac:dyDescent="0.3">
      <c r="A875" s="109" t="s">
        <v>25</v>
      </c>
      <c r="B875" s="109" t="s">
        <v>117</v>
      </c>
      <c r="C875" s="109">
        <v>0.8</v>
      </c>
    </row>
    <row r="876" spans="1:3" ht="24" x14ac:dyDescent="0.3">
      <c r="A876" s="109" t="s">
        <v>25</v>
      </c>
      <c r="B876" s="109" t="s">
        <v>118</v>
      </c>
      <c r="C876" s="109">
        <v>24</v>
      </c>
    </row>
    <row r="877" spans="1:3" ht="24" x14ac:dyDescent="0.3">
      <c r="A877" s="109" t="s">
        <v>25</v>
      </c>
      <c r="B877" s="109" t="s">
        <v>120</v>
      </c>
      <c r="C877" s="109">
        <v>1.5</v>
      </c>
    </row>
    <row r="878" spans="1:3" ht="24" x14ac:dyDescent="0.3">
      <c r="A878" s="109" t="s">
        <v>25</v>
      </c>
      <c r="B878" s="109" t="s">
        <v>121</v>
      </c>
      <c r="C878" s="109">
        <v>2.5</v>
      </c>
    </row>
    <row r="879" spans="1:3" ht="24" x14ac:dyDescent="0.3">
      <c r="A879" s="109" t="s">
        <v>25</v>
      </c>
      <c r="B879" s="109" t="s">
        <v>122</v>
      </c>
      <c r="C879" s="109">
        <v>0</v>
      </c>
    </row>
    <row r="880" spans="1:3" ht="24" x14ac:dyDescent="0.3">
      <c r="A880" s="109" t="s">
        <v>25</v>
      </c>
      <c r="B880" s="109" t="s">
        <v>123</v>
      </c>
      <c r="C880" s="109">
        <v>0</v>
      </c>
    </row>
    <row r="881" spans="1:3" ht="24" x14ac:dyDescent="0.3">
      <c r="A881" s="109" t="s">
        <v>25</v>
      </c>
      <c r="B881" s="109" t="s">
        <v>124</v>
      </c>
      <c r="C881" s="109">
        <v>0</v>
      </c>
    </row>
    <row r="882" spans="1:3" ht="24" x14ac:dyDescent="0.3">
      <c r="A882" s="109" t="s">
        <v>25</v>
      </c>
      <c r="B882" s="109" t="s">
        <v>125</v>
      </c>
      <c r="C882" s="109">
        <v>0</v>
      </c>
    </row>
    <row r="883" spans="1:3" ht="24" x14ac:dyDescent="0.3">
      <c r="A883" s="109" t="s">
        <v>25</v>
      </c>
      <c r="B883" s="109" t="s">
        <v>126</v>
      </c>
      <c r="C883" s="109">
        <v>0</v>
      </c>
    </row>
    <row r="884" spans="1:3" ht="24" x14ac:dyDescent="0.3">
      <c r="A884" s="109" t="s">
        <v>3</v>
      </c>
      <c r="B884" s="109" t="s">
        <v>206</v>
      </c>
      <c r="C884" s="109" t="s">
        <v>60</v>
      </c>
    </row>
    <row r="885" spans="1:3" ht="24" x14ac:dyDescent="0.3">
      <c r="A885" s="109" t="s">
        <v>3</v>
      </c>
      <c r="B885" s="109" t="s">
        <v>62</v>
      </c>
      <c r="C885" s="109">
        <v>0</v>
      </c>
    </row>
    <row r="886" spans="1:3" ht="24" x14ac:dyDescent="0.3">
      <c r="A886" s="109" t="s">
        <v>3</v>
      </c>
      <c r="B886" s="109" t="s">
        <v>63</v>
      </c>
      <c r="C886" s="109">
        <v>0</v>
      </c>
    </row>
    <row r="887" spans="1:3" ht="24" x14ac:dyDescent="0.3">
      <c r="A887" s="109" t="s">
        <v>3</v>
      </c>
      <c r="B887" s="109" t="s">
        <v>64</v>
      </c>
      <c r="C887" s="109">
        <v>0</v>
      </c>
    </row>
    <row r="888" spans="1:3" ht="24" x14ac:dyDescent="0.3">
      <c r="A888" s="109" t="s">
        <v>3</v>
      </c>
      <c r="B888" s="109" t="s">
        <v>65</v>
      </c>
      <c r="C888" s="109">
        <v>0</v>
      </c>
    </row>
    <row r="889" spans="1:3" ht="24" x14ac:dyDescent="0.3">
      <c r="A889" s="109" t="s">
        <v>3</v>
      </c>
      <c r="B889" s="109" t="s">
        <v>66</v>
      </c>
      <c r="C889" s="109">
        <v>0</v>
      </c>
    </row>
    <row r="890" spans="1:3" ht="24" x14ac:dyDescent="0.3">
      <c r="A890" s="109" t="s">
        <v>3</v>
      </c>
      <c r="B890" s="109" t="s">
        <v>67</v>
      </c>
      <c r="C890" s="109">
        <v>0</v>
      </c>
    </row>
    <row r="891" spans="1:3" ht="24" x14ac:dyDescent="0.3">
      <c r="A891" s="109" t="s">
        <v>3</v>
      </c>
      <c r="B891" s="109" t="s">
        <v>68</v>
      </c>
      <c r="C891" s="109">
        <v>0</v>
      </c>
    </row>
    <row r="892" spans="1:3" ht="24" x14ac:dyDescent="0.3">
      <c r="A892" s="109" t="s">
        <v>3</v>
      </c>
      <c r="B892" s="109" t="s">
        <v>69</v>
      </c>
      <c r="C892" s="109">
        <v>0</v>
      </c>
    </row>
    <row r="893" spans="1:3" ht="24" x14ac:dyDescent="0.3">
      <c r="A893" s="109" t="s">
        <v>3</v>
      </c>
      <c r="B893" s="109" t="s">
        <v>70</v>
      </c>
      <c r="C893" s="109">
        <v>0</v>
      </c>
    </row>
    <row r="894" spans="1:3" ht="24" x14ac:dyDescent="0.3">
      <c r="A894" s="109" t="s">
        <v>3</v>
      </c>
      <c r="B894" s="109" t="s">
        <v>71</v>
      </c>
      <c r="C894" s="109">
        <v>0</v>
      </c>
    </row>
    <row r="895" spans="1:3" ht="24" x14ac:dyDescent="0.3">
      <c r="A895" s="109" t="s">
        <v>3</v>
      </c>
      <c r="B895" s="109" t="s">
        <v>72</v>
      </c>
      <c r="C895" s="109">
        <v>0</v>
      </c>
    </row>
    <row r="896" spans="1:3" ht="24" x14ac:dyDescent="0.3">
      <c r="A896" s="109" t="s">
        <v>3</v>
      </c>
      <c r="B896" s="109" t="s">
        <v>73</v>
      </c>
      <c r="C896" s="109">
        <v>0</v>
      </c>
    </row>
    <row r="897" spans="1:3" ht="24" x14ac:dyDescent="0.3">
      <c r="A897" s="109" t="s">
        <v>3</v>
      </c>
      <c r="B897" s="109" t="s">
        <v>74</v>
      </c>
      <c r="C897" s="109">
        <v>0</v>
      </c>
    </row>
    <row r="898" spans="1:3" ht="24" x14ac:dyDescent="0.3">
      <c r="A898" s="109" t="s">
        <v>3</v>
      </c>
      <c r="B898" s="109" t="s">
        <v>75</v>
      </c>
      <c r="C898" s="109">
        <v>0</v>
      </c>
    </row>
    <row r="899" spans="1:3" ht="24" x14ac:dyDescent="0.3">
      <c r="A899" s="109" t="s">
        <v>3</v>
      </c>
      <c r="B899" s="109" t="s">
        <v>76</v>
      </c>
      <c r="C899" s="109">
        <v>0</v>
      </c>
    </row>
    <row r="900" spans="1:3" ht="24" x14ac:dyDescent="0.3">
      <c r="A900" s="109" t="s">
        <v>3</v>
      </c>
      <c r="B900" s="109" t="s">
        <v>77</v>
      </c>
      <c r="C900" s="109">
        <v>0</v>
      </c>
    </row>
    <row r="901" spans="1:3" ht="24" x14ac:dyDescent="0.3">
      <c r="A901" s="109" t="s">
        <v>3</v>
      </c>
      <c r="B901" s="109" t="s">
        <v>78</v>
      </c>
      <c r="C901" s="109">
        <v>0</v>
      </c>
    </row>
    <row r="902" spans="1:3" ht="24" x14ac:dyDescent="0.3">
      <c r="A902" s="109" t="s">
        <v>3</v>
      </c>
      <c r="B902" s="109" t="s">
        <v>79</v>
      </c>
      <c r="C902" s="109">
        <v>0</v>
      </c>
    </row>
    <row r="903" spans="1:3" ht="24" x14ac:dyDescent="0.3">
      <c r="A903" s="109" t="s">
        <v>3</v>
      </c>
      <c r="B903" s="109" t="s">
        <v>80</v>
      </c>
      <c r="C903" s="109">
        <v>0</v>
      </c>
    </row>
    <row r="904" spans="1:3" ht="24" x14ac:dyDescent="0.3">
      <c r="A904" s="109" t="s">
        <v>3</v>
      </c>
      <c r="B904" s="109" t="s">
        <v>81</v>
      </c>
      <c r="C904" s="109">
        <v>0</v>
      </c>
    </row>
    <row r="905" spans="1:3" ht="24" x14ac:dyDescent="0.3">
      <c r="A905" s="109" t="s">
        <v>3</v>
      </c>
      <c r="B905" s="109" t="s">
        <v>83</v>
      </c>
      <c r="C905" s="109">
        <v>0</v>
      </c>
    </row>
    <row r="906" spans="1:3" ht="24" x14ac:dyDescent="0.3">
      <c r="A906" s="109" t="s">
        <v>3</v>
      </c>
      <c r="B906" s="109" t="s">
        <v>84</v>
      </c>
      <c r="C906" s="109">
        <v>0</v>
      </c>
    </row>
    <row r="907" spans="1:3" ht="24" x14ac:dyDescent="0.3">
      <c r="A907" s="109" t="s">
        <v>3</v>
      </c>
      <c r="B907" s="109" t="s">
        <v>85</v>
      </c>
      <c r="C907" s="109">
        <v>0</v>
      </c>
    </row>
    <row r="908" spans="1:3" ht="24" x14ac:dyDescent="0.3">
      <c r="A908" s="109" t="s">
        <v>3</v>
      </c>
      <c r="B908" s="109" t="s">
        <v>86</v>
      </c>
      <c r="C908" s="109">
        <v>0</v>
      </c>
    </row>
    <row r="909" spans="1:3" ht="24" x14ac:dyDescent="0.3">
      <c r="A909" s="109" t="s">
        <v>3</v>
      </c>
      <c r="B909" s="109" t="s">
        <v>87</v>
      </c>
      <c r="C909" s="109">
        <v>0</v>
      </c>
    </row>
    <row r="910" spans="1:3" ht="24" x14ac:dyDescent="0.3">
      <c r="A910" s="109" t="s">
        <v>3</v>
      </c>
      <c r="B910" s="109" t="s">
        <v>88</v>
      </c>
      <c r="C910" s="109">
        <v>0</v>
      </c>
    </row>
    <row r="911" spans="1:3" ht="24" x14ac:dyDescent="0.3">
      <c r="A911" s="109" t="s">
        <v>3</v>
      </c>
      <c r="B911" s="109" t="s">
        <v>89</v>
      </c>
      <c r="C911" s="109">
        <v>0</v>
      </c>
    </row>
    <row r="912" spans="1:3" ht="24" x14ac:dyDescent="0.3">
      <c r="A912" s="109" t="s">
        <v>3</v>
      </c>
      <c r="B912" s="109" t="s">
        <v>90</v>
      </c>
      <c r="C912" s="109">
        <v>0</v>
      </c>
    </row>
    <row r="913" spans="1:3" ht="24" x14ac:dyDescent="0.3">
      <c r="A913" s="109" t="s">
        <v>3</v>
      </c>
      <c r="B913" s="109" t="s">
        <v>92</v>
      </c>
      <c r="C913" s="109">
        <v>0</v>
      </c>
    </row>
    <row r="914" spans="1:3" ht="24" x14ac:dyDescent="0.3">
      <c r="A914" s="109" t="s">
        <v>3</v>
      </c>
      <c r="B914" s="109" t="s">
        <v>93</v>
      </c>
      <c r="C914" s="109">
        <v>0</v>
      </c>
    </row>
    <row r="915" spans="1:3" ht="24" x14ac:dyDescent="0.3">
      <c r="A915" s="109" t="s">
        <v>3</v>
      </c>
      <c r="B915" s="109" t="s">
        <v>94</v>
      </c>
      <c r="C915" s="109">
        <v>0</v>
      </c>
    </row>
    <row r="916" spans="1:3" ht="24" x14ac:dyDescent="0.3">
      <c r="A916" s="109" t="s">
        <v>3</v>
      </c>
      <c r="B916" s="109" t="s">
        <v>95</v>
      </c>
      <c r="C916" s="109">
        <v>0</v>
      </c>
    </row>
    <row r="917" spans="1:3" ht="24" x14ac:dyDescent="0.3">
      <c r="A917" s="109" t="s">
        <v>3</v>
      </c>
      <c r="B917" s="109" t="s">
        <v>96</v>
      </c>
      <c r="C917" s="109">
        <v>0</v>
      </c>
    </row>
    <row r="918" spans="1:3" ht="24" x14ac:dyDescent="0.3">
      <c r="A918" s="109" t="s">
        <v>3</v>
      </c>
      <c r="B918" s="109" t="s">
        <v>97</v>
      </c>
      <c r="C918" s="109">
        <v>0</v>
      </c>
    </row>
    <row r="919" spans="1:3" ht="24" x14ac:dyDescent="0.3">
      <c r="A919" s="109" t="s">
        <v>3</v>
      </c>
      <c r="B919" s="109" t="s">
        <v>98</v>
      </c>
      <c r="C919" s="109">
        <v>0</v>
      </c>
    </row>
    <row r="920" spans="1:3" ht="24" x14ac:dyDescent="0.3">
      <c r="A920" s="109" t="s">
        <v>3</v>
      </c>
      <c r="B920" s="109" t="s">
        <v>99</v>
      </c>
      <c r="C920" s="109">
        <v>0</v>
      </c>
    </row>
    <row r="921" spans="1:3" ht="24" x14ac:dyDescent="0.3">
      <c r="A921" s="109" t="s">
        <v>3</v>
      </c>
      <c r="B921" s="109" t="s">
        <v>100</v>
      </c>
      <c r="C921" s="109">
        <v>0</v>
      </c>
    </row>
    <row r="922" spans="1:3" ht="24" x14ac:dyDescent="0.3">
      <c r="A922" s="109" t="s">
        <v>3</v>
      </c>
      <c r="B922" s="109" t="s">
        <v>101</v>
      </c>
      <c r="C922" s="109">
        <v>0</v>
      </c>
    </row>
    <row r="923" spans="1:3" ht="24" x14ac:dyDescent="0.3">
      <c r="A923" s="109" t="s">
        <v>3</v>
      </c>
      <c r="B923" s="109" t="s">
        <v>102</v>
      </c>
      <c r="C923" s="109">
        <v>0</v>
      </c>
    </row>
    <row r="924" spans="1:3" ht="24" x14ac:dyDescent="0.3">
      <c r="A924" s="109" t="s">
        <v>3</v>
      </c>
      <c r="B924" s="109" t="s">
        <v>103</v>
      </c>
      <c r="C924" s="109">
        <v>0</v>
      </c>
    </row>
    <row r="925" spans="1:3" ht="24" x14ac:dyDescent="0.3">
      <c r="A925" s="109" t="s">
        <v>3</v>
      </c>
      <c r="B925" s="109" t="s">
        <v>104</v>
      </c>
      <c r="C925" s="109">
        <v>0</v>
      </c>
    </row>
    <row r="926" spans="1:3" ht="24" x14ac:dyDescent="0.3">
      <c r="A926" s="109" t="s">
        <v>3</v>
      </c>
      <c r="B926" s="109" t="s">
        <v>105</v>
      </c>
      <c r="C926" s="109">
        <v>0</v>
      </c>
    </row>
    <row r="927" spans="1:3" ht="24" x14ac:dyDescent="0.3">
      <c r="A927" s="109" t="s">
        <v>3</v>
      </c>
      <c r="B927" s="109" t="s">
        <v>106</v>
      </c>
      <c r="C927" s="109">
        <v>0</v>
      </c>
    </row>
    <row r="928" spans="1:3" ht="24" x14ac:dyDescent="0.3">
      <c r="A928" s="109" t="s">
        <v>3</v>
      </c>
      <c r="B928" s="109" t="s">
        <v>107</v>
      </c>
      <c r="C928" s="109">
        <v>0</v>
      </c>
    </row>
    <row r="929" spans="1:3" ht="24" x14ac:dyDescent="0.3">
      <c r="A929" s="109" t="s">
        <v>3</v>
      </c>
      <c r="B929" s="109" t="s">
        <v>108</v>
      </c>
      <c r="C929" s="109">
        <v>0</v>
      </c>
    </row>
    <row r="930" spans="1:3" ht="24" x14ac:dyDescent="0.3">
      <c r="A930" s="109" t="s">
        <v>3</v>
      </c>
      <c r="B930" s="109" t="s">
        <v>109</v>
      </c>
      <c r="C930" s="109">
        <v>0</v>
      </c>
    </row>
    <row r="931" spans="1:3" ht="24" x14ac:dyDescent="0.3">
      <c r="A931" s="109" t="s">
        <v>3</v>
      </c>
      <c r="B931" s="109" t="s">
        <v>110</v>
      </c>
      <c r="C931" s="109">
        <v>0</v>
      </c>
    </row>
    <row r="932" spans="1:3" ht="24" x14ac:dyDescent="0.3">
      <c r="A932" s="109" t="s">
        <v>3</v>
      </c>
      <c r="B932" s="109" t="s">
        <v>111</v>
      </c>
      <c r="C932" s="109">
        <v>0</v>
      </c>
    </row>
    <row r="933" spans="1:3" ht="24" x14ac:dyDescent="0.3">
      <c r="A933" s="109" t="s">
        <v>3</v>
      </c>
      <c r="B933" s="109" t="s">
        <v>112</v>
      </c>
      <c r="C933" s="109">
        <v>0</v>
      </c>
    </row>
    <row r="934" spans="1:3" ht="24" x14ac:dyDescent="0.3">
      <c r="A934" s="109" t="s">
        <v>3</v>
      </c>
      <c r="B934" s="109" t="s">
        <v>113</v>
      </c>
      <c r="C934" s="109">
        <v>0</v>
      </c>
    </row>
    <row r="935" spans="1:3" ht="24" x14ac:dyDescent="0.3">
      <c r="A935" s="109" t="s">
        <v>3</v>
      </c>
      <c r="B935" s="109" t="s">
        <v>114</v>
      </c>
      <c r="C935" s="109">
        <v>0</v>
      </c>
    </row>
    <row r="936" spans="1:3" ht="24" x14ac:dyDescent="0.3">
      <c r="A936" s="109" t="s">
        <v>3</v>
      </c>
      <c r="B936" s="109" t="s">
        <v>115</v>
      </c>
      <c r="C936" s="109">
        <v>0</v>
      </c>
    </row>
    <row r="937" spans="1:3" ht="24" x14ac:dyDescent="0.3">
      <c r="A937" s="109" t="s">
        <v>3</v>
      </c>
      <c r="B937" s="109" t="s">
        <v>116</v>
      </c>
      <c r="C937" s="109">
        <v>0</v>
      </c>
    </row>
    <row r="938" spans="1:3" ht="24" x14ac:dyDescent="0.3">
      <c r="A938" s="109" t="s">
        <v>3</v>
      </c>
      <c r="B938" s="109" t="s">
        <v>117</v>
      </c>
      <c r="C938" s="109">
        <v>0</v>
      </c>
    </row>
    <row r="939" spans="1:3" ht="24" x14ac:dyDescent="0.3">
      <c r="A939" s="109" t="s">
        <v>3</v>
      </c>
      <c r="B939" s="109" t="s">
        <v>118</v>
      </c>
      <c r="C939" s="109">
        <v>0</v>
      </c>
    </row>
    <row r="940" spans="1:3" ht="24" x14ac:dyDescent="0.3">
      <c r="A940" s="109" t="s">
        <v>3</v>
      </c>
      <c r="B940" s="109" t="s">
        <v>120</v>
      </c>
      <c r="C940" s="109">
        <v>0</v>
      </c>
    </row>
    <row r="941" spans="1:3" ht="24" x14ac:dyDescent="0.3">
      <c r="A941" s="109" t="s">
        <v>3</v>
      </c>
      <c r="B941" s="109" t="s">
        <v>121</v>
      </c>
      <c r="C941" s="109">
        <v>0</v>
      </c>
    </row>
    <row r="942" spans="1:3" ht="24" x14ac:dyDescent="0.3">
      <c r="A942" s="109" t="s">
        <v>3</v>
      </c>
      <c r="B942" s="109" t="s">
        <v>122</v>
      </c>
      <c r="C942" s="109">
        <v>0</v>
      </c>
    </row>
    <row r="943" spans="1:3" ht="24" x14ac:dyDescent="0.3">
      <c r="A943" s="109" t="s">
        <v>3</v>
      </c>
      <c r="B943" s="109" t="s">
        <v>123</v>
      </c>
      <c r="C943" s="109">
        <v>0</v>
      </c>
    </row>
    <row r="944" spans="1:3" ht="24" x14ac:dyDescent="0.3">
      <c r="A944" s="109" t="s">
        <v>3</v>
      </c>
      <c r="B944" s="109" t="s">
        <v>124</v>
      </c>
      <c r="C944" s="109">
        <v>0</v>
      </c>
    </row>
    <row r="945" spans="1:3" ht="24" x14ac:dyDescent="0.3">
      <c r="A945" s="109" t="s">
        <v>3</v>
      </c>
      <c r="B945" s="109" t="s">
        <v>125</v>
      </c>
      <c r="C945" s="109">
        <v>0</v>
      </c>
    </row>
    <row r="946" spans="1:3" ht="24" x14ac:dyDescent="0.3">
      <c r="A946" s="109" t="s">
        <v>3</v>
      </c>
      <c r="B946" s="109" t="s">
        <v>126</v>
      </c>
      <c r="C946" s="109">
        <v>0</v>
      </c>
    </row>
    <row r="947" spans="1:3" ht="24" x14ac:dyDescent="0.3">
      <c r="A947" s="109" t="s">
        <v>4</v>
      </c>
      <c r="B947" s="109" t="s">
        <v>206</v>
      </c>
      <c r="C947" s="109" t="s">
        <v>60</v>
      </c>
    </row>
    <row r="948" spans="1:3" ht="24" x14ac:dyDescent="0.3">
      <c r="A948" s="109" t="s">
        <v>4</v>
      </c>
      <c r="B948" s="109" t="s">
        <v>62</v>
      </c>
      <c r="C948" s="109">
        <v>0</v>
      </c>
    </row>
    <row r="949" spans="1:3" ht="24" x14ac:dyDescent="0.3">
      <c r="A949" s="109" t="s">
        <v>4</v>
      </c>
      <c r="B949" s="109" t="s">
        <v>63</v>
      </c>
      <c r="C949" s="109">
        <v>1</v>
      </c>
    </row>
    <row r="950" spans="1:3" ht="24" x14ac:dyDescent="0.3">
      <c r="A950" s="109" t="s">
        <v>4</v>
      </c>
      <c r="B950" s="109" t="s">
        <v>64</v>
      </c>
      <c r="C950" s="109">
        <v>2</v>
      </c>
    </row>
    <row r="951" spans="1:3" ht="24" x14ac:dyDescent="0.3">
      <c r="A951" s="109" t="s">
        <v>4</v>
      </c>
      <c r="B951" s="109" t="s">
        <v>65</v>
      </c>
      <c r="C951" s="109">
        <v>1</v>
      </c>
    </row>
    <row r="952" spans="1:3" ht="24" x14ac:dyDescent="0.3">
      <c r="A952" s="109" t="s">
        <v>4</v>
      </c>
      <c r="B952" s="109" t="s">
        <v>66</v>
      </c>
      <c r="C952" s="109">
        <v>0</v>
      </c>
    </row>
    <row r="953" spans="1:3" ht="24" x14ac:dyDescent="0.3">
      <c r="A953" s="109" t="s">
        <v>4</v>
      </c>
      <c r="B953" s="109" t="s">
        <v>67</v>
      </c>
      <c r="C953" s="109">
        <v>1</v>
      </c>
    </row>
    <row r="954" spans="1:3" ht="24" x14ac:dyDescent="0.3">
      <c r="A954" s="109" t="s">
        <v>4</v>
      </c>
      <c r="B954" s="109" t="s">
        <v>68</v>
      </c>
      <c r="C954" s="109">
        <v>2</v>
      </c>
    </row>
    <row r="955" spans="1:3" ht="24" x14ac:dyDescent="0.3">
      <c r="A955" s="109" t="s">
        <v>4</v>
      </c>
      <c r="B955" s="109" t="s">
        <v>69</v>
      </c>
      <c r="C955" s="109">
        <v>1</v>
      </c>
    </row>
    <row r="956" spans="1:3" ht="24" x14ac:dyDescent="0.3">
      <c r="A956" s="109" t="s">
        <v>4</v>
      </c>
      <c r="B956" s="109" t="s">
        <v>70</v>
      </c>
      <c r="C956" s="109">
        <v>2</v>
      </c>
    </row>
    <row r="957" spans="1:3" ht="24" x14ac:dyDescent="0.3">
      <c r="A957" s="109" t="s">
        <v>4</v>
      </c>
      <c r="B957" s="109" t="s">
        <v>71</v>
      </c>
      <c r="C957" s="109">
        <v>1</v>
      </c>
    </row>
    <row r="958" spans="1:3" ht="24" x14ac:dyDescent="0.3">
      <c r="A958" s="109" t="s">
        <v>4</v>
      </c>
      <c r="B958" s="109" t="s">
        <v>72</v>
      </c>
      <c r="C958" s="109">
        <v>1</v>
      </c>
    </row>
    <row r="959" spans="1:3" ht="24" x14ac:dyDescent="0.3">
      <c r="A959" s="109" t="s">
        <v>4</v>
      </c>
      <c r="B959" s="109" t="s">
        <v>73</v>
      </c>
      <c r="C959" s="109">
        <v>0.5</v>
      </c>
    </row>
    <row r="960" spans="1:3" ht="24" x14ac:dyDescent="0.3">
      <c r="A960" s="109" t="s">
        <v>4</v>
      </c>
      <c r="B960" s="109" t="s">
        <v>74</v>
      </c>
      <c r="C960" s="109">
        <v>1</v>
      </c>
    </row>
    <row r="961" spans="1:3" ht="24" x14ac:dyDescent="0.3">
      <c r="A961" s="109" t="s">
        <v>4</v>
      </c>
      <c r="B961" s="109" t="s">
        <v>75</v>
      </c>
      <c r="C961" s="109">
        <v>0</v>
      </c>
    </row>
    <row r="962" spans="1:3" ht="24" x14ac:dyDescent="0.3">
      <c r="A962" s="109" t="s">
        <v>4</v>
      </c>
      <c r="B962" s="109" t="s">
        <v>76</v>
      </c>
      <c r="C962" s="109">
        <v>1</v>
      </c>
    </row>
    <row r="963" spans="1:3" ht="24" x14ac:dyDescent="0.3">
      <c r="A963" s="109" t="s">
        <v>4</v>
      </c>
      <c r="B963" s="109" t="s">
        <v>77</v>
      </c>
      <c r="C963" s="109">
        <v>2</v>
      </c>
    </row>
    <row r="964" spans="1:3" ht="24" x14ac:dyDescent="0.3">
      <c r="A964" s="109" t="s">
        <v>4</v>
      </c>
      <c r="B964" s="109" t="s">
        <v>78</v>
      </c>
      <c r="C964" s="109">
        <v>6</v>
      </c>
    </row>
    <row r="965" spans="1:3" ht="24" x14ac:dyDescent="0.3">
      <c r="A965" s="109" t="s">
        <v>4</v>
      </c>
      <c r="B965" s="109" t="s">
        <v>79</v>
      </c>
      <c r="C965" s="109">
        <v>0</v>
      </c>
    </row>
    <row r="966" spans="1:3" ht="24" x14ac:dyDescent="0.3">
      <c r="A966" s="109" t="s">
        <v>4</v>
      </c>
      <c r="B966" s="109" t="s">
        <v>80</v>
      </c>
      <c r="C966" s="109">
        <v>4</v>
      </c>
    </row>
    <row r="967" spans="1:3" ht="24" x14ac:dyDescent="0.3">
      <c r="A967" s="109" t="s">
        <v>4</v>
      </c>
      <c r="B967" s="109" t="s">
        <v>81</v>
      </c>
      <c r="C967" s="109">
        <v>0</v>
      </c>
    </row>
    <row r="968" spans="1:3" ht="24" x14ac:dyDescent="0.3">
      <c r="A968" s="109" t="s">
        <v>4</v>
      </c>
      <c r="B968" s="109" t="s">
        <v>83</v>
      </c>
      <c r="C968" s="109">
        <v>26</v>
      </c>
    </row>
    <row r="969" spans="1:3" ht="24" x14ac:dyDescent="0.3">
      <c r="A969" s="109" t="s">
        <v>4</v>
      </c>
      <c r="B969" s="109" t="s">
        <v>84</v>
      </c>
      <c r="C969" s="109">
        <v>5</v>
      </c>
    </row>
    <row r="970" spans="1:3" ht="24" x14ac:dyDescent="0.3">
      <c r="A970" s="109" t="s">
        <v>4</v>
      </c>
      <c r="B970" s="109" t="s">
        <v>85</v>
      </c>
      <c r="C970" s="109">
        <v>0</v>
      </c>
    </row>
    <row r="971" spans="1:3" ht="24" x14ac:dyDescent="0.3">
      <c r="A971" s="109" t="s">
        <v>4</v>
      </c>
      <c r="B971" s="109" t="s">
        <v>86</v>
      </c>
      <c r="C971" s="109">
        <v>5</v>
      </c>
    </row>
    <row r="972" spans="1:3" ht="24" x14ac:dyDescent="0.3">
      <c r="A972" s="109" t="s">
        <v>4</v>
      </c>
      <c r="B972" s="109" t="s">
        <v>87</v>
      </c>
      <c r="C972" s="109">
        <v>0</v>
      </c>
    </row>
    <row r="973" spans="1:3" ht="24" x14ac:dyDescent="0.3">
      <c r="A973" s="109" t="s">
        <v>4</v>
      </c>
      <c r="B973" s="109" t="s">
        <v>88</v>
      </c>
      <c r="C973" s="109">
        <v>0</v>
      </c>
    </row>
    <row r="974" spans="1:3" ht="24" x14ac:dyDescent="0.3">
      <c r="A974" s="109" t="s">
        <v>4</v>
      </c>
      <c r="B974" s="109" t="s">
        <v>89</v>
      </c>
      <c r="C974" s="109">
        <v>0</v>
      </c>
    </row>
    <row r="975" spans="1:3" ht="24" x14ac:dyDescent="0.3">
      <c r="A975" s="109" t="s">
        <v>4</v>
      </c>
      <c r="B975" s="109" t="s">
        <v>90</v>
      </c>
      <c r="C975" s="109">
        <v>0</v>
      </c>
    </row>
    <row r="976" spans="1:3" ht="24" x14ac:dyDescent="0.3">
      <c r="A976" s="109" t="s">
        <v>4</v>
      </c>
      <c r="B976" s="109" t="s">
        <v>92</v>
      </c>
      <c r="C976" s="109">
        <v>0</v>
      </c>
    </row>
    <row r="977" spans="1:3" ht="24" x14ac:dyDescent="0.3">
      <c r="A977" s="109" t="s">
        <v>4</v>
      </c>
      <c r="B977" s="109" t="s">
        <v>93</v>
      </c>
      <c r="C977" s="109">
        <v>0</v>
      </c>
    </row>
    <row r="978" spans="1:3" ht="24" x14ac:dyDescent="0.3">
      <c r="A978" s="109" t="s">
        <v>4</v>
      </c>
      <c r="B978" s="109" t="s">
        <v>94</v>
      </c>
      <c r="C978" s="109">
        <v>0.5</v>
      </c>
    </row>
    <row r="979" spans="1:3" ht="24" x14ac:dyDescent="0.3">
      <c r="A979" s="109" t="s">
        <v>4</v>
      </c>
      <c r="B979" s="109" t="s">
        <v>95</v>
      </c>
      <c r="C979" s="109">
        <v>0</v>
      </c>
    </row>
    <row r="980" spans="1:3" ht="24" x14ac:dyDescent="0.3">
      <c r="A980" s="109" t="s">
        <v>4</v>
      </c>
      <c r="B980" s="109" t="s">
        <v>96</v>
      </c>
      <c r="C980" s="109">
        <v>0</v>
      </c>
    </row>
    <row r="981" spans="1:3" ht="24" x14ac:dyDescent="0.3">
      <c r="A981" s="109" t="s">
        <v>4</v>
      </c>
      <c r="B981" s="109" t="s">
        <v>97</v>
      </c>
      <c r="C981" s="109">
        <v>0</v>
      </c>
    </row>
    <row r="982" spans="1:3" ht="24" x14ac:dyDescent="0.3">
      <c r="A982" s="109" t="s">
        <v>4</v>
      </c>
      <c r="B982" s="109" t="s">
        <v>98</v>
      </c>
      <c r="C982" s="109">
        <v>0</v>
      </c>
    </row>
    <row r="983" spans="1:3" ht="24" x14ac:dyDescent="0.3">
      <c r="A983" s="109" t="s">
        <v>4</v>
      </c>
      <c r="B983" s="109" t="s">
        <v>99</v>
      </c>
      <c r="C983" s="109">
        <v>9</v>
      </c>
    </row>
    <row r="984" spans="1:3" ht="24" x14ac:dyDescent="0.3">
      <c r="A984" s="109" t="s">
        <v>4</v>
      </c>
      <c r="B984" s="109" t="s">
        <v>100</v>
      </c>
      <c r="C984" s="109">
        <v>10</v>
      </c>
    </row>
    <row r="985" spans="1:3" ht="24" x14ac:dyDescent="0.3">
      <c r="A985" s="109" t="s">
        <v>4</v>
      </c>
      <c r="B985" s="109" t="s">
        <v>101</v>
      </c>
      <c r="C985" s="109">
        <v>0</v>
      </c>
    </row>
    <row r="986" spans="1:3" ht="24" x14ac:dyDescent="0.3">
      <c r="A986" s="109" t="s">
        <v>4</v>
      </c>
      <c r="B986" s="109" t="s">
        <v>102</v>
      </c>
      <c r="C986" s="109">
        <v>0</v>
      </c>
    </row>
    <row r="987" spans="1:3" ht="24" x14ac:dyDescent="0.3">
      <c r="A987" s="109" t="s">
        <v>4</v>
      </c>
      <c r="B987" s="109" t="s">
        <v>103</v>
      </c>
      <c r="C987" s="109">
        <v>0</v>
      </c>
    </row>
    <row r="988" spans="1:3" ht="24" x14ac:dyDescent="0.3">
      <c r="A988" s="109" t="s">
        <v>4</v>
      </c>
      <c r="B988" s="109" t="s">
        <v>104</v>
      </c>
      <c r="C988" s="109">
        <v>0</v>
      </c>
    </row>
    <row r="989" spans="1:3" ht="24" x14ac:dyDescent="0.3">
      <c r="A989" s="109" t="s">
        <v>4</v>
      </c>
      <c r="B989" s="109" t="s">
        <v>105</v>
      </c>
      <c r="C989" s="109">
        <v>0</v>
      </c>
    </row>
    <row r="990" spans="1:3" ht="24" x14ac:dyDescent="0.3">
      <c r="A990" s="109" t="s">
        <v>4</v>
      </c>
      <c r="B990" s="109" t="s">
        <v>106</v>
      </c>
      <c r="C990" s="109">
        <v>0</v>
      </c>
    </row>
    <row r="991" spans="1:3" ht="24" x14ac:dyDescent="0.3">
      <c r="A991" s="109" t="s">
        <v>4</v>
      </c>
      <c r="B991" s="109" t="s">
        <v>107</v>
      </c>
      <c r="C991" s="109">
        <v>0</v>
      </c>
    </row>
    <row r="992" spans="1:3" ht="24" x14ac:dyDescent="0.3">
      <c r="A992" s="109" t="s">
        <v>4</v>
      </c>
      <c r="B992" s="109" t="s">
        <v>108</v>
      </c>
      <c r="C992" s="109">
        <v>1</v>
      </c>
    </row>
    <row r="993" spans="1:3" ht="24" x14ac:dyDescent="0.3">
      <c r="A993" s="109" t="s">
        <v>4</v>
      </c>
      <c r="B993" s="109" t="s">
        <v>109</v>
      </c>
      <c r="C993" s="109">
        <v>0</v>
      </c>
    </row>
    <row r="994" spans="1:3" ht="24" x14ac:dyDescent="0.3">
      <c r="A994" s="109" t="s">
        <v>4</v>
      </c>
      <c r="B994" s="109" t="s">
        <v>110</v>
      </c>
      <c r="C994" s="109">
        <v>0</v>
      </c>
    </row>
    <row r="995" spans="1:3" ht="24" x14ac:dyDescent="0.3">
      <c r="A995" s="109" t="s">
        <v>4</v>
      </c>
      <c r="B995" s="109" t="s">
        <v>111</v>
      </c>
      <c r="C995" s="109">
        <v>0</v>
      </c>
    </row>
    <row r="996" spans="1:3" ht="24" x14ac:dyDescent="0.3">
      <c r="A996" s="109" t="s">
        <v>4</v>
      </c>
      <c r="B996" s="109" t="s">
        <v>112</v>
      </c>
      <c r="C996" s="109">
        <v>0</v>
      </c>
    </row>
    <row r="997" spans="1:3" ht="24" x14ac:dyDescent="0.3">
      <c r="A997" s="109" t="s">
        <v>4</v>
      </c>
      <c r="B997" s="109" t="s">
        <v>113</v>
      </c>
      <c r="C997" s="109">
        <v>0</v>
      </c>
    </row>
    <row r="998" spans="1:3" ht="24" x14ac:dyDescent="0.3">
      <c r="A998" s="109" t="s">
        <v>4</v>
      </c>
      <c r="B998" s="109" t="s">
        <v>114</v>
      </c>
      <c r="C998" s="109">
        <v>0</v>
      </c>
    </row>
    <row r="999" spans="1:3" ht="24" x14ac:dyDescent="0.3">
      <c r="A999" s="109" t="s">
        <v>4</v>
      </c>
      <c r="B999" s="109" t="s">
        <v>115</v>
      </c>
      <c r="C999" s="109">
        <v>0</v>
      </c>
    </row>
    <row r="1000" spans="1:3" ht="24" x14ac:dyDescent="0.3">
      <c r="A1000" s="109" t="s">
        <v>4</v>
      </c>
      <c r="B1000" s="109" t="s">
        <v>116</v>
      </c>
      <c r="C1000" s="109">
        <v>0</v>
      </c>
    </row>
    <row r="1001" spans="1:3" ht="24" x14ac:dyDescent="0.3">
      <c r="A1001" s="109" t="s">
        <v>4</v>
      </c>
      <c r="B1001" s="109" t="s">
        <v>117</v>
      </c>
      <c r="C1001" s="109">
        <v>0</v>
      </c>
    </row>
    <row r="1002" spans="1:3" ht="24" x14ac:dyDescent="0.3">
      <c r="A1002" s="109" t="s">
        <v>4</v>
      </c>
      <c r="B1002" s="109" t="s">
        <v>118</v>
      </c>
      <c r="C1002" s="109">
        <v>0</v>
      </c>
    </row>
    <row r="1003" spans="1:3" ht="24" x14ac:dyDescent="0.3">
      <c r="A1003" s="109" t="s">
        <v>4</v>
      </c>
      <c r="B1003" s="109" t="s">
        <v>120</v>
      </c>
      <c r="C1003" s="109">
        <v>0</v>
      </c>
    </row>
    <row r="1004" spans="1:3" ht="24" x14ac:dyDescent="0.3">
      <c r="A1004" s="109" t="s">
        <v>4</v>
      </c>
      <c r="B1004" s="109" t="s">
        <v>121</v>
      </c>
      <c r="C1004" s="109">
        <v>0</v>
      </c>
    </row>
    <row r="1005" spans="1:3" ht="24" x14ac:dyDescent="0.3">
      <c r="A1005" s="109" t="s">
        <v>4</v>
      </c>
      <c r="B1005" s="109" t="s">
        <v>122</v>
      </c>
      <c r="C1005" s="109">
        <v>0</v>
      </c>
    </row>
    <row r="1006" spans="1:3" ht="24" x14ac:dyDescent="0.3">
      <c r="A1006" s="109" t="s">
        <v>4</v>
      </c>
      <c r="B1006" s="109" t="s">
        <v>123</v>
      </c>
      <c r="C1006" s="109">
        <v>0</v>
      </c>
    </row>
    <row r="1007" spans="1:3" ht="24" x14ac:dyDescent="0.3">
      <c r="A1007" s="109" t="s">
        <v>4</v>
      </c>
      <c r="B1007" s="109" t="s">
        <v>124</v>
      </c>
      <c r="C1007" s="109">
        <v>0</v>
      </c>
    </row>
    <row r="1008" spans="1:3" ht="24" x14ac:dyDescent="0.3">
      <c r="A1008" s="109" t="s">
        <v>4</v>
      </c>
      <c r="B1008" s="109" t="s">
        <v>125</v>
      </c>
      <c r="C1008" s="109">
        <v>0</v>
      </c>
    </row>
    <row r="1009" spans="1:3" ht="24" x14ac:dyDescent="0.3">
      <c r="A1009" s="109" t="s">
        <v>4</v>
      </c>
      <c r="B1009" s="109" t="s">
        <v>126</v>
      </c>
      <c r="C1009" s="109">
        <v>0</v>
      </c>
    </row>
    <row r="1010" spans="1:3" ht="24" x14ac:dyDescent="0.3">
      <c r="A1010" s="109" t="s">
        <v>5</v>
      </c>
      <c r="B1010" s="109" t="s">
        <v>206</v>
      </c>
      <c r="C1010" s="109" t="s">
        <v>60</v>
      </c>
    </row>
    <row r="1011" spans="1:3" ht="24" x14ac:dyDescent="0.3">
      <c r="A1011" s="109" t="s">
        <v>5</v>
      </c>
      <c r="B1011" s="109" t="s">
        <v>62</v>
      </c>
      <c r="C1011" s="109">
        <v>1</v>
      </c>
    </row>
    <row r="1012" spans="1:3" ht="24" x14ac:dyDescent="0.3">
      <c r="A1012" s="109" t="s">
        <v>5</v>
      </c>
      <c r="B1012" s="109" t="s">
        <v>63</v>
      </c>
      <c r="C1012" s="109">
        <v>1</v>
      </c>
    </row>
    <row r="1013" spans="1:3" ht="24" x14ac:dyDescent="0.3">
      <c r="A1013" s="109" t="s">
        <v>5</v>
      </c>
      <c r="B1013" s="109" t="s">
        <v>64</v>
      </c>
      <c r="C1013" s="109">
        <v>6</v>
      </c>
    </row>
    <row r="1014" spans="1:3" ht="24" x14ac:dyDescent="0.3">
      <c r="A1014" s="109" t="s">
        <v>5</v>
      </c>
      <c r="B1014" s="109" t="s">
        <v>65</v>
      </c>
      <c r="C1014" s="109">
        <v>2</v>
      </c>
    </row>
    <row r="1015" spans="1:3" ht="24" x14ac:dyDescent="0.3">
      <c r="A1015" s="109" t="s">
        <v>5</v>
      </c>
      <c r="B1015" s="109" t="s">
        <v>66</v>
      </c>
      <c r="C1015" s="109">
        <v>1</v>
      </c>
    </row>
    <row r="1016" spans="1:3" ht="24" x14ac:dyDescent="0.3">
      <c r="A1016" s="109" t="s">
        <v>5</v>
      </c>
      <c r="B1016" s="109" t="s">
        <v>67</v>
      </c>
      <c r="C1016" s="109">
        <v>2</v>
      </c>
    </row>
    <row r="1017" spans="1:3" ht="24" x14ac:dyDescent="0.3">
      <c r="A1017" s="109" t="s">
        <v>5</v>
      </c>
      <c r="B1017" s="109" t="s">
        <v>68</v>
      </c>
      <c r="C1017" s="109">
        <v>2</v>
      </c>
    </row>
    <row r="1018" spans="1:3" ht="24" x14ac:dyDescent="0.3">
      <c r="A1018" s="109" t="s">
        <v>5</v>
      </c>
      <c r="B1018" s="109" t="s">
        <v>69</v>
      </c>
      <c r="C1018" s="109">
        <v>1</v>
      </c>
    </row>
    <row r="1019" spans="1:3" ht="24" x14ac:dyDescent="0.3">
      <c r="A1019" s="109" t="s">
        <v>5</v>
      </c>
      <c r="B1019" s="109" t="s">
        <v>70</v>
      </c>
      <c r="C1019" s="109">
        <v>0</v>
      </c>
    </row>
    <row r="1020" spans="1:3" ht="24" x14ac:dyDescent="0.3">
      <c r="A1020" s="109" t="s">
        <v>5</v>
      </c>
      <c r="B1020" s="109" t="s">
        <v>71</v>
      </c>
      <c r="C1020" s="109">
        <v>0</v>
      </c>
    </row>
    <row r="1021" spans="1:3" ht="24" x14ac:dyDescent="0.3">
      <c r="A1021" s="109" t="s">
        <v>5</v>
      </c>
      <c r="B1021" s="109" t="s">
        <v>72</v>
      </c>
      <c r="C1021" s="109">
        <v>0</v>
      </c>
    </row>
    <row r="1022" spans="1:3" ht="24" x14ac:dyDescent="0.3">
      <c r="A1022" s="109" t="s">
        <v>5</v>
      </c>
      <c r="B1022" s="109" t="s">
        <v>73</v>
      </c>
      <c r="C1022" s="109">
        <v>0.5</v>
      </c>
    </row>
    <row r="1023" spans="1:3" ht="24" x14ac:dyDescent="0.3">
      <c r="A1023" s="109" t="s">
        <v>5</v>
      </c>
      <c r="B1023" s="109" t="s">
        <v>74</v>
      </c>
      <c r="C1023" s="109">
        <v>0</v>
      </c>
    </row>
    <row r="1024" spans="1:3" ht="24" x14ac:dyDescent="0.3">
      <c r="A1024" s="109" t="s">
        <v>5</v>
      </c>
      <c r="B1024" s="109" t="s">
        <v>75</v>
      </c>
      <c r="C1024" s="109">
        <v>0</v>
      </c>
    </row>
    <row r="1025" spans="1:3" ht="24" x14ac:dyDescent="0.3">
      <c r="A1025" s="109" t="s">
        <v>5</v>
      </c>
      <c r="B1025" s="109" t="s">
        <v>76</v>
      </c>
      <c r="C1025" s="109">
        <v>2</v>
      </c>
    </row>
    <row r="1026" spans="1:3" ht="24" x14ac:dyDescent="0.3">
      <c r="A1026" s="109" t="s">
        <v>5</v>
      </c>
      <c r="B1026" s="109" t="s">
        <v>77</v>
      </c>
      <c r="C1026" s="109">
        <v>1</v>
      </c>
    </row>
    <row r="1027" spans="1:3" ht="24" x14ac:dyDescent="0.3">
      <c r="A1027" s="109" t="s">
        <v>5</v>
      </c>
      <c r="B1027" s="109" t="s">
        <v>78</v>
      </c>
      <c r="C1027" s="109">
        <v>5</v>
      </c>
    </row>
    <row r="1028" spans="1:3" ht="24" x14ac:dyDescent="0.3">
      <c r="A1028" s="109" t="s">
        <v>5</v>
      </c>
      <c r="B1028" s="109" t="s">
        <v>79</v>
      </c>
      <c r="C1028" s="109">
        <v>0</v>
      </c>
    </row>
    <row r="1029" spans="1:3" ht="24" x14ac:dyDescent="0.3">
      <c r="A1029" s="109" t="s">
        <v>5</v>
      </c>
      <c r="B1029" s="109" t="s">
        <v>80</v>
      </c>
      <c r="C1029" s="109">
        <v>3</v>
      </c>
    </row>
    <row r="1030" spans="1:3" ht="24" x14ac:dyDescent="0.3">
      <c r="A1030" s="109" t="s">
        <v>5</v>
      </c>
      <c r="B1030" s="109" t="s">
        <v>81</v>
      </c>
      <c r="C1030" s="109">
        <v>3</v>
      </c>
    </row>
    <row r="1031" spans="1:3" ht="24" x14ac:dyDescent="0.3">
      <c r="A1031" s="109" t="s">
        <v>5</v>
      </c>
      <c r="B1031" s="109" t="s">
        <v>83</v>
      </c>
      <c r="C1031" s="109">
        <v>96</v>
      </c>
    </row>
    <row r="1032" spans="1:3" ht="24" x14ac:dyDescent="0.3">
      <c r="A1032" s="109" t="s">
        <v>5</v>
      </c>
      <c r="B1032" s="109" t="s">
        <v>84</v>
      </c>
      <c r="C1032" s="109">
        <v>4</v>
      </c>
    </row>
    <row r="1033" spans="1:3" ht="24" x14ac:dyDescent="0.3">
      <c r="A1033" s="109" t="s">
        <v>5</v>
      </c>
      <c r="B1033" s="109" t="s">
        <v>85</v>
      </c>
      <c r="C1033" s="109">
        <v>0</v>
      </c>
    </row>
    <row r="1034" spans="1:3" ht="24" x14ac:dyDescent="0.3">
      <c r="A1034" s="109" t="s">
        <v>5</v>
      </c>
      <c r="B1034" s="109" t="s">
        <v>86</v>
      </c>
      <c r="C1034" s="109">
        <v>8</v>
      </c>
    </row>
    <row r="1035" spans="1:3" ht="24" x14ac:dyDescent="0.3">
      <c r="A1035" s="109" t="s">
        <v>5</v>
      </c>
      <c r="B1035" s="109" t="s">
        <v>87</v>
      </c>
      <c r="C1035" s="109">
        <v>0</v>
      </c>
    </row>
    <row r="1036" spans="1:3" ht="24" x14ac:dyDescent="0.3">
      <c r="A1036" s="109" t="s">
        <v>5</v>
      </c>
      <c r="B1036" s="109" t="s">
        <v>88</v>
      </c>
      <c r="C1036" s="109">
        <v>0</v>
      </c>
    </row>
    <row r="1037" spans="1:3" ht="24" x14ac:dyDescent="0.3">
      <c r="A1037" s="109" t="s">
        <v>5</v>
      </c>
      <c r="B1037" s="109" t="s">
        <v>89</v>
      </c>
      <c r="C1037" s="109">
        <v>0</v>
      </c>
    </row>
    <row r="1038" spans="1:3" ht="24" x14ac:dyDescent="0.3">
      <c r="A1038" s="109" t="s">
        <v>5</v>
      </c>
      <c r="B1038" s="109" t="s">
        <v>90</v>
      </c>
      <c r="C1038" s="109">
        <v>0</v>
      </c>
    </row>
    <row r="1039" spans="1:3" ht="24" x14ac:dyDescent="0.3">
      <c r="A1039" s="109" t="s">
        <v>5</v>
      </c>
      <c r="B1039" s="109" t="s">
        <v>92</v>
      </c>
      <c r="C1039" s="109">
        <v>0</v>
      </c>
    </row>
    <row r="1040" spans="1:3" ht="24" x14ac:dyDescent="0.3">
      <c r="A1040" s="109" t="s">
        <v>5</v>
      </c>
      <c r="B1040" s="109" t="s">
        <v>93</v>
      </c>
      <c r="C1040" s="109">
        <v>0</v>
      </c>
    </row>
    <row r="1041" spans="1:3" ht="24" x14ac:dyDescent="0.3">
      <c r="A1041" s="109" t="s">
        <v>5</v>
      </c>
      <c r="B1041" s="109" t="s">
        <v>94</v>
      </c>
      <c r="C1041" s="109">
        <v>0.5</v>
      </c>
    </row>
    <row r="1042" spans="1:3" ht="24" x14ac:dyDescent="0.3">
      <c r="A1042" s="109" t="s">
        <v>5</v>
      </c>
      <c r="B1042" s="109" t="s">
        <v>95</v>
      </c>
      <c r="C1042" s="109">
        <v>0.4</v>
      </c>
    </row>
    <row r="1043" spans="1:3" ht="24" x14ac:dyDescent="0.3">
      <c r="A1043" s="109" t="s">
        <v>5</v>
      </c>
      <c r="B1043" s="109" t="s">
        <v>96</v>
      </c>
      <c r="C1043" s="109">
        <v>0</v>
      </c>
    </row>
    <row r="1044" spans="1:3" ht="24" x14ac:dyDescent="0.3">
      <c r="A1044" s="109" t="s">
        <v>5</v>
      </c>
      <c r="B1044" s="109" t="s">
        <v>97</v>
      </c>
      <c r="C1044" s="109">
        <v>0</v>
      </c>
    </row>
    <row r="1045" spans="1:3" ht="24" x14ac:dyDescent="0.3">
      <c r="A1045" s="109" t="s">
        <v>5</v>
      </c>
      <c r="B1045" s="109" t="s">
        <v>98</v>
      </c>
      <c r="C1045" s="109">
        <v>0</v>
      </c>
    </row>
    <row r="1046" spans="1:3" ht="24" x14ac:dyDescent="0.3">
      <c r="A1046" s="109" t="s">
        <v>5</v>
      </c>
      <c r="B1046" s="109" t="s">
        <v>99</v>
      </c>
      <c r="C1046" s="109">
        <v>8</v>
      </c>
    </row>
    <row r="1047" spans="1:3" ht="24" x14ac:dyDescent="0.3">
      <c r="A1047" s="109" t="s">
        <v>5</v>
      </c>
      <c r="B1047" s="109" t="s">
        <v>100</v>
      </c>
      <c r="C1047" s="109">
        <v>4</v>
      </c>
    </row>
    <row r="1048" spans="1:3" ht="24" x14ac:dyDescent="0.3">
      <c r="A1048" s="109" t="s">
        <v>5</v>
      </c>
      <c r="B1048" s="109" t="s">
        <v>101</v>
      </c>
      <c r="C1048" s="109">
        <v>0.4</v>
      </c>
    </row>
    <row r="1049" spans="1:3" ht="24" x14ac:dyDescent="0.3">
      <c r="A1049" s="109" t="s">
        <v>5</v>
      </c>
      <c r="B1049" s="109" t="s">
        <v>102</v>
      </c>
      <c r="C1049" s="109">
        <v>0.7</v>
      </c>
    </row>
    <row r="1050" spans="1:3" ht="24" x14ac:dyDescent="0.3">
      <c r="A1050" s="109" t="s">
        <v>5</v>
      </c>
      <c r="B1050" s="109" t="s">
        <v>103</v>
      </c>
      <c r="C1050" s="109">
        <v>0.1</v>
      </c>
    </row>
    <row r="1051" spans="1:3" ht="24" x14ac:dyDescent="0.3">
      <c r="A1051" s="109" t="s">
        <v>5</v>
      </c>
      <c r="B1051" s="109" t="s">
        <v>104</v>
      </c>
      <c r="C1051" s="109">
        <v>0.4</v>
      </c>
    </row>
    <row r="1052" spans="1:3" ht="24" x14ac:dyDescent="0.3">
      <c r="A1052" s="109" t="s">
        <v>5</v>
      </c>
      <c r="B1052" s="109" t="s">
        <v>105</v>
      </c>
      <c r="C1052" s="109">
        <v>0</v>
      </c>
    </row>
    <row r="1053" spans="1:3" ht="24" x14ac:dyDescent="0.3">
      <c r="A1053" s="109" t="s">
        <v>5</v>
      </c>
      <c r="B1053" s="109" t="s">
        <v>106</v>
      </c>
      <c r="C1053" s="109">
        <v>0</v>
      </c>
    </row>
    <row r="1054" spans="1:3" ht="24" x14ac:dyDescent="0.3">
      <c r="A1054" s="109" t="s">
        <v>5</v>
      </c>
      <c r="B1054" s="109" t="s">
        <v>107</v>
      </c>
      <c r="C1054" s="109">
        <v>0.4</v>
      </c>
    </row>
    <row r="1055" spans="1:3" ht="24" x14ac:dyDescent="0.3">
      <c r="A1055" s="109" t="s">
        <v>5</v>
      </c>
      <c r="B1055" s="109" t="s">
        <v>108</v>
      </c>
      <c r="C1055" s="109">
        <v>2</v>
      </c>
    </row>
    <row r="1056" spans="1:3" ht="24" x14ac:dyDescent="0.3">
      <c r="A1056" s="109" t="s">
        <v>5</v>
      </c>
      <c r="B1056" s="109" t="s">
        <v>109</v>
      </c>
      <c r="C1056" s="109">
        <v>0.6</v>
      </c>
    </row>
    <row r="1057" spans="1:3" ht="24" x14ac:dyDescent="0.3">
      <c r="A1057" s="109" t="s">
        <v>5</v>
      </c>
      <c r="B1057" s="109" t="s">
        <v>110</v>
      </c>
      <c r="C1057" s="109">
        <v>0.32</v>
      </c>
    </row>
    <row r="1058" spans="1:3" ht="24" x14ac:dyDescent="0.3">
      <c r="A1058" s="109" t="s">
        <v>5</v>
      </c>
      <c r="B1058" s="109" t="s">
        <v>111</v>
      </c>
      <c r="C1058" s="109">
        <v>0</v>
      </c>
    </row>
    <row r="1059" spans="1:3" ht="24" x14ac:dyDescent="0.3">
      <c r="A1059" s="109" t="s">
        <v>5</v>
      </c>
      <c r="B1059" s="109" t="s">
        <v>112</v>
      </c>
      <c r="C1059" s="109">
        <v>0</v>
      </c>
    </row>
    <row r="1060" spans="1:3" ht="24" x14ac:dyDescent="0.3">
      <c r="A1060" s="109" t="s">
        <v>5</v>
      </c>
      <c r="B1060" s="109" t="s">
        <v>113</v>
      </c>
      <c r="C1060" s="109">
        <v>0</v>
      </c>
    </row>
    <row r="1061" spans="1:3" ht="24" x14ac:dyDescent="0.3">
      <c r="A1061" s="109" t="s">
        <v>5</v>
      </c>
      <c r="B1061" s="109" t="s">
        <v>114</v>
      </c>
      <c r="C1061" s="109">
        <v>0</v>
      </c>
    </row>
    <row r="1062" spans="1:3" ht="24" x14ac:dyDescent="0.3">
      <c r="A1062" s="109" t="s">
        <v>5</v>
      </c>
      <c r="B1062" s="109" t="s">
        <v>115</v>
      </c>
      <c r="C1062" s="109">
        <v>0</v>
      </c>
    </row>
    <row r="1063" spans="1:3" ht="24" x14ac:dyDescent="0.3">
      <c r="A1063" s="109" t="s">
        <v>5</v>
      </c>
      <c r="B1063" s="109" t="s">
        <v>116</v>
      </c>
      <c r="C1063" s="109">
        <v>0</v>
      </c>
    </row>
    <row r="1064" spans="1:3" ht="24" x14ac:dyDescent="0.3">
      <c r="A1064" s="109" t="s">
        <v>5</v>
      </c>
      <c r="B1064" s="109" t="s">
        <v>117</v>
      </c>
      <c r="C1064" s="109">
        <v>0</v>
      </c>
    </row>
    <row r="1065" spans="1:3" ht="24" x14ac:dyDescent="0.3">
      <c r="A1065" s="109" t="s">
        <v>5</v>
      </c>
      <c r="B1065" s="109" t="s">
        <v>118</v>
      </c>
      <c r="C1065" s="109">
        <v>0</v>
      </c>
    </row>
    <row r="1066" spans="1:3" ht="24" x14ac:dyDescent="0.3">
      <c r="A1066" s="109" t="s">
        <v>5</v>
      </c>
      <c r="B1066" s="109" t="s">
        <v>120</v>
      </c>
      <c r="C1066" s="109">
        <v>0</v>
      </c>
    </row>
    <row r="1067" spans="1:3" ht="24" x14ac:dyDescent="0.3">
      <c r="A1067" s="109" t="s">
        <v>5</v>
      </c>
      <c r="B1067" s="109" t="s">
        <v>121</v>
      </c>
      <c r="C1067" s="109">
        <v>0</v>
      </c>
    </row>
    <row r="1068" spans="1:3" ht="24" x14ac:dyDescent="0.3">
      <c r="A1068" s="109" t="s">
        <v>5</v>
      </c>
      <c r="B1068" s="109" t="s">
        <v>122</v>
      </c>
      <c r="C1068" s="109">
        <v>0</v>
      </c>
    </row>
    <row r="1069" spans="1:3" ht="24" x14ac:dyDescent="0.3">
      <c r="A1069" s="109" t="s">
        <v>5</v>
      </c>
      <c r="B1069" s="109" t="s">
        <v>123</v>
      </c>
      <c r="C1069" s="109">
        <v>0</v>
      </c>
    </row>
    <row r="1070" spans="1:3" ht="24" x14ac:dyDescent="0.3">
      <c r="A1070" s="109" t="s">
        <v>5</v>
      </c>
      <c r="B1070" s="109" t="s">
        <v>124</v>
      </c>
      <c r="C1070" s="109">
        <v>0</v>
      </c>
    </row>
    <row r="1071" spans="1:3" ht="24" x14ac:dyDescent="0.3">
      <c r="A1071" s="109" t="s">
        <v>5</v>
      </c>
      <c r="B1071" s="109" t="s">
        <v>125</v>
      </c>
      <c r="C1071" s="109">
        <v>0</v>
      </c>
    </row>
    <row r="1072" spans="1:3" ht="24" x14ac:dyDescent="0.3">
      <c r="A1072" s="109" t="s">
        <v>5</v>
      </c>
      <c r="B1072" s="109" t="s">
        <v>126</v>
      </c>
      <c r="C1072" s="109">
        <v>0</v>
      </c>
    </row>
    <row r="1073" spans="1:3" ht="24" x14ac:dyDescent="0.3">
      <c r="A1073" s="109" t="s">
        <v>6</v>
      </c>
      <c r="B1073" s="109" t="s">
        <v>206</v>
      </c>
      <c r="C1073" s="109" t="s">
        <v>60</v>
      </c>
    </row>
    <row r="1074" spans="1:3" ht="24" x14ac:dyDescent="0.3">
      <c r="A1074" s="109" t="s">
        <v>6</v>
      </c>
      <c r="B1074" s="109" t="s">
        <v>62</v>
      </c>
      <c r="C1074" s="109">
        <v>2</v>
      </c>
    </row>
    <row r="1075" spans="1:3" ht="24" x14ac:dyDescent="0.3">
      <c r="A1075" s="109" t="s">
        <v>6</v>
      </c>
      <c r="B1075" s="109" t="s">
        <v>63</v>
      </c>
      <c r="C1075" s="109">
        <v>5</v>
      </c>
    </row>
    <row r="1076" spans="1:3" ht="24" x14ac:dyDescent="0.3">
      <c r="A1076" s="109" t="s">
        <v>6</v>
      </c>
      <c r="B1076" s="109" t="s">
        <v>64</v>
      </c>
      <c r="C1076" s="109">
        <v>6</v>
      </c>
    </row>
    <row r="1077" spans="1:3" ht="24" x14ac:dyDescent="0.3">
      <c r="A1077" s="109" t="s">
        <v>6</v>
      </c>
      <c r="B1077" s="109" t="s">
        <v>65</v>
      </c>
      <c r="C1077" s="109">
        <v>3</v>
      </c>
    </row>
    <row r="1078" spans="1:3" ht="24" x14ac:dyDescent="0.3">
      <c r="A1078" s="109" t="s">
        <v>6</v>
      </c>
      <c r="B1078" s="109" t="s">
        <v>66</v>
      </c>
      <c r="C1078" s="109">
        <v>2</v>
      </c>
    </row>
    <row r="1079" spans="1:3" ht="24" x14ac:dyDescent="0.3">
      <c r="A1079" s="109" t="s">
        <v>6</v>
      </c>
      <c r="B1079" s="109" t="s">
        <v>67</v>
      </c>
      <c r="C1079" s="109">
        <v>4</v>
      </c>
    </row>
    <row r="1080" spans="1:3" ht="24" x14ac:dyDescent="0.3">
      <c r="A1080" s="109" t="s">
        <v>6</v>
      </c>
      <c r="B1080" s="109" t="s">
        <v>68</v>
      </c>
      <c r="C1080" s="109">
        <v>6</v>
      </c>
    </row>
    <row r="1081" spans="1:3" ht="24" x14ac:dyDescent="0.3">
      <c r="A1081" s="109" t="s">
        <v>6</v>
      </c>
      <c r="B1081" s="109" t="s">
        <v>69</v>
      </c>
      <c r="C1081" s="109">
        <v>2</v>
      </c>
    </row>
    <row r="1082" spans="1:3" ht="24" x14ac:dyDescent="0.3">
      <c r="A1082" s="109" t="s">
        <v>6</v>
      </c>
      <c r="B1082" s="109" t="s">
        <v>70</v>
      </c>
      <c r="C1082" s="109">
        <v>1</v>
      </c>
    </row>
    <row r="1083" spans="1:3" ht="24" x14ac:dyDescent="0.3">
      <c r="A1083" s="109" t="s">
        <v>6</v>
      </c>
      <c r="B1083" s="109" t="s">
        <v>71</v>
      </c>
      <c r="C1083" s="109">
        <v>0</v>
      </c>
    </row>
    <row r="1084" spans="1:3" ht="24" x14ac:dyDescent="0.3">
      <c r="A1084" s="109" t="s">
        <v>6</v>
      </c>
      <c r="B1084" s="109" t="s">
        <v>72</v>
      </c>
      <c r="C1084" s="109">
        <v>1</v>
      </c>
    </row>
    <row r="1085" spans="1:3" ht="24" x14ac:dyDescent="0.3">
      <c r="A1085" s="109" t="s">
        <v>6</v>
      </c>
      <c r="B1085" s="109" t="s">
        <v>73</v>
      </c>
      <c r="C1085" s="109">
        <v>1</v>
      </c>
    </row>
    <row r="1086" spans="1:3" ht="24" x14ac:dyDescent="0.3">
      <c r="A1086" s="109" t="s">
        <v>6</v>
      </c>
      <c r="B1086" s="109" t="s">
        <v>74</v>
      </c>
      <c r="C1086" s="109">
        <v>1</v>
      </c>
    </row>
    <row r="1087" spans="1:3" ht="24" x14ac:dyDescent="0.3">
      <c r="A1087" s="109" t="s">
        <v>6</v>
      </c>
      <c r="B1087" s="109" t="s">
        <v>75</v>
      </c>
      <c r="C1087" s="109">
        <v>0</v>
      </c>
    </row>
    <row r="1088" spans="1:3" ht="24" x14ac:dyDescent="0.3">
      <c r="A1088" s="109" t="s">
        <v>6</v>
      </c>
      <c r="B1088" s="109" t="s">
        <v>76</v>
      </c>
      <c r="C1088" s="109">
        <v>1</v>
      </c>
    </row>
    <row r="1089" spans="1:3" ht="24" x14ac:dyDescent="0.3">
      <c r="A1089" s="109" t="s">
        <v>6</v>
      </c>
      <c r="B1089" s="109" t="s">
        <v>77</v>
      </c>
      <c r="C1089" s="109">
        <v>2</v>
      </c>
    </row>
    <row r="1090" spans="1:3" ht="24" x14ac:dyDescent="0.3">
      <c r="A1090" s="109" t="s">
        <v>6</v>
      </c>
      <c r="B1090" s="109" t="s">
        <v>78</v>
      </c>
      <c r="C1090" s="109">
        <v>10</v>
      </c>
    </row>
    <row r="1091" spans="1:3" ht="24" x14ac:dyDescent="0.3">
      <c r="A1091" s="109" t="s">
        <v>6</v>
      </c>
      <c r="B1091" s="109" t="s">
        <v>79</v>
      </c>
      <c r="C1091" s="109">
        <v>0</v>
      </c>
    </row>
    <row r="1092" spans="1:3" ht="24" x14ac:dyDescent="0.3">
      <c r="A1092" s="109" t="s">
        <v>6</v>
      </c>
      <c r="B1092" s="109" t="s">
        <v>80</v>
      </c>
      <c r="C1092" s="109">
        <v>3</v>
      </c>
    </row>
    <row r="1093" spans="1:3" ht="24" x14ac:dyDescent="0.3">
      <c r="A1093" s="109" t="s">
        <v>6</v>
      </c>
      <c r="B1093" s="109" t="s">
        <v>81</v>
      </c>
      <c r="C1093" s="109">
        <v>3</v>
      </c>
    </row>
    <row r="1094" spans="1:3" ht="24" x14ac:dyDescent="0.3">
      <c r="A1094" s="109" t="s">
        <v>6</v>
      </c>
      <c r="B1094" s="109" t="s">
        <v>83</v>
      </c>
      <c r="C1094" s="109">
        <v>70</v>
      </c>
    </row>
    <row r="1095" spans="1:3" ht="24" x14ac:dyDescent="0.3">
      <c r="A1095" s="109" t="s">
        <v>6</v>
      </c>
      <c r="B1095" s="109" t="s">
        <v>84</v>
      </c>
      <c r="C1095" s="109">
        <v>15</v>
      </c>
    </row>
    <row r="1096" spans="1:3" ht="24" x14ac:dyDescent="0.3">
      <c r="A1096" s="109" t="s">
        <v>6</v>
      </c>
      <c r="B1096" s="109" t="s">
        <v>85</v>
      </c>
      <c r="C1096" s="109">
        <v>0</v>
      </c>
    </row>
    <row r="1097" spans="1:3" ht="24" x14ac:dyDescent="0.3">
      <c r="A1097" s="109" t="s">
        <v>6</v>
      </c>
      <c r="B1097" s="109" t="s">
        <v>86</v>
      </c>
      <c r="C1097" s="109">
        <v>7</v>
      </c>
    </row>
    <row r="1098" spans="1:3" ht="24" x14ac:dyDescent="0.3">
      <c r="A1098" s="109" t="s">
        <v>6</v>
      </c>
      <c r="B1098" s="109" t="s">
        <v>87</v>
      </c>
      <c r="C1098" s="109">
        <v>0</v>
      </c>
    </row>
    <row r="1099" spans="1:3" ht="24" x14ac:dyDescent="0.3">
      <c r="A1099" s="109" t="s">
        <v>6</v>
      </c>
      <c r="B1099" s="109" t="s">
        <v>88</v>
      </c>
      <c r="C1099" s="109">
        <v>0</v>
      </c>
    </row>
    <row r="1100" spans="1:3" ht="24" x14ac:dyDescent="0.3">
      <c r="A1100" s="109" t="s">
        <v>6</v>
      </c>
      <c r="B1100" s="109" t="s">
        <v>89</v>
      </c>
      <c r="C1100" s="109">
        <v>0</v>
      </c>
    </row>
    <row r="1101" spans="1:3" ht="24" x14ac:dyDescent="0.3">
      <c r="A1101" s="109" t="s">
        <v>6</v>
      </c>
      <c r="B1101" s="109" t="s">
        <v>90</v>
      </c>
      <c r="C1101" s="109">
        <v>0</v>
      </c>
    </row>
    <row r="1102" spans="1:3" ht="24" x14ac:dyDescent="0.3">
      <c r="A1102" s="109" t="s">
        <v>6</v>
      </c>
      <c r="B1102" s="109" t="s">
        <v>92</v>
      </c>
      <c r="C1102" s="109">
        <v>0</v>
      </c>
    </row>
    <row r="1103" spans="1:3" ht="24" x14ac:dyDescent="0.3">
      <c r="A1103" s="109" t="s">
        <v>6</v>
      </c>
      <c r="B1103" s="109" t="s">
        <v>93</v>
      </c>
      <c r="C1103" s="109">
        <v>0.5</v>
      </c>
    </row>
    <row r="1104" spans="1:3" ht="24" x14ac:dyDescent="0.3">
      <c r="A1104" s="109" t="s">
        <v>6</v>
      </c>
      <c r="B1104" s="109" t="s">
        <v>94</v>
      </c>
      <c r="C1104" s="109">
        <v>0</v>
      </c>
    </row>
    <row r="1105" spans="1:3" ht="24" x14ac:dyDescent="0.3">
      <c r="A1105" s="109" t="s">
        <v>6</v>
      </c>
      <c r="B1105" s="109" t="s">
        <v>95</v>
      </c>
      <c r="C1105" s="109">
        <v>1</v>
      </c>
    </row>
    <row r="1106" spans="1:3" ht="24" x14ac:dyDescent="0.3">
      <c r="A1106" s="109" t="s">
        <v>6</v>
      </c>
      <c r="B1106" s="109" t="s">
        <v>96</v>
      </c>
      <c r="C1106" s="109">
        <v>0</v>
      </c>
    </row>
    <row r="1107" spans="1:3" ht="24" x14ac:dyDescent="0.3">
      <c r="A1107" s="109" t="s">
        <v>6</v>
      </c>
      <c r="B1107" s="109" t="s">
        <v>97</v>
      </c>
      <c r="C1107" s="109">
        <v>0</v>
      </c>
    </row>
    <row r="1108" spans="1:3" ht="24" x14ac:dyDescent="0.3">
      <c r="A1108" s="109" t="s">
        <v>6</v>
      </c>
      <c r="B1108" s="109" t="s">
        <v>98</v>
      </c>
      <c r="C1108" s="109">
        <v>0</v>
      </c>
    </row>
    <row r="1109" spans="1:3" ht="24" x14ac:dyDescent="0.3">
      <c r="A1109" s="109" t="s">
        <v>6</v>
      </c>
      <c r="B1109" s="109" t="s">
        <v>99</v>
      </c>
      <c r="C1109" s="109">
        <v>12</v>
      </c>
    </row>
    <row r="1110" spans="1:3" ht="24" x14ac:dyDescent="0.3">
      <c r="A1110" s="109" t="s">
        <v>6</v>
      </c>
      <c r="B1110" s="109" t="s">
        <v>100</v>
      </c>
      <c r="C1110" s="109">
        <v>2</v>
      </c>
    </row>
    <row r="1111" spans="1:3" ht="24" x14ac:dyDescent="0.3">
      <c r="A1111" s="109" t="s">
        <v>6</v>
      </c>
      <c r="B1111" s="109" t="s">
        <v>101</v>
      </c>
      <c r="C1111" s="109">
        <v>0.26</v>
      </c>
    </row>
    <row r="1112" spans="1:3" ht="24" x14ac:dyDescent="0.3">
      <c r="A1112" s="109" t="s">
        <v>6</v>
      </c>
      <c r="B1112" s="109" t="s">
        <v>102</v>
      </c>
      <c r="C1112" s="109">
        <v>0.5</v>
      </c>
    </row>
    <row r="1113" spans="1:3" ht="24" x14ac:dyDescent="0.3">
      <c r="A1113" s="109" t="s">
        <v>6</v>
      </c>
      <c r="B1113" s="109" t="s">
        <v>103</v>
      </c>
      <c r="C1113" s="109">
        <v>0.37</v>
      </c>
    </row>
    <row r="1114" spans="1:3" ht="24" x14ac:dyDescent="0.3">
      <c r="A1114" s="109" t="s">
        <v>6</v>
      </c>
      <c r="B1114" s="109" t="s">
        <v>104</v>
      </c>
      <c r="C1114" s="109">
        <v>0.1</v>
      </c>
    </row>
    <row r="1115" spans="1:3" ht="24" x14ac:dyDescent="0.3">
      <c r="A1115" s="109" t="s">
        <v>6</v>
      </c>
      <c r="B1115" s="109" t="s">
        <v>105</v>
      </c>
      <c r="C1115" s="109">
        <v>0</v>
      </c>
    </row>
    <row r="1116" spans="1:3" ht="24" x14ac:dyDescent="0.3">
      <c r="A1116" s="109" t="s">
        <v>6</v>
      </c>
      <c r="B1116" s="109" t="s">
        <v>106</v>
      </c>
      <c r="C1116" s="109">
        <v>0</v>
      </c>
    </row>
    <row r="1117" spans="1:3" ht="24" x14ac:dyDescent="0.3">
      <c r="A1117" s="109" t="s">
        <v>6</v>
      </c>
      <c r="B1117" s="109" t="s">
        <v>107</v>
      </c>
      <c r="C1117" s="109">
        <v>0.2</v>
      </c>
    </row>
    <row r="1118" spans="1:3" ht="24" x14ac:dyDescent="0.3">
      <c r="A1118" s="109" t="s">
        <v>6</v>
      </c>
      <c r="B1118" s="109" t="s">
        <v>108</v>
      </c>
      <c r="C1118" s="109">
        <v>2</v>
      </c>
    </row>
    <row r="1119" spans="1:3" ht="24" x14ac:dyDescent="0.3">
      <c r="A1119" s="109" t="s">
        <v>6</v>
      </c>
      <c r="B1119" s="109" t="s">
        <v>109</v>
      </c>
      <c r="C1119" s="109">
        <v>0</v>
      </c>
    </row>
    <row r="1120" spans="1:3" ht="24" x14ac:dyDescent="0.3">
      <c r="A1120" s="109" t="s">
        <v>6</v>
      </c>
      <c r="B1120" s="109" t="s">
        <v>110</v>
      </c>
      <c r="C1120" s="109">
        <v>0</v>
      </c>
    </row>
    <row r="1121" spans="1:3" ht="24" x14ac:dyDescent="0.3">
      <c r="A1121" s="109" t="s">
        <v>6</v>
      </c>
      <c r="B1121" s="109" t="s">
        <v>111</v>
      </c>
      <c r="C1121" s="109">
        <v>0</v>
      </c>
    </row>
    <row r="1122" spans="1:3" ht="24" x14ac:dyDescent="0.3">
      <c r="A1122" s="109" t="s">
        <v>6</v>
      </c>
      <c r="B1122" s="109" t="s">
        <v>112</v>
      </c>
      <c r="C1122" s="109">
        <v>0</v>
      </c>
    </row>
    <row r="1123" spans="1:3" ht="24" x14ac:dyDescent="0.3">
      <c r="A1123" s="109" t="s">
        <v>6</v>
      </c>
      <c r="B1123" s="109" t="s">
        <v>113</v>
      </c>
      <c r="C1123" s="109">
        <v>0</v>
      </c>
    </row>
    <row r="1124" spans="1:3" ht="24" x14ac:dyDescent="0.3">
      <c r="A1124" s="109" t="s">
        <v>6</v>
      </c>
      <c r="B1124" s="109" t="s">
        <v>114</v>
      </c>
      <c r="C1124" s="109">
        <v>0</v>
      </c>
    </row>
    <row r="1125" spans="1:3" ht="24" x14ac:dyDescent="0.3">
      <c r="A1125" s="109" t="s">
        <v>6</v>
      </c>
      <c r="B1125" s="109" t="s">
        <v>115</v>
      </c>
      <c r="C1125" s="109">
        <v>0</v>
      </c>
    </row>
    <row r="1126" spans="1:3" ht="24" x14ac:dyDescent="0.3">
      <c r="A1126" s="109" t="s">
        <v>6</v>
      </c>
      <c r="B1126" s="109" t="s">
        <v>116</v>
      </c>
      <c r="C1126" s="109">
        <v>0</v>
      </c>
    </row>
    <row r="1127" spans="1:3" ht="24" x14ac:dyDescent="0.3">
      <c r="A1127" s="109" t="s">
        <v>6</v>
      </c>
      <c r="B1127" s="109" t="s">
        <v>117</v>
      </c>
      <c r="C1127" s="109">
        <v>0</v>
      </c>
    </row>
    <row r="1128" spans="1:3" ht="24" x14ac:dyDescent="0.3">
      <c r="A1128" s="109" t="s">
        <v>6</v>
      </c>
      <c r="B1128" s="109" t="s">
        <v>118</v>
      </c>
      <c r="C1128" s="109">
        <v>0</v>
      </c>
    </row>
    <row r="1129" spans="1:3" ht="24" x14ac:dyDescent="0.3">
      <c r="A1129" s="109" t="s">
        <v>6</v>
      </c>
      <c r="B1129" s="109" t="s">
        <v>120</v>
      </c>
      <c r="C1129" s="109">
        <v>0</v>
      </c>
    </row>
    <row r="1130" spans="1:3" ht="24" x14ac:dyDescent="0.3">
      <c r="A1130" s="109" t="s">
        <v>6</v>
      </c>
      <c r="B1130" s="109" t="s">
        <v>121</v>
      </c>
      <c r="C1130" s="109">
        <v>1</v>
      </c>
    </row>
    <row r="1131" spans="1:3" ht="24" x14ac:dyDescent="0.3">
      <c r="A1131" s="109" t="s">
        <v>6</v>
      </c>
      <c r="B1131" s="109" t="s">
        <v>122</v>
      </c>
      <c r="C1131" s="109">
        <v>0</v>
      </c>
    </row>
    <row r="1132" spans="1:3" ht="24" x14ac:dyDescent="0.3">
      <c r="A1132" s="109" t="s">
        <v>6</v>
      </c>
      <c r="B1132" s="109" t="s">
        <v>123</v>
      </c>
      <c r="C1132" s="109">
        <v>0</v>
      </c>
    </row>
    <row r="1133" spans="1:3" ht="24" x14ac:dyDescent="0.3">
      <c r="A1133" s="109" t="s">
        <v>6</v>
      </c>
      <c r="B1133" s="109" t="s">
        <v>124</v>
      </c>
      <c r="C1133" s="109">
        <v>0</v>
      </c>
    </row>
    <row r="1134" spans="1:3" ht="24" x14ac:dyDescent="0.3">
      <c r="A1134" s="109" t="s">
        <v>6</v>
      </c>
      <c r="B1134" s="109" t="s">
        <v>125</v>
      </c>
      <c r="C1134" s="109">
        <v>1</v>
      </c>
    </row>
    <row r="1135" spans="1:3" ht="24" x14ac:dyDescent="0.3">
      <c r="A1135" s="109" t="s">
        <v>6</v>
      </c>
      <c r="B1135" s="109" t="s">
        <v>126</v>
      </c>
      <c r="C1135" s="109">
        <v>0</v>
      </c>
    </row>
    <row r="1136" spans="1:3" ht="24" x14ac:dyDescent="0.3">
      <c r="A1136" s="109" t="s">
        <v>7</v>
      </c>
      <c r="B1136" s="109" t="s">
        <v>206</v>
      </c>
      <c r="C1136" s="109" t="s">
        <v>60</v>
      </c>
    </row>
    <row r="1137" spans="1:3" ht="24" x14ac:dyDescent="0.3">
      <c r="A1137" s="109" t="s">
        <v>7</v>
      </c>
      <c r="B1137" s="109" t="s">
        <v>62</v>
      </c>
      <c r="C1137" s="109">
        <v>2</v>
      </c>
    </row>
    <row r="1138" spans="1:3" ht="24" x14ac:dyDescent="0.3">
      <c r="A1138" s="109" t="s">
        <v>7</v>
      </c>
      <c r="B1138" s="109" t="s">
        <v>63</v>
      </c>
      <c r="C1138" s="109">
        <v>3</v>
      </c>
    </row>
    <row r="1139" spans="1:3" ht="24" x14ac:dyDescent="0.3">
      <c r="A1139" s="109" t="s">
        <v>7</v>
      </c>
      <c r="B1139" s="109" t="s">
        <v>64</v>
      </c>
      <c r="C1139" s="109">
        <v>6</v>
      </c>
    </row>
    <row r="1140" spans="1:3" ht="24" x14ac:dyDescent="0.3">
      <c r="A1140" s="109" t="s">
        <v>7</v>
      </c>
      <c r="B1140" s="109" t="s">
        <v>65</v>
      </c>
      <c r="C1140" s="109">
        <v>2</v>
      </c>
    </row>
    <row r="1141" spans="1:3" ht="24" x14ac:dyDescent="0.3">
      <c r="A1141" s="109" t="s">
        <v>7</v>
      </c>
      <c r="B1141" s="109" t="s">
        <v>66</v>
      </c>
      <c r="C1141" s="109">
        <v>3</v>
      </c>
    </row>
    <row r="1142" spans="1:3" ht="24" x14ac:dyDescent="0.3">
      <c r="A1142" s="109" t="s">
        <v>7</v>
      </c>
      <c r="B1142" s="109" t="s">
        <v>67</v>
      </c>
      <c r="C1142" s="109">
        <v>3</v>
      </c>
    </row>
    <row r="1143" spans="1:3" ht="24" x14ac:dyDescent="0.3">
      <c r="A1143" s="109" t="s">
        <v>7</v>
      </c>
      <c r="B1143" s="109" t="s">
        <v>68</v>
      </c>
      <c r="C1143" s="109">
        <v>8</v>
      </c>
    </row>
    <row r="1144" spans="1:3" ht="24" x14ac:dyDescent="0.3">
      <c r="A1144" s="109" t="s">
        <v>7</v>
      </c>
      <c r="B1144" s="109" t="s">
        <v>69</v>
      </c>
      <c r="C1144" s="109">
        <v>2</v>
      </c>
    </row>
    <row r="1145" spans="1:3" ht="24" x14ac:dyDescent="0.3">
      <c r="A1145" s="109" t="s">
        <v>7</v>
      </c>
      <c r="B1145" s="109" t="s">
        <v>70</v>
      </c>
      <c r="C1145" s="109">
        <v>0</v>
      </c>
    </row>
    <row r="1146" spans="1:3" ht="24" x14ac:dyDescent="0.3">
      <c r="A1146" s="109" t="s">
        <v>7</v>
      </c>
      <c r="B1146" s="109" t="s">
        <v>71</v>
      </c>
      <c r="C1146" s="109">
        <v>0</v>
      </c>
    </row>
    <row r="1147" spans="1:3" ht="24" x14ac:dyDescent="0.3">
      <c r="A1147" s="109" t="s">
        <v>7</v>
      </c>
      <c r="B1147" s="109" t="s">
        <v>72</v>
      </c>
      <c r="C1147" s="109">
        <v>0</v>
      </c>
    </row>
    <row r="1148" spans="1:3" ht="24" x14ac:dyDescent="0.3">
      <c r="A1148" s="109" t="s">
        <v>7</v>
      </c>
      <c r="B1148" s="109" t="s">
        <v>73</v>
      </c>
      <c r="C1148" s="109">
        <v>1</v>
      </c>
    </row>
    <row r="1149" spans="1:3" ht="24" x14ac:dyDescent="0.3">
      <c r="A1149" s="109" t="s">
        <v>7</v>
      </c>
      <c r="B1149" s="109" t="s">
        <v>74</v>
      </c>
      <c r="C1149" s="109">
        <v>0.5</v>
      </c>
    </row>
    <row r="1150" spans="1:3" ht="24" x14ac:dyDescent="0.3">
      <c r="A1150" s="109" t="s">
        <v>7</v>
      </c>
      <c r="B1150" s="109" t="s">
        <v>75</v>
      </c>
      <c r="C1150" s="109">
        <v>0</v>
      </c>
    </row>
    <row r="1151" spans="1:3" ht="24" x14ac:dyDescent="0.3">
      <c r="A1151" s="109" t="s">
        <v>7</v>
      </c>
      <c r="B1151" s="109" t="s">
        <v>76</v>
      </c>
      <c r="C1151" s="109">
        <v>2</v>
      </c>
    </row>
    <row r="1152" spans="1:3" ht="24" x14ac:dyDescent="0.3">
      <c r="A1152" s="109" t="s">
        <v>7</v>
      </c>
      <c r="B1152" s="109" t="s">
        <v>77</v>
      </c>
      <c r="C1152" s="109">
        <v>0</v>
      </c>
    </row>
    <row r="1153" spans="1:3" ht="24" x14ac:dyDescent="0.3">
      <c r="A1153" s="109" t="s">
        <v>7</v>
      </c>
      <c r="B1153" s="109" t="s">
        <v>78</v>
      </c>
      <c r="C1153" s="109">
        <v>8</v>
      </c>
    </row>
    <row r="1154" spans="1:3" ht="24" x14ac:dyDescent="0.3">
      <c r="A1154" s="109" t="s">
        <v>7</v>
      </c>
      <c r="B1154" s="109" t="s">
        <v>79</v>
      </c>
      <c r="C1154" s="109">
        <v>0</v>
      </c>
    </row>
    <row r="1155" spans="1:3" ht="24" x14ac:dyDescent="0.3">
      <c r="A1155" s="109" t="s">
        <v>7</v>
      </c>
      <c r="B1155" s="109" t="s">
        <v>80</v>
      </c>
      <c r="C1155" s="109">
        <v>4</v>
      </c>
    </row>
    <row r="1156" spans="1:3" ht="24" x14ac:dyDescent="0.3">
      <c r="A1156" s="109" t="s">
        <v>7</v>
      </c>
      <c r="B1156" s="109" t="s">
        <v>81</v>
      </c>
      <c r="C1156" s="109">
        <v>0</v>
      </c>
    </row>
    <row r="1157" spans="1:3" ht="24" x14ac:dyDescent="0.3">
      <c r="A1157" s="109" t="s">
        <v>7</v>
      </c>
      <c r="B1157" s="109" t="s">
        <v>83</v>
      </c>
      <c r="C1157" s="109">
        <v>199</v>
      </c>
    </row>
    <row r="1158" spans="1:3" ht="24" x14ac:dyDescent="0.3">
      <c r="A1158" s="109" t="s">
        <v>7</v>
      </c>
      <c r="B1158" s="109" t="s">
        <v>84</v>
      </c>
      <c r="C1158" s="109">
        <v>0</v>
      </c>
    </row>
    <row r="1159" spans="1:3" ht="24" x14ac:dyDescent="0.3">
      <c r="A1159" s="109" t="s">
        <v>7</v>
      </c>
      <c r="B1159" s="109" t="s">
        <v>85</v>
      </c>
      <c r="C1159" s="109">
        <v>2</v>
      </c>
    </row>
    <row r="1160" spans="1:3" ht="24" x14ac:dyDescent="0.3">
      <c r="A1160" s="109" t="s">
        <v>7</v>
      </c>
      <c r="B1160" s="109" t="s">
        <v>86</v>
      </c>
      <c r="C1160" s="109">
        <v>25</v>
      </c>
    </row>
    <row r="1161" spans="1:3" ht="24" x14ac:dyDescent="0.3">
      <c r="A1161" s="109" t="s">
        <v>7</v>
      </c>
      <c r="B1161" s="109" t="s">
        <v>87</v>
      </c>
      <c r="C1161" s="109">
        <v>0</v>
      </c>
    </row>
    <row r="1162" spans="1:3" ht="24" x14ac:dyDescent="0.3">
      <c r="A1162" s="109" t="s">
        <v>7</v>
      </c>
      <c r="B1162" s="109" t="s">
        <v>88</v>
      </c>
      <c r="C1162" s="109">
        <v>0</v>
      </c>
    </row>
    <row r="1163" spans="1:3" ht="24" x14ac:dyDescent="0.3">
      <c r="A1163" s="109" t="s">
        <v>7</v>
      </c>
      <c r="B1163" s="109" t="s">
        <v>89</v>
      </c>
      <c r="C1163" s="109">
        <v>0</v>
      </c>
    </row>
    <row r="1164" spans="1:3" ht="24" x14ac:dyDescent="0.3">
      <c r="A1164" s="109" t="s">
        <v>7</v>
      </c>
      <c r="B1164" s="109" t="s">
        <v>90</v>
      </c>
      <c r="C1164" s="109">
        <v>0</v>
      </c>
    </row>
    <row r="1165" spans="1:3" ht="24" x14ac:dyDescent="0.3">
      <c r="A1165" s="109" t="s">
        <v>7</v>
      </c>
      <c r="B1165" s="109" t="s">
        <v>92</v>
      </c>
      <c r="C1165" s="109">
        <v>0</v>
      </c>
    </row>
    <row r="1166" spans="1:3" ht="24" x14ac:dyDescent="0.3">
      <c r="A1166" s="109" t="s">
        <v>7</v>
      </c>
      <c r="B1166" s="109" t="s">
        <v>93</v>
      </c>
      <c r="C1166" s="109">
        <v>0</v>
      </c>
    </row>
    <row r="1167" spans="1:3" ht="24" x14ac:dyDescent="0.3">
      <c r="A1167" s="109" t="s">
        <v>7</v>
      </c>
      <c r="B1167" s="109" t="s">
        <v>94</v>
      </c>
      <c r="C1167" s="109">
        <v>0</v>
      </c>
    </row>
    <row r="1168" spans="1:3" ht="24" x14ac:dyDescent="0.3">
      <c r="A1168" s="109" t="s">
        <v>7</v>
      </c>
      <c r="B1168" s="109" t="s">
        <v>95</v>
      </c>
      <c r="C1168" s="109">
        <v>0.4</v>
      </c>
    </row>
    <row r="1169" spans="1:3" ht="24" x14ac:dyDescent="0.3">
      <c r="A1169" s="109" t="s">
        <v>7</v>
      </c>
      <c r="B1169" s="109" t="s">
        <v>96</v>
      </c>
      <c r="C1169" s="109">
        <v>0</v>
      </c>
    </row>
    <row r="1170" spans="1:3" ht="24" x14ac:dyDescent="0.3">
      <c r="A1170" s="109" t="s">
        <v>7</v>
      </c>
      <c r="B1170" s="109" t="s">
        <v>97</v>
      </c>
      <c r="C1170" s="109">
        <v>0</v>
      </c>
    </row>
    <row r="1171" spans="1:3" ht="24" x14ac:dyDescent="0.3">
      <c r="A1171" s="109" t="s">
        <v>7</v>
      </c>
      <c r="B1171" s="109" t="s">
        <v>98</v>
      </c>
      <c r="C1171" s="109">
        <v>0</v>
      </c>
    </row>
    <row r="1172" spans="1:3" ht="24" x14ac:dyDescent="0.3">
      <c r="A1172" s="109" t="s">
        <v>7</v>
      </c>
      <c r="B1172" s="109" t="s">
        <v>99</v>
      </c>
      <c r="C1172" s="109">
        <v>10</v>
      </c>
    </row>
    <row r="1173" spans="1:3" ht="24" x14ac:dyDescent="0.3">
      <c r="A1173" s="109" t="s">
        <v>7</v>
      </c>
      <c r="B1173" s="109" t="s">
        <v>100</v>
      </c>
      <c r="C1173" s="109">
        <v>2</v>
      </c>
    </row>
    <row r="1174" spans="1:3" ht="24" x14ac:dyDescent="0.3">
      <c r="A1174" s="109" t="s">
        <v>7</v>
      </c>
      <c r="B1174" s="109" t="s">
        <v>101</v>
      </c>
      <c r="C1174" s="109">
        <v>0.2</v>
      </c>
    </row>
    <row r="1175" spans="1:3" ht="24" x14ac:dyDescent="0.3">
      <c r="A1175" s="109" t="s">
        <v>7</v>
      </c>
      <c r="B1175" s="109" t="s">
        <v>102</v>
      </c>
      <c r="C1175" s="109">
        <v>0.5</v>
      </c>
    </row>
    <row r="1176" spans="1:3" ht="24" x14ac:dyDescent="0.3">
      <c r="A1176" s="109" t="s">
        <v>7</v>
      </c>
      <c r="B1176" s="109" t="s">
        <v>103</v>
      </c>
      <c r="C1176" s="109">
        <v>0.3</v>
      </c>
    </row>
    <row r="1177" spans="1:3" ht="24" x14ac:dyDescent="0.3">
      <c r="A1177" s="109" t="s">
        <v>7</v>
      </c>
      <c r="B1177" s="109" t="s">
        <v>104</v>
      </c>
      <c r="C1177" s="109">
        <v>0.15</v>
      </c>
    </row>
    <row r="1178" spans="1:3" ht="24" x14ac:dyDescent="0.3">
      <c r="A1178" s="109" t="s">
        <v>7</v>
      </c>
      <c r="B1178" s="109" t="s">
        <v>105</v>
      </c>
      <c r="C1178" s="109">
        <v>0</v>
      </c>
    </row>
    <row r="1179" spans="1:3" ht="24" x14ac:dyDescent="0.3">
      <c r="A1179" s="109" t="s">
        <v>7</v>
      </c>
      <c r="B1179" s="109" t="s">
        <v>106</v>
      </c>
      <c r="C1179" s="109">
        <v>0.5</v>
      </c>
    </row>
    <row r="1180" spans="1:3" ht="24" x14ac:dyDescent="0.3">
      <c r="A1180" s="109" t="s">
        <v>7</v>
      </c>
      <c r="B1180" s="109" t="s">
        <v>107</v>
      </c>
      <c r="C1180" s="109">
        <v>0.2</v>
      </c>
    </row>
    <row r="1181" spans="1:3" ht="24" x14ac:dyDescent="0.3">
      <c r="A1181" s="109" t="s">
        <v>7</v>
      </c>
      <c r="B1181" s="109" t="s">
        <v>108</v>
      </c>
      <c r="C1181" s="109">
        <v>0</v>
      </c>
    </row>
    <row r="1182" spans="1:3" ht="24" x14ac:dyDescent="0.3">
      <c r="A1182" s="109" t="s">
        <v>7</v>
      </c>
      <c r="B1182" s="109" t="s">
        <v>109</v>
      </c>
      <c r="C1182" s="109">
        <v>0</v>
      </c>
    </row>
    <row r="1183" spans="1:3" ht="24" x14ac:dyDescent="0.3">
      <c r="A1183" s="109" t="s">
        <v>7</v>
      </c>
      <c r="B1183" s="109" t="s">
        <v>110</v>
      </c>
      <c r="C1183" s="109">
        <v>0.1</v>
      </c>
    </row>
    <row r="1184" spans="1:3" ht="24" x14ac:dyDescent="0.3">
      <c r="A1184" s="109" t="s">
        <v>7</v>
      </c>
      <c r="B1184" s="109" t="s">
        <v>111</v>
      </c>
      <c r="C1184" s="109">
        <v>0.25</v>
      </c>
    </row>
    <row r="1185" spans="1:3" ht="24" x14ac:dyDescent="0.3">
      <c r="A1185" s="109" t="s">
        <v>7</v>
      </c>
      <c r="B1185" s="109" t="s">
        <v>112</v>
      </c>
      <c r="C1185" s="109">
        <v>0</v>
      </c>
    </row>
    <row r="1186" spans="1:3" ht="24" x14ac:dyDescent="0.3">
      <c r="A1186" s="109" t="s">
        <v>7</v>
      </c>
      <c r="B1186" s="109" t="s">
        <v>113</v>
      </c>
      <c r="C1186" s="109">
        <v>0</v>
      </c>
    </row>
    <row r="1187" spans="1:3" ht="24" x14ac:dyDescent="0.3">
      <c r="A1187" s="109" t="s">
        <v>7</v>
      </c>
      <c r="B1187" s="109" t="s">
        <v>114</v>
      </c>
      <c r="C1187" s="109">
        <v>0</v>
      </c>
    </row>
    <row r="1188" spans="1:3" ht="24" x14ac:dyDescent="0.3">
      <c r="A1188" s="109" t="s">
        <v>7</v>
      </c>
      <c r="B1188" s="109" t="s">
        <v>115</v>
      </c>
      <c r="C1188" s="109">
        <v>0</v>
      </c>
    </row>
    <row r="1189" spans="1:3" ht="24" x14ac:dyDescent="0.3">
      <c r="A1189" s="109" t="s">
        <v>7</v>
      </c>
      <c r="B1189" s="109" t="s">
        <v>116</v>
      </c>
      <c r="C1189" s="109">
        <v>0</v>
      </c>
    </row>
    <row r="1190" spans="1:3" ht="24" x14ac:dyDescent="0.3">
      <c r="A1190" s="109" t="s">
        <v>7</v>
      </c>
      <c r="B1190" s="109" t="s">
        <v>117</v>
      </c>
      <c r="C1190" s="109">
        <v>0</v>
      </c>
    </row>
    <row r="1191" spans="1:3" ht="24" x14ac:dyDescent="0.3">
      <c r="A1191" s="109" t="s">
        <v>7</v>
      </c>
      <c r="B1191" s="109" t="s">
        <v>118</v>
      </c>
      <c r="C1191" s="109">
        <v>0</v>
      </c>
    </row>
    <row r="1192" spans="1:3" ht="24" x14ac:dyDescent="0.3">
      <c r="A1192" s="109" t="s">
        <v>7</v>
      </c>
      <c r="B1192" s="109" t="s">
        <v>120</v>
      </c>
      <c r="C1192" s="109">
        <v>0</v>
      </c>
    </row>
    <row r="1193" spans="1:3" ht="24" x14ac:dyDescent="0.3">
      <c r="A1193" s="109" t="s">
        <v>7</v>
      </c>
      <c r="B1193" s="109" t="s">
        <v>121</v>
      </c>
      <c r="C1193" s="109">
        <v>1</v>
      </c>
    </row>
    <row r="1194" spans="1:3" ht="24" x14ac:dyDescent="0.3">
      <c r="A1194" s="109" t="s">
        <v>7</v>
      </c>
      <c r="B1194" s="109" t="s">
        <v>122</v>
      </c>
      <c r="C1194" s="109">
        <v>0</v>
      </c>
    </row>
    <row r="1195" spans="1:3" ht="24" x14ac:dyDescent="0.3">
      <c r="A1195" s="109" t="s">
        <v>7</v>
      </c>
      <c r="B1195" s="109" t="s">
        <v>123</v>
      </c>
      <c r="C1195" s="109">
        <v>0</v>
      </c>
    </row>
    <row r="1196" spans="1:3" ht="24" x14ac:dyDescent="0.3">
      <c r="A1196" s="109" t="s">
        <v>7</v>
      </c>
      <c r="B1196" s="109" t="s">
        <v>124</v>
      </c>
      <c r="C1196" s="109">
        <v>0</v>
      </c>
    </row>
    <row r="1197" spans="1:3" ht="24" x14ac:dyDescent="0.3">
      <c r="A1197" s="109" t="s">
        <v>7</v>
      </c>
      <c r="B1197" s="109" t="s">
        <v>125</v>
      </c>
      <c r="C1197" s="109">
        <v>0</v>
      </c>
    </row>
    <row r="1198" spans="1:3" ht="24" x14ac:dyDescent="0.3">
      <c r="A1198" s="109" t="s">
        <v>7</v>
      </c>
      <c r="B1198" s="109" t="s">
        <v>126</v>
      </c>
      <c r="C1198" s="109">
        <v>0</v>
      </c>
    </row>
    <row r="1199" spans="1:3" ht="24" x14ac:dyDescent="0.3">
      <c r="A1199" s="109" t="s">
        <v>331</v>
      </c>
      <c r="B1199" s="109" t="s">
        <v>206</v>
      </c>
      <c r="C1199" s="109" t="s">
        <v>60</v>
      </c>
    </row>
    <row r="1200" spans="1:3" ht="24" x14ac:dyDescent="0.3">
      <c r="A1200" s="109" t="s">
        <v>331</v>
      </c>
      <c r="B1200" s="109" t="s">
        <v>62</v>
      </c>
      <c r="C1200" s="109">
        <v>1</v>
      </c>
    </row>
    <row r="1201" spans="1:3" ht="24" x14ac:dyDescent="0.3">
      <c r="A1201" s="109" t="s">
        <v>331</v>
      </c>
      <c r="B1201" s="109" t="s">
        <v>63</v>
      </c>
      <c r="C1201" s="109">
        <v>3</v>
      </c>
    </row>
    <row r="1202" spans="1:3" ht="24" x14ac:dyDescent="0.3">
      <c r="A1202" s="109" t="s">
        <v>331</v>
      </c>
      <c r="B1202" s="109" t="s">
        <v>64</v>
      </c>
      <c r="C1202" s="109">
        <v>6</v>
      </c>
    </row>
    <row r="1203" spans="1:3" ht="24" x14ac:dyDescent="0.3">
      <c r="A1203" s="109" t="s">
        <v>331</v>
      </c>
      <c r="B1203" s="109" t="s">
        <v>65</v>
      </c>
      <c r="C1203" s="109">
        <v>2</v>
      </c>
    </row>
    <row r="1204" spans="1:3" ht="24" x14ac:dyDescent="0.3">
      <c r="A1204" s="109" t="s">
        <v>331</v>
      </c>
      <c r="B1204" s="109" t="s">
        <v>66</v>
      </c>
      <c r="C1204" s="109">
        <v>4</v>
      </c>
    </row>
    <row r="1205" spans="1:3" ht="24" x14ac:dyDescent="0.3">
      <c r="A1205" s="109" t="s">
        <v>331</v>
      </c>
      <c r="B1205" s="109" t="s">
        <v>67</v>
      </c>
      <c r="C1205" s="109">
        <v>3</v>
      </c>
    </row>
    <row r="1206" spans="1:3" ht="24" x14ac:dyDescent="0.3">
      <c r="A1206" s="109" t="s">
        <v>331</v>
      </c>
      <c r="B1206" s="109" t="s">
        <v>68</v>
      </c>
      <c r="C1206" s="109">
        <v>6</v>
      </c>
    </row>
    <row r="1207" spans="1:3" ht="24" x14ac:dyDescent="0.3">
      <c r="A1207" s="109" t="s">
        <v>331</v>
      </c>
      <c r="B1207" s="109" t="s">
        <v>69</v>
      </c>
      <c r="C1207" s="109">
        <v>1</v>
      </c>
    </row>
    <row r="1208" spans="1:3" ht="24" x14ac:dyDescent="0.3">
      <c r="A1208" s="109" t="s">
        <v>331</v>
      </c>
      <c r="B1208" s="109" t="s">
        <v>70</v>
      </c>
      <c r="C1208" s="109">
        <v>3</v>
      </c>
    </row>
    <row r="1209" spans="1:3" ht="24" x14ac:dyDescent="0.3">
      <c r="A1209" s="109" t="s">
        <v>331</v>
      </c>
      <c r="B1209" s="109" t="s">
        <v>71</v>
      </c>
      <c r="C1209" s="109">
        <v>3</v>
      </c>
    </row>
    <row r="1210" spans="1:3" ht="24" x14ac:dyDescent="0.3">
      <c r="A1210" s="109" t="s">
        <v>331</v>
      </c>
      <c r="B1210" s="109" t="s">
        <v>72</v>
      </c>
      <c r="C1210" s="109">
        <v>1</v>
      </c>
    </row>
    <row r="1211" spans="1:3" ht="24" x14ac:dyDescent="0.3">
      <c r="A1211" s="109" t="s">
        <v>331</v>
      </c>
      <c r="B1211" s="109" t="s">
        <v>73</v>
      </c>
      <c r="C1211" s="109">
        <v>1</v>
      </c>
    </row>
    <row r="1212" spans="1:3" ht="24" x14ac:dyDescent="0.3">
      <c r="A1212" s="109" t="s">
        <v>331</v>
      </c>
      <c r="B1212" s="109" t="s">
        <v>74</v>
      </c>
      <c r="C1212" s="109">
        <v>2</v>
      </c>
    </row>
    <row r="1213" spans="1:3" ht="24" x14ac:dyDescent="0.3">
      <c r="A1213" s="109" t="s">
        <v>331</v>
      </c>
      <c r="B1213" s="109" t="s">
        <v>75</v>
      </c>
      <c r="C1213" s="109">
        <v>2</v>
      </c>
    </row>
    <row r="1214" spans="1:3" ht="24" x14ac:dyDescent="0.3">
      <c r="A1214" s="109" t="s">
        <v>331</v>
      </c>
      <c r="B1214" s="109" t="s">
        <v>76</v>
      </c>
      <c r="C1214" s="109">
        <v>2</v>
      </c>
    </row>
    <row r="1215" spans="1:3" ht="24" x14ac:dyDescent="0.3">
      <c r="A1215" s="109" t="s">
        <v>331</v>
      </c>
      <c r="B1215" s="109" t="s">
        <v>77</v>
      </c>
      <c r="C1215" s="109">
        <v>0</v>
      </c>
    </row>
    <row r="1216" spans="1:3" ht="24" x14ac:dyDescent="0.3">
      <c r="A1216" s="109" t="s">
        <v>331</v>
      </c>
      <c r="B1216" s="109" t="s">
        <v>78</v>
      </c>
      <c r="C1216" s="109">
        <v>5</v>
      </c>
    </row>
    <row r="1217" spans="1:3" ht="24" x14ac:dyDescent="0.3">
      <c r="A1217" s="109" t="s">
        <v>331</v>
      </c>
      <c r="B1217" s="109" t="s">
        <v>79</v>
      </c>
      <c r="C1217" s="109">
        <v>0</v>
      </c>
    </row>
    <row r="1218" spans="1:3" ht="24" x14ac:dyDescent="0.3">
      <c r="A1218" s="109" t="s">
        <v>331</v>
      </c>
      <c r="B1218" s="109" t="s">
        <v>80</v>
      </c>
      <c r="C1218" s="109">
        <v>3</v>
      </c>
    </row>
    <row r="1219" spans="1:3" ht="24" x14ac:dyDescent="0.3">
      <c r="A1219" s="109" t="s">
        <v>331</v>
      </c>
      <c r="B1219" s="109" t="s">
        <v>81</v>
      </c>
      <c r="C1219" s="109">
        <v>3</v>
      </c>
    </row>
    <row r="1220" spans="1:3" ht="24" x14ac:dyDescent="0.3">
      <c r="A1220" s="109" t="s">
        <v>331</v>
      </c>
      <c r="B1220" s="109" t="s">
        <v>83</v>
      </c>
      <c r="C1220" s="109">
        <v>0</v>
      </c>
    </row>
    <row r="1221" spans="1:3" ht="24" x14ac:dyDescent="0.3">
      <c r="A1221" s="109" t="s">
        <v>331</v>
      </c>
      <c r="B1221" s="109" t="s">
        <v>84</v>
      </c>
      <c r="C1221" s="109">
        <v>16</v>
      </c>
    </row>
    <row r="1222" spans="1:3" ht="24" x14ac:dyDescent="0.3">
      <c r="A1222" s="109" t="s">
        <v>331</v>
      </c>
      <c r="B1222" s="109" t="s">
        <v>85</v>
      </c>
      <c r="C1222" s="109">
        <v>0</v>
      </c>
    </row>
    <row r="1223" spans="1:3" ht="24" x14ac:dyDescent="0.3">
      <c r="A1223" s="109" t="s">
        <v>331</v>
      </c>
      <c r="B1223" s="109" t="s">
        <v>86</v>
      </c>
      <c r="C1223" s="109">
        <v>10</v>
      </c>
    </row>
    <row r="1224" spans="1:3" ht="24" x14ac:dyDescent="0.3">
      <c r="A1224" s="109" t="s">
        <v>331</v>
      </c>
      <c r="B1224" s="109" t="s">
        <v>87</v>
      </c>
      <c r="C1224" s="109">
        <v>0</v>
      </c>
    </row>
    <row r="1225" spans="1:3" ht="24" x14ac:dyDescent="0.3">
      <c r="A1225" s="109" t="s">
        <v>331</v>
      </c>
      <c r="B1225" s="109" t="s">
        <v>88</v>
      </c>
      <c r="C1225" s="109">
        <v>0</v>
      </c>
    </row>
    <row r="1226" spans="1:3" ht="24" x14ac:dyDescent="0.3">
      <c r="A1226" s="109" t="s">
        <v>331</v>
      </c>
      <c r="B1226" s="109" t="s">
        <v>89</v>
      </c>
      <c r="C1226" s="109">
        <v>0</v>
      </c>
    </row>
    <row r="1227" spans="1:3" ht="24" x14ac:dyDescent="0.3">
      <c r="A1227" s="109" t="s">
        <v>331</v>
      </c>
      <c r="B1227" s="109" t="s">
        <v>90</v>
      </c>
      <c r="C1227" s="109">
        <v>0</v>
      </c>
    </row>
    <row r="1228" spans="1:3" ht="24" x14ac:dyDescent="0.3">
      <c r="A1228" s="109" t="s">
        <v>331</v>
      </c>
      <c r="B1228" s="109" t="s">
        <v>92</v>
      </c>
      <c r="C1228" s="109">
        <v>0</v>
      </c>
    </row>
    <row r="1229" spans="1:3" ht="24" x14ac:dyDescent="0.3">
      <c r="A1229" s="109" t="s">
        <v>331</v>
      </c>
      <c r="B1229" s="109" t="s">
        <v>93</v>
      </c>
      <c r="C1229" s="109">
        <v>0</v>
      </c>
    </row>
    <row r="1230" spans="1:3" ht="24" x14ac:dyDescent="0.3">
      <c r="A1230" s="109" t="s">
        <v>331</v>
      </c>
      <c r="B1230" s="109" t="s">
        <v>94</v>
      </c>
      <c r="C1230" s="109">
        <v>0</v>
      </c>
    </row>
    <row r="1231" spans="1:3" ht="24" x14ac:dyDescent="0.3">
      <c r="A1231" s="109" t="s">
        <v>331</v>
      </c>
      <c r="B1231" s="109" t="s">
        <v>95</v>
      </c>
      <c r="C1231" s="109">
        <v>0.9</v>
      </c>
    </row>
    <row r="1232" spans="1:3" ht="24" x14ac:dyDescent="0.3">
      <c r="A1232" s="109" t="s">
        <v>331</v>
      </c>
      <c r="B1232" s="109" t="s">
        <v>96</v>
      </c>
      <c r="C1232" s="109">
        <v>0</v>
      </c>
    </row>
    <row r="1233" spans="1:3" ht="24" x14ac:dyDescent="0.3">
      <c r="A1233" s="109" t="s">
        <v>331</v>
      </c>
      <c r="B1233" s="109" t="s">
        <v>97</v>
      </c>
      <c r="C1233" s="109">
        <v>0</v>
      </c>
    </row>
    <row r="1234" spans="1:3" ht="24" x14ac:dyDescent="0.3">
      <c r="A1234" s="109" t="s">
        <v>331</v>
      </c>
      <c r="B1234" s="109" t="s">
        <v>98</v>
      </c>
      <c r="C1234" s="109">
        <v>0</v>
      </c>
    </row>
    <row r="1235" spans="1:3" ht="24" x14ac:dyDescent="0.3">
      <c r="A1235" s="109" t="s">
        <v>331</v>
      </c>
      <c r="B1235" s="109" t="s">
        <v>99</v>
      </c>
      <c r="C1235" s="109">
        <v>10</v>
      </c>
    </row>
    <row r="1236" spans="1:3" ht="24" x14ac:dyDescent="0.3">
      <c r="A1236" s="109" t="s">
        <v>331</v>
      </c>
      <c r="B1236" s="109" t="s">
        <v>100</v>
      </c>
      <c r="C1236" s="109">
        <v>2</v>
      </c>
    </row>
    <row r="1237" spans="1:3" ht="24" x14ac:dyDescent="0.3">
      <c r="A1237" s="109" t="s">
        <v>331</v>
      </c>
      <c r="B1237" s="109" t="s">
        <v>101</v>
      </c>
      <c r="C1237" s="109">
        <v>0.9</v>
      </c>
    </row>
    <row r="1238" spans="1:3" ht="24" x14ac:dyDescent="0.3">
      <c r="A1238" s="109" t="s">
        <v>331</v>
      </c>
      <c r="B1238" s="109" t="s">
        <v>102</v>
      </c>
      <c r="C1238" s="109">
        <v>0.5</v>
      </c>
    </row>
    <row r="1239" spans="1:3" ht="24" x14ac:dyDescent="0.3">
      <c r="A1239" s="109" t="s">
        <v>331</v>
      </c>
      <c r="B1239" s="109" t="s">
        <v>103</v>
      </c>
      <c r="C1239" s="109">
        <v>0.4</v>
      </c>
    </row>
    <row r="1240" spans="1:3" ht="24" x14ac:dyDescent="0.3">
      <c r="A1240" s="109" t="s">
        <v>331</v>
      </c>
      <c r="B1240" s="109" t="s">
        <v>104</v>
      </c>
      <c r="C1240" s="109">
        <v>0.5</v>
      </c>
    </row>
    <row r="1241" spans="1:3" ht="24" x14ac:dyDescent="0.3">
      <c r="A1241" s="109" t="s">
        <v>331</v>
      </c>
      <c r="B1241" s="109" t="s">
        <v>105</v>
      </c>
      <c r="C1241" s="109">
        <v>0</v>
      </c>
    </row>
    <row r="1242" spans="1:3" ht="24" x14ac:dyDescent="0.3">
      <c r="A1242" s="109" t="s">
        <v>331</v>
      </c>
      <c r="B1242" s="109" t="s">
        <v>106</v>
      </c>
      <c r="C1242" s="109">
        <v>0</v>
      </c>
    </row>
    <row r="1243" spans="1:3" ht="24" x14ac:dyDescent="0.3">
      <c r="A1243" s="109" t="s">
        <v>331</v>
      </c>
      <c r="B1243" s="109" t="s">
        <v>107</v>
      </c>
      <c r="C1243" s="109">
        <v>0.6</v>
      </c>
    </row>
    <row r="1244" spans="1:3" ht="24" x14ac:dyDescent="0.3">
      <c r="A1244" s="109" t="s">
        <v>331</v>
      </c>
      <c r="B1244" s="109" t="s">
        <v>108</v>
      </c>
      <c r="C1244" s="109">
        <v>2</v>
      </c>
    </row>
    <row r="1245" spans="1:3" ht="24" x14ac:dyDescent="0.3">
      <c r="A1245" s="109" t="s">
        <v>331</v>
      </c>
      <c r="B1245" s="109" t="s">
        <v>109</v>
      </c>
      <c r="C1245" s="109">
        <v>0</v>
      </c>
    </row>
    <row r="1246" spans="1:3" ht="24" x14ac:dyDescent="0.3">
      <c r="A1246" s="109" t="s">
        <v>331</v>
      </c>
      <c r="B1246" s="109" t="s">
        <v>110</v>
      </c>
      <c r="C1246" s="109">
        <v>0.35</v>
      </c>
    </row>
    <row r="1247" spans="1:3" ht="24" x14ac:dyDescent="0.3">
      <c r="A1247" s="109" t="s">
        <v>331</v>
      </c>
      <c r="B1247" s="109" t="s">
        <v>111</v>
      </c>
      <c r="C1247" s="109">
        <v>0</v>
      </c>
    </row>
    <row r="1248" spans="1:3" ht="24" x14ac:dyDescent="0.3">
      <c r="A1248" s="109" t="s">
        <v>331</v>
      </c>
      <c r="B1248" s="109" t="s">
        <v>112</v>
      </c>
      <c r="C1248" s="109">
        <v>0.3</v>
      </c>
    </row>
    <row r="1249" spans="1:3" ht="24" x14ac:dyDescent="0.3">
      <c r="A1249" s="109" t="s">
        <v>331</v>
      </c>
      <c r="B1249" s="109" t="s">
        <v>113</v>
      </c>
      <c r="C1249" s="109">
        <v>0</v>
      </c>
    </row>
    <row r="1250" spans="1:3" ht="24" x14ac:dyDescent="0.3">
      <c r="A1250" s="109" t="s">
        <v>331</v>
      </c>
      <c r="B1250" s="109" t="s">
        <v>114</v>
      </c>
      <c r="C1250" s="109">
        <v>0</v>
      </c>
    </row>
    <row r="1251" spans="1:3" ht="24" x14ac:dyDescent="0.3">
      <c r="A1251" s="109" t="s">
        <v>331</v>
      </c>
      <c r="B1251" s="109" t="s">
        <v>115</v>
      </c>
      <c r="C1251" s="109">
        <v>0</v>
      </c>
    </row>
    <row r="1252" spans="1:3" ht="24" x14ac:dyDescent="0.3">
      <c r="A1252" s="109" t="s">
        <v>331</v>
      </c>
      <c r="B1252" s="109" t="s">
        <v>116</v>
      </c>
      <c r="C1252" s="109">
        <v>0</v>
      </c>
    </row>
    <row r="1253" spans="1:3" ht="24" x14ac:dyDescent="0.3">
      <c r="A1253" s="109" t="s">
        <v>331</v>
      </c>
      <c r="B1253" s="109" t="s">
        <v>117</v>
      </c>
      <c r="C1253" s="109">
        <v>0.8</v>
      </c>
    </row>
    <row r="1254" spans="1:3" ht="24" x14ac:dyDescent="0.3">
      <c r="A1254" s="109" t="s">
        <v>331</v>
      </c>
      <c r="B1254" s="109" t="s">
        <v>118</v>
      </c>
      <c r="C1254" s="109">
        <v>0</v>
      </c>
    </row>
    <row r="1255" spans="1:3" ht="24" x14ac:dyDescent="0.3">
      <c r="A1255" s="109" t="s">
        <v>331</v>
      </c>
      <c r="B1255" s="109" t="s">
        <v>120</v>
      </c>
      <c r="C1255" s="109">
        <v>0</v>
      </c>
    </row>
    <row r="1256" spans="1:3" ht="24" x14ac:dyDescent="0.3">
      <c r="A1256" s="109" t="s">
        <v>331</v>
      </c>
      <c r="B1256" s="109" t="s">
        <v>121</v>
      </c>
      <c r="C1256" s="109">
        <v>0</v>
      </c>
    </row>
    <row r="1257" spans="1:3" ht="24" x14ac:dyDescent="0.3">
      <c r="A1257" s="109" t="s">
        <v>331</v>
      </c>
      <c r="B1257" s="109" t="s">
        <v>122</v>
      </c>
      <c r="C1257" s="109">
        <v>0</v>
      </c>
    </row>
    <row r="1258" spans="1:3" ht="24" x14ac:dyDescent="0.3">
      <c r="A1258" s="109" t="s">
        <v>331</v>
      </c>
      <c r="B1258" s="109" t="s">
        <v>123</v>
      </c>
      <c r="C1258" s="109">
        <v>0</v>
      </c>
    </row>
    <row r="1259" spans="1:3" ht="24" x14ac:dyDescent="0.3">
      <c r="A1259" s="109" t="s">
        <v>331</v>
      </c>
      <c r="B1259" s="109" t="s">
        <v>124</v>
      </c>
      <c r="C1259" s="109">
        <v>0</v>
      </c>
    </row>
    <row r="1260" spans="1:3" ht="24" x14ac:dyDescent="0.3">
      <c r="A1260" s="109" t="s">
        <v>331</v>
      </c>
      <c r="B1260" s="109" t="s">
        <v>125</v>
      </c>
      <c r="C1260" s="109">
        <v>0</v>
      </c>
    </row>
    <row r="1261" spans="1:3" ht="24" x14ac:dyDescent="0.3">
      <c r="A1261" s="109" t="s">
        <v>331</v>
      </c>
      <c r="B1261" s="109" t="s">
        <v>126</v>
      </c>
      <c r="C1261" s="109">
        <v>0</v>
      </c>
    </row>
    <row r="1262" spans="1:3" ht="24" x14ac:dyDescent="0.3">
      <c r="A1262" s="109" t="s">
        <v>9</v>
      </c>
      <c r="B1262" s="109" t="s">
        <v>206</v>
      </c>
      <c r="C1262" s="109" t="s">
        <v>60</v>
      </c>
    </row>
    <row r="1263" spans="1:3" ht="24" x14ac:dyDescent="0.3">
      <c r="A1263" s="109" t="s">
        <v>9</v>
      </c>
      <c r="B1263" s="109" t="s">
        <v>62</v>
      </c>
      <c r="C1263" s="109">
        <v>4</v>
      </c>
    </row>
    <row r="1264" spans="1:3" ht="24" x14ac:dyDescent="0.3">
      <c r="A1264" s="109" t="s">
        <v>9</v>
      </c>
      <c r="B1264" s="109" t="s">
        <v>63</v>
      </c>
      <c r="C1264" s="109">
        <v>6</v>
      </c>
    </row>
    <row r="1265" spans="1:3" ht="24" x14ac:dyDescent="0.3">
      <c r="A1265" s="109" t="s">
        <v>9</v>
      </c>
      <c r="B1265" s="109" t="s">
        <v>64</v>
      </c>
      <c r="C1265" s="109">
        <v>5</v>
      </c>
    </row>
    <row r="1266" spans="1:3" ht="24" x14ac:dyDescent="0.3">
      <c r="A1266" s="109" t="s">
        <v>9</v>
      </c>
      <c r="B1266" s="109" t="s">
        <v>65</v>
      </c>
      <c r="C1266" s="109">
        <v>6</v>
      </c>
    </row>
    <row r="1267" spans="1:3" ht="24" x14ac:dyDescent="0.3">
      <c r="A1267" s="109" t="s">
        <v>9</v>
      </c>
      <c r="B1267" s="109" t="s">
        <v>66</v>
      </c>
      <c r="C1267" s="109">
        <v>2</v>
      </c>
    </row>
    <row r="1268" spans="1:3" ht="24" x14ac:dyDescent="0.3">
      <c r="A1268" s="109" t="s">
        <v>9</v>
      </c>
      <c r="B1268" s="109" t="s">
        <v>67</v>
      </c>
      <c r="C1268" s="109">
        <v>4</v>
      </c>
    </row>
    <row r="1269" spans="1:3" ht="24" x14ac:dyDescent="0.3">
      <c r="A1269" s="109" t="s">
        <v>9</v>
      </c>
      <c r="B1269" s="109" t="s">
        <v>68</v>
      </c>
      <c r="C1269" s="109">
        <v>5</v>
      </c>
    </row>
    <row r="1270" spans="1:3" ht="24" x14ac:dyDescent="0.3">
      <c r="A1270" s="109" t="s">
        <v>9</v>
      </c>
      <c r="B1270" s="109" t="s">
        <v>69</v>
      </c>
      <c r="C1270" s="109">
        <v>0</v>
      </c>
    </row>
    <row r="1271" spans="1:3" ht="24" x14ac:dyDescent="0.3">
      <c r="A1271" s="109" t="s">
        <v>9</v>
      </c>
      <c r="B1271" s="109" t="s">
        <v>70</v>
      </c>
      <c r="C1271" s="109">
        <v>4</v>
      </c>
    </row>
    <row r="1272" spans="1:3" ht="24" x14ac:dyDescent="0.3">
      <c r="A1272" s="109" t="s">
        <v>9</v>
      </c>
      <c r="B1272" s="109" t="s">
        <v>71</v>
      </c>
      <c r="C1272" s="109">
        <v>4</v>
      </c>
    </row>
    <row r="1273" spans="1:3" ht="24" x14ac:dyDescent="0.3">
      <c r="A1273" s="109" t="s">
        <v>9</v>
      </c>
      <c r="B1273" s="109" t="s">
        <v>72</v>
      </c>
      <c r="C1273" s="109">
        <v>4.4000000000000004</v>
      </c>
    </row>
    <row r="1274" spans="1:3" ht="24" x14ac:dyDescent="0.3">
      <c r="A1274" s="109" t="s">
        <v>9</v>
      </c>
      <c r="B1274" s="109" t="s">
        <v>73</v>
      </c>
      <c r="C1274" s="109">
        <v>2</v>
      </c>
    </row>
    <row r="1275" spans="1:3" ht="24" x14ac:dyDescent="0.3">
      <c r="A1275" s="109" t="s">
        <v>9</v>
      </c>
      <c r="B1275" s="109" t="s">
        <v>74</v>
      </c>
      <c r="C1275" s="109">
        <v>1</v>
      </c>
    </row>
    <row r="1276" spans="1:3" ht="24" x14ac:dyDescent="0.3">
      <c r="A1276" s="109" t="s">
        <v>9</v>
      </c>
      <c r="B1276" s="109" t="s">
        <v>75</v>
      </c>
      <c r="C1276" s="109">
        <v>0</v>
      </c>
    </row>
    <row r="1277" spans="1:3" ht="24" x14ac:dyDescent="0.3">
      <c r="A1277" s="109" t="s">
        <v>9</v>
      </c>
      <c r="B1277" s="109" t="s">
        <v>76</v>
      </c>
      <c r="C1277" s="109">
        <v>3</v>
      </c>
    </row>
    <row r="1278" spans="1:3" ht="24" x14ac:dyDescent="0.3">
      <c r="A1278" s="109" t="s">
        <v>9</v>
      </c>
      <c r="B1278" s="109" t="s">
        <v>77</v>
      </c>
      <c r="C1278" s="109">
        <v>0</v>
      </c>
    </row>
    <row r="1279" spans="1:3" ht="24" x14ac:dyDescent="0.3">
      <c r="A1279" s="109" t="s">
        <v>9</v>
      </c>
      <c r="B1279" s="109" t="s">
        <v>78</v>
      </c>
      <c r="C1279" s="109">
        <v>13</v>
      </c>
    </row>
    <row r="1280" spans="1:3" ht="24" x14ac:dyDescent="0.3">
      <c r="A1280" s="109" t="s">
        <v>9</v>
      </c>
      <c r="B1280" s="109" t="s">
        <v>79</v>
      </c>
      <c r="C1280" s="109">
        <v>1</v>
      </c>
    </row>
    <row r="1281" spans="1:3" ht="24" x14ac:dyDescent="0.3">
      <c r="A1281" s="109" t="s">
        <v>9</v>
      </c>
      <c r="B1281" s="109" t="s">
        <v>80</v>
      </c>
      <c r="C1281" s="109">
        <v>5</v>
      </c>
    </row>
    <row r="1282" spans="1:3" ht="24" x14ac:dyDescent="0.3">
      <c r="A1282" s="109" t="s">
        <v>9</v>
      </c>
      <c r="B1282" s="109" t="s">
        <v>81</v>
      </c>
      <c r="C1282" s="109">
        <v>6</v>
      </c>
    </row>
    <row r="1283" spans="1:3" ht="24" x14ac:dyDescent="0.3">
      <c r="A1283" s="109" t="s">
        <v>9</v>
      </c>
      <c r="B1283" s="109" t="s">
        <v>83</v>
      </c>
      <c r="C1283" s="109">
        <v>90</v>
      </c>
    </row>
    <row r="1284" spans="1:3" ht="24" x14ac:dyDescent="0.3">
      <c r="A1284" s="109" t="s">
        <v>9</v>
      </c>
      <c r="B1284" s="109" t="s">
        <v>84</v>
      </c>
      <c r="C1284" s="109">
        <v>18</v>
      </c>
    </row>
    <row r="1285" spans="1:3" ht="24" x14ac:dyDescent="0.3">
      <c r="A1285" s="109" t="s">
        <v>9</v>
      </c>
      <c r="B1285" s="109" t="s">
        <v>85</v>
      </c>
      <c r="C1285" s="109">
        <v>3</v>
      </c>
    </row>
    <row r="1286" spans="1:3" ht="24" x14ac:dyDescent="0.3">
      <c r="A1286" s="109" t="s">
        <v>9</v>
      </c>
      <c r="B1286" s="109" t="s">
        <v>86</v>
      </c>
      <c r="C1286" s="109">
        <v>7</v>
      </c>
    </row>
    <row r="1287" spans="1:3" ht="24" x14ac:dyDescent="0.3">
      <c r="A1287" s="109" t="s">
        <v>9</v>
      </c>
      <c r="B1287" s="109" t="s">
        <v>87</v>
      </c>
      <c r="C1287" s="109">
        <v>0</v>
      </c>
    </row>
    <row r="1288" spans="1:3" ht="24" x14ac:dyDescent="0.3">
      <c r="A1288" s="109" t="s">
        <v>9</v>
      </c>
      <c r="B1288" s="109" t="s">
        <v>88</v>
      </c>
      <c r="C1288" s="109">
        <v>0</v>
      </c>
    </row>
    <row r="1289" spans="1:3" ht="24" x14ac:dyDescent="0.3">
      <c r="A1289" s="109" t="s">
        <v>9</v>
      </c>
      <c r="B1289" s="109" t="s">
        <v>89</v>
      </c>
      <c r="C1289" s="109">
        <v>0</v>
      </c>
    </row>
    <row r="1290" spans="1:3" ht="24" x14ac:dyDescent="0.3">
      <c r="A1290" s="109" t="s">
        <v>9</v>
      </c>
      <c r="B1290" s="109" t="s">
        <v>90</v>
      </c>
      <c r="C1290" s="109">
        <v>0</v>
      </c>
    </row>
    <row r="1291" spans="1:3" ht="24" x14ac:dyDescent="0.3">
      <c r="A1291" s="109" t="s">
        <v>9</v>
      </c>
      <c r="B1291" s="109" t="s">
        <v>92</v>
      </c>
      <c r="C1291" s="109">
        <v>0</v>
      </c>
    </row>
    <row r="1292" spans="1:3" ht="24" x14ac:dyDescent="0.3">
      <c r="A1292" s="109" t="s">
        <v>9</v>
      </c>
      <c r="B1292" s="109" t="s">
        <v>93</v>
      </c>
      <c r="C1292" s="109">
        <v>3</v>
      </c>
    </row>
    <row r="1293" spans="1:3" ht="24" x14ac:dyDescent="0.3">
      <c r="A1293" s="109" t="s">
        <v>9</v>
      </c>
      <c r="B1293" s="109" t="s">
        <v>94</v>
      </c>
      <c r="C1293" s="109">
        <v>2</v>
      </c>
    </row>
    <row r="1294" spans="1:3" ht="24" x14ac:dyDescent="0.3">
      <c r="A1294" s="109" t="s">
        <v>9</v>
      </c>
      <c r="B1294" s="109" t="s">
        <v>95</v>
      </c>
      <c r="C1294" s="109">
        <v>1</v>
      </c>
    </row>
    <row r="1295" spans="1:3" ht="24" x14ac:dyDescent="0.3">
      <c r="A1295" s="109" t="s">
        <v>9</v>
      </c>
      <c r="B1295" s="109" t="s">
        <v>96</v>
      </c>
      <c r="C1295" s="109">
        <v>0</v>
      </c>
    </row>
    <row r="1296" spans="1:3" ht="24" x14ac:dyDescent="0.3">
      <c r="A1296" s="109" t="s">
        <v>9</v>
      </c>
      <c r="B1296" s="109" t="s">
        <v>97</v>
      </c>
      <c r="C1296" s="109">
        <v>0</v>
      </c>
    </row>
    <row r="1297" spans="1:3" ht="24" x14ac:dyDescent="0.3">
      <c r="A1297" s="109" t="s">
        <v>9</v>
      </c>
      <c r="B1297" s="109" t="s">
        <v>98</v>
      </c>
      <c r="C1297" s="109">
        <v>0</v>
      </c>
    </row>
    <row r="1298" spans="1:3" ht="24" x14ac:dyDescent="0.3">
      <c r="A1298" s="109" t="s">
        <v>9</v>
      </c>
      <c r="B1298" s="109" t="s">
        <v>99</v>
      </c>
      <c r="C1298" s="109">
        <v>18</v>
      </c>
    </row>
    <row r="1299" spans="1:3" ht="24" x14ac:dyDescent="0.3">
      <c r="A1299" s="109" t="s">
        <v>9</v>
      </c>
      <c r="B1299" s="109" t="s">
        <v>100</v>
      </c>
      <c r="C1299" s="109">
        <v>13</v>
      </c>
    </row>
    <row r="1300" spans="1:3" ht="24" x14ac:dyDescent="0.3">
      <c r="A1300" s="109" t="s">
        <v>9</v>
      </c>
      <c r="B1300" s="109" t="s">
        <v>101</v>
      </c>
      <c r="C1300" s="109">
        <v>0.75</v>
      </c>
    </row>
    <row r="1301" spans="1:3" ht="24" x14ac:dyDescent="0.3">
      <c r="A1301" s="109" t="s">
        <v>9</v>
      </c>
      <c r="B1301" s="109" t="s">
        <v>102</v>
      </c>
      <c r="C1301" s="109">
        <v>0.65</v>
      </c>
    </row>
    <row r="1302" spans="1:3" ht="24" x14ac:dyDescent="0.3">
      <c r="A1302" s="109" t="s">
        <v>9</v>
      </c>
      <c r="B1302" s="109" t="s">
        <v>103</v>
      </c>
      <c r="C1302" s="109">
        <v>1.4</v>
      </c>
    </row>
    <row r="1303" spans="1:3" ht="24" x14ac:dyDescent="0.3">
      <c r="A1303" s="109" t="s">
        <v>9</v>
      </c>
      <c r="B1303" s="109" t="s">
        <v>104</v>
      </c>
      <c r="C1303" s="109">
        <v>1.3</v>
      </c>
    </row>
    <row r="1304" spans="1:3" ht="24" x14ac:dyDescent="0.3">
      <c r="A1304" s="109" t="s">
        <v>9</v>
      </c>
      <c r="B1304" s="109" t="s">
        <v>105</v>
      </c>
      <c r="C1304" s="109">
        <v>0</v>
      </c>
    </row>
    <row r="1305" spans="1:3" ht="24" x14ac:dyDescent="0.3">
      <c r="A1305" s="109" t="s">
        <v>9</v>
      </c>
      <c r="B1305" s="109" t="s">
        <v>106</v>
      </c>
      <c r="C1305" s="109">
        <v>0.6</v>
      </c>
    </row>
    <row r="1306" spans="1:3" ht="24" x14ac:dyDescent="0.3">
      <c r="A1306" s="109" t="s">
        <v>9</v>
      </c>
      <c r="B1306" s="109" t="s">
        <v>107</v>
      </c>
      <c r="C1306" s="109">
        <v>0.5</v>
      </c>
    </row>
    <row r="1307" spans="1:3" ht="24" x14ac:dyDescent="0.3">
      <c r="A1307" s="109" t="s">
        <v>9</v>
      </c>
      <c r="B1307" s="109" t="s">
        <v>108</v>
      </c>
      <c r="C1307" s="109">
        <v>0</v>
      </c>
    </row>
    <row r="1308" spans="1:3" ht="24" x14ac:dyDescent="0.3">
      <c r="A1308" s="109" t="s">
        <v>9</v>
      </c>
      <c r="B1308" s="109" t="s">
        <v>109</v>
      </c>
      <c r="C1308" s="109">
        <v>0</v>
      </c>
    </row>
    <row r="1309" spans="1:3" ht="24" x14ac:dyDescent="0.3">
      <c r="A1309" s="109" t="s">
        <v>9</v>
      </c>
      <c r="B1309" s="109" t="s">
        <v>110</v>
      </c>
      <c r="C1309" s="109">
        <v>2</v>
      </c>
    </row>
    <row r="1310" spans="1:3" ht="24" x14ac:dyDescent="0.3">
      <c r="A1310" s="109" t="s">
        <v>9</v>
      </c>
      <c r="B1310" s="109" t="s">
        <v>111</v>
      </c>
      <c r="C1310" s="109">
        <v>0</v>
      </c>
    </row>
    <row r="1311" spans="1:3" ht="24" x14ac:dyDescent="0.3">
      <c r="A1311" s="109" t="s">
        <v>9</v>
      </c>
      <c r="B1311" s="109" t="s">
        <v>112</v>
      </c>
      <c r="C1311" s="109">
        <v>0</v>
      </c>
    </row>
    <row r="1312" spans="1:3" ht="24" x14ac:dyDescent="0.3">
      <c r="A1312" s="109" t="s">
        <v>9</v>
      </c>
      <c r="B1312" s="109" t="s">
        <v>113</v>
      </c>
      <c r="C1312" s="109">
        <v>0</v>
      </c>
    </row>
    <row r="1313" spans="1:3" ht="24" x14ac:dyDescent="0.3">
      <c r="A1313" s="109" t="s">
        <v>9</v>
      </c>
      <c r="B1313" s="109" t="s">
        <v>114</v>
      </c>
      <c r="C1313" s="109">
        <v>0</v>
      </c>
    </row>
    <row r="1314" spans="1:3" ht="24" x14ac:dyDescent="0.3">
      <c r="A1314" s="109" t="s">
        <v>9</v>
      </c>
      <c r="B1314" s="109" t="s">
        <v>115</v>
      </c>
      <c r="C1314" s="109">
        <v>0</v>
      </c>
    </row>
    <row r="1315" spans="1:3" ht="24" x14ac:dyDescent="0.3">
      <c r="A1315" s="109" t="s">
        <v>9</v>
      </c>
      <c r="B1315" s="109" t="s">
        <v>116</v>
      </c>
      <c r="C1315" s="109">
        <v>0</v>
      </c>
    </row>
    <row r="1316" spans="1:3" ht="24" x14ac:dyDescent="0.3">
      <c r="A1316" s="109" t="s">
        <v>9</v>
      </c>
      <c r="B1316" s="109" t="s">
        <v>117</v>
      </c>
      <c r="C1316" s="109">
        <v>0</v>
      </c>
    </row>
    <row r="1317" spans="1:3" ht="24" x14ac:dyDescent="0.3">
      <c r="A1317" s="109" t="s">
        <v>9</v>
      </c>
      <c r="B1317" s="109" t="s">
        <v>118</v>
      </c>
      <c r="C1317" s="109">
        <v>0</v>
      </c>
    </row>
    <row r="1318" spans="1:3" ht="24" x14ac:dyDescent="0.3">
      <c r="A1318" s="109" t="s">
        <v>9</v>
      </c>
      <c r="B1318" s="109" t="s">
        <v>120</v>
      </c>
      <c r="C1318" s="109">
        <v>0</v>
      </c>
    </row>
    <row r="1319" spans="1:3" ht="24" x14ac:dyDescent="0.3">
      <c r="A1319" s="109" t="s">
        <v>9</v>
      </c>
      <c r="B1319" s="109" t="s">
        <v>121</v>
      </c>
      <c r="C1319" s="109">
        <v>1</v>
      </c>
    </row>
    <row r="1320" spans="1:3" ht="24" x14ac:dyDescent="0.3">
      <c r="A1320" s="109" t="s">
        <v>9</v>
      </c>
      <c r="B1320" s="109" t="s">
        <v>122</v>
      </c>
      <c r="C1320" s="109">
        <v>0</v>
      </c>
    </row>
    <row r="1321" spans="1:3" ht="24" x14ac:dyDescent="0.3">
      <c r="A1321" s="109" t="s">
        <v>9</v>
      </c>
      <c r="B1321" s="109" t="s">
        <v>123</v>
      </c>
      <c r="C1321" s="109">
        <v>0</v>
      </c>
    </row>
    <row r="1322" spans="1:3" ht="24" x14ac:dyDescent="0.3">
      <c r="A1322" s="109" t="s">
        <v>9</v>
      </c>
      <c r="B1322" s="109" t="s">
        <v>124</v>
      </c>
      <c r="C1322" s="109">
        <v>0</v>
      </c>
    </row>
    <row r="1323" spans="1:3" ht="24" x14ac:dyDescent="0.3">
      <c r="A1323" s="109" t="s">
        <v>9</v>
      </c>
      <c r="B1323" s="109" t="s">
        <v>125</v>
      </c>
      <c r="C1323" s="109">
        <v>0</v>
      </c>
    </row>
    <row r="1324" spans="1:3" ht="24" x14ac:dyDescent="0.3">
      <c r="A1324" s="109" t="s">
        <v>9</v>
      </c>
      <c r="B1324" s="109" t="s">
        <v>126</v>
      </c>
      <c r="C1324" s="109">
        <v>0</v>
      </c>
    </row>
    <row r="1325" spans="1:3" ht="24" x14ac:dyDescent="0.3">
      <c r="A1325" s="109" t="s">
        <v>10</v>
      </c>
      <c r="B1325" s="109" t="s">
        <v>206</v>
      </c>
      <c r="C1325" s="109" t="s">
        <v>60</v>
      </c>
    </row>
    <row r="1326" spans="1:3" ht="24" x14ac:dyDescent="0.3">
      <c r="A1326" s="109" t="s">
        <v>10</v>
      </c>
      <c r="B1326" s="109" t="s">
        <v>62</v>
      </c>
      <c r="C1326" s="109">
        <v>1</v>
      </c>
    </row>
    <row r="1327" spans="1:3" ht="24" x14ac:dyDescent="0.3">
      <c r="A1327" s="109" t="s">
        <v>10</v>
      </c>
      <c r="B1327" s="109" t="s">
        <v>63</v>
      </c>
      <c r="C1327" s="109">
        <v>6</v>
      </c>
    </row>
    <row r="1328" spans="1:3" ht="24" x14ac:dyDescent="0.3">
      <c r="A1328" s="109" t="s">
        <v>10</v>
      </c>
      <c r="B1328" s="109" t="s">
        <v>64</v>
      </c>
      <c r="C1328" s="109">
        <v>10</v>
      </c>
    </row>
    <row r="1329" spans="1:3" ht="24" x14ac:dyDescent="0.3">
      <c r="A1329" s="109" t="s">
        <v>10</v>
      </c>
      <c r="B1329" s="109" t="s">
        <v>65</v>
      </c>
      <c r="C1329" s="109">
        <v>1</v>
      </c>
    </row>
    <row r="1330" spans="1:3" ht="24" x14ac:dyDescent="0.3">
      <c r="A1330" s="109" t="s">
        <v>10</v>
      </c>
      <c r="B1330" s="109" t="s">
        <v>66</v>
      </c>
      <c r="C1330" s="109">
        <v>0</v>
      </c>
    </row>
    <row r="1331" spans="1:3" ht="24" x14ac:dyDescent="0.3">
      <c r="A1331" s="109" t="s">
        <v>10</v>
      </c>
      <c r="B1331" s="109" t="s">
        <v>67</v>
      </c>
      <c r="C1331" s="109">
        <v>5</v>
      </c>
    </row>
    <row r="1332" spans="1:3" ht="24" x14ac:dyDescent="0.3">
      <c r="A1332" s="109" t="s">
        <v>10</v>
      </c>
      <c r="B1332" s="109" t="s">
        <v>68</v>
      </c>
      <c r="C1332" s="109">
        <v>3</v>
      </c>
    </row>
    <row r="1333" spans="1:3" ht="24" x14ac:dyDescent="0.3">
      <c r="A1333" s="109" t="s">
        <v>10</v>
      </c>
      <c r="B1333" s="109" t="s">
        <v>69</v>
      </c>
      <c r="C1333" s="109">
        <v>1</v>
      </c>
    </row>
    <row r="1334" spans="1:3" ht="24" x14ac:dyDescent="0.3">
      <c r="A1334" s="109" t="s">
        <v>10</v>
      </c>
      <c r="B1334" s="109" t="s">
        <v>70</v>
      </c>
      <c r="C1334" s="109">
        <v>3</v>
      </c>
    </row>
    <row r="1335" spans="1:3" ht="24" x14ac:dyDescent="0.3">
      <c r="A1335" s="109" t="s">
        <v>10</v>
      </c>
      <c r="B1335" s="109" t="s">
        <v>71</v>
      </c>
      <c r="C1335" s="109">
        <v>3</v>
      </c>
    </row>
    <row r="1336" spans="1:3" ht="24" x14ac:dyDescent="0.3">
      <c r="A1336" s="109" t="s">
        <v>10</v>
      </c>
      <c r="B1336" s="109" t="s">
        <v>72</v>
      </c>
      <c r="C1336" s="109">
        <v>2</v>
      </c>
    </row>
    <row r="1337" spans="1:3" ht="24" x14ac:dyDescent="0.3">
      <c r="A1337" s="109" t="s">
        <v>10</v>
      </c>
      <c r="B1337" s="109" t="s">
        <v>73</v>
      </c>
      <c r="C1337" s="109">
        <v>0.5</v>
      </c>
    </row>
    <row r="1338" spans="1:3" ht="24" x14ac:dyDescent="0.3">
      <c r="A1338" s="109" t="s">
        <v>10</v>
      </c>
      <c r="B1338" s="109" t="s">
        <v>74</v>
      </c>
      <c r="C1338" s="109">
        <v>0</v>
      </c>
    </row>
    <row r="1339" spans="1:3" ht="24" x14ac:dyDescent="0.3">
      <c r="A1339" s="109" t="s">
        <v>10</v>
      </c>
      <c r="B1339" s="109" t="s">
        <v>75</v>
      </c>
      <c r="C1339" s="109">
        <v>0</v>
      </c>
    </row>
    <row r="1340" spans="1:3" ht="24" x14ac:dyDescent="0.3">
      <c r="A1340" s="109" t="s">
        <v>10</v>
      </c>
      <c r="B1340" s="109" t="s">
        <v>76</v>
      </c>
      <c r="C1340" s="109">
        <v>1</v>
      </c>
    </row>
    <row r="1341" spans="1:3" ht="24" x14ac:dyDescent="0.3">
      <c r="A1341" s="109" t="s">
        <v>10</v>
      </c>
      <c r="B1341" s="109" t="s">
        <v>77</v>
      </c>
      <c r="C1341" s="109">
        <v>0</v>
      </c>
    </row>
    <row r="1342" spans="1:3" ht="24" x14ac:dyDescent="0.3">
      <c r="A1342" s="109" t="s">
        <v>10</v>
      </c>
      <c r="B1342" s="109" t="s">
        <v>78</v>
      </c>
      <c r="C1342" s="109">
        <v>10</v>
      </c>
    </row>
    <row r="1343" spans="1:3" ht="24" x14ac:dyDescent="0.3">
      <c r="A1343" s="109" t="s">
        <v>10</v>
      </c>
      <c r="B1343" s="109" t="s">
        <v>79</v>
      </c>
      <c r="C1343" s="109">
        <v>0</v>
      </c>
    </row>
    <row r="1344" spans="1:3" ht="24" x14ac:dyDescent="0.3">
      <c r="A1344" s="109" t="s">
        <v>10</v>
      </c>
      <c r="B1344" s="109" t="s">
        <v>80</v>
      </c>
      <c r="C1344" s="109">
        <v>4</v>
      </c>
    </row>
    <row r="1345" spans="1:3" ht="24" x14ac:dyDescent="0.3">
      <c r="A1345" s="109" t="s">
        <v>10</v>
      </c>
      <c r="B1345" s="109" t="s">
        <v>81</v>
      </c>
      <c r="C1345" s="109">
        <v>4</v>
      </c>
    </row>
    <row r="1346" spans="1:3" ht="24" x14ac:dyDescent="0.3">
      <c r="A1346" s="109" t="s">
        <v>10</v>
      </c>
      <c r="B1346" s="109" t="s">
        <v>83</v>
      </c>
      <c r="C1346" s="109">
        <v>115</v>
      </c>
    </row>
    <row r="1347" spans="1:3" ht="24" x14ac:dyDescent="0.3">
      <c r="A1347" s="109" t="s">
        <v>10</v>
      </c>
      <c r="B1347" s="109" t="s">
        <v>84</v>
      </c>
      <c r="C1347" s="109">
        <v>45</v>
      </c>
    </row>
    <row r="1348" spans="1:3" ht="24" x14ac:dyDescent="0.3">
      <c r="A1348" s="109" t="s">
        <v>10</v>
      </c>
      <c r="B1348" s="109" t="s">
        <v>85</v>
      </c>
      <c r="C1348" s="109">
        <v>10</v>
      </c>
    </row>
    <row r="1349" spans="1:3" ht="24" x14ac:dyDescent="0.3">
      <c r="A1349" s="109" t="s">
        <v>10</v>
      </c>
      <c r="B1349" s="109" t="s">
        <v>86</v>
      </c>
      <c r="C1349" s="109">
        <v>0</v>
      </c>
    </row>
    <row r="1350" spans="1:3" ht="24" x14ac:dyDescent="0.3">
      <c r="A1350" s="109" t="s">
        <v>10</v>
      </c>
      <c r="B1350" s="109" t="s">
        <v>87</v>
      </c>
      <c r="C1350" s="109">
        <v>0</v>
      </c>
    </row>
    <row r="1351" spans="1:3" ht="24" x14ac:dyDescent="0.3">
      <c r="A1351" s="109" t="s">
        <v>10</v>
      </c>
      <c r="B1351" s="109" t="s">
        <v>88</v>
      </c>
      <c r="C1351" s="109">
        <v>0</v>
      </c>
    </row>
    <row r="1352" spans="1:3" ht="24" x14ac:dyDescent="0.3">
      <c r="A1352" s="109" t="s">
        <v>10</v>
      </c>
      <c r="B1352" s="109" t="s">
        <v>89</v>
      </c>
      <c r="C1352" s="109">
        <v>0</v>
      </c>
    </row>
    <row r="1353" spans="1:3" ht="24" x14ac:dyDescent="0.3">
      <c r="A1353" s="109" t="s">
        <v>10</v>
      </c>
      <c r="B1353" s="109" t="s">
        <v>90</v>
      </c>
      <c r="C1353" s="109">
        <v>0</v>
      </c>
    </row>
    <row r="1354" spans="1:3" ht="24" x14ac:dyDescent="0.3">
      <c r="A1354" s="109" t="s">
        <v>10</v>
      </c>
      <c r="B1354" s="109" t="s">
        <v>92</v>
      </c>
      <c r="C1354" s="109">
        <v>0</v>
      </c>
    </row>
    <row r="1355" spans="1:3" ht="24" x14ac:dyDescent="0.3">
      <c r="A1355" s="109" t="s">
        <v>10</v>
      </c>
      <c r="B1355" s="109" t="s">
        <v>93</v>
      </c>
      <c r="C1355" s="109">
        <v>7.5</v>
      </c>
    </row>
    <row r="1356" spans="1:3" ht="24" x14ac:dyDescent="0.3">
      <c r="A1356" s="109" t="s">
        <v>10</v>
      </c>
      <c r="B1356" s="109" t="s">
        <v>94</v>
      </c>
      <c r="C1356" s="109">
        <v>1</v>
      </c>
    </row>
    <row r="1357" spans="1:3" ht="24" x14ac:dyDescent="0.3">
      <c r="A1357" s="109" t="s">
        <v>10</v>
      </c>
      <c r="B1357" s="109" t="s">
        <v>95</v>
      </c>
      <c r="C1357" s="109">
        <v>1.1000000000000001</v>
      </c>
    </row>
    <row r="1358" spans="1:3" ht="24" x14ac:dyDescent="0.3">
      <c r="A1358" s="109" t="s">
        <v>10</v>
      </c>
      <c r="B1358" s="109" t="s">
        <v>96</v>
      </c>
      <c r="C1358" s="109">
        <v>0</v>
      </c>
    </row>
    <row r="1359" spans="1:3" ht="24" x14ac:dyDescent="0.3">
      <c r="A1359" s="109" t="s">
        <v>10</v>
      </c>
      <c r="B1359" s="109" t="s">
        <v>97</v>
      </c>
      <c r="C1359" s="109">
        <v>0</v>
      </c>
    </row>
    <row r="1360" spans="1:3" ht="24" x14ac:dyDescent="0.3">
      <c r="A1360" s="109" t="s">
        <v>10</v>
      </c>
      <c r="B1360" s="109" t="s">
        <v>98</v>
      </c>
      <c r="C1360" s="109">
        <v>0</v>
      </c>
    </row>
    <row r="1361" spans="1:3" ht="24" x14ac:dyDescent="0.3">
      <c r="A1361" s="109" t="s">
        <v>10</v>
      </c>
      <c r="B1361" s="109" t="s">
        <v>99</v>
      </c>
      <c r="C1361" s="109">
        <v>8</v>
      </c>
    </row>
    <row r="1362" spans="1:3" ht="24" x14ac:dyDescent="0.3">
      <c r="A1362" s="109" t="s">
        <v>10</v>
      </c>
      <c r="B1362" s="109" t="s">
        <v>100</v>
      </c>
      <c r="C1362" s="109">
        <v>12</v>
      </c>
    </row>
    <row r="1363" spans="1:3" ht="24" x14ac:dyDescent="0.3">
      <c r="A1363" s="109" t="s">
        <v>10</v>
      </c>
      <c r="B1363" s="109" t="s">
        <v>101</v>
      </c>
      <c r="C1363" s="109">
        <v>0.45</v>
      </c>
    </row>
    <row r="1364" spans="1:3" ht="24" x14ac:dyDescent="0.3">
      <c r="A1364" s="109" t="s">
        <v>10</v>
      </c>
      <c r="B1364" s="109" t="s">
        <v>102</v>
      </c>
      <c r="C1364" s="109">
        <v>0.5</v>
      </c>
    </row>
    <row r="1365" spans="1:3" ht="24" x14ac:dyDescent="0.3">
      <c r="A1365" s="109" t="s">
        <v>10</v>
      </c>
      <c r="B1365" s="109" t="s">
        <v>103</v>
      </c>
      <c r="C1365" s="109">
        <v>0.8</v>
      </c>
    </row>
    <row r="1366" spans="1:3" ht="24" x14ac:dyDescent="0.3">
      <c r="A1366" s="109" t="s">
        <v>10</v>
      </c>
      <c r="B1366" s="109" t="s">
        <v>104</v>
      </c>
      <c r="C1366" s="109">
        <v>1</v>
      </c>
    </row>
    <row r="1367" spans="1:3" ht="24" x14ac:dyDescent="0.3">
      <c r="A1367" s="109" t="s">
        <v>10</v>
      </c>
      <c r="B1367" s="109" t="s">
        <v>105</v>
      </c>
      <c r="C1367" s="109">
        <v>0</v>
      </c>
    </row>
    <row r="1368" spans="1:3" ht="24" x14ac:dyDescent="0.3">
      <c r="A1368" s="109" t="s">
        <v>10</v>
      </c>
      <c r="B1368" s="109" t="s">
        <v>106</v>
      </c>
      <c r="C1368" s="109">
        <v>1</v>
      </c>
    </row>
    <row r="1369" spans="1:3" ht="24" x14ac:dyDescent="0.3">
      <c r="A1369" s="109" t="s">
        <v>10</v>
      </c>
      <c r="B1369" s="109" t="s">
        <v>107</v>
      </c>
      <c r="C1369" s="109">
        <v>0.5</v>
      </c>
    </row>
    <row r="1370" spans="1:3" ht="24" x14ac:dyDescent="0.3">
      <c r="A1370" s="109" t="s">
        <v>10</v>
      </c>
      <c r="B1370" s="109" t="s">
        <v>108</v>
      </c>
      <c r="C1370" s="109">
        <v>1.5</v>
      </c>
    </row>
    <row r="1371" spans="1:3" ht="24" x14ac:dyDescent="0.3">
      <c r="A1371" s="109" t="s">
        <v>10</v>
      </c>
      <c r="B1371" s="109" t="s">
        <v>109</v>
      </c>
      <c r="C1371" s="109">
        <v>0</v>
      </c>
    </row>
    <row r="1372" spans="1:3" ht="24" x14ac:dyDescent="0.3">
      <c r="A1372" s="109" t="s">
        <v>10</v>
      </c>
      <c r="B1372" s="109" t="s">
        <v>110</v>
      </c>
      <c r="C1372" s="109">
        <v>1.1000000000000001</v>
      </c>
    </row>
    <row r="1373" spans="1:3" ht="24" x14ac:dyDescent="0.3">
      <c r="A1373" s="109" t="s">
        <v>10</v>
      </c>
      <c r="B1373" s="109" t="s">
        <v>111</v>
      </c>
      <c r="C1373" s="109">
        <v>0</v>
      </c>
    </row>
    <row r="1374" spans="1:3" ht="24" x14ac:dyDescent="0.3">
      <c r="A1374" s="109" t="s">
        <v>10</v>
      </c>
      <c r="B1374" s="109" t="s">
        <v>112</v>
      </c>
      <c r="C1374" s="109">
        <v>0</v>
      </c>
    </row>
    <row r="1375" spans="1:3" ht="24" x14ac:dyDescent="0.3">
      <c r="A1375" s="109" t="s">
        <v>10</v>
      </c>
      <c r="B1375" s="109" t="s">
        <v>113</v>
      </c>
      <c r="C1375" s="109">
        <v>0</v>
      </c>
    </row>
    <row r="1376" spans="1:3" ht="24" x14ac:dyDescent="0.3">
      <c r="A1376" s="109" t="s">
        <v>10</v>
      </c>
      <c r="B1376" s="109" t="s">
        <v>114</v>
      </c>
      <c r="C1376" s="109">
        <v>0</v>
      </c>
    </row>
    <row r="1377" spans="1:3" ht="24" x14ac:dyDescent="0.3">
      <c r="A1377" s="109" t="s">
        <v>10</v>
      </c>
      <c r="B1377" s="109" t="s">
        <v>115</v>
      </c>
      <c r="C1377" s="109">
        <v>0</v>
      </c>
    </row>
    <row r="1378" spans="1:3" ht="24" x14ac:dyDescent="0.3">
      <c r="A1378" s="109" t="s">
        <v>10</v>
      </c>
      <c r="B1378" s="109" t="s">
        <v>116</v>
      </c>
      <c r="C1378" s="109">
        <v>0</v>
      </c>
    </row>
    <row r="1379" spans="1:3" ht="24" x14ac:dyDescent="0.3">
      <c r="A1379" s="109" t="s">
        <v>10</v>
      </c>
      <c r="B1379" s="109" t="s">
        <v>117</v>
      </c>
      <c r="C1379" s="109">
        <v>0</v>
      </c>
    </row>
    <row r="1380" spans="1:3" ht="24" x14ac:dyDescent="0.3">
      <c r="A1380" s="109" t="s">
        <v>10</v>
      </c>
      <c r="B1380" s="109" t="s">
        <v>118</v>
      </c>
      <c r="C1380" s="109">
        <v>0</v>
      </c>
    </row>
    <row r="1381" spans="1:3" ht="24" x14ac:dyDescent="0.3">
      <c r="A1381" s="109" t="s">
        <v>10</v>
      </c>
      <c r="B1381" s="109" t="s">
        <v>120</v>
      </c>
      <c r="C1381" s="109">
        <v>0</v>
      </c>
    </row>
    <row r="1382" spans="1:3" ht="24" x14ac:dyDescent="0.3">
      <c r="A1382" s="109" t="s">
        <v>10</v>
      </c>
      <c r="B1382" s="109" t="s">
        <v>121</v>
      </c>
      <c r="C1382" s="109">
        <v>1</v>
      </c>
    </row>
    <row r="1383" spans="1:3" ht="24" x14ac:dyDescent="0.3">
      <c r="A1383" s="109" t="s">
        <v>10</v>
      </c>
      <c r="B1383" s="109" t="s">
        <v>122</v>
      </c>
      <c r="C1383" s="109">
        <v>0</v>
      </c>
    </row>
    <row r="1384" spans="1:3" ht="24" x14ac:dyDescent="0.3">
      <c r="A1384" s="109" t="s">
        <v>10</v>
      </c>
      <c r="B1384" s="109" t="s">
        <v>123</v>
      </c>
      <c r="C1384" s="109">
        <v>0</v>
      </c>
    </row>
    <row r="1385" spans="1:3" ht="24" x14ac:dyDescent="0.3">
      <c r="A1385" s="109" t="s">
        <v>10</v>
      </c>
      <c r="B1385" s="109" t="s">
        <v>124</v>
      </c>
      <c r="C1385" s="109">
        <v>0</v>
      </c>
    </row>
    <row r="1386" spans="1:3" ht="24" x14ac:dyDescent="0.3">
      <c r="A1386" s="109" t="s">
        <v>10</v>
      </c>
      <c r="B1386" s="109" t="s">
        <v>125</v>
      </c>
      <c r="C1386" s="109">
        <v>0</v>
      </c>
    </row>
    <row r="1387" spans="1:3" ht="24" x14ac:dyDescent="0.3">
      <c r="A1387" s="109" t="s">
        <v>10</v>
      </c>
      <c r="B1387" s="109" t="s">
        <v>126</v>
      </c>
      <c r="C1387" s="109">
        <v>0</v>
      </c>
    </row>
    <row r="1388" spans="1:3" ht="24" x14ac:dyDescent="0.3">
      <c r="A1388" s="109" t="s">
        <v>11</v>
      </c>
      <c r="B1388" s="109" t="s">
        <v>206</v>
      </c>
      <c r="C1388" s="109" t="s">
        <v>60</v>
      </c>
    </row>
    <row r="1389" spans="1:3" ht="24" x14ac:dyDescent="0.3">
      <c r="A1389" s="109" t="s">
        <v>11</v>
      </c>
      <c r="B1389" s="109" t="s">
        <v>62</v>
      </c>
      <c r="C1389" s="109">
        <v>1</v>
      </c>
    </row>
    <row r="1390" spans="1:3" ht="24" x14ac:dyDescent="0.3">
      <c r="A1390" s="109" t="s">
        <v>11</v>
      </c>
      <c r="B1390" s="109" t="s">
        <v>63</v>
      </c>
      <c r="C1390" s="109">
        <v>10</v>
      </c>
    </row>
    <row r="1391" spans="1:3" ht="24" x14ac:dyDescent="0.3">
      <c r="A1391" s="109" t="s">
        <v>11</v>
      </c>
      <c r="B1391" s="109" t="s">
        <v>64</v>
      </c>
      <c r="C1391" s="109">
        <v>6</v>
      </c>
    </row>
    <row r="1392" spans="1:3" ht="24" x14ac:dyDescent="0.3">
      <c r="A1392" s="109" t="s">
        <v>11</v>
      </c>
      <c r="B1392" s="109" t="s">
        <v>65</v>
      </c>
      <c r="C1392" s="109">
        <v>5</v>
      </c>
    </row>
    <row r="1393" spans="1:3" ht="24" x14ac:dyDescent="0.3">
      <c r="A1393" s="109" t="s">
        <v>11</v>
      </c>
      <c r="B1393" s="109" t="s">
        <v>66</v>
      </c>
      <c r="C1393" s="109">
        <v>3</v>
      </c>
    </row>
    <row r="1394" spans="1:3" ht="24" x14ac:dyDescent="0.3">
      <c r="A1394" s="109" t="s">
        <v>11</v>
      </c>
      <c r="B1394" s="109" t="s">
        <v>67</v>
      </c>
      <c r="C1394" s="109">
        <v>3</v>
      </c>
    </row>
    <row r="1395" spans="1:3" ht="24" x14ac:dyDescent="0.3">
      <c r="A1395" s="109" t="s">
        <v>11</v>
      </c>
      <c r="B1395" s="109" t="s">
        <v>68</v>
      </c>
      <c r="C1395" s="109">
        <v>4</v>
      </c>
    </row>
    <row r="1396" spans="1:3" ht="24" x14ac:dyDescent="0.3">
      <c r="A1396" s="109" t="s">
        <v>11</v>
      </c>
      <c r="B1396" s="109" t="s">
        <v>69</v>
      </c>
      <c r="C1396" s="109">
        <v>3</v>
      </c>
    </row>
    <row r="1397" spans="1:3" ht="24" x14ac:dyDescent="0.3">
      <c r="A1397" s="109" t="s">
        <v>11</v>
      </c>
      <c r="B1397" s="109" t="s">
        <v>70</v>
      </c>
      <c r="C1397" s="109">
        <v>4</v>
      </c>
    </row>
    <row r="1398" spans="1:3" ht="24" x14ac:dyDescent="0.3">
      <c r="A1398" s="109" t="s">
        <v>11</v>
      </c>
      <c r="B1398" s="109" t="s">
        <v>71</v>
      </c>
      <c r="C1398" s="109">
        <v>4</v>
      </c>
    </row>
    <row r="1399" spans="1:3" ht="24" x14ac:dyDescent="0.3">
      <c r="A1399" s="109" t="s">
        <v>11</v>
      </c>
      <c r="B1399" s="109" t="s">
        <v>72</v>
      </c>
      <c r="C1399" s="109">
        <v>2</v>
      </c>
    </row>
    <row r="1400" spans="1:3" ht="24" x14ac:dyDescent="0.3">
      <c r="A1400" s="109" t="s">
        <v>11</v>
      </c>
      <c r="B1400" s="109" t="s">
        <v>73</v>
      </c>
      <c r="C1400" s="109">
        <v>2</v>
      </c>
    </row>
    <row r="1401" spans="1:3" ht="24" x14ac:dyDescent="0.3">
      <c r="A1401" s="109" t="s">
        <v>11</v>
      </c>
      <c r="B1401" s="109" t="s">
        <v>74</v>
      </c>
      <c r="C1401" s="109">
        <v>1</v>
      </c>
    </row>
    <row r="1402" spans="1:3" ht="24" x14ac:dyDescent="0.3">
      <c r="A1402" s="109" t="s">
        <v>11</v>
      </c>
      <c r="B1402" s="109" t="s">
        <v>75</v>
      </c>
      <c r="C1402" s="109">
        <v>1</v>
      </c>
    </row>
    <row r="1403" spans="1:3" ht="24" x14ac:dyDescent="0.3">
      <c r="A1403" s="109" t="s">
        <v>11</v>
      </c>
      <c r="B1403" s="109" t="s">
        <v>76</v>
      </c>
      <c r="C1403" s="109">
        <v>2</v>
      </c>
    </row>
    <row r="1404" spans="1:3" ht="24" x14ac:dyDescent="0.3">
      <c r="A1404" s="109" t="s">
        <v>11</v>
      </c>
      <c r="B1404" s="109" t="s">
        <v>77</v>
      </c>
      <c r="C1404" s="109">
        <v>1</v>
      </c>
    </row>
    <row r="1405" spans="1:3" ht="24" x14ac:dyDescent="0.3">
      <c r="A1405" s="109" t="s">
        <v>11</v>
      </c>
      <c r="B1405" s="109" t="s">
        <v>78</v>
      </c>
      <c r="C1405" s="109">
        <v>10</v>
      </c>
    </row>
    <row r="1406" spans="1:3" ht="24" x14ac:dyDescent="0.3">
      <c r="A1406" s="109" t="s">
        <v>11</v>
      </c>
      <c r="B1406" s="109" t="s">
        <v>79</v>
      </c>
      <c r="C1406" s="109">
        <v>0</v>
      </c>
    </row>
    <row r="1407" spans="1:3" ht="24" x14ac:dyDescent="0.3">
      <c r="A1407" s="109" t="s">
        <v>11</v>
      </c>
      <c r="B1407" s="109" t="s">
        <v>80</v>
      </c>
      <c r="C1407" s="109">
        <v>8</v>
      </c>
    </row>
    <row r="1408" spans="1:3" ht="24" x14ac:dyDescent="0.3">
      <c r="A1408" s="109" t="s">
        <v>11</v>
      </c>
      <c r="B1408" s="109" t="s">
        <v>81</v>
      </c>
      <c r="C1408" s="109">
        <v>8</v>
      </c>
    </row>
    <row r="1409" spans="1:3" ht="24" x14ac:dyDescent="0.3">
      <c r="A1409" s="109" t="s">
        <v>11</v>
      </c>
      <c r="B1409" s="109" t="s">
        <v>83</v>
      </c>
      <c r="C1409" s="109">
        <v>0</v>
      </c>
    </row>
    <row r="1410" spans="1:3" ht="24" x14ac:dyDescent="0.3">
      <c r="A1410" s="109" t="s">
        <v>11</v>
      </c>
      <c r="B1410" s="109" t="s">
        <v>84</v>
      </c>
      <c r="C1410" s="109">
        <v>0</v>
      </c>
    </row>
    <row r="1411" spans="1:3" ht="24" x14ac:dyDescent="0.3">
      <c r="A1411" s="109" t="s">
        <v>11</v>
      </c>
      <c r="B1411" s="109" t="s">
        <v>85</v>
      </c>
      <c r="C1411" s="109">
        <v>7</v>
      </c>
    </row>
    <row r="1412" spans="1:3" ht="24" x14ac:dyDescent="0.3">
      <c r="A1412" s="109" t="s">
        <v>11</v>
      </c>
      <c r="B1412" s="109" t="s">
        <v>86</v>
      </c>
      <c r="C1412" s="109">
        <v>0</v>
      </c>
    </row>
    <row r="1413" spans="1:3" ht="24" x14ac:dyDescent="0.3">
      <c r="A1413" s="109" t="s">
        <v>11</v>
      </c>
      <c r="B1413" s="109" t="s">
        <v>87</v>
      </c>
      <c r="C1413" s="109">
        <v>0</v>
      </c>
    </row>
    <row r="1414" spans="1:3" ht="24" x14ac:dyDescent="0.3">
      <c r="A1414" s="109" t="s">
        <v>11</v>
      </c>
      <c r="B1414" s="109" t="s">
        <v>88</v>
      </c>
      <c r="C1414" s="109">
        <v>0</v>
      </c>
    </row>
    <row r="1415" spans="1:3" ht="24" x14ac:dyDescent="0.3">
      <c r="A1415" s="109" t="s">
        <v>11</v>
      </c>
      <c r="B1415" s="109" t="s">
        <v>89</v>
      </c>
      <c r="C1415" s="109">
        <v>0</v>
      </c>
    </row>
    <row r="1416" spans="1:3" ht="24" x14ac:dyDescent="0.3">
      <c r="A1416" s="109" t="s">
        <v>11</v>
      </c>
      <c r="B1416" s="109" t="s">
        <v>90</v>
      </c>
      <c r="C1416" s="109">
        <v>0</v>
      </c>
    </row>
    <row r="1417" spans="1:3" ht="24" x14ac:dyDescent="0.3">
      <c r="A1417" s="109" t="s">
        <v>11</v>
      </c>
      <c r="B1417" s="109" t="s">
        <v>92</v>
      </c>
      <c r="C1417" s="109">
        <v>0</v>
      </c>
    </row>
    <row r="1418" spans="1:3" ht="24" x14ac:dyDescent="0.3">
      <c r="A1418" s="109" t="s">
        <v>11</v>
      </c>
      <c r="B1418" s="109" t="s">
        <v>93</v>
      </c>
      <c r="C1418" s="109">
        <v>0.5</v>
      </c>
    </row>
    <row r="1419" spans="1:3" ht="24" x14ac:dyDescent="0.3">
      <c r="A1419" s="109" t="s">
        <v>11</v>
      </c>
      <c r="B1419" s="109" t="s">
        <v>94</v>
      </c>
      <c r="C1419" s="109">
        <v>1</v>
      </c>
    </row>
    <row r="1420" spans="1:3" ht="24" x14ac:dyDescent="0.3">
      <c r="A1420" s="109" t="s">
        <v>11</v>
      </c>
      <c r="B1420" s="109" t="s">
        <v>95</v>
      </c>
      <c r="C1420" s="109">
        <v>1</v>
      </c>
    </row>
    <row r="1421" spans="1:3" ht="24" x14ac:dyDescent="0.3">
      <c r="A1421" s="109" t="s">
        <v>11</v>
      </c>
      <c r="B1421" s="109" t="s">
        <v>96</v>
      </c>
      <c r="C1421" s="109">
        <v>0</v>
      </c>
    </row>
    <row r="1422" spans="1:3" ht="24" x14ac:dyDescent="0.3">
      <c r="A1422" s="109" t="s">
        <v>11</v>
      </c>
      <c r="B1422" s="109" t="s">
        <v>97</v>
      </c>
      <c r="C1422" s="109">
        <v>0</v>
      </c>
    </row>
    <row r="1423" spans="1:3" ht="24" x14ac:dyDescent="0.3">
      <c r="A1423" s="109" t="s">
        <v>11</v>
      </c>
      <c r="B1423" s="109" t="s">
        <v>98</v>
      </c>
      <c r="C1423" s="109">
        <v>0</v>
      </c>
    </row>
    <row r="1424" spans="1:3" ht="24" x14ac:dyDescent="0.3">
      <c r="A1424" s="109" t="s">
        <v>11</v>
      </c>
      <c r="B1424" s="109" t="s">
        <v>99</v>
      </c>
      <c r="C1424" s="109">
        <v>10</v>
      </c>
    </row>
    <row r="1425" spans="1:3" ht="24" x14ac:dyDescent="0.3">
      <c r="A1425" s="109" t="s">
        <v>11</v>
      </c>
      <c r="B1425" s="109" t="s">
        <v>100</v>
      </c>
      <c r="C1425" s="109">
        <v>12</v>
      </c>
    </row>
    <row r="1426" spans="1:3" ht="24" x14ac:dyDescent="0.3">
      <c r="A1426" s="109" t="s">
        <v>11</v>
      </c>
      <c r="B1426" s="109" t="s">
        <v>101</v>
      </c>
      <c r="C1426" s="109">
        <v>0.4</v>
      </c>
    </row>
    <row r="1427" spans="1:3" ht="24" x14ac:dyDescent="0.3">
      <c r="A1427" s="109" t="s">
        <v>11</v>
      </c>
      <c r="B1427" s="109" t="s">
        <v>102</v>
      </c>
      <c r="C1427" s="109">
        <v>0.36</v>
      </c>
    </row>
    <row r="1428" spans="1:3" ht="24" x14ac:dyDescent="0.3">
      <c r="A1428" s="109" t="s">
        <v>11</v>
      </c>
      <c r="B1428" s="109" t="s">
        <v>103</v>
      </c>
      <c r="C1428" s="109">
        <v>0.6</v>
      </c>
    </row>
    <row r="1429" spans="1:3" ht="24" x14ac:dyDescent="0.3">
      <c r="A1429" s="109" t="s">
        <v>11</v>
      </c>
      <c r="B1429" s="109" t="s">
        <v>104</v>
      </c>
      <c r="C1429" s="109">
        <v>0.8</v>
      </c>
    </row>
    <row r="1430" spans="1:3" ht="24" x14ac:dyDescent="0.3">
      <c r="A1430" s="109" t="s">
        <v>11</v>
      </c>
      <c r="B1430" s="109" t="s">
        <v>105</v>
      </c>
      <c r="C1430" s="109">
        <v>0</v>
      </c>
    </row>
    <row r="1431" spans="1:3" ht="24" x14ac:dyDescent="0.3">
      <c r="A1431" s="109" t="s">
        <v>11</v>
      </c>
      <c r="B1431" s="109" t="s">
        <v>106</v>
      </c>
      <c r="C1431" s="109">
        <v>0.5</v>
      </c>
    </row>
    <row r="1432" spans="1:3" ht="24" x14ac:dyDescent="0.3">
      <c r="A1432" s="109" t="s">
        <v>11</v>
      </c>
      <c r="B1432" s="109" t="s">
        <v>107</v>
      </c>
      <c r="C1432" s="109">
        <v>0.2</v>
      </c>
    </row>
    <row r="1433" spans="1:3" ht="24" x14ac:dyDescent="0.3">
      <c r="A1433" s="109" t="s">
        <v>11</v>
      </c>
      <c r="B1433" s="109" t="s">
        <v>108</v>
      </c>
      <c r="C1433" s="109">
        <v>1</v>
      </c>
    </row>
    <row r="1434" spans="1:3" ht="24" x14ac:dyDescent="0.3">
      <c r="A1434" s="109" t="s">
        <v>11</v>
      </c>
      <c r="B1434" s="109" t="s">
        <v>109</v>
      </c>
      <c r="C1434" s="109">
        <v>0</v>
      </c>
    </row>
    <row r="1435" spans="1:3" ht="24" x14ac:dyDescent="0.3">
      <c r="A1435" s="109" t="s">
        <v>11</v>
      </c>
      <c r="B1435" s="109" t="s">
        <v>110</v>
      </c>
      <c r="C1435" s="109">
        <v>0.8</v>
      </c>
    </row>
    <row r="1436" spans="1:3" ht="24" x14ac:dyDescent="0.3">
      <c r="A1436" s="109" t="s">
        <v>11</v>
      </c>
      <c r="B1436" s="109" t="s">
        <v>111</v>
      </c>
      <c r="C1436" s="109">
        <v>0</v>
      </c>
    </row>
    <row r="1437" spans="1:3" ht="24" x14ac:dyDescent="0.3">
      <c r="A1437" s="109" t="s">
        <v>11</v>
      </c>
      <c r="B1437" s="109" t="s">
        <v>112</v>
      </c>
      <c r="C1437" s="109">
        <v>0</v>
      </c>
    </row>
    <row r="1438" spans="1:3" ht="24" x14ac:dyDescent="0.3">
      <c r="A1438" s="109" t="s">
        <v>11</v>
      </c>
      <c r="B1438" s="109" t="s">
        <v>113</v>
      </c>
      <c r="C1438" s="109">
        <v>0</v>
      </c>
    </row>
    <row r="1439" spans="1:3" ht="24" x14ac:dyDescent="0.3">
      <c r="A1439" s="109" t="s">
        <v>11</v>
      </c>
      <c r="B1439" s="109" t="s">
        <v>114</v>
      </c>
      <c r="C1439" s="109">
        <v>0</v>
      </c>
    </row>
    <row r="1440" spans="1:3" ht="24" x14ac:dyDescent="0.3">
      <c r="A1440" s="109" t="s">
        <v>11</v>
      </c>
      <c r="B1440" s="109" t="s">
        <v>115</v>
      </c>
      <c r="C1440" s="109">
        <v>0</v>
      </c>
    </row>
    <row r="1441" spans="1:3" ht="24" x14ac:dyDescent="0.3">
      <c r="A1441" s="109" t="s">
        <v>11</v>
      </c>
      <c r="B1441" s="109" t="s">
        <v>116</v>
      </c>
      <c r="C1441" s="109">
        <v>0</v>
      </c>
    </row>
    <row r="1442" spans="1:3" ht="24" x14ac:dyDescent="0.3">
      <c r="A1442" s="109" t="s">
        <v>11</v>
      </c>
      <c r="B1442" s="109" t="s">
        <v>117</v>
      </c>
      <c r="C1442" s="109">
        <v>0</v>
      </c>
    </row>
    <row r="1443" spans="1:3" ht="24" x14ac:dyDescent="0.3">
      <c r="A1443" s="109" t="s">
        <v>11</v>
      </c>
      <c r="B1443" s="109" t="s">
        <v>118</v>
      </c>
      <c r="C1443" s="109">
        <v>0</v>
      </c>
    </row>
    <row r="1444" spans="1:3" ht="24" x14ac:dyDescent="0.3">
      <c r="A1444" s="109" t="s">
        <v>11</v>
      </c>
      <c r="B1444" s="109" t="s">
        <v>120</v>
      </c>
      <c r="C1444" s="109">
        <v>0</v>
      </c>
    </row>
    <row r="1445" spans="1:3" ht="24" x14ac:dyDescent="0.3">
      <c r="A1445" s="109" t="s">
        <v>11</v>
      </c>
      <c r="B1445" s="109" t="s">
        <v>121</v>
      </c>
      <c r="C1445" s="109">
        <v>0</v>
      </c>
    </row>
    <row r="1446" spans="1:3" ht="24" x14ac:dyDescent="0.3">
      <c r="A1446" s="109" t="s">
        <v>11</v>
      </c>
      <c r="B1446" s="109" t="s">
        <v>122</v>
      </c>
      <c r="C1446" s="109">
        <v>0</v>
      </c>
    </row>
    <row r="1447" spans="1:3" ht="24" x14ac:dyDescent="0.3">
      <c r="A1447" s="109" t="s">
        <v>11</v>
      </c>
      <c r="B1447" s="109" t="s">
        <v>123</v>
      </c>
      <c r="C1447" s="109">
        <v>0</v>
      </c>
    </row>
    <row r="1448" spans="1:3" ht="24" x14ac:dyDescent="0.3">
      <c r="A1448" s="109" t="s">
        <v>11</v>
      </c>
      <c r="B1448" s="109" t="s">
        <v>124</v>
      </c>
      <c r="C1448" s="109">
        <v>0.5</v>
      </c>
    </row>
    <row r="1449" spans="1:3" ht="24" x14ac:dyDescent="0.3">
      <c r="A1449" s="109" t="s">
        <v>11</v>
      </c>
      <c r="B1449" s="109" t="s">
        <v>125</v>
      </c>
      <c r="C1449" s="109">
        <v>0</v>
      </c>
    </row>
    <row r="1450" spans="1:3" ht="24" x14ac:dyDescent="0.3">
      <c r="A1450" s="109" t="s">
        <v>11</v>
      </c>
      <c r="B1450" s="109" t="s">
        <v>126</v>
      </c>
      <c r="C1450" s="109">
        <v>0</v>
      </c>
    </row>
    <row r="1451" spans="1:3" ht="24" x14ac:dyDescent="0.3">
      <c r="A1451" s="109" t="s">
        <v>12</v>
      </c>
      <c r="B1451" s="109" t="s">
        <v>206</v>
      </c>
      <c r="C1451" s="109" t="s">
        <v>60</v>
      </c>
    </row>
    <row r="1452" spans="1:3" ht="24" x14ac:dyDescent="0.3">
      <c r="A1452" s="109" t="s">
        <v>12</v>
      </c>
      <c r="B1452" s="109" t="s">
        <v>62</v>
      </c>
      <c r="C1452" s="109">
        <v>1</v>
      </c>
    </row>
    <row r="1453" spans="1:3" ht="24" x14ac:dyDescent="0.3">
      <c r="A1453" s="109" t="s">
        <v>12</v>
      </c>
      <c r="B1453" s="109" t="s">
        <v>63</v>
      </c>
      <c r="C1453" s="109">
        <v>12</v>
      </c>
    </row>
    <row r="1454" spans="1:3" ht="24" x14ac:dyDescent="0.3">
      <c r="A1454" s="109" t="s">
        <v>12</v>
      </c>
      <c r="B1454" s="109" t="s">
        <v>64</v>
      </c>
      <c r="C1454" s="109">
        <v>4</v>
      </c>
    </row>
    <row r="1455" spans="1:3" ht="24" x14ac:dyDescent="0.3">
      <c r="A1455" s="109" t="s">
        <v>12</v>
      </c>
      <c r="B1455" s="109" t="s">
        <v>65</v>
      </c>
      <c r="C1455" s="109">
        <v>4</v>
      </c>
    </row>
    <row r="1456" spans="1:3" ht="24" x14ac:dyDescent="0.3">
      <c r="A1456" s="109" t="s">
        <v>12</v>
      </c>
      <c r="B1456" s="109" t="s">
        <v>66</v>
      </c>
      <c r="C1456" s="109">
        <v>2</v>
      </c>
    </row>
    <row r="1457" spans="1:3" ht="24" x14ac:dyDescent="0.3">
      <c r="A1457" s="109" t="s">
        <v>12</v>
      </c>
      <c r="B1457" s="109" t="s">
        <v>67</v>
      </c>
      <c r="C1457" s="109">
        <v>4</v>
      </c>
    </row>
    <row r="1458" spans="1:3" ht="24" x14ac:dyDescent="0.3">
      <c r="A1458" s="109" t="s">
        <v>12</v>
      </c>
      <c r="B1458" s="109" t="s">
        <v>68</v>
      </c>
      <c r="C1458" s="109">
        <v>2</v>
      </c>
    </row>
    <row r="1459" spans="1:3" ht="24" x14ac:dyDescent="0.3">
      <c r="A1459" s="109" t="s">
        <v>12</v>
      </c>
      <c r="B1459" s="109" t="s">
        <v>69</v>
      </c>
      <c r="C1459" s="109">
        <v>2</v>
      </c>
    </row>
    <row r="1460" spans="1:3" ht="24" x14ac:dyDescent="0.3">
      <c r="A1460" s="109" t="s">
        <v>12</v>
      </c>
      <c r="B1460" s="109" t="s">
        <v>70</v>
      </c>
      <c r="C1460" s="109">
        <v>3</v>
      </c>
    </row>
    <row r="1461" spans="1:3" ht="24" x14ac:dyDescent="0.3">
      <c r="A1461" s="109" t="s">
        <v>12</v>
      </c>
      <c r="B1461" s="109" t="s">
        <v>71</v>
      </c>
      <c r="C1461" s="109">
        <v>3</v>
      </c>
    </row>
    <row r="1462" spans="1:3" ht="24" x14ac:dyDescent="0.3">
      <c r="A1462" s="109" t="s">
        <v>12</v>
      </c>
      <c r="B1462" s="109" t="s">
        <v>72</v>
      </c>
      <c r="C1462" s="109">
        <v>1</v>
      </c>
    </row>
    <row r="1463" spans="1:3" ht="24" x14ac:dyDescent="0.3">
      <c r="A1463" s="109" t="s">
        <v>12</v>
      </c>
      <c r="B1463" s="109" t="s">
        <v>73</v>
      </c>
      <c r="C1463" s="109">
        <v>0.5</v>
      </c>
    </row>
    <row r="1464" spans="1:3" ht="24" x14ac:dyDescent="0.3">
      <c r="A1464" s="109" t="s">
        <v>12</v>
      </c>
      <c r="B1464" s="109" t="s">
        <v>74</v>
      </c>
      <c r="C1464" s="109">
        <v>0</v>
      </c>
    </row>
    <row r="1465" spans="1:3" ht="24" x14ac:dyDescent="0.3">
      <c r="A1465" s="109" t="s">
        <v>12</v>
      </c>
      <c r="B1465" s="109" t="s">
        <v>75</v>
      </c>
      <c r="C1465" s="109">
        <v>1</v>
      </c>
    </row>
    <row r="1466" spans="1:3" ht="24" x14ac:dyDescent="0.3">
      <c r="A1466" s="109" t="s">
        <v>12</v>
      </c>
      <c r="B1466" s="109" t="s">
        <v>76</v>
      </c>
      <c r="C1466" s="109">
        <v>1</v>
      </c>
    </row>
    <row r="1467" spans="1:3" ht="24" x14ac:dyDescent="0.3">
      <c r="A1467" s="109" t="s">
        <v>12</v>
      </c>
      <c r="B1467" s="109" t="s">
        <v>77</v>
      </c>
      <c r="C1467" s="109">
        <v>1</v>
      </c>
    </row>
    <row r="1468" spans="1:3" ht="24" x14ac:dyDescent="0.3">
      <c r="A1468" s="109" t="s">
        <v>12</v>
      </c>
      <c r="B1468" s="109" t="s">
        <v>78</v>
      </c>
      <c r="C1468" s="109">
        <v>14</v>
      </c>
    </row>
    <row r="1469" spans="1:3" ht="24" x14ac:dyDescent="0.3">
      <c r="A1469" s="109" t="s">
        <v>12</v>
      </c>
      <c r="B1469" s="109" t="s">
        <v>79</v>
      </c>
      <c r="C1469" s="109">
        <v>0</v>
      </c>
    </row>
    <row r="1470" spans="1:3" ht="24" x14ac:dyDescent="0.3">
      <c r="A1470" s="109" t="s">
        <v>12</v>
      </c>
      <c r="B1470" s="109" t="s">
        <v>80</v>
      </c>
      <c r="C1470" s="109">
        <v>5</v>
      </c>
    </row>
    <row r="1471" spans="1:3" ht="24" x14ac:dyDescent="0.3">
      <c r="A1471" s="109" t="s">
        <v>12</v>
      </c>
      <c r="B1471" s="109" t="s">
        <v>81</v>
      </c>
      <c r="C1471" s="109">
        <v>1</v>
      </c>
    </row>
    <row r="1472" spans="1:3" ht="24" x14ac:dyDescent="0.3">
      <c r="A1472" s="109" t="s">
        <v>12</v>
      </c>
      <c r="B1472" s="109" t="s">
        <v>83</v>
      </c>
      <c r="C1472" s="109">
        <v>0</v>
      </c>
    </row>
    <row r="1473" spans="1:3" ht="24" x14ac:dyDescent="0.3">
      <c r="A1473" s="109" t="s">
        <v>12</v>
      </c>
      <c r="B1473" s="109" t="s">
        <v>84</v>
      </c>
      <c r="C1473" s="109">
        <v>14</v>
      </c>
    </row>
    <row r="1474" spans="1:3" ht="24" x14ac:dyDescent="0.3">
      <c r="A1474" s="109" t="s">
        <v>12</v>
      </c>
      <c r="B1474" s="109" t="s">
        <v>85</v>
      </c>
      <c r="C1474" s="109">
        <v>5</v>
      </c>
    </row>
    <row r="1475" spans="1:3" ht="24" x14ac:dyDescent="0.3">
      <c r="A1475" s="109" t="s">
        <v>12</v>
      </c>
      <c r="B1475" s="109" t="s">
        <v>86</v>
      </c>
      <c r="C1475" s="109">
        <v>0.5</v>
      </c>
    </row>
    <row r="1476" spans="1:3" ht="24" x14ac:dyDescent="0.3">
      <c r="A1476" s="109" t="s">
        <v>12</v>
      </c>
      <c r="B1476" s="109" t="s">
        <v>87</v>
      </c>
      <c r="C1476" s="109">
        <v>0</v>
      </c>
    </row>
    <row r="1477" spans="1:3" ht="24" x14ac:dyDescent="0.3">
      <c r="A1477" s="109" t="s">
        <v>12</v>
      </c>
      <c r="B1477" s="109" t="s">
        <v>88</v>
      </c>
      <c r="C1477" s="109">
        <v>0</v>
      </c>
    </row>
    <row r="1478" spans="1:3" ht="24" x14ac:dyDescent="0.3">
      <c r="A1478" s="109" t="s">
        <v>12</v>
      </c>
      <c r="B1478" s="109" t="s">
        <v>89</v>
      </c>
      <c r="C1478" s="109">
        <v>0</v>
      </c>
    </row>
    <row r="1479" spans="1:3" ht="24" x14ac:dyDescent="0.3">
      <c r="A1479" s="109" t="s">
        <v>12</v>
      </c>
      <c r="B1479" s="109" t="s">
        <v>90</v>
      </c>
      <c r="C1479" s="109">
        <v>0</v>
      </c>
    </row>
    <row r="1480" spans="1:3" ht="24" x14ac:dyDescent="0.3">
      <c r="A1480" s="109" t="s">
        <v>12</v>
      </c>
      <c r="B1480" s="109" t="s">
        <v>92</v>
      </c>
      <c r="C1480" s="109">
        <v>0</v>
      </c>
    </row>
    <row r="1481" spans="1:3" ht="24" x14ac:dyDescent="0.3">
      <c r="A1481" s="109" t="s">
        <v>12</v>
      </c>
      <c r="B1481" s="109" t="s">
        <v>93</v>
      </c>
      <c r="C1481" s="109">
        <v>8</v>
      </c>
    </row>
    <row r="1482" spans="1:3" ht="24" x14ac:dyDescent="0.3">
      <c r="A1482" s="109" t="s">
        <v>12</v>
      </c>
      <c r="B1482" s="109" t="s">
        <v>94</v>
      </c>
      <c r="C1482" s="109">
        <v>0.5</v>
      </c>
    </row>
    <row r="1483" spans="1:3" ht="24" x14ac:dyDescent="0.3">
      <c r="A1483" s="109" t="s">
        <v>12</v>
      </c>
      <c r="B1483" s="109" t="s">
        <v>95</v>
      </c>
      <c r="C1483" s="109">
        <v>0.9</v>
      </c>
    </row>
    <row r="1484" spans="1:3" ht="24" x14ac:dyDescent="0.3">
      <c r="A1484" s="109" t="s">
        <v>12</v>
      </c>
      <c r="B1484" s="109" t="s">
        <v>96</v>
      </c>
      <c r="C1484" s="109">
        <v>0</v>
      </c>
    </row>
    <row r="1485" spans="1:3" ht="24" x14ac:dyDescent="0.3">
      <c r="A1485" s="109" t="s">
        <v>12</v>
      </c>
      <c r="B1485" s="109" t="s">
        <v>97</v>
      </c>
      <c r="C1485" s="109">
        <v>0</v>
      </c>
    </row>
    <row r="1486" spans="1:3" ht="24" x14ac:dyDescent="0.3">
      <c r="A1486" s="109" t="s">
        <v>12</v>
      </c>
      <c r="B1486" s="109" t="s">
        <v>98</v>
      </c>
      <c r="C1486" s="109">
        <v>0</v>
      </c>
    </row>
    <row r="1487" spans="1:3" ht="24" x14ac:dyDescent="0.3">
      <c r="A1487" s="109" t="s">
        <v>12</v>
      </c>
      <c r="B1487" s="109" t="s">
        <v>99</v>
      </c>
      <c r="C1487" s="109">
        <v>15</v>
      </c>
    </row>
    <row r="1488" spans="1:3" ht="24" x14ac:dyDescent="0.3">
      <c r="A1488" s="109" t="s">
        <v>12</v>
      </c>
      <c r="B1488" s="109" t="s">
        <v>100</v>
      </c>
      <c r="C1488" s="109">
        <v>10</v>
      </c>
    </row>
    <row r="1489" spans="1:3" ht="24" x14ac:dyDescent="0.3">
      <c r="A1489" s="109" t="s">
        <v>12</v>
      </c>
      <c r="B1489" s="109" t="s">
        <v>101</v>
      </c>
      <c r="C1489" s="109">
        <v>0.8</v>
      </c>
    </row>
    <row r="1490" spans="1:3" ht="24" x14ac:dyDescent="0.3">
      <c r="A1490" s="109" t="s">
        <v>12</v>
      </c>
      <c r="B1490" s="109" t="s">
        <v>102</v>
      </c>
      <c r="C1490" s="109">
        <v>0.6</v>
      </c>
    </row>
    <row r="1491" spans="1:3" ht="24" x14ac:dyDescent="0.3">
      <c r="A1491" s="109" t="s">
        <v>12</v>
      </c>
      <c r="B1491" s="109" t="s">
        <v>103</v>
      </c>
      <c r="C1491" s="109">
        <v>0.9</v>
      </c>
    </row>
    <row r="1492" spans="1:3" ht="24" x14ac:dyDescent="0.3">
      <c r="A1492" s="109" t="s">
        <v>12</v>
      </c>
      <c r="B1492" s="109" t="s">
        <v>104</v>
      </c>
      <c r="C1492" s="109">
        <v>1.4</v>
      </c>
    </row>
    <row r="1493" spans="1:3" ht="24" x14ac:dyDescent="0.3">
      <c r="A1493" s="109" t="s">
        <v>12</v>
      </c>
      <c r="B1493" s="109" t="s">
        <v>105</v>
      </c>
      <c r="C1493" s="109">
        <v>0</v>
      </c>
    </row>
    <row r="1494" spans="1:3" ht="24" x14ac:dyDescent="0.3">
      <c r="A1494" s="109" t="s">
        <v>12</v>
      </c>
      <c r="B1494" s="109" t="s">
        <v>106</v>
      </c>
      <c r="C1494" s="109">
        <v>1.9</v>
      </c>
    </row>
    <row r="1495" spans="1:3" ht="24" x14ac:dyDescent="0.3">
      <c r="A1495" s="109" t="s">
        <v>12</v>
      </c>
      <c r="B1495" s="109" t="s">
        <v>107</v>
      </c>
      <c r="C1495" s="109">
        <v>0.6</v>
      </c>
    </row>
    <row r="1496" spans="1:3" ht="24" x14ac:dyDescent="0.3">
      <c r="A1496" s="109" t="s">
        <v>12</v>
      </c>
      <c r="B1496" s="109" t="s">
        <v>108</v>
      </c>
      <c r="C1496" s="109">
        <v>0.5</v>
      </c>
    </row>
    <row r="1497" spans="1:3" ht="24" x14ac:dyDescent="0.3">
      <c r="A1497" s="109" t="s">
        <v>12</v>
      </c>
      <c r="B1497" s="109" t="s">
        <v>109</v>
      </c>
      <c r="C1497" s="109">
        <v>0</v>
      </c>
    </row>
    <row r="1498" spans="1:3" ht="24" x14ac:dyDescent="0.3">
      <c r="A1498" s="109" t="s">
        <v>12</v>
      </c>
      <c r="B1498" s="109" t="s">
        <v>110</v>
      </c>
      <c r="C1498" s="109">
        <v>0.7</v>
      </c>
    </row>
    <row r="1499" spans="1:3" ht="24" x14ac:dyDescent="0.3">
      <c r="A1499" s="109" t="s">
        <v>12</v>
      </c>
      <c r="B1499" s="109" t="s">
        <v>111</v>
      </c>
      <c r="C1499" s="109">
        <v>0</v>
      </c>
    </row>
    <row r="1500" spans="1:3" ht="24" x14ac:dyDescent="0.3">
      <c r="A1500" s="109" t="s">
        <v>12</v>
      </c>
      <c r="B1500" s="109" t="s">
        <v>112</v>
      </c>
      <c r="C1500" s="109">
        <v>0</v>
      </c>
    </row>
    <row r="1501" spans="1:3" ht="24" x14ac:dyDescent="0.3">
      <c r="A1501" s="109" t="s">
        <v>12</v>
      </c>
      <c r="B1501" s="109" t="s">
        <v>113</v>
      </c>
      <c r="C1501" s="109">
        <v>0</v>
      </c>
    </row>
    <row r="1502" spans="1:3" ht="24" x14ac:dyDescent="0.3">
      <c r="A1502" s="109" t="s">
        <v>12</v>
      </c>
      <c r="B1502" s="109" t="s">
        <v>114</v>
      </c>
      <c r="C1502" s="109">
        <v>0</v>
      </c>
    </row>
    <row r="1503" spans="1:3" ht="24" x14ac:dyDescent="0.3">
      <c r="A1503" s="109" t="s">
        <v>12</v>
      </c>
      <c r="B1503" s="109" t="s">
        <v>115</v>
      </c>
      <c r="C1503" s="109">
        <v>0</v>
      </c>
    </row>
    <row r="1504" spans="1:3" ht="24" x14ac:dyDescent="0.3">
      <c r="A1504" s="109" t="s">
        <v>12</v>
      </c>
      <c r="B1504" s="109" t="s">
        <v>116</v>
      </c>
      <c r="C1504" s="109">
        <v>0</v>
      </c>
    </row>
    <row r="1505" spans="1:3" ht="24" x14ac:dyDescent="0.3">
      <c r="A1505" s="109" t="s">
        <v>12</v>
      </c>
      <c r="B1505" s="109" t="s">
        <v>117</v>
      </c>
      <c r="C1505" s="109">
        <v>0</v>
      </c>
    </row>
    <row r="1506" spans="1:3" ht="24" x14ac:dyDescent="0.3">
      <c r="A1506" s="109" t="s">
        <v>12</v>
      </c>
      <c r="B1506" s="109" t="s">
        <v>118</v>
      </c>
      <c r="C1506" s="109">
        <v>0</v>
      </c>
    </row>
    <row r="1507" spans="1:3" ht="24" x14ac:dyDescent="0.3">
      <c r="A1507" s="109" t="s">
        <v>12</v>
      </c>
      <c r="B1507" s="109" t="s">
        <v>120</v>
      </c>
      <c r="C1507" s="109">
        <v>0</v>
      </c>
    </row>
    <row r="1508" spans="1:3" ht="24" x14ac:dyDescent="0.3">
      <c r="A1508" s="109" t="s">
        <v>12</v>
      </c>
      <c r="B1508" s="109" t="s">
        <v>121</v>
      </c>
      <c r="C1508" s="109">
        <v>0.25</v>
      </c>
    </row>
    <row r="1509" spans="1:3" ht="24" x14ac:dyDescent="0.3">
      <c r="A1509" s="109" t="s">
        <v>12</v>
      </c>
      <c r="B1509" s="109" t="s">
        <v>122</v>
      </c>
      <c r="C1509" s="109">
        <v>0</v>
      </c>
    </row>
    <row r="1510" spans="1:3" ht="24" x14ac:dyDescent="0.3">
      <c r="A1510" s="109" t="s">
        <v>12</v>
      </c>
      <c r="B1510" s="109" t="s">
        <v>123</v>
      </c>
      <c r="C1510" s="109">
        <v>0</v>
      </c>
    </row>
    <row r="1511" spans="1:3" ht="24" x14ac:dyDescent="0.3">
      <c r="A1511" s="109" t="s">
        <v>12</v>
      </c>
      <c r="B1511" s="109" t="s">
        <v>124</v>
      </c>
      <c r="C1511" s="109">
        <v>1</v>
      </c>
    </row>
    <row r="1512" spans="1:3" ht="24" x14ac:dyDescent="0.3">
      <c r="A1512" s="109" t="s">
        <v>12</v>
      </c>
      <c r="B1512" s="109" t="s">
        <v>125</v>
      </c>
      <c r="C1512" s="109">
        <v>0</v>
      </c>
    </row>
    <row r="1513" spans="1:3" ht="24" x14ac:dyDescent="0.3">
      <c r="A1513" s="109" t="s">
        <v>12</v>
      </c>
      <c r="B1513" s="109" t="s">
        <v>126</v>
      </c>
      <c r="C1513" s="109">
        <v>0</v>
      </c>
    </row>
    <row r="1514" spans="1:3" ht="24" x14ac:dyDescent="0.3">
      <c r="A1514" s="109" t="s">
        <v>1</v>
      </c>
      <c r="B1514" s="109" t="s">
        <v>206</v>
      </c>
      <c r="C1514" s="109" t="s">
        <v>58</v>
      </c>
    </row>
    <row r="1515" spans="1:3" ht="24" x14ac:dyDescent="0.3">
      <c r="A1515" s="109" t="s">
        <v>1</v>
      </c>
      <c r="B1515" s="109" t="s">
        <v>62</v>
      </c>
      <c r="C1515" s="109">
        <v>288</v>
      </c>
    </row>
    <row r="1516" spans="1:3" ht="24" x14ac:dyDescent="0.3">
      <c r="A1516" s="109" t="s">
        <v>1</v>
      </c>
      <c r="B1516" s="109" t="s">
        <v>63</v>
      </c>
      <c r="C1516" s="109">
        <v>200</v>
      </c>
    </row>
    <row r="1517" spans="1:3" ht="24" x14ac:dyDescent="0.3">
      <c r="A1517" s="109" t="s">
        <v>1</v>
      </c>
      <c r="B1517" s="109" t="s">
        <v>64</v>
      </c>
      <c r="C1517" s="109">
        <v>0</v>
      </c>
    </row>
    <row r="1518" spans="1:3" ht="24" x14ac:dyDescent="0.3">
      <c r="A1518" s="109" t="s">
        <v>1</v>
      </c>
      <c r="B1518" s="109" t="s">
        <v>65</v>
      </c>
      <c r="C1518" s="109">
        <v>480</v>
      </c>
    </row>
    <row r="1519" spans="1:3" ht="24" x14ac:dyDescent="0.3">
      <c r="A1519" s="109" t="s">
        <v>1</v>
      </c>
      <c r="B1519" s="109" t="s">
        <v>66</v>
      </c>
      <c r="C1519" s="109">
        <v>110</v>
      </c>
    </row>
    <row r="1520" spans="1:3" ht="24" x14ac:dyDescent="0.3">
      <c r="A1520" s="109" t="s">
        <v>1</v>
      </c>
      <c r="B1520" s="109" t="s">
        <v>67</v>
      </c>
      <c r="C1520" s="109">
        <v>0</v>
      </c>
    </row>
    <row r="1521" spans="1:3" ht="24" x14ac:dyDescent="0.3">
      <c r="A1521" s="109" t="s">
        <v>1</v>
      </c>
      <c r="B1521" s="109" t="s">
        <v>68</v>
      </c>
      <c r="C1521" s="109">
        <v>0</v>
      </c>
    </row>
    <row r="1522" spans="1:3" ht="24" x14ac:dyDescent="0.3">
      <c r="A1522" s="109" t="s">
        <v>1</v>
      </c>
      <c r="B1522" s="109" t="s">
        <v>69</v>
      </c>
      <c r="C1522" s="109">
        <v>180</v>
      </c>
    </row>
    <row r="1523" spans="1:3" ht="24" x14ac:dyDescent="0.3">
      <c r="A1523" s="109" t="s">
        <v>1</v>
      </c>
      <c r="B1523" s="109" t="s">
        <v>70</v>
      </c>
      <c r="C1523" s="109">
        <v>70</v>
      </c>
    </row>
    <row r="1524" spans="1:3" ht="24" x14ac:dyDescent="0.3">
      <c r="A1524" s="109" t="s">
        <v>1</v>
      </c>
      <c r="B1524" s="109" t="s">
        <v>71</v>
      </c>
      <c r="C1524" s="109">
        <v>70</v>
      </c>
    </row>
    <row r="1525" spans="1:3" ht="24" x14ac:dyDescent="0.3">
      <c r="A1525" s="109" t="s">
        <v>1</v>
      </c>
      <c r="B1525" s="109" t="s">
        <v>72</v>
      </c>
      <c r="C1525" s="109">
        <v>0</v>
      </c>
    </row>
    <row r="1526" spans="1:3" ht="24" x14ac:dyDescent="0.3">
      <c r="A1526" s="109" t="s">
        <v>1</v>
      </c>
      <c r="B1526" s="109" t="s">
        <v>73</v>
      </c>
      <c r="C1526" s="109">
        <v>130</v>
      </c>
    </row>
    <row r="1527" spans="1:3" ht="24" x14ac:dyDescent="0.3">
      <c r="A1527" s="109" t="s">
        <v>1</v>
      </c>
      <c r="B1527" s="109" t="s">
        <v>74</v>
      </c>
      <c r="C1527" s="109">
        <v>1300</v>
      </c>
    </row>
    <row r="1528" spans="1:3" ht="24" x14ac:dyDescent="0.3">
      <c r="A1528" s="109" t="s">
        <v>1</v>
      </c>
      <c r="B1528" s="109" t="s">
        <v>75</v>
      </c>
      <c r="C1528" s="109">
        <v>650</v>
      </c>
    </row>
    <row r="1529" spans="1:3" ht="24" x14ac:dyDescent="0.3">
      <c r="A1529" s="109" t="s">
        <v>1</v>
      </c>
      <c r="B1529" s="109" t="s">
        <v>76</v>
      </c>
      <c r="C1529" s="109">
        <v>0</v>
      </c>
    </row>
    <row r="1530" spans="1:3" ht="24" x14ac:dyDescent="0.3">
      <c r="A1530" s="109" t="s">
        <v>1</v>
      </c>
      <c r="B1530" s="109" t="s">
        <v>77</v>
      </c>
      <c r="C1530" s="109">
        <v>550</v>
      </c>
    </row>
    <row r="1531" spans="1:3" ht="24" x14ac:dyDescent="0.3">
      <c r="A1531" s="109" t="s">
        <v>1</v>
      </c>
      <c r="B1531" s="109" t="s">
        <v>78</v>
      </c>
      <c r="C1531" s="109">
        <v>588</v>
      </c>
    </row>
    <row r="1532" spans="1:3" ht="24" x14ac:dyDescent="0.3">
      <c r="A1532" s="109" t="s">
        <v>1</v>
      </c>
      <c r="B1532" s="109" t="s">
        <v>79</v>
      </c>
      <c r="C1532" s="109">
        <v>900</v>
      </c>
    </row>
    <row r="1533" spans="1:3" ht="24" x14ac:dyDescent="0.3">
      <c r="A1533" s="109" t="s">
        <v>1</v>
      </c>
      <c r="B1533" s="109" t="s">
        <v>80</v>
      </c>
      <c r="C1533" s="109">
        <v>0</v>
      </c>
    </row>
    <row r="1534" spans="1:3" ht="24" x14ac:dyDescent="0.3">
      <c r="A1534" s="109" t="s">
        <v>1</v>
      </c>
      <c r="B1534" s="109" t="s">
        <v>81</v>
      </c>
      <c r="C1534" s="109">
        <v>300</v>
      </c>
    </row>
    <row r="1535" spans="1:3" ht="24" x14ac:dyDescent="0.3">
      <c r="A1535" s="109" t="s">
        <v>1</v>
      </c>
      <c r="B1535" s="109" t="s">
        <v>83</v>
      </c>
      <c r="C1535" s="109">
        <v>35660</v>
      </c>
    </row>
    <row r="1536" spans="1:3" ht="24" x14ac:dyDescent="0.3">
      <c r="A1536" s="109" t="s">
        <v>1</v>
      </c>
      <c r="B1536" s="109" t="s">
        <v>84</v>
      </c>
      <c r="C1536" s="109">
        <v>18550</v>
      </c>
    </row>
    <row r="1537" spans="1:3" ht="24" x14ac:dyDescent="0.3">
      <c r="A1537" s="109" t="s">
        <v>1</v>
      </c>
      <c r="B1537" s="109" t="s">
        <v>85</v>
      </c>
      <c r="C1537" s="109">
        <v>1985</v>
      </c>
    </row>
    <row r="1538" spans="1:3" ht="24" x14ac:dyDescent="0.3">
      <c r="A1538" s="109" t="s">
        <v>1</v>
      </c>
      <c r="B1538" s="109" t="s">
        <v>86</v>
      </c>
      <c r="C1538" s="109">
        <v>820</v>
      </c>
    </row>
    <row r="1539" spans="1:3" ht="24" x14ac:dyDescent="0.3">
      <c r="A1539" s="109" t="s">
        <v>1</v>
      </c>
      <c r="B1539" s="109" t="s">
        <v>87</v>
      </c>
      <c r="C1539" s="109">
        <v>7275</v>
      </c>
    </row>
    <row r="1540" spans="1:3" ht="24" x14ac:dyDescent="0.3">
      <c r="A1540" s="109" t="s">
        <v>1</v>
      </c>
      <c r="B1540" s="109" t="s">
        <v>88</v>
      </c>
      <c r="C1540" s="109">
        <v>1182</v>
      </c>
    </row>
    <row r="1541" spans="1:3" ht="24" x14ac:dyDescent="0.3">
      <c r="A1541" s="109" t="s">
        <v>1</v>
      </c>
      <c r="B1541" s="109" t="s">
        <v>89</v>
      </c>
      <c r="C1541" s="109">
        <v>0</v>
      </c>
    </row>
    <row r="1542" spans="1:3" ht="24" x14ac:dyDescent="0.3">
      <c r="A1542" s="109" t="s">
        <v>1</v>
      </c>
      <c r="B1542" s="109" t="s">
        <v>90</v>
      </c>
      <c r="C1542" s="109">
        <v>13200</v>
      </c>
    </row>
    <row r="1543" spans="1:3" ht="24" x14ac:dyDescent="0.3">
      <c r="A1543" s="109" t="s">
        <v>1</v>
      </c>
      <c r="B1543" s="109" t="s">
        <v>92</v>
      </c>
      <c r="C1543" s="109">
        <v>640</v>
      </c>
    </row>
    <row r="1544" spans="1:3" ht="24" x14ac:dyDescent="0.3">
      <c r="A1544" s="109" t="s">
        <v>1</v>
      </c>
      <c r="B1544" s="109" t="s">
        <v>93</v>
      </c>
      <c r="C1544" s="109">
        <v>3080</v>
      </c>
    </row>
    <row r="1545" spans="1:3" ht="24" x14ac:dyDescent="0.3">
      <c r="A1545" s="109" t="s">
        <v>1</v>
      </c>
      <c r="B1545" s="109" t="s">
        <v>94</v>
      </c>
      <c r="C1545" s="109">
        <v>0</v>
      </c>
    </row>
    <row r="1546" spans="1:3" ht="24" x14ac:dyDescent="0.3">
      <c r="A1546" s="109" t="s">
        <v>1</v>
      </c>
      <c r="B1546" s="109" t="s">
        <v>95</v>
      </c>
      <c r="C1546" s="109">
        <v>0</v>
      </c>
    </row>
    <row r="1547" spans="1:3" ht="24" x14ac:dyDescent="0.3">
      <c r="A1547" s="109" t="s">
        <v>1</v>
      </c>
      <c r="B1547" s="109" t="s">
        <v>96</v>
      </c>
      <c r="C1547" s="109">
        <v>190</v>
      </c>
    </row>
    <row r="1548" spans="1:3" ht="24" x14ac:dyDescent="0.3">
      <c r="A1548" s="109" t="s">
        <v>1</v>
      </c>
      <c r="B1548" s="109" t="s">
        <v>97</v>
      </c>
      <c r="C1548" s="109">
        <v>650</v>
      </c>
    </row>
    <row r="1549" spans="1:3" ht="24" x14ac:dyDescent="0.3">
      <c r="A1549" s="109" t="s">
        <v>1</v>
      </c>
      <c r="B1549" s="109" t="s">
        <v>98</v>
      </c>
      <c r="C1549" s="109">
        <v>0</v>
      </c>
    </row>
    <row r="1550" spans="1:3" ht="24" x14ac:dyDescent="0.3">
      <c r="A1550" s="109" t="s">
        <v>1</v>
      </c>
      <c r="B1550" s="109" t="s">
        <v>99</v>
      </c>
      <c r="C1550" s="109">
        <v>100</v>
      </c>
    </row>
    <row r="1551" spans="1:3" ht="24" x14ac:dyDescent="0.3">
      <c r="A1551" s="109" t="s">
        <v>1</v>
      </c>
      <c r="B1551" s="109" t="s">
        <v>100</v>
      </c>
      <c r="C1551" s="109">
        <v>130</v>
      </c>
    </row>
    <row r="1552" spans="1:3" ht="24" x14ac:dyDescent="0.3">
      <c r="A1552" s="109" t="s">
        <v>1</v>
      </c>
      <c r="B1552" s="109" t="s">
        <v>101</v>
      </c>
      <c r="C1552" s="109">
        <v>1400</v>
      </c>
    </row>
    <row r="1553" spans="1:3" ht="24" x14ac:dyDescent="0.3">
      <c r="A1553" s="109" t="s">
        <v>1</v>
      </c>
      <c r="B1553" s="109" t="s">
        <v>102</v>
      </c>
      <c r="C1553" s="109">
        <v>145</v>
      </c>
    </row>
    <row r="1554" spans="1:3" ht="24" x14ac:dyDescent="0.3">
      <c r="A1554" s="109" t="s">
        <v>1</v>
      </c>
      <c r="B1554" s="109" t="s">
        <v>103</v>
      </c>
      <c r="C1554" s="109">
        <v>0</v>
      </c>
    </row>
    <row r="1555" spans="1:3" ht="24" x14ac:dyDescent="0.3">
      <c r="A1555" s="109" t="s">
        <v>1</v>
      </c>
      <c r="B1555" s="109" t="s">
        <v>104</v>
      </c>
      <c r="C1555" s="109">
        <v>0</v>
      </c>
    </row>
    <row r="1556" spans="1:3" ht="24" x14ac:dyDescent="0.3">
      <c r="A1556" s="109" t="s">
        <v>1</v>
      </c>
      <c r="B1556" s="109" t="s">
        <v>105</v>
      </c>
      <c r="C1556" s="109">
        <v>0</v>
      </c>
    </row>
    <row r="1557" spans="1:3" ht="24" x14ac:dyDescent="0.3">
      <c r="A1557" s="109" t="s">
        <v>1</v>
      </c>
      <c r="B1557" s="109" t="s">
        <v>106</v>
      </c>
      <c r="C1557" s="109">
        <v>0</v>
      </c>
    </row>
    <row r="1558" spans="1:3" ht="24" x14ac:dyDescent="0.3">
      <c r="A1558" s="109" t="s">
        <v>1</v>
      </c>
      <c r="B1558" s="109" t="s">
        <v>107</v>
      </c>
      <c r="C1558" s="109">
        <v>0</v>
      </c>
    </row>
    <row r="1559" spans="1:3" ht="24" x14ac:dyDescent="0.3">
      <c r="A1559" s="109" t="s">
        <v>1</v>
      </c>
      <c r="B1559" s="109" t="s">
        <v>108</v>
      </c>
      <c r="C1559" s="109">
        <v>200</v>
      </c>
    </row>
    <row r="1560" spans="1:3" ht="24" x14ac:dyDescent="0.3">
      <c r="A1560" s="109" t="s">
        <v>1</v>
      </c>
      <c r="B1560" s="109" t="s">
        <v>109</v>
      </c>
      <c r="C1560" s="109">
        <v>0</v>
      </c>
    </row>
    <row r="1561" spans="1:3" ht="24" x14ac:dyDescent="0.3">
      <c r="A1561" s="109" t="s">
        <v>1</v>
      </c>
      <c r="B1561" s="109" t="s">
        <v>110</v>
      </c>
      <c r="C1561" s="109">
        <v>0</v>
      </c>
    </row>
    <row r="1562" spans="1:3" ht="24" x14ac:dyDescent="0.3">
      <c r="A1562" s="109" t="s">
        <v>1</v>
      </c>
      <c r="B1562" s="109" t="s">
        <v>111</v>
      </c>
      <c r="C1562" s="109">
        <v>0</v>
      </c>
    </row>
    <row r="1563" spans="1:3" ht="24" x14ac:dyDescent="0.3">
      <c r="A1563" s="109" t="s">
        <v>1</v>
      </c>
      <c r="B1563" s="109" t="s">
        <v>112</v>
      </c>
      <c r="C1563" s="109">
        <v>0</v>
      </c>
    </row>
    <row r="1564" spans="1:3" ht="24" x14ac:dyDescent="0.3">
      <c r="A1564" s="109" t="s">
        <v>1</v>
      </c>
      <c r="B1564" s="109" t="s">
        <v>113</v>
      </c>
      <c r="C1564" s="109">
        <v>0</v>
      </c>
    </row>
    <row r="1565" spans="1:3" ht="24" x14ac:dyDescent="0.3">
      <c r="A1565" s="109" t="s">
        <v>1</v>
      </c>
      <c r="B1565" s="109" t="s">
        <v>114</v>
      </c>
      <c r="C1565" s="109">
        <v>0</v>
      </c>
    </row>
    <row r="1566" spans="1:3" ht="24" x14ac:dyDescent="0.3">
      <c r="A1566" s="109" t="s">
        <v>1</v>
      </c>
      <c r="B1566" s="109" t="s">
        <v>115</v>
      </c>
      <c r="C1566" s="109">
        <v>0</v>
      </c>
    </row>
    <row r="1567" spans="1:3" ht="24" x14ac:dyDescent="0.3">
      <c r="A1567" s="109" t="s">
        <v>1</v>
      </c>
      <c r="B1567" s="109" t="s">
        <v>116</v>
      </c>
      <c r="C1567" s="109">
        <v>150</v>
      </c>
    </row>
    <row r="1568" spans="1:3" ht="24" x14ac:dyDescent="0.3">
      <c r="A1568" s="109" t="s">
        <v>1</v>
      </c>
      <c r="B1568" s="109" t="s">
        <v>117</v>
      </c>
      <c r="C1568" s="109">
        <v>780</v>
      </c>
    </row>
    <row r="1569" spans="1:3" ht="24" x14ac:dyDescent="0.3">
      <c r="A1569" s="109" t="s">
        <v>1</v>
      </c>
      <c r="B1569" s="109" t="s">
        <v>118</v>
      </c>
      <c r="C1569" s="109">
        <v>470</v>
      </c>
    </row>
    <row r="1570" spans="1:3" ht="24" x14ac:dyDescent="0.3">
      <c r="A1570" s="109" t="s">
        <v>1</v>
      </c>
      <c r="B1570" s="109" t="s">
        <v>120</v>
      </c>
      <c r="C1570" s="109">
        <v>80</v>
      </c>
    </row>
    <row r="1571" spans="1:3" ht="24" x14ac:dyDescent="0.3">
      <c r="A1571" s="109" t="s">
        <v>1</v>
      </c>
      <c r="B1571" s="109" t="s">
        <v>121</v>
      </c>
      <c r="C1571" s="109">
        <v>205</v>
      </c>
    </row>
    <row r="1572" spans="1:3" ht="24" x14ac:dyDescent="0.3">
      <c r="A1572" s="109" t="s">
        <v>1</v>
      </c>
      <c r="B1572" s="109" t="s">
        <v>122</v>
      </c>
      <c r="C1572" s="109">
        <v>0</v>
      </c>
    </row>
    <row r="1573" spans="1:3" ht="24" x14ac:dyDescent="0.3">
      <c r="A1573" s="109" t="s">
        <v>1</v>
      </c>
      <c r="B1573" s="109" t="s">
        <v>123</v>
      </c>
      <c r="C1573" s="109">
        <v>0</v>
      </c>
    </row>
    <row r="1574" spans="1:3" ht="24" x14ac:dyDescent="0.3">
      <c r="A1574" s="109" t="s">
        <v>1</v>
      </c>
      <c r="B1574" s="109" t="s">
        <v>124</v>
      </c>
      <c r="C1574" s="109">
        <v>0</v>
      </c>
    </row>
    <row r="1575" spans="1:3" ht="24" x14ac:dyDescent="0.3">
      <c r="A1575" s="109" t="s">
        <v>1</v>
      </c>
      <c r="B1575" s="109" t="s">
        <v>125</v>
      </c>
      <c r="C1575" s="109">
        <v>0</v>
      </c>
    </row>
    <row r="1576" spans="1:3" ht="24" x14ac:dyDescent="0.3">
      <c r="A1576" s="109" t="s">
        <v>1</v>
      </c>
      <c r="B1576" s="109" t="s">
        <v>126</v>
      </c>
      <c r="C1576" s="109">
        <v>2560</v>
      </c>
    </row>
    <row r="1577" spans="1:3" ht="24" x14ac:dyDescent="0.3">
      <c r="A1577" s="109" t="s">
        <v>25</v>
      </c>
      <c r="B1577" s="109" t="s">
        <v>206</v>
      </c>
      <c r="C1577" s="109" t="s">
        <v>58</v>
      </c>
    </row>
    <row r="1578" spans="1:3" ht="24" x14ac:dyDescent="0.3">
      <c r="A1578" s="109" t="s">
        <v>25</v>
      </c>
      <c r="B1578" s="109" t="s">
        <v>62</v>
      </c>
      <c r="C1578" s="109">
        <v>360</v>
      </c>
    </row>
    <row r="1579" spans="1:3" ht="24" x14ac:dyDescent="0.3">
      <c r="A1579" s="109" t="s">
        <v>25</v>
      </c>
      <c r="B1579" s="109" t="s">
        <v>63</v>
      </c>
      <c r="C1579" s="109">
        <v>480</v>
      </c>
    </row>
    <row r="1580" spans="1:3" ht="24" x14ac:dyDescent="0.3">
      <c r="A1580" s="109" t="s">
        <v>25</v>
      </c>
      <c r="B1580" s="109" t="s">
        <v>64</v>
      </c>
      <c r="C1580" s="109">
        <v>320</v>
      </c>
    </row>
    <row r="1581" spans="1:3" ht="24" x14ac:dyDescent="0.3">
      <c r="A1581" s="109" t="s">
        <v>25</v>
      </c>
      <c r="B1581" s="109" t="s">
        <v>65</v>
      </c>
      <c r="C1581" s="109">
        <v>900</v>
      </c>
    </row>
    <row r="1582" spans="1:3" ht="24" x14ac:dyDescent="0.3">
      <c r="A1582" s="109" t="s">
        <v>25</v>
      </c>
      <c r="B1582" s="109" t="s">
        <v>66</v>
      </c>
      <c r="C1582" s="109">
        <v>275</v>
      </c>
    </row>
    <row r="1583" spans="1:3" ht="24" x14ac:dyDescent="0.3">
      <c r="A1583" s="109" t="s">
        <v>25</v>
      </c>
      <c r="B1583" s="109" t="s">
        <v>67</v>
      </c>
      <c r="C1583" s="109">
        <v>0</v>
      </c>
    </row>
    <row r="1584" spans="1:3" ht="24" x14ac:dyDescent="0.3">
      <c r="A1584" s="109" t="s">
        <v>25</v>
      </c>
      <c r="B1584" s="109" t="s">
        <v>68</v>
      </c>
      <c r="C1584" s="109">
        <v>75</v>
      </c>
    </row>
    <row r="1585" spans="1:3" ht="24" x14ac:dyDescent="0.3">
      <c r="A1585" s="109" t="s">
        <v>25</v>
      </c>
      <c r="B1585" s="109" t="s">
        <v>69</v>
      </c>
      <c r="C1585" s="109">
        <v>180</v>
      </c>
    </row>
    <row r="1586" spans="1:3" ht="24" x14ac:dyDescent="0.3">
      <c r="A1586" s="109" t="s">
        <v>25</v>
      </c>
      <c r="B1586" s="109" t="s">
        <v>70</v>
      </c>
      <c r="C1586" s="109">
        <v>140</v>
      </c>
    </row>
    <row r="1587" spans="1:3" ht="24" x14ac:dyDescent="0.3">
      <c r="A1587" s="109" t="s">
        <v>25</v>
      </c>
      <c r="B1587" s="109" t="s">
        <v>71</v>
      </c>
      <c r="C1587" s="109">
        <v>140</v>
      </c>
    </row>
    <row r="1588" spans="1:3" ht="24" x14ac:dyDescent="0.3">
      <c r="A1588" s="109" t="s">
        <v>25</v>
      </c>
      <c r="B1588" s="109" t="s">
        <v>72</v>
      </c>
      <c r="C1588" s="109">
        <v>250</v>
      </c>
    </row>
    <row r="1589" spans="1:3" ht="24" x14ac:dyDescent="0.3">
      <c r="A1589" s="109" t="s">
        <v>25</v>
      </c>
      <c r="B1589" s="109" t="s">
        <v>73</v>
      </c>
      <c r="C1589" s="109">
        <v>105</v>
      </c>
    </row>
    <row r="1590" spans="1:3" ht="24" x14ac:dyDescent="0.3">
      <c r="A1590" s="109" t="s">
        <v>25</v>
      </c>
      <c r="B1590" s="109" t="s">
        <v>74</v>
      </c>
      <c r="C1590" s="109">
        <v>1950</v>
      </c>
    </row>
    <row r="1591" spans="1:3" ht="24" x14ac:dyDescent="0.3">
      <c r="A1591" s="109" t="s">
        <v>25</v>
      </c>
      <c r="B1591" s="109" t="s">
        <v>75</v>
      </c>
      <c r="C1591" s="109">
        <v>650</v>
      </c>
    </row>
    <row r="1592" spans="1:3" ht="24" x14ac:dyDescent="0.3">
      <c r="A1592" s="109" t="s">
        <v>25</v>
      </c>
      <c r="B1592" s="109" t="s">
        <v>76</v>
      </c>
      <c r="C1592" s="109">
        <v>0</v>
      </c>
    </row>
    <row r="1593" spans="1:3" ht="24" x14ac:dyDescent="0.3">
      <c r="A1593" s="109" t="s">
        <v>25</v>
      </c>
      <c r="B1593" s="109" t="s">
        <v>77</v>
      </c>
      <c r="C1593" s="109">
        <v>1100</v>
      </c>
    </row>
    <row r="1594" spans="1:3" ht="24" x14ac:dyDescent="0.3">
      <c r="A1594" s="109" t="s">
        <v>25</v>
      </c>
      <c r="B1594" s="109" t="s">
        <v>78</v>
      </c>
      <c r="C1594" s="109">
        <v>1225</v>
      </c>
    </row>
    <row r="1595" spans="1:3" ht="24" x14ac:dyDescent="0.3">
      <c r="A1595" s="109" t="s">
        <v>25</v>
      </c>
      <c r="B1595" s="109" t="s">
        <v>79</v>
      </c>
      <c r="C1595" s="109">
        <v>1020</v>
      </c>
    </row>
    <row r="1596" spans="1:3" ht="24" x14ac:dyDescent="0.3">
      <c r="A1596" s="109" t="s">
        <v>25</v>
      </c>
      <c r="B1596" s="109" t="s">
        <v>80</v>
      </c>
      <c r="C1596" s="109">
        <v>360</v>
      </c>
    </row>
    <row r="1597" spans="1:3" ht="24" x14ac:dyDescent="0.3">
      <c r="A1597" s="109" t="s">
        <v>25</v>
      </c>
      <c r="B1597" s="109" t="s">
        <v>81</v>
      </c>
      <c r="C1597" s="109">
        <v>120</v>
      </c>
    </row>
    <row r="1598" spans="1:3" ht="24" x14ac:dyDescent="0.3">
      <c r="A1598" s="109" t="s">
        <v>25</v>
      </c>
      <c r="B1598" s="109" t="s">
        <v>83</v>
      </c>
      <c r="C1598" s="109">
        <v>18720</v>
      </c>
    </row>
    <row r="1599" spans="1:3" ht="24" x14ac:dyDescent="0.3">
      <c r="A1599" s="109" t="s">
        <v>25</v>
      </c>
      <c r="B1599" s="109" t="s">
        <v>84</v>
      </c>
      <c r="C1599" s="109">
        <v>16650</v>
      </c>
    </row>
    <row r="1600" spans="1:3" ht="24" x14ac:dyDescent="0.3">
      <c r="A1600" s="109" t="s">
        <v>25</v>
      </c>
      <c r="B1600" s="109" t="s">
        <v>85</v>
      </c>
      <c r="C1600" s="109">
        <v>1050</v>
      </c>
    </row>
    <row r="1601" spans="1:3" ht="24" x14ac:dyDescent="0.3">
      <c r="A1601" s="109" t="s">
        <v>25</v>
      </c>
      <c r="B1601" s="109" t="s">
        <v>86</v>
      </c>
      <c r="C1601" s="109">
        <v>630</v>
      </c>
    </row>
    <row r="1602" spans="1:3" ht="24" x14ac:dyDescent="0.3">
      <c r="A1602" s="109" t="s">
        <v>25</v>
      </c>
      <c r="B1602" s="109" t="s">
        <v>87</v>
      </c>
      <c r="C1602" s="109">
        <v>4365</v>
      </c>
    </row>
    <row r="1603" spans="1:3" ht="24" x14ac:dyDescent="0.3">
      <c r="A1603" s="109" t="s">
        <v>25</v>
      </c>
      <c r="B1603" s="109" t="s">
        <v>88</v>
      </c>
      <c r="C1603" s="109">
        <v>1773</v>
      </c>
    </row>
    <row r="1604" spans="1:3" ht="24" x14ac:dyDescent="0.3">
      <c r="A1604" s="109" t="s">
        <v>25</v>
      </c>
      <c r="B1604" s="109" t="s">
        <v>89</v>
      </c>
      <c r="C1604" s="109">
        <v>0</v>
      </c>
    </row>
    <row r="1605" spans="1:3" ht="24" x14ac:dyDescent="0.3">
      <c r="A1605" s="109" t="s">
        <v>25</v>
      </c>
      <c r="B1605" s="109" t="s">
        <v>90</v>
      </c>
      <c r="C1605" s="109">
        <v>0</v>
      </c>
    </row>
    <row r="1606" spans="1:3" ht="24" x14ac:dyDescent="0.3">
      <c r="A1606" s="109" t="s">
        <v>25</v>
      </c>
      <c r="B1606" s="109" t="s">
        <v>92</v>
      </c>
      <c r="C1606" s="109">
        <v>600</v>
      </c>
    </row>
    <row r="1607" spans="1:3" ht="24" x14ac:dyDescent="0.3">
      <c r="A1607" s="109" t="s">
        <v>25</v>
      </c>
      <c r="B1607" s="109" t="s">
        <v>93</v>
      </c>
      <c r="C1607" s="109">
        <v>4970</v>
      </c>
    </row>
    <row r="1608" spans="1:3" ht="24" x14ac:dyDescent="0.3">
      <c r="A1608" s="109" t="s">
        <v>25</v>
      </c>
      <c r="B1608" s="109" t="s">
        <v>94</v>
      </c>
      <c r="C1608" s="109">
        <v>250</v>
      </c>
    </row>
    <row r="1609" spans="1:3" ht="24" x14ac:dyDescent="0.3">
      <c r="A1609" s="109" t="s">
        <v>25</v>
      </c>
      <c r="B1609" s="109" t="s">
        <v>95</v>
      </c>
      <c r="C1609" s="109">
        <v>330</v>
      </c>
    </row>
    <row r="1610" spans="1:3" ht="24" x14ac:dyDescent="0.3">
      <c r="A1610" s="109" t="s">
        <v>25</v>
      </c>
      <c r="B1610" s="109" t="s">
        <v>96</v>
      </c>
      <c r="C1610" s="109">
        <v>250</v>
      </c>
    </row>
    <row r="1611" spans="1:3" ht="24" x14ac:dyDescent="0.3">
      <c r="A1611" s="109" t="s">
        <v>25</v>
      </c>
      <c r="B1611" s="109" t="s">
        <v>97</v>
      </c>
      <c r="C1611" s="109">
        <v>630</v>
      </c>
    </row>
    <row r="1612" spans="1:3" ht="24" x14ac:dyDescent="0.3">
      <c r="A1612" s="109" t="s">
        <v>25</v>
      </c>
      <c r="B1612" s="109" t="s">
        <v>98</v>
      </c>
      <c r="C1612" s="109">
        <v>130</v>
      </c>
    </row>
    <row r="1613" spans="1:3" ht="24" x14ac:dyDescent="0.3">
      <c r="A1613" s="109" t="s">
        <v>25</v>
      </c>
      <c r="B1613" s="109" t="s">
        <v>99</v>
      </c>
      <c r="C1613" s="109">
        <v>350</v>
      </c>
    </row>
    <row r="1614" spans="1:3" ht="24" x14ac:dyDescent="0.3">
      <c r="A1614" s="109" t="s">
        <v>25</v>
      </c>
      <c r="B1614" s="109" t="s">
        <v>100</v>
      </c>
      <c r="C1614" s="109">
        <v>350</v>
      </c>
    </row>
    <row r="1615" spans="1:3" ht="24" x14ac:dyDescent="0.3">
      <c r="A1615" s="109" t="s">
        <v>25</v>
      </c>
      <c r="B1615" s="109" t="s">
        <v>101</v>
      </c>
      <c r="C1615" s="109">
        <v>1800</v>
      </c>
    </row>
    <row r="1616" spans="1:3" ht="24" x14ac:dyDescent="0.3">
      <c r="A1616" s="109" t="s">
        <v>25</v>
      </c>
      <c r="B1616" s="109" t="s">
        <v>102</v>
      </c>
      <c r="C1616" s="109">
        <v>450</v>
      </c>
    </row>
    <row r="1617" spans="1:3" ht="24" x14ac:dyDescent="0.3">
      <c r="A1617" s="109" t="s">
        <v>25</v>
      </c>
      <c r="B1617" s="109" t="s">
        <v>103</v>
      </c>
      <c r="C1617" s="109">
        <v>180</v>
      </c>
    </row>
    <row r="1618" spans="1:3" ht="24" x14ac:dyDescent="0.3">
      <c r="A1618" s="109" t="s">
        <v>25</v>
      </c>
      <c r="B1618" s="109" t="s">
        <v>104</v>
      </c>
      <c r="C1618" s="109">
        <v>550</v>
      </c>
    </row>
    <row r="1619" spans="1:3" ht="24" x14ac:dyDescent="0.3">
      <c r="A1619" s="109" t="s">
        <v>25</v>
      </c>
      <c r="B1619" s="109" t="s">
        <v>105</v>
      </c>
      <c r="C1619" s="109">
        <v>0</v>
      </c>
    </row>
    <row r="1620" spans="1:3" ht="24" x14ac:dyDescent="0.3">
      <c r="A1620" s="109" t="s">
        <v>25</v>
      </c>
      <c r="B1620" s="109" t="s">
        <v>106</v>
      </c>
      <c r="C1620" s="109">
        <v>165</v>
      </c>
    </row>
    <row r="1621" spans="1:3" ht="24" x14ac:dyDescent="0.3">
      <c r="A1621" s="109" t="s">
        <v>25</v>
      </c>
      <c r="B1621" s="109" t="s">
        <v>107</v>
      </c>
      <c r="C1621" s="109">
        <v>50</v>
      </c>
    </row>
    <row r="1622" spans="1:3" ht="24" x14ac:dyDescent="0.3">
      <c r="A1622" s="109" t="s">
        <v>25</v>
      </c>
      <c r="B1622" s="109" t="s">
        <v>108</v>
      </c>
      <c r="C1622" s="109">
        <v>350</v>
      </c>
    </row>
    <row r="1623" spans="1:3" ht="24" x14ac:dyDescent="0.3">
      <c r="A1623" s="109" t="s">
        <v>25</v>
      </c>
      <c r="B1623" s="109" t="s">
        <v>109</v>
      </c>
      <c r="C1623" s="109">
        <v>0</v>
      </c>
    </row>
    <row r="1624" spans="1:3" ht="24" x14ac:dyDescent="0.3">
      <c r="A1624" s="109" t="s">
        <v>25</v>
      </c>
      <c r="B1624" s="109" t="s">
        <v>110</v>
      </c>
      <c r="C1624" s="109">
        <v>1100</v>
      </c>
    </row>
    <row r="1625" spans="1:3" ht="24" x14ac:dyDescent="0.3">
      <c r="A1625" s="109" t="s">
        <v>25</v>
      </c>
      <c r="B1625" s="109" t="s">
        <v>111</v>
      </c>
      <c r="C1625" s="109">
        <v>0</v>
      </c>
    </row>
    <row r="1626" spans="1:3" ht="24" x14ac:dyDescent="0.3">
      <c r="A1626" s="109" t="s">
        <v>25</v>
      </c>
      <c r="B1626" s="109" t="s">
        <v>112</v>
      </c>
      <c r="C1626" s="109">
        <v>0</v>
      </c>
    </row>
    <row r="1627" spans="1:3" ht="24" x14ac:dyDescent="0.3">
      <c r="A1627" s="109" t="s">
        <v>25</v>
      </c>
      <c r="B1627" s="109" t="s">
        <v>113</v>
      </c>
      <c r="C1627" s="109">
        <v>0</v>
      </c>
    </row>
    <row r="1628" spans="1:3" ht="24" x14ac:dyDescent="0.3">
      <c r="A1628" s="109" t="s">
        <v>25</v>
      </c>
      <c r="B1628" s="109" t="s">
        <v>114</v>
      </c>
      <c r="C1628" s="109">
        <v>0</v>
      </c>
    </row>
    <row r="1629" spans="1:3" ht="24" x14ac:dyDescent="0.3">
      <c r="A1629" s="109" t="s">
        <v>25</v>
      </c>
      <c r="B1629" s="109" t="s">
        <v>115</v>
      </c>
      <c r="C1629" s="109">
        <v>0</v>
      </c>
    </row>
    <row r="1630" spans="1:3" ht="24" x14ac:dyDescent="0.3">
      <c r="A1630" s="109" t="s">
        <v>25</v>
      </c>
      <c r="B1630" s="109" t="s">
        <v>116</v>
      </c>
      <c r="C1630" s="109">
        <v>300</v>
      </c>
    </row>
    <row r="1631" spans="1:3" ht="24" x14ac:dyDescent="0.3">
      <c r="A1631" s="109" t="s">
        <v>25</v>
      </c>
      <c r="B1631" s="109" t="s">
        <v>117</v>
      </c>
      <c r="C1631" s="109">
        <v>560</v>
      </c>
    </row>
    <row r="1632" spans="1:3" ht="24" x14ac:dyDescent="0.3">
      <c r="A1632" s="109" t="s">
        <v>25</v>
      </c>
      <c r="B1632" s="109" t="s">
        <v>118</v>
      </c>
      <c r="C1632" s="109">
        <v>500</v>
      </c>
    </row>
    <row r="1633" spans="1:3" ht="24" x14ac:dyDescent="0.3">
      <c r="A1633" s="109" t="s">
        <v>25</v>
      </c>
      <c r="B1633" s="109" t="s">
        <v>120</v>
      </c>
      <c r="C1633" s="109">
        <v>300</v>
      </c>
    </row>
    <row r="1634" spans="1:3" ht="24" x14ac:dyDescent="0.3">
      <c r="A1634" s="109" t="s">
        <v>25</v>
      </c>
      <c r="B1634" s="109" t="s">
        <v>121</v>
      </c>
      <c r="C1634" s="109">
        <v>210</v>
      </c>
    </row>
    <row r="1635" spans="1:3" ht="24" x14ac:dyDescent="0.3">
      <c r="A1635" s="109" t="s">
        <v>25</v>
      </c>
      <c r="B1635" s="109" t="s">
        <v>122</v>
      </c>
      <c r="C1635" s="109">
        <v>140</v>
      </c>
    </row>
    <row r="1636" spans="1:3" ht="24" x14ac:dyDescent="0.3">
      <c r="A1636" s="109" t="s">
        <v>25</v>
      </c>
      <c r="B1636" s="109" t="s">
        <v>123</v>
      </c>
      <c r="C1636" s="109">
        <v>0</v>
      </c>
    </row>
    <row r="1637" spans="1:3" ht="24" x14ac:dyDescent="0.3">
      <c r="A1637" s="109" t="s">
        <v>25</v>
      </c>
      <c r="B1637" s="109" t="s">
        <v>124</v>
      </c>
      <c r="C1637" s="109">
        <v>0</v>
      </c>
    </row>
    <row r="1638" spans="1:3" ht="24" x14ac:dyDescent="0.3">
      <c r="A1638" s="109" t="s">
        <v>25</v>
      </c>
      <c r="B1638" s="109" t="s">
        <v>125</v>
      </c>
      <c r="C1638" s="109">
        <v>200</v>
      </c>
    </row>
    <row r="1639" spans="1:3" ht="24" x14ac:dyDescent="0.3">
      <c r="A1639" s="109" t="s">
        <v>25</v>
      </c>
      <c r="B1639" s="109" t="s">
        <v>126</v>
      </c>
      <c r="C1639" s="109">
        <v>0</v>
      </c>
    </row>
    <row r="1640" spans="1:3" ht="24" x14ac:dyDescent="0.3">
      <c r="A1640" s="109" t="s">
        <v>3</v>
      </c>
      <c r="B1640" s="109" t="s">
        <v>206</v>
      </c>
      <c r="C1640" s="109" t="s">
        <v>58</v>
      </c>
    </row>
    <row r="1641" spans="1:3" ht="24" x14ac:dyDescent="0.3">
      <c r="A1641" s="109" t="s">
        <v>3</v>
      </c>
      <c r="B1641" s="109" t="s">
        <v>62</v>
      </c>
      <c r="C1641" s="109">
        <v>288</v>
      </c>
    </row>
    <row r="1642" spans="1:3" ht="24" x14ac:dyDescent="0.3">
      <c r="A1642" s="109" t="s">
        <v>3</v>
      </c>
      <c r="B1642" s="109" t="s">
        <v>63</v>
      </c>
      <c r="C1642" s="109">
        <v>200</v>
      </c>
    </row>
    <row r="1643" spans="1:3" ht="24" x14ac:dyDescent="0.3">
      <c r="A1643" s="109" t="s">
        <v>3</v>
      </c>
      <c r="B1643" s="109" t="s">
        <v>64</v>
      </c>
      <c r="C1643" s="109">
        <v>160</v>
      </c>
    </row>
    <row r="1644" spans="1:3" ht="24" x14ac:dyDescent="0.3">
      <c r="A1644" s="109" t="s">
        <v>3</v>
      </c>
      <c r="B1644" s="109" t="s">
        <v>65</v>
      </c>
      <c r="C1644" s="109">
        <v>0</v>
      </c>
    </row>
    <row r="1645" spans="1:3" ht="24" x14ac:dyDescent="0.3">
      <c r="A1645" s="109" t="s">
        <v>3</v>
      </c>
      <c r="B1645" s="109" t="s">
        <v>66</v>
      </c>
      <c r="C1645" s="109">
        <v>165</v>
      </c>
    </row>
    <row r="1646" spans="1:3" ht="24" x14ac:dyDescent="0.3">
      <c r="A1646" s="109" t="s">
        <v>3</v>
      </c>
      <c r="B1646" s="109" t="s">
        <v>67</v>
      </c>
      <c r="C1646" s="109">
        <v>0</v>
      </c>
    </row>
    <row r="1647" spans="1:3" ht="24" x14ac:dyDescent="0.3">
      <c r="A1647" s="109" t="s">
        <v>3</v>
      </c>
      <c r="B1647" s="109" t="s">
        <v>68</v>
      </c>
      <c r="C1647" s="109">
        <v>75</v>
      </c>
    </row>
    <row r="1648" spans="1:3" ht="24" x14ac:dyDescent="0.3">
      <c r="A1648" s="109" t="s">
        <v>3</v>
      </c>
      <c r="B1648" s="109" t="s">
        <v>69</v>
      </c>
      <c r="C1648" s="109">
        <v>270</v>
      </c>
    </row>
    <row r="1649" spans="1:3" ht="24" x14ac:dyDescent="0.3">
      <c r="A1649" s="109" t="s">
        <v>3</v>
      </c>
      <c r="B1649" s="109" t="s">
        <v>70</v>
      </c>
      <c r="C1649" s="109">
        <v>210</v>
      </c>
    </row>
    <row r="1650" spans="1:3" ht="24" x14ac:dyDescent="0.3">
      <c r="A1650" s="109" t="s">
        <v>3</v>
      </c>
      <c r="B1650" s="109" t="s">
        <v>71</v>
      </c>
      <c r="C1650" s="109">
        <v>140</v>
      </c>
    </row>
    <row r="1651" spans="1:3" ht="24" x14ac:dyDescent="0.3">
      <c r="A1651" s="109" t="s">
        <v>3</v>
      </c>
      <c r="B1651" s="109" t="s">
        <v>72</v>
      </c>
      <c r="C1651" s="109">
        <v>0</v>
      </c>
    </row>
    <row r="1652" spans="1:3" ht="24" x14ac:dyDescent="0.3">
      <c r="A1652" s="109" t="s">
        <v>3</v>
      </c>
      <c r="B1652" s="109" t="s">
        <v>73</v>
      </c>
      <c r="C1652" s="109">
        <v>0</v>
      </c>
    </row>
    <row r="1653" spans="1:3" ht="24" x14ac:dyDescent="0.3">
      <c r="A1653" s="109" t="s">
        <v>3</v>
      </c>
      <c r="B1653" s="109" t="s">
        <v>74</v>
      </c>
      <c r="C1653" s="109">
        <v>630</v>
      </c>
    </row>
    <row r="1654" spans="1:3" ht="24" x14ac:dyDescent="0.3">
      <c r="A1654" s="109" t="s">
        <v>3</v>
      </c>
      <c r="B1654" s="109" t="s">
        <v>75</v>
      </c>
      <c r="C1654" s="109">
        <v>0</v>
      </c>
    </row>
    <row r="1655" spans="1:3" ht="24" x14ac:dyDescent="0.3">
      <c r="A1655" s="109" t="s">
        <v>3</v>
      </c>
      <c r="B1655" s="109" t="s">
        <v>76</v>
      </c>
      <c r="C1655" s="109">
        <v>630</v>
      </c>
    </row>
    <row r="1656" spans="1:3" ht="24" x14ac:dyDescent="0.3">
      <c r="A1656" s="109" t="s">
        <v>3</v>
      </c>
      <c r="B1656" s="109" t="s">
        <v>77</v>
      </c>
      <c r="C1656" s="109">
        <v>0</v>
      </c>
    </row>
    <row r="1657" spans="1:3" ht="24" x14ac:dyDescent="0.3">
      <c r="A1657" s="109" t="s">
        <v>3</v>
      </c>
      <c r="B1657" s="109" t="s">
        <v>78</v>
      </c>
      <c r="C1657" s="109">
        <v>720</v>
      </c>
    </row>
    <row r="1658" spans="1:3" ht="24" x14ac:dyDescent="0.3">
      <c r="A1658" s="109" t="s">
        <v>3</v>
      </c>
      <c r="B1658" s="109" t="s">
        <v>79</v>
      </c>
      <c r="C1658" s="109">
        <v>680</v>
      </c>
    </row>
    <row r="1659" spans="1:3" ht="24" x14ac:dyDescent="0.3">
      <c r="A1659" s="109" t="s">
        <v>3</v>
      </c>
      <c r="B1659" s="109" t="s">
        <v>80</v>
      </c>
      <c r="C1659" s="109">
        <v>300</v>
      </c>
    </row>
    <row r="1660" spans="1:3" ht="24" x14ac:dyDescent="0.3">
      <c r="A1660" s="109" t="s">
        <v>3</v>
      </c>
      <c r="B1660" s="109" t="s">
        <v>81</v>
      </c>
      <c r="C1660" s="109">
        <v>0</v>
      </c>
    </row>
    <row r="1661" spans="1:3" ht="24" x14ac:dyDescent="0.3">
      <c r="A1661" s="109" t="s">
        <v>3</v>
      </c>
      <c r="B1661" s="109" t="s">
        <v>83</v>
      </c>
      <c r="C1661" s="109">
        <v>14040</v>
      </c>
    </row>
    <row r="1662" spans="1:3" ht="24" x14ac:dyDescent="0.3">
      <c r="A1662" s="109" t="s">
        <v>3</v>
      </c>
      <c r="B1662" s="109" t="s">
        <v>84</v>
      </c>
      <c r="C1662" s="109">
        <v>12600</v>
      </c>
    </row>
    <row r="1663" spans="1:3" ht="24" x14ac:dyDescent="0.3">
      <c r="A1663" s="109" t="s">
        <v>3</v>
      </c>
      <c r="B1663" s="109" t="s">
        <v>85</v>
      </c>
      <c r="C1663" s="109">
        <v>0</v>
      </c>
    </row>
    <row r="1664" spans="1:3" ht="24" x14ac:dyDescent="0.3">
      <c r="A1664" s="109" t="s">
        <v>3</v>
      </c>
      <c r="B1664" s="109" t="s">
        <v>86</v>
      </c>
      <c r="C1664" s="109">
        <v>615</v>
      </c>
    </row>
    <row r="1665" spans="1:3" ht="24" x14ac:dyDescent="0.3">
      <c r="A1665" s="109" t="s">
        <v>3</v>
      </c>
      <c r="B1665" s="109" t="s">
        <v>87</v>
      </c>
      <c r="C1665" s="109">
        <v>3880</v>
      </c>
    </row>
    <row r="1666" spans="1:3" ht="24" x14ac:dyDescent="0.3">
      <c r="A1666" s="109" t="s">
        <v>3</v>
      </c>
      <c r="B1666" s="109" t="s">
        <v>88</v>
      </c>
      <c r="C1666" s="109">
        <v>1576</v>
      </c>
    </row>
    <row r="1667" spans="1:3" ht="24" x14ac:dyDescent="0.3">
      <c r="A1667" s="109" t="s">
        <v>3</v>
      </c>
      <c r="B1667" s="109" t="s">
        <v>89</v>
      </c>
      <c r="C1667" s="109">
        <v>0</v>
      </c>
    </row>
    <row r="1668" spans="1:3" ht="24" x14ac:dyDescent="0.3">
      <c r="A1668" s="109" t="s">
        <v>3</v>
      </c>
      <c r="B1668" s="109" t="s">
        <v>90</v>
      </c>
      <c r="C1668" s="109">
        <v>5280</v>
      </c>
    </row>
    <row r="1669" spans="1:3" ht="24" x14ac:dyDescent="0.3">
      <c r="A1669" s="109" t="s">
        <v>3</v>
      </c>
      <c r="B1669" s="109" t="s">
        <v>92</v>
      </c>
      <c r="C1669" s="109">
        <v>600</v>
      </c>
    </row>
    <row r="1670" spans="1:3" ht="24" x14ac:dyDescent="0.3">
      <c r="A1670" s="109" t="s">
        <v>3</v>
      </c>
      <c r="B1670" s="109" t="s">
        <v>93</v>
      </c>
      <c r="C1670" s="109">
        <v>3750</v>
      </c>
    </row>
    <row r="1671" spans="1:3" ht="24" x14ac:dyDescent="0.3">
      <c r="A1671" s="109" t="s">
        <v>3</v>
      </c>
      <c r="B1671" s="109" t="s">
        <v>94</v>
      </c>
      <c r="C1671" s="109">
        <v>0</v>
      </c>
    </row>
    <row r="1672" spans="1:3" ht="24" x14ac:dyDescent="0.3">
      <c r="A1672" s="109" t="s">
        <v>3</v>
      </c>
      <c r="B1672" s="109" t="s">
        <v>95</v>
      </c>
      <c r="C1672" s="109">
        <v>280</v>
      </c>
    </row>
    <row r="1673" spans="1:3" ht="24" x14ac:dyDescent="0.3">
      <c r="A1673" s="109" t="s">
        <v>3</v>
      </c>
      <c r="B1673" s="109" t="s">
        <v>96</v>
      </c>
      <c r="C1673" s="109">
        <v>280</v>
      </c>
    </row>
    <row r="1674" spans="1:3" ht="24" x14ac:dyDescent="0.3">
      <c r="A1674" s="109" t="s">
        <v>3</v>
      </c>
      <c r="B1674" s="109" t="s">
        <v>97</v>
      </c>
      <c r="C1674" s="109">
        <v>630</v>
      </c>
    </row>
    <row r="1675" spans="1:3" ht="24" x14ac:dyDescent="0.3">
      <c r="A1675" s="109" t="s">
        <v>3</v>
      </c>
      <c r="B1675" s="109" t="s">
        <v>98</v>
      </c>
      <c r="C1675" s="109">
        <v>130</v>
      </c>
    </row>
    <row r="1676" spans="1:3" ht="24" x14ac:dyDescent="0.3">
      <c r="A1676" s="109" t="s">
        <v>3</v>
      </c>
      <c r="B1676" s="109" t="s">
        <v>99</v>
      </c>
      <c r="C1676" s="109">
        <v>0</v>
      </c>
    </row>
    <row r="1677" spans="1:3" ht="24" x14ac:dyDescent="0.3">
      <c r="A1677" s="109" t="s">
        <v>3</v>
      </c>
      <c r="B1677" s="109" t="s">
        <v>100</v>
      </c>
      <c r="C1677" s="109">
        <v>210</v>
      </c>
    </row>
    <row r="1678" spans="1:3" ht="24" x14ac:dyDescent="0.3">
      <c r="A1678" s="109" t="s">
        <v>3</v>
      </c>
      <c r="B1678" s="109" t="s">
        <v>101</v>
      </c>
      <c r="C1678" s="109">
        <v>1770</v>
      </c>
    </row>
    <row r="1679" spans="1:3" ht="24" x14ac:dyDescent="0.3">
      <c r="A1679" s="109" t="s">
        <v>3</v>
      </c>
      <c r="B1679" s="109" t="s">
        <v>102</v>
      </c>
      <c r="C1679" s="109">
        <v>300</v>
      </c>
    </row>
    <row r="1680" spans="1:3" ht="24" x14ac:dyDescent="0.3">
      <c r="A1680" s="109" t="s">
        <v>3</v>
      </c>
      <c r="B1680" s="109" t="s">
        <v>103</v>
      </c>
      <c r="C1680" s="109">
        <v>0</v>
      </c>
    </row>
    <row r="1681" spans="1:3" ht="24" x14ac:dyDescent="0.3">
      <c r="A1681" s="109" t="s">
        <v>3</v>
      </c>
      <c r="B1681" s="109" t="s">
        <v>104</v>
      </c>
      <c r="C1681" s="109">
        <v>0</v>
      </c>
    </row>
    <row r="1682" spans="1:3" ht="24" x14ac:dyDescent="0.3">
      <c r="A1682" s="109" t="s">
        <v>3</v>
      </c>
      <c r="B1682" s="109" t="s">
        <v>105</v>
      </c>
      <c r="C1682" s="109">
        <v>0</v>
      </c>
    </row>
    <row r="1683" spans="1:3" ht="24" x14ac:dyDescent="0.3">
      <c r="A1683" s="109" t="s">
        <v>3</v>
      </c>
      <c r="B1683" s="109" t="s">
        <v>106</v>
      </c>
      <c r="C1683" s="109">
        <v>85</v>
      </c>
    </row>
    <row r="1684" spans="1:3" ht="24" x14ac:dyDescent="0.3">
      <c r="A1684" s="109" t="s">
        <v>3</v>
      </c>
      <c r="B1684" s="109" t="s">
        <v>107</v>
      </c>
      <c r="C1684" s="109">
        <v>0</v>
      </c>
    </row>
    <row r="1685" spans="1:3" ht="24" x14ac:dyDescent="0.3">
      <c r="A1685" s="109" t="s">
        <v>3</v>
      </c>
      <c r="B1685" s="109" t="s">
        <v>108</v>
      </c>
      <c r="C1685" s="109">
        <v>0</v>
      </c>
    </row>
    <row r="1686" spans="1:3" ht="24" x14ac:dyDescent="0.3">
      <c r="A1686" s="109" t="s">
        <v>3</v>
      </c>
      <c r="B1686" s="109" t="s">
        <v>109</v>
      </c>
      <c r="C1686" s="109">
        <v>0</v>
      </c>
    </row>
    <row r="1687" spans="1:3" ht="24" x14ac:dyDescent="0.3">
      <c r="A1687" s="109" t="s">
        <v>3</v>
      </c>
      <c r="B1687" s="109" t="s">
        <v>110</v>
      </c>
      <c r="C1687" s="109">
        <v>0</v>
      </c>
    </row>
    <row r="1688" spans="1:3" ht="24" x14ac:dyDescent="0.3">
      <c r="A1688" s="109" t="s">
        <v>3</v>
      </c>
      <c r="B1688" s="109" t="s">
        <v>111</v>
      </c>
      <c r="C1688" s="109">
        <v>0</v>
      </c>
    </row>
    <row r="1689" spans="1:3" ht="24" x14ac:dyDescent="0.3">
      <c r="A1689" s="109" t="s">
        <v>3</v>
      </c>
      <c r="B1689" s="109" t="s">
        <v>112</v>
      </c>
      <c r="C1689" s="109">
        <v>0</v>
      </c>
    </row>
    <row r="1690" spans="1:3" ht="24" x14ac:dyDescent="0.3">
      <c r="A1690" s="109" t="s">
        <v>3</v>
      </c>
      <c r="B1690" s="109" t="s">
        <v>113</v>
      </c>
      <c r="C1690" s="109">
        <v>0</v>
      </c>
    </row>
    <row r="1691" spans="1:3" ht="24" x14ac:dyDescent="0.3">
      <c r="A1691" s="109" t="s">
        <v>3</v>
      </c>
      <c r="B1691" s="109" t="s">
        <v>114</v>
      </c>
      <c r="C1691" s="109">
        <v>0</v>
      </c>
    </row>
    <row r="1692" spans="1:3" ht="24" x14ac:dyDescent="0.3">
      <c r="A1692" s="109" t="s">
        <v>3</v>
      </c>
      <c r="B1692" s="109" t="s">
        <v>115</v>
      </c>
      <c r="C1692" s="109">
        <v>0</v>
      </c>
    </row>
    <row r="1693" spans="1:3" ht="24" x14ac:dyDescent="0.3">
      <c r="A1693" s="109" t="s">
        <v>3</v>
      </c>
      <c r="B1693" s="109" t="s">
        <v>116</v>
      </c>
      <c r="C1693" s="109">
        <v>0</v>
      </c>
    </row>
    <row r="1694" spans="1:3" ht="24" x14ac:dyDescent="0.3">
      <c r="A1694" s="109" t="s">
        <v>3</v>
      </c>
      <c r="B1694" s="109" t="s">
        <v>117</v>
      </c>
      <c r="C1694" s="109">
        <v>520</v>
      </c>
    </row>
    <row r="1695" spans="1:3" ht="24" x14ac:dyDescent="0.3">
      <c r="A1695" s="109" t="s">
        <v>3</v>
      </c>
      <c r="B1695" s="109" t="s">
        <v>118</v>
      </c>
      <c r="C1695" s="109">
        <v>0</v>
      </c>
    </row>
    <row r="1696" spans="1:3" ht="24" x14ac:dyDescent="0.3">
      <c r="A1696" s="109" t="s">
        <v>3</v>
      </c>
      <c r="B1696" s="109" t="s">
        <v>120</v>
      </c>
      <c r="C1696" s="109">
        <v>0</v>
      </c>
    </row>
    <row r="1697" spans="1:3" ht="24" x14ac:dyDescent="0.3">
      <c r="A1697" s="109" t="s">
        <v>3</v>
      </c>
      <c r="B1697" s="109" t="s">
        <v>121</v>
      </c>
      <c r="C1697" s="109">
        <v>129</v>
      </c>
    </row>
    <row r="1698" spans="1:3" ht="24" x14ac:dyDescent="0.3">
      <c r="A1698" s="109" t="s">
        <v>3</v>
      </c>
      <c r="B1698" s="109" t="s">
        <v>122</v>
      </c>
      <c r="C1698" s="109">
        <v>140</v>
      </c>
    </row>
    <row r="1699" spans="1:3" ht="24" x14ac:dyDescent="0.3">
      <c r="A1699" s="109" t="s">
        <v>3</v>
      </c>
      <c r="B1699" s="109" t="s">
        <v>123</v>
      </c>
      <c r="C1699" s="109">
        <v>0</v>
      </c>
    </row>
    <row r="1700" spans="1:3" ht="24" x14ac:dyDescent="0.3">
      <c r="A1700" s="109" t="s">
        <v>3</v>
      </c>
      <c r="B1700" s="109" t="s">
        <v>124</v>
      </c>
      <c r="C1700" s="109">
        <v>320</v>
      </c>
    </row>
    <row r="1701" spans="1:3" ht="24" x14ac:dyDescent="0.3">
      <c r="A1701" s="109" t="s">
        <v>3</v>
      </c>
      <c r="B1701" s="109" t="s">
        <v>125</v>
      </c>
      <c r="C1701" s="109">
        <v>180</v>
      </c>
    </row>
    <row r="1702" spans="1:3" ht="24" x14ac:dyDescent="0.3">
      <c r="A1702" s="109" t="s">
        <v>3</v>
      </c>
      <c r="B1702" s="109" t="s">
        <v>126</v>
      </c>
      <c r="C1702" s="109">
        <v>2300</v>
      </c>
    </row>
    <row r="1703" spans="1:3" ht="24" x14ac:dyDescent="0.3">
      <c r="A1703" s="109" t="s">
        <v>4</v>
      </c>
      <c r="B1703" s="109" t="s">
        <v>206</v>
      </c>
      <c r="C1703" s="109" t="s">
        <v>58</v>
      </c>
    </row>
    <row r="1704" spans="1:3" ht="24" x14ac:dyDescent="0.3">
      <c r="A1704" s="109" t="s">
        <v>4</v>
      </c>
      <c r="B1704" s="109" t="s">
        <v>62</v>
      </c>
      <c r="C1704" s="109">
        <v>360</v>
      </c>
    </row>
    <row r="1705" spans="1:3" ht="24" x14ac:dyDescent="0.3">
      <c r="A1705" s="109" t="s">
        <v>4</v>
      </c>
      <c r="B1705" s="109" t="s">
        <v>63</v>
      </c>
      <c r="C1705" s="109">
        <v>280</v>
      </c>
    </row>
    <row r="1706" spans="1:3" ht="24" x14ac:dyDescent="0.3">
      <c r="A1706" s="109" t="s">
        <v>4</v>
      </c>
      <c r="B1706" s="109" t="s">
        <v>64</v>
      </c>
      <c r="C1706" s="109">
        <v>320</v>
      </c>
    </row>
    <row r="1707" spans="1:3" ht="24" x14ac:dyDescent="0.3">
      <c r="A1707" s="109" t="s">
        <v>4</v>
      </c>
      <c r="B1707" s="109" t="s">
        <v>65</v>
      </c>
      <c r="C1707" s="109">
        <v>800</v>
      </c>
    </row>
    <row r="1708" spans="1:3" ht="24" x14ac:dyDescent="0.3">
      <c r="A1708" s="109" t="s">
        <v>4</v>
      </c>
      <c r="B1708" s="109" t="s">
        <v>66</v>
      </c>
      <c r="C1708" s="109">
        <v>220</v>
      </c>
    </row>
    <row r="1709" spans="1:3" ht="24" x14ac:dyDescent="0.3">
      <c r="A1709" s="109" t="s">
        <v>4</v>
      </c>
      <c r="B1709" s="109" t="s">
        <v>67</v>
      </c>
      <c r="C1709" s="109">
        <v>114</v>
      </c>
    </row>
    <row r="1710" spans="1:3" ht="24" x14ac:dyDescent="0.3">
      <c r="A1710" s="109" t="s">
        <v>4</v>
      </c>
      <c r="B1710" s="109" t="s">
        <v>68</v>
      </c>
      <c r="C1710" s="109">
        <v>75</v>
      </c>
    </row>
    <row r="1711" spans="1:3" ht="24" x14ac:dyDescent="0.3">
      <c r="A1711" s="109" t="s">
        <v>4</v>
      </c>
      <c r="B1711" s="109" t="s">
        <v>69</v>
      </c>
      <c r="C1711" s="109">
        <v>270</v>
      </c>
    </row>
    <row r="1712" spans="1:3" ht="24" x14ac:dyDescent="0.3">
      <c r="A1712" s="109" t="s">
        <v>4</v>
      </c>
      <c r="B1712" s="109" t="s">
        <v>70</v>
      </c>
      <c r="C1712" s="109">
        <v>140</v>
      </c>
    </row>
    <row r="1713" spans="1:3" ht="24" x14ac:dyDescent="0.3">
      <c r="A1713" s="109" t="s">
        <v>4</v>
      </c>
      <c r="B1713" s="109" t="s">
        <v>71</v>
      </c>
      <c r="C1713" s="109">
        <v>140</v>
      </c>
    </row>
    <row r="1714" spans="1:3" ht="24" x14ac:dyDescent="0.3">
      <c r="A1714" s="109" t="s">
        <v>4</v>
      </c>
      <c r="B1714" s="109" t="s">
        <v>72</v>
      </c>
      <c r="C1714" s="109">
        <v>250</v>
      </c>
    </row>
    <row r="1715" spans="1:3" ht="24" x14ac:dyDescent="0.3">
      <c r="A1715" s="109" t="s">
        <v>4</v>
      </c>
      <c r="B1715" s="109" t="s">
        <v>73</v>
      </c>
      <c r="C1715" s="109">
        <v>390</v>
      </c>
    </row>
    <row r="1716" spans="1:3" ht="24" x14ac:dyDescent="0.3">
      <c r="A1716" s="109" t="s">
        <v>4</v>
      </c>
      <c r="B1716" s="109" t="s">
        <v>74</v>
      </c>
      <c r="C1716" s="109">
        <v>1260</v>
      </c>
    </row>
    <row r="1717" spans="1:3" ht="24" x14ac:dyDescent="0.3">
      <c r="A1717" s="109" t="s">
        <v>4</v>
      </c>
      <c r="B1717" s="109" t="s">
        <v>75</v>
      </c>
      <c r="C1717" s="109">
        <v>630</v>
      </c>
    </row>
    <row r="1718" spans="1:3" ht="24" x14ac:dyDescent="0.3">
      <c r="A1718" s="109" t="s">
        <v>4</v>
      </c>
      <c r="B1718" s="109" t="s">
        <v>76</v>
      </c>
      <c r="C1718" s="109">
        <v>0</v>
      </c>
    </row>
    <row r="1719" spans="1:3" ht="24" x14ac:dyDescent="0.3">
      <c r="A1719" s="109" t="s">
        <v>4</v>
      </c>
      <c r="B1719" s="109" t="s">
        <v>77</v>
      </c>
      <c r="C1719" s="109">
        <v>1650</v>
      </c>
    </row>
    <row r="1720" spans="1:3" ht="24" x14ac:dyDescent="0.3">
      <c r="A1720" s="109" t="s">
        <v>4</v>
      </c>
      <c r="B1720" s="109" t="s">
        <v>78</v>
      </c>
      <c r="C1720" s="109">
        <v>611</v>
      </c>
    </row>
    <row r="1721" spans="1:3" ht="24" x14ac:dyDescent="0.3">
      <c r="A1721" s="109" t="s">
        <v>4</v>
      </c>
      <c r="B1721" s="109" t="s">
        <v>79</v>
      </c>
      <c r="C1721" s="109">
        <v>850</v>
      </c>
    </row>
    <row r="1722" spans="1:3" ht="24" x14ac:dyDescent="0.3">
      <c r="A1722" s="109" t="s">
        <v>4</v>
      </c>
      <c r="B1722" s="109" t="s">
        <v>80</v>
      </c>
      <c r="C1722" s="109">
        <v>300</v>
      </c>
    </row>
    <row r="1723" spans="1:3" ht="24" x14ac:dyDescent="0.3">
      <c r="A1723" s="109" t="s">
        <v>4</v>
      </c>
      <c r="B1723" s="109" t="s">
        <v>81</v>
      </c>
      <c r="C1723" s="109">
        <v>360</v>
      </c>
    </row>
    <row r="1724" spans="1:3" ht="24" x14ac:dyDescent="0.3">
      <c r="A1724" s="109" t="s">
        <v>4</v>
      </c>
      <c r="B1724" s="109" t="s">
        <v>83</v>
      </c>
      <c r="C1724" s="109">
        <v>11700</v>
      </c>
    </row>
    <row r="1725" spans="1:3" ht="24" x14ac:dyDescent="0.3">
      <c r="A1725" s="109" t="s">
        <v>4</v>
      </c>
      <c r="B1725" s="109" t="s">
        <v>84</v>
      </c>
      <c r="C1725" s="109">
        <v>13600</v>
      </c>
    </row>
    <row r="1726" spans="1:3" ht="24" x14ac:dyDescent="0.3">
      <c r="A1726" s="109" t="s">
        <v>4</v>
      </c>
      <c r="B1726" s="109" t="s">
        <v>85</v>
      </c>
      <c r="C1726" s="109">
        <v>1050</v>
      </c>
    </row>
    <row r="1727" spans="1:3" ht="24" x14ac:dyDescent="0.3">
      <c r="A1727" s="109" t="s">
        <v>4</v>
      </c>
      <c r="B1727" s="109" t="s">
        <v>86</v>
      </c>
      <c r="C1727" s="109">
        <v>630</v>
      </c>
    </row>
    <row r="1728" spans="1:3" ht="24" x14ac:dyDescent="0.3">
      <c r="A1728" s="109" t="s">
        <v>4</v>
      </c>
      <c r="B1728" s="109" t="s">
        <v>87</v>
      </c>
      <c r="C1728" s="109">
        <v>5820</v>
      </c>
    </row>
    <row r="1729" spans="1:3" ht="24" x14ac:dyDescent="0.3">
      <c r="A1729" s="109" t="s">
        <v>4</v>
      </c>
      <c r="B1729" s="109" t="s">
        <v>88</v>
      </c>
      <c r="C1729" s="109">
        <v>2364</v>
      </c>
    </row>
    <row r="1730" spans="1:3" ht="24" x14ac:dyDescent="0.3">
      <c r="A1730" s="109" t="s">
        <v>4</v>
      </c>
      <c r="B1730" s="109" t="s">
        <v>89</v>
      </c>
      <c r="C1730" s="109">
        <v>0</v>
      </c>
    </row>
    <row r="1731" spans="1:3" ht="24" x14ac:dyDescent="0.3">
      <c r="A1731" s="109" t="s">
        <v>4</v>
      </c>
      <c r="B1731" s="109" t="s">
        <v>90</v>
      </c>
      <c r="C1731" s="109">
        <v>11880</v>
      </c>
    </row>
    <row r="1732" spans="1:3" ht="24" x14ac:dyDescent="0.3">
      <c r="A1732" s="109" t="s">
        <v>4</v>
      </c>
      <c r="B1732" s="109" t="s">
        <v>92</v>
      </c>
      <c r="C1732" s="109">
        <v>0</v>
      </c>
    </row>
    <row r="1733" spans="1:3" ht="24" x14ac:dyDescent="0.3">
      <c r="A1733" s="109" t="s">
        <v>4</v>
      </c>
      <c r="B1733" s="109" t="s">
        <v>93</v>
      </c>
      <c r="C1733" s="109">
        <v>5920</v>
      </c>
    </row>
    <row r="1734" spans="1:3" ht="24" x14ac:dyDescent="0.3">
      <c r="A1734" s="109" t="s">
        <v>4</v>
      </c>
      <c r="B1734" s="109" t="s">
        <v>94</v>
      </c>
      <c r="C1734" s="109">
        <v>250</v>
      </c>
    </row>
    <row r="1735" spans="1:3" ht="24" x14ac:dyDescent="0.3">
      <c r="A1735" s="109" t="s">
        <v>4</v>
      </c>
      <c r="B1735" s="109" t="s">
        <v>95</v>
      </c>
      <c r="C1735" s="109">
        <v>75</v>
      </c>
    </row>
    <row r="1736" spans="1:3" ht="24" x14ac:dyDescent="0.3">
      <c r="A1736" s="109" t="s">
        <v>4</v>
      </c>
      <c r="B1736" s="109" t="s">
        <v>96</v>
      </c>
      <c r="C1736" s="109">
        <v>240</v>
      </c>
    </row>
    <row r="1737" spans="1:3" ht="24" x14ac:dyDescent="0.3">
      <c r="A1737" s="109" t="s">
        <v>4</v>
      </c>
      <c r="B1737" s="109" t="s">
        <v>97</v>
      </c>
      <c r="C1737" s="109">
        <v>630</v>
      </c>
    </row>
    <row r="1738" spans="1:3" ht="24" x14ac:dyDescent="0.3">
      <c r="A1738" s="109" t="s">
        <v>4</v>
      </c>
      <c r="B1738" s="109" t="s">
        <v>98</v>
      </c>
      <c r="C1738" s="109">
        <v>150</v>
      </c>
    </row>
    <row r="1739" spans="1:3" ht="24" x14ac:dyDescent="0.3">
      <c r="A1739" s="109" t="s">
        <v>4</v>
      </c>
      <c r="B1739" s="109" t="s">
        <v>99</v>
      </c>
      <c r="C1739" s="109">
        <v>150</v>
      </c>
    </row>
    <row r="1740" spans="1:3" ht="24" x14ac:dyDescent="0.3">
      <c r="A1740" s="109" t="s">
        <v>4</v>
      </c>
      <c r="B1740" s="109" t="s">
        <v>100</v>
      </c>
      <c r="C1740" s="109">
        <v>238</v>
      </c>
    </row>
    <row r="1741" spans="1:3" ht="24" x14ac:dyDescent="0.3">
      <c r="A1741" s="109" t="s">
        <v>4</v>
      </c>
      <c r="B1741" s="109" t="s">
        <v>101</v>
      </c>
      <c r="C1741" s="109">
        <v>1440</v>
      </c>
    </row>
    <row r="1742" spans="1:3" ht="24" x14ac:dyDescent="0.3">
      <c r="A1742" s="109" t="s">
        <v>4</v>
      </c>
      <c r="B1742" s="109" t="s">
        <v>102</v>
      </c>
      <c r="C1742" s="109">
        <v>200</v>
      </c>
    </row>
    <row r="1743" spans="1:3" ht="24" x14ac:dyDescent="0.3">
      <c r="A1743" s="109" t="s">
        <v>4</v>
      </c>
      <c r="B1743" s="109" t="s">
        <v>103</v>
      </c>
      <c r="C1743" s="109">
        <v>150</v>
      </c>
    </row>
    <row r="1744" spans="1:3" ht="24" x14ac:dyDescent="0.3">
      <c r="A1744" s="109" t="s">
        <v>4</v>
      </c>
      <c r="B1744" s="109" t="s">
        <v>104</v>
      </c>
      <c r="C1744" s="109">
        <v>255</v>
      </c>
    </row>
    <row r="1745" spans="1:3" ht="24" x14ac:dyDescent="0.3">
      <c r="A1745" s="109" t="s">
        <v>4</v>
      </c>
      <c r="B1745" s="109" t="s">
        <v>105</v>
      </c>
      <c r="C1745" s="109">
        <v>0</v>
      </c>
    </row>
    <row r="1746" spans="1:3" ht="24" x14ac:dyDescent="0.3">
      <c r="A1746" s="109" t="s">
        <v>4</v>
      </c>
      <c r="B1746" s="109" t="s">
        <v>106</v>
      </c>
      <c r="C1746" s="109">
        <v>215</v>
      </c>
    </row>
    <row r="1747" spans="1:3" ht="24" x14ac:dyDescent="0.3">
      <c r="A1747" s="109" t="s">
        <v>4</v>
      </c>
      <c r="B1747" s="109" t="s">
        <v>107</v>
      </c>
      <c r="C1747" s="109">
        <v>0</v>
      </c>
    </row>
    <row r="1748" spans="1:3" ht="24" x14ac:dyDescent="0.3">
      <c r="A1748" s="109" t="s">
        <v>4</v>
      </c>
      <c r="B1748" s="109" t="s">
        <v>108</v>
      </c>
      <c r="C1748" s="109">
        <v>350</v>
      </c>
    </row>
    <row r="1749" spans="1:3" ht="24" x14ac:dyDescent="0.3">
      <c r="A1749" s="109" t="s">
        <v>4</v>
      </c>
      <c r="B1749" s="109" t="s">
        <v>109</v>
      </c>
      <c r="C1749" s="109">
        <v>0</v>
      </c>
    </row>
    <row r="1750" spans="1:3" ht="24" x14ac:dyDescent="0.3">
      <c r="A1750" s="109" t="s">
        <v>4</v>
      </c>
      <c r="B1750" s="109" t="s">
        <v>110</v>
      </c>
      <c r="C1750" s="109">
        <v>765</v>
      </c>
    </row>
    <row r="1751" spans="1:3" ht="24" x14ac:dyDescent="0.3">
      <c r="A1751" s="109" t="s">
        <v>4</v>
      </c>
      <c r="B1751" s="109" t="s">
        <v>111</v>
      </c>
      <c r="C1751" s="109">
        <v>0</v>
      </c>
    </row>
    <row r="1752" spans="1:3" ht="24" x14ac:dyDescent="0.3">
      <c r="A1752" s="109" t="s">
        <v>4</v>
      </c>
      <c r="B1752" s="109" t="s">
        <v>112</v>
      </c>
      <c r="C1752" s="109">
        <v>0</v>
      </c>
    </row>
    <row r="1753" spans="1:3" ht="24" x14ac:dyDescent="0.3">
      <c r="A1753" s="109" t="s">
        <v>4</v>
      </c>
      <c r="B1753" s="109" t="s">
        <v>113</v>
      </c>
      <c r="C1753" s="109">
        <v>0</v>
      </c>
    </row>
    <row r="1754" spans="1:3" ht="24" x14ac:dyDescent="0.3">
      <c r="A1754" s="109" t="s">
        <v>4</v>
      </c>
      <c r="B1754" s="109" t="s">
        <v>114</v>
      </c>
      <c r="C1754" s="109">
        <v>0</v>
      </c>
    </row>
    <row r="1755" spans="1:3" ht="24" x14ac:dyDescent="0.3">
      <c r="A1755" s="109" t="s">
        <v>4</v>
      </c>
      <c r="B1755" s="109" t="s">
        <v>115</v>
      </c>
      <c r="C1755" s="109">
        <v>0</v>
      </c>
    </row>
    <row r="1756" spans="1:3" ht="24" x14ac:dyDescent="0.3">
      <c r="A1756" s="109" t="s">
        <v>4</v>
      </c>
      <c r="B1756" s="109" t="s">
        <v>116</v>
      </c>
      <c r="C1756" s="109">
        <v>140</v>
      </c>
    </row>
    <row r="1757" spans="1:3" ht="24" x14ac:dyDescent="0.3">
      <c r="A1757" s="109" t="s">
        <v>4</v>
      </c>
      <c r="B1757" s="109" t="s">
        <v>117</v>
      </c>
      <c r="C1757" s="109">
        <v>480</v>
      </c>
    </row>
    <row r="1758" spans="1:3" ht="24" x14ac:dyDescent="0.3">
      <c r="A1758" s="109" t="s">
        <v>4</v>
      </c>
      <c r="B1758" s="109" t="s">
        <v>118</v>
      </c>
      <c r="C1758" s="109">
        <v>0</v>
      </c>
    </row>
    <row r="1759" spans="1:3" ht="24" x14ac:dyDescent="0.3">
      <c r="A1759" s="109" t="s">
        <v>4</v>
      </c>
      <c r="B1759" s="109" t="s">
        <v>120</v>
      </c>
      <c r="C1759" s="109">
        <v>0</v>
      </c>
    </row>
    <row r="1760" spans="1:3" ht="24" x14ac:dyDescent="0.3">
      <c r="A1760" s="109" t="s">
        <v>4</v>
      </c>
      <c r="B1760" s="109" t="s">
        <v>121</v>
      </c>
      <c r="C1760" s="109">
        <v>220</v>
      </c>
    </row>
    <row r="1761" spans="1:3" ht="24" x14ac:dyDescent="0.3">
      <c r="A1761" s="109" t="s">
        <v>4</v>
      </c>
      <c r="B1761" s="109" t="s">
        <v>122</v>
      </c>
      <c r="C1761" s="109">
        <v>150</v>
      </c>
    </row>
    <row r="1762" spans="1:3" ht="24" x14ac:dyDescent="0.3">
      <c r="A1762" s="109" t="s">
        <v>4</v>
      </c>
      <c r="B1762" s="109" t="s">
        <v>123</v>
      </c>
      <c r="C1762" s="109">
        <v>0</v>
      </c>
    </row>
    <row r="1763" spans="1:3" ht="24" x14ac:dyDescent="0.3">
      <c r="A1763" s="109" t="s">
        <v>4</v>
      </c>
      <c r="B1763" s="109" t="s">
        <v>124</v>
      </c>
      <c r="C1763" s="109">
        <v>300</v>
      </c>
    </row>
    <row r="1764" spans="1:3" ht="24" x14ac:dyDescent="0.3">
      <c r="A1764" s="109" t="s">
        <v>4</v>
      </c>
      <c r="B1764" s="109" t="s">
        <v>125</v>
      </c>
      <c r="C1764" s="109">
        <v>0</v>
      </c>
    </row>
    <row r="1765" spans="1:3" ht="24" x14ac:dyDescent="0.3">
      <c r="A1765" s="109" t="s">
        <v>4</v>
      </c>
      <c r="B1765" s="109" t="s">
        <v>126</v>
      </c>
      <c r="C1765" s="109">
        <v>2300</v>
      </c>
    </row>
    <row r="1766" spans="1:3" ht="24" x14ac:dyDescent="0.3">
      <c r="A1766" s="109" t="s">
        <v>5</v>
      </c>
      <c r="B1766" s="109" t="s">
        <v>206</v>
      </c>
      <c r="C1766" s="109" t="s">
        <v>58</v>
      </c>
    </row>
    <row r="1767" spans="1:3" ht="24" x14ac:dyDescent="0.3">
      <c r="A1767" s="109" t="s">
        <v>5</v>
      </c>
      <c r="B1767" s="109" t="s">
        <v>62</v>
      </c>
      <c r="C1767" s="109">
        <v>468</v>
      </c>
    </row>
    <row r="1768" spans="1:3" ht="24" x14ac:dyDescent="0.3">
      <c r="A1768" s="109" t="s">
        <v>5</v>
      </c>
      <c r="B1768" s="109" t="s">
        <v>63</v>
      </c>
      <c r="C1768" s="109">
        <v>400</v>
      </c>
    </row>
    <row r="1769" spans="1:3" ht="24" x14ac:dyDescent="0.3">
      <c r="A1769" s="109" t="s">
        <v>5</v>
      </c>
      <c r="B1769" s="109" t="s">
        <v>64</v>
      </c>
      <c r="C1769" s="109">
        <v>400</v>
      </c>
    </row>
    <row r="1770" spans="1:3" ht="24" x14ac:dyDescent="0.3">
      <c r="A1770" s="109" t="s">
        <v>5</v>
      </c>
      <c r="B1770" s="109" t="s">
        <v>65</v>
      </c>
      <c r="C1770" s="109">
        <v>960</v>
      </c>
    </row>
    <row r="1771" spans="1:3" ht="24" x14ac:dyDescent="0.3">
      <c r="A1771" s="109" t="s">
        <v>5</v>
      </c>
      <c r="B1771" s="109" t="s">
        <v>66</v>
      </c>
      <c r="C1771" s="109">
        <v>275</v>
      </c>
    </row>
    <row r="1772" spans="1:3" ht="24" x14ac:dyDescent="0.3">
      <c r="A1772" s="109" t="s">
        <v>5</v>
      </c>
      <c r="B1772" s="109" t="s">
        <v>67</v>
      </c>
      <c r="C1772" s="109">
        <v>152</v>
      </c>
    </row>
    <row r="1773" spans="1:3" ht="24" x14ac:dyDescent="0.3">
      <c r="A1773" s="109" t="s">
        <v>5</v>
      </c>
      <c r="B1773" s="109" t="s">
        <v>68</v>
      </c>
      <c r="C1773" s="109">
        <v>150</v>
      </c>
    </row>
    <row r="1774" spans="1:3" ht="24" x14ac:dyDescent="0.3">
      <c r="A1774" s="109" t="s">
        <v>5</v>
      </c>
      <c r="B1774" s="109" t="s">
        <v>69</v>
      </c>
      <c r="C1774" s="109">
        <v>360</v>
      </c>
    </row>
    <row r="1775" spans="1:3" ht="24" x14ac:dyDescent="0.3">
      <c r="A1775" s="109" t="s">
        <v>5</v>
      </c>
      <c r="B1775" s="109" t="s">
        <v>70</v>
      </c>
      <c r="C1775" s="109">
        <v>70</v>
      </c>
    </row>
    <row r="1776" spans="1:3" ht="24" x14ac:dyDescent="0.3">
      <c r="A1776" s="109" t="s">
        <v>5</v>
      </c>
      <c r="B1776" s="109" t="s">
        <v>71</v>
      </c>
      <c r="C1776" s="109">
        <v>140</v>
      </c>
    </row>
    <row r="1777" spans="1:3" ht="24" x14ac:dyDescent="0.3">
      <c r="A1777" s="109" t="s">
        <v>5</v>
      </c>
      <c r="B1777" s="109" t="s">
        <v>72</v>
      </c>
      <c r="C1777" s="109">
        <v>250</v>
      </c>
    </row>
    <row r="1778" spans="1:3" ht="24" x14ac:dyDescent="0.3">
      <c r="A1778" s="109" t="s">
        <v>5</v>
      </c>
      <c r="B1778" s="109" t="s">
        <v>73</v>
      </c>
      <c r="C1778" s="109">
        <v>325</v>
      </c>
    </row>
    <row r="1779" spans="1:3" ht="24" x14ac:dyDescent="0.3">
      <c r="A1779" s="109" t="s">
        <v>5</v>
      </c>
      <c r="B1779" s="109" t="s">
        <v>74</v>
      </c>
      <c r="C1779" s="109">
        <v>1890</v>
      </c>
    </row>
    <row r="1780" spans="1:3" ht="24" x14ac:dyDescent="0.3">
      <c r="A1780" s="109" t="s">
        <v>5</v>
      </c>
      <c r="B1780" s="109" t="s">
        <v>75</v>
      </c>
      <c r="C1780" s="109">
        <v>1260</v>
      </c>
    </row>
    <row r="1781" spans="1:3" ht="24" x14ac:dyDescent="0.3">
      <c r="A1781" s="109" t="s">
        <v>5</v>
      </c>
      <c r="B1781" s="109" t="s">
        <v>76</v>
      </c>
      <c r="C1781" s="109">
        <v>650</v>
      </c>
    </row>
    <row r="1782" spans="1:3" ht="24" x14ac:dyDescent="0.3">
      <c r="A1782" s="109" t="s">
        <v>5</v>
      </c>
      <c r="B1782" s="109" t="s">
        <v>77</v>
      </c>
      <c r="C1782" s="109">
        <v>550</v>
      </c>
    </row>
    <row r="1783" spans="1:3" ht="24" x14ac:dyDescent="0.3">
      <c r="A1783" s="109" t="s">
        <v>5</v>
      </c>
      <c r="B1783" s="109" t="s">
        <v>78</v>
      </c>
      <c r="C1783" s="109">
        <v>940</v>
      </c>
    </row>
    <row r="1784" spans="1:3" ht="24" x14ac:dyDescent="0.3">
      <c r="A1784" s="109" t="s">
        <v>5</v>
      </c>
      <c r="B1784" s="109" t="s">
        <v>79</v>
      </c>
      <c r="C1784" s="109">
        <v>1020</v>
      </c>
    </row>
    <row r="1785" spans="1:3" ht="24" x14ac:dyDescent="0.3">
      <c r="A1785" s="109" t="s">
        <v>5</v>
      </c>
      <c r="B1785" s="109" t="s">
        <v>80</v>
      </c>
      <c r="C1785" s="109">
        <v>240</v>
      </c>
    </row>
    <row r="1786" spans="1:3" ht="24" x14ac:dyDescent="0.3">
      <c r="A1786" s="109" t="s">
        <v>5</v>
      </c>
      <c r="B1786" s="109" t="s">
        <v>81</v>
      </c>
      <c r="C1786" s="109">
        <v>360</v>
      </c>
    </row>
    <row r="1787" spans="1:3" ht="24" x14ac:dyDescent="0.3">
      <c r="A1787" s="109" t="s">
        <v>5</v>
      </c>
      <c r="B1787" s="109" t="s">
        <v>83</v>
      </c>
      <c r="C1787" s="109">
        <v>29680</v>
      </c>
    </row>
    <row r="1788" spans="1:3" ht="24" x14ac:dyDescent="0.3">
      <c r="A1788" s="109" t="s">
        <v>5</v>
      </c>
      <c r="B1788" s="109" t="s">
        <v>84</v>
      </c>
      <c r="C1788" s="109">
        <v>19150</v>
      </c>
    </row>
    <row r="1789" spans="1:3" ht="24" x14ac:dyDescent="0.3">
      <c r="A1789" s="109" t="s">
        <v>5</v>
      </c>
      <c r="B1789" s="109" t="s">
        <v>85</v>
      </c>
      <c r="C1789" s="109">
        <v>1050</v>
      </c>
    </row>
    <row r="1790" spans="1:3" ht="24" x14ac:dyDescent="0.3">
      <c r="A1790" s="109" t="s">
        <v>5</v>
      </c>
      <c r="B1790" s="109" t="s">
        <v>86</v>
      </c>
      <c r="C1790" s="109">
        <v>585</v>
      </c>
    </row>
    <row r="1791" spans="1:3" ht="24" x14ac:dyDescent="0.3">
      <c r="A1791" s="109" t="s">
        <v>5</v>
      </c>
      <c r="B1791" s="109" t="s">
        <v>87</v>
      </c>
      <c r="C1791" s="109">
        <v>5820</v>
      </c>
    </row>
    <row r="1792" spans="1:3" ht="24" x14ac:dyDescent="0.3">
      <c r="A1792" s="109" t="s">
        <v>5</v>
      </c>
      <c r="B1792" s="109" t="s">
        <v>88</v>
      </c>
      <c r="C1792" s="109">
        <v>3152</v>
      </c>
    </row>
    <row r="1793" spans="1:3" ht="24" x14ac:dyDescent="0.3">
      <c r="A1793" s="109" t="s">
        <v>5</v>
      </c>
      <c r="B1793" s="109" t="s">
        <v>89</v>
      </c>
      <c r="C1793" s="109">
        <v>0</v>
      </c>
    </row>
    <row r="1794" spans="1:3" ht="24" x14ac:dyDescent="0.3">
      <c r="A1794" s="109" t="s">
        <v>5</v>
      </c>
      <c r="B1794" s="109" t="s">
        <v>90</v>
      </c>
      <c r="C1794" s="109">
        <v>6600</v>
      </c>
    </row>
    <row r="1795" spans="1:3" ht="24" x14ac:dyDescent="0.3">
      <c r="A1795" s="109" t="s">
        <v>5</v>
      </c>
      <c r="B1795" s="109" t="s">
        <v>92</v>
      </c>
      <c r="C1795" s="109">
        <v>0</v>
      </c>
    </row>
    <row r="1796" spans="1:3" ht="24" x14ac:dyDescent="0.3">
      <c r="A1796" s="109" t="s">
        <v>5</v>
      </c>
      <c r="B1796" s="109" t="s">
        <v>93</v>
      </c>
      <c r="C1796" s="109">
        <v>7500</v>
      </c>
    </row>
    <row r="1797" spans="1:3" ht="24" x14ac:dyDescent="0.3">
      <c r="A1797" s="109" t="s">
        <v>5</v>
      </c>
      <c r="B1797" s="109" t="s">
        <v>94</v>
      </c>
      <c r="C1797" s="109">
        <v>240</v>
      </c>
    </row>
    <row r="1798" spans="1:3" ht="24" x14ac:dyDescent="0.3">
      <c r="A1798" s="109" t="s">
        <v>5</v>
      </c>
      <c r="B1798" s="109" t="s">
        <v>95</v>
      </c>
      <c r="C1798" s="109">
        <v>700</v>
      </c>
    </row>
    <row r="1799" spans="1:3" ht="24" x14ac:dyDescent="0.3">
      <c r="A1799" s="109" t="s">
        <v>5</v>
      </c>
      <c r="B1799" s="109" t="s">
        <v>96</v>
      </c>
      <c r="C1799" s="109">
        <v>210</v>
      </c>
    </row>
    <row r="1800" spans="1:3" ht="24" x14ac:dyDescent="0.3">
      <c r="A1800" s="109" t="s">
        <v>5</v>
      </c>
      <c r="B1800" s="109" t="s">
        <v>97</v>
      </c>
      <c r="C1800" s="109">
        <v>660</v>
      </c>
    </row>
    <row r="1801" spans="1:3" ht="24" x14ac:dyDescent="0.3">
      <c r="A1801" s="109" t="s">
        <v>5</v>
      </c>
      <c r="B1801" s="109" t="s">
        <v>98</v>
      </c>
      <c r="C1801" s="109">
        <v>145</v>
      </c>
    </row>
    <row r="1802" spans="1:3" ht="24" x14ac:dyDescent="0.3">
      <c r="A1802" s="109" t="s">
        <v>5</v>
      </c>
      <c r="B1802" s="109" t="s">
        <v>99</v>
      </c>
      <c r="C1802" s="109">
        <v>170</v>
      </c>
    </row>
    <row r="1803" spans="1:3" ht="24" x14ac:dyDescent="0.3">
      <c r="A1803" s="109" t="s">
        <v>5</v>
      </c>
      <c r="B1803" s="109" t="s">
        <v>100</v>
      </c>
      <c r="C1803" s="109">
        <v>210</v>
      </c>
    </row>
    <row r="1804" spans="1:3" ht="24" x14ac:dyDescent="0.3">
      <c r="A1804" s="109" t="s">
        <v>5</v>
      </c>
      <c r="B1804" s="109" t="s">
        <v>101</v>
      </c>
      <c r="C1804" s="109">
        <v>3300</v>
      </c>
    </row>
    <row r="1805" spans="1:3" ht="24" x14ac:dyDescent="0.3">
      <c r="A1805" s="109" t="s">
        <v>5</v>
      </c>
      <c r="B1805" s="109" t="s">
        <v>102</v>
      </c>
      <c r="C1805" s="109">
        <v>0</v>
      </c>
    </row>
    <row r="1806" spans="1:3" ht="24" x14ac:dyDescent="0.3">
      <c r="A1806" s="109" t="s">
        <v>5</v>
      </c>
      <c r="B1806" s="109" t="s">
        <v>103</v>
      </c>
      <c r="C1806" s="109">
        <v>350</v>
      </c>
    </row>
    <row r="1807" spans="1:3" ht="24" x14ac:dyDescent="0.3">
      <c r="A1807" s="109" t="s">
        <v>5</v>
      </c>
      <c r="B1807" s="109" t="s">
        <v>104</v>
      </c>
      <c r="C1807" s="109">
        <v>340</v>
      </c>
    </row>
    <row r="1808" spans="1:3" ht="24" x14ac:dyDescent="0.3">
      <c r="A1808" s="109" t="s">
        <v>5</v>
      </c>
      <c r="B1808" s="109" t="s">
        <v>105</v>
      </c>
      <c r="C1808" s="109">
        <v>0</v>
      </c>
    </row>
    <row r="1809" spans="1:3" ht="24" x14ac:dyDescent="0.3">
      <c r="A1809" s="109" t="s">
        <v>5</v>
      </c>
      <c r="B1809" s="109" t="s">
        <v>106</v>
      </c>
      <c r="C1809" s="109">
        <v>240</v>
      </c>
    </row>
    <row r="1810" spans="1:3" ht="24" x14ac:dyDescent="0.3">
      <c r="A1810" s="109" t="s">
        <v>5</v>
      </c>
      <c r="B1810" s="109" t="s">
        <v>107</v>
      </c>
      <c r="C1810" s="109">
        <v>35</v>
      </c>
    </row>
    <row r="1811" spans="1:3" ht="24" x14ac:dyDescent="0.3">
      <c r="A1811" s="109" t="s">
        <v>5</v>
      </c>
      <c r="B1811" s="109" t="s">
        <v>108</v>
      </c>
      <c r="C1811" s="109">
        <v>720</v>
      </c>
    </row>
    <row r="1812" spans="1:3" ht="24" x14ac:dyDescent="0.3">
      <c r="A1812" s="109" t="s">
        <v>5</v>
      </c>
      <c r="B1812" s="109" t="s">
        <v>109</v>
      </c>
      <c r="C1812" s="109">
        <v>0</v>
      </c>
    </row>
    <row r="1813" spans="1:3" ht="24" x14ac:dyDescent="0.3">
      <c r="A1813" s="109" t="s">
        <v>5</v>
      </c>
      <c r="B1813" s="109" t="s">
        <v>110</v>
      </c>
      <c r="C1813" s="109">
        <v>450</v>
      </c>
    </row>
    <row r="1814" spans="1:3" ht="24" x14ac:dyDescent="0.3">
      <c r="A1814" s="109" t="s">
        <v>5</v>
      </c>
      <c r="B1814" s="109" t="s">
        <v>111</v>
      </c>
      <c r="C1814" s="109">
        <v>0</v>
      </c>
    </row>
    <row r="1815" spans="1:3" ht="24" x14ac:dyDescent="0.3">
      <c r="A1815" s="109" t="s">
        <v>5</v>
      </c>
      <c r="B1815" s="109" t="s">
        <v>112</v>
      </c>
      <c r="C1815" s="109">
        <v>880</v>
      </c>
    </row>
    <row r="1816" spans="1:3" ht="24" x14ac:dyDescent="0.3">
      <c r="A1816" s="109" t="s">
        <v>5</v>
      </c>
      <c r="B1816" s="109" t="s">
        <v>113</v>
      </c>
      <c r="C1816" s="109">
        <v>880</v>
      </c>
    </row>
    <row r="1817" spans="1:3" ht="24" x14ac:dyDescent="0.3">
      <c r="A1817" s="109" t="s">
        <v>5</v>
      </c>
      <c r="B1817" s="109" t="s">
        <v>114</v>
      </c>
      <c r="C1817" s="109">
        <v>60</v>
      </c>
    </row>
    <row r="1818" spans="1:3" ht="24" x14ac:dyDescent="0.3">
      <c r="A1818" s="109" t="s">
        <v>5</v>
      </c>
      <c r="B1818" s="109" t="s">
        <v>115</v>
      </c>
      <c r="C1818" s="109">
        <v>0</v>
      </c>
    </row>
    <row r="1819" spans="1:3" ht="24" x14ac:dyDescent="0.3">
      <c r="A1819" s="109" t="s">
        <v>5</v>
      </c>
      <c r="B1819" s="109" t="s">
        <v>116</v>
      </c>
      <c r="C1819" s="109">
        <v>150</v>
      </c>
    </row>
    <row r="1820" spans="1:3" ht="24" x14ac:dyDescent="0.3">
      <c r="A1820" s="109" t="s">
        <v>5</v>
      </c>
      <c r="B1820" s="109" t="s">
        <v>117</v>
      </c>
      <c r="C1820" s="109">
        <v>490</v>
      </c>
    </row>
    <row r="1821" spans="1:3" ht="24" x14ac:dyDescent="0.3">
      <c r="A1821" s="109" t="s">
        <v>5</v>
      </c>
      <c r="B1821" s="109" t="s">
        <v>118</v>
      </c>
      <c r="C1821" s="109">
        <v>480</v>
      </c>
    </row>
    <row r="1822" spans="1:3" ht="24" x14ac:dyDescent="0.3">
      <c r="A1822" s="109" t="s">
        <v>5</v>
      </c>
      <c r="B1822" s="109" t="s">
        <v>120</v>
      </c>
      <c r="C1822" s="109">
        <v>60</v>
      </c>
    </row>
    <row r="1823" spans="1:3" ht="24" x14ac:dyDescent="0.3">
      <c r="A1823" s="109" t="s">
        <v>5</v>
      </c>
      <c r="B1823" s="109" t="s">
        <v>121</v>
      </c>
      <c r="C1823" s="109">
        <v>220</v>
      </c>
    </row>
    <row r="1824" spans="1:3" ht="24" x14ac:dyDescent="0.3">
      <c r="A1824" s="109" t="s">
        <v>5</v>
      </c>
      <c r="B1824" s="109" t="s">
        <v>122</v>
      </c>
      <c r="C1824" s="109">
        <v>140</v>
      </c>
    </row>
    <row r="1825" spans="1:3" ht="24" x14ac:dyDescent="0.3">
      <c r="A1825" s="109" t="s">
        <v>5</v>
      </c>
      <c r="B1825" s="109" t="s">
        <v>123</v>
      </c>
      <c r="C1825" s="109">
        <v>0</v>
      </c>
    </row>
    <row r="1826" spans="1:3" ht="24" x14ac:dyDescent="0.3">
      <c r="A1826" s="109" t="s">
        <v>5</v>
      </c>
      <c r="B1826" s="109" t="s">
        <v>124</v>
      </c>
      <c r="C1826" s="109">
        <v>300</v>
      </c>
    </row>
    <row r="1827" spans="1:3" ht="24" x14ac:dyDescent="0.3">
      <c r="A1827" s="109" t="s">
        <v>5</v>
      </c>
      <c r="B1827" s="109" t="s">
        <v>125</v>
      </c>
      <c r="C1827" s="109">
        <v>0</v>
      </c>
    </row>
    <row r="1828" spans="1:3" ht="24" x14ac:dyDescent="0.3">
      <c r="A1828" s="109" t="s">
        <v>5</v>
      </c>
      <c r="B1828" s="109" t="s">
        <v>126</v>
      </c>
      <c r="C1828" s="109">
        <v>0</v>
      </c>
    </row>
    <row r="1829" spans="1:3" ht="24" x14ac:dyDescent="0.3">
      <c r="A1829" s="109" t="s">
        <v>6</v>
      </c>
      <c r="B1829" s="109" t="s">
        <v>206</v>
      </c>
      <c r="C1829" s="109" t="s">
        <v>58</v>
      </c>
    </row>
    <row r="1830" spans="1:3" ht="24" x14ac:dyDescent="0.3">
      <c r="A1830" s="109" t="s">
        <v>6</v>
      </c>
      <c r="B1830" s="109" t="s">
        <v>62</v>
      </c>
      <c r="C1830" s="109">
        <v>432</v>
      </c>
    </row>
    <row r="1831" spans="1:3" ht="24" x14ac:dyDescent="0.3">
      <c r="A1831" s="109" t="s">
        <v>6</v>
      </c>
      <c r="B1831" s="109" t="s">
        <v>63</v>
      </c>
      <c r="C1831" s="109">
        <v>400</v>
      </c>
    </row>
    <row r="1832" spans="1:3" ht="24" x14ac:dyDescent="0.3">
      <c r="A1832" s="109" t="s">
        <v>6</v>
      </c>
      <c r="B1832" s="109" t="s">
        <v>64</v>
      </c>
      <c r="C1832" s="109">
        <v>240</v>
      </c>
    </row>
    <row r="1833" spans="1:3" ht="24" x14ac:dyDescent="0.3">
      <c r="A1833" s="109" t="s">
        <v>6</v>
      </c>
      <c r="B1833" s="109" t="s">
        <v>65</v>
      </c>
      <c r="C1833" s="109">
        <v>720</v>
      </c>
    </row>
    <row r="1834" spans="1:3" ht="24" x14ac:dyDescent="0.3">
      <c r="A1834" s="109" t="s">
        <v>6</v>
      </c>
      <c r="B1834" s="109" t="s">
        <v>66</v>
      </c>
      <c r="C1834" s="109">
        <v>220</v>
      </c>
    </row>
    <row r="1835" spans="1:3" ht="24" x14ac:dyDescent="0.3">
      <c r="A1835" s="109" t="s">
        <v>6</v>
      </c>
      <c r="B1835" s="109" t="s">
        <v>67</v>
      </c>
      <c r="C1835" s="109">
        <v>120</v>
      </c>
    </row>
    <row r="1836" spans="1:3" ht="24" x14ac:dyDescent="0.3">
      <c r="A1836" s="109" t="s">
        <v>6</v>
      </c>
      <c r="B1836" s="109" t="s">
        <v>68</v>
      </c>
      <c r="C1836" s="109">
        <v>90</v>
      </c>
    </row>
    <row r="1837" spans="1:3" ht="24" x14ac:dyDescent="0.3">
      <c r="A1837" s="109" t="s">
        <v>6</v>
      </c>
      <c r="B1837" s="109" t="s">
        <v>69</v>
      </c>
      <c r="C1837" s="109">
        <v>360</v>
      </c>
    </row>
    <row r="1838" spans="1:3" ht="24" x14ac:dyDescent="0.3">
      <c r="A1838" s="109" t="s">
        <v>6</v>
      </c>
      <c r="B1838" s="109" t="s">
        <v>70</v>
      </c>
      <c r="C1838" s="109">
        <v>210</v>
      </c>
    </row>
    <row r="1839" spans="1:3" ht="24" x14ac:dyDescent="0.3">
      <c r="A1839" s="109" t="s">
        <v>6</v>
      </c>
      <c r="B1839" s="109" t="s">
        <v>71</v>
      </c>
      <c r="C1839" s="109">
        <v>210</v>
      </c>
    </row>
    <row r="1840" spans="1:3" ht="24" x14ac:dyDescent="0.3">
      <c r="A1840" s="109" t="s">
        <v>6</v>
      </c>
      <c r="B1840" s="109" t="s">
        <v>72</v>
      </c>
      <c r="C1840" s="109">
        <v>500</v>
      </c>
    </row>
    <row r="1841" spans="1:3" ht="24" x14ac:dyDescent="0.3">
      <c r="A1841" s="109" t="s">
        <v>6</v>
      </c>
      <c r="B1841" s="109" t="s">
        <v>73</v>
      </c>
      <c r="C1841" s="109">
        <v>210</v>
      </c>
    </row>
    <row r="1842" spans="1:3" ht="24" x14ac:dyDescent="0.3">
      <c r="A1842" s="109" t="s">
        <v>6</v>
      </c>
      <c r="B1842" s="109" t="s">
        <v>74</v>
      </c>
      <c r="C1842" s="109">
        <v>1950</v>
      </c>
    </row>
    <row r="1843" spans="1:3" ht="24" x14ac:dyDescent="0.3">
      <c r="A1843" s="109" t="s">
        <v>6</v>
      </c>
      <c r="B1843" s="109" t="s">
        <v>75</v>
      </c>
      <c r="C1843" s="109">
        <v>1300</v>
      </c>
    </row>
    <row r="1844" spans="1:3" ht="24" x14ac:dyDescent="0.3">
      <c r="A1844" s="109" t="s">
        <v>6</v>
      </c>
      <c r="B1844" s="109" t="s">
        <v>76</v>
      </c>
      <c r="C1844" s="109">
        <v>0</v>
      </c>
    </row>
    <row r="1845" spans="1:3" ht="24" x14ac:dyDescent="0.3">
      <c r="A1845" s="109" t="s">
        <v>6</v>
      </c>
      <c r="B1845" s="109" t="s">
        <v>77</v>
      </c>
      <c r="C1845" s="109">
        <v>0</v>
      </c>
    </row>
    <row r="1846" spans="1:3" ht="24" x14ac:dyDescent="0.3">
      <c r="A1846" s="109" t="s">
        <v>6</v>
      </c>
      <c r="B1846" s="109" t="s">
        <v>78</v>
      </c>
      <c r="C1846" s="109">
        <v>940</v>
      </c>
    </row>
    <row r="1847" spans="1:3" ht="24" x14ac:dyDescent="0.3">
      <c r="A1847" s="109" t="s">
        <v>6</v>
      </c>
      <c r="B1847" s="109" t="s">
        <v>79</v>
      </c>
      <c r="C1847" s="109">
        <v>720</v>
      </c>
    </row>
    <row r="1848" spans="1:3" ht="24" x14ac:dyDescent="0.3">
      <c r="A1848" s="109" t="s">
        <v>6</v>
      </c>
      <c r="B1848" s="109" t="s">
        <v>80</v>
      </c>
      <c r="C1848" s="109">
        <v>300</v>
      </c>
    </row>
    <row r="1849" spans="1:3" ht="24" x14ac:dyDescent="0.3">
      <c r="A1849" s="109" t="s">
        <v>6</v>
      </c>
      <c r="B1849" s="109" t="s">
        <v>81</v>
      </c>
      <c r="C1849" s="109">
        <v>180</v>
      </c>
    </row>
    <row r="1850" spans="1:3" ht="24" x14ac:dyDescent="0.3">
      <c r="A1850" s="109" t="s">
        <v>6</v>
      </c>
      <c r="B1850" s="109" t="s">
        <v>83</v>
      </c>
      <c r="C1850" s="109">
        <v>14040</v>
      </c>
    </row>
    <row r="1851" spans="1:3" ht="24" x14ac:dyDescent="0.3">
      <c r="A1851" s="109" t="s">
        <v>6</v>
      </c>
      <c r="B1851" s="109" t="s">
        <v>84</v>
      </c>
      <c r="C1851" s="109">
        <v>11220</v>
      </c>
    </row>
    <row r="1852" spans="1:3" ht="24" x14ac:dyDescent="0.3">
      <c r="A1852" s="109" t="s">
        <v>6</v>
      </c>
      <c r="B1852" s="109" t="s">
        <v>85</v>
      </c>
      <c r="C1852" s="109">
        <v>1000</v>
      </c>
    </row>
    <row r="1853" spans="1:3" ht="24" x14ac:dyDescent="0.3">
      <c r="A1853" s="109" t="s">
        <v>6</v>
      </c>
      <c r="B1853" s="109" t="s">
        <v>86</v>
      </c>
      <c r="C1853" s="109">
        <v>760</v>
      </c>
    </row>
    <row r="1854" spans="1:3" ht="24" x14ac:dyDescent="0.3">
      <c r="A1854" s="109" t="s">
        <v>6</v>
      </c>
      <c r="B1854" s="109" t="s">
        <v>87</v>
      </c>
      <c r="C1854" s="109">
        <v>0</v>
      </c>
    </row>
    <row r="1855" spans="1:3" ht="24" x14ac:dyDescent="0.3">
      <c r="A1855" s="109" t="s">
        <v>6</v>
      </c>
      <c r="B1855" s="109" t="s">
        <v>88</v>
      </c>
      <c r="C1855" s="109">
        <v>0</v>
      </c>
    </row>
    <row r="1856" spans="1:3" ht="24" x14ac:dyDescent="0.3">
      <c r="A1856" s="109" t="s">
        <v>6</v>
      </c>
      <c r="B1856" s="109" t="s">
        <v>89</v>
      </c>
      <c r="C1856" s="109">
        <v>0</v>
      </c>
    </row>
    <row r="1857" spans="1:3" ht="24" x14ac:dyDescent="0.3">
      <c r="A1857" s="109" t="s">
        <v>6</v>
      </c>
      <c r="B1857" s="109" t="s">
        <v>90</v>
      </c>
      <c r="C1857" s="109">
        <v>7560</v>
      </c>
    </row>
    <row r="1858" spans="1:3" ht="24" x14ac:dyDescent="0.3">
      <c r="A1858" s="109" t="s">
        <v>6</v>
      </c>
      <c r="B1858" s="109" t="s">
        <v>92</v>
      </c>
      <c r="C1858" s="109">
        <v>600</v>
      </c>
    </row>
    <row r="1859" spans="1:3" ht="24" x14ac:dyDescent="0.3">
      <c r="A1859" s="109" t="s">
        <v>6</v>
      </c>
      <c r="B1859" s="109" t="s">
        <v>93</v>
      </c>
      <c r="C1859" s="109">
        <v>4475</v>
      </c>
    </row>
    <row r="1860" spans="1:3" ht="24" x14ac:dyDescent="0.3">
      <c r="A1860" s="109" t="s">
        <v>6</v>
      </c>
      <c r="B1860" s="109" t="s">
        <v>94</v>
      </c>
      <c r="C1860" s="109">
        <v>220</v>
      </c>
    </row>
    <row r="1861" spans="1:3" ht="24" x14ac:dyDescent="0.3">
      <c r="A1861" s="109" t="s">
        <v>6</v>
      </c>
      <c r="B1861" s="109" t="s">
        <v>95</v>
      </c>
      <c r="C1861" s="109">
        <v>320</v>
      </c>
    </row>
    <row r="1862" spans="1:3" ht="24" x14ac:dyDescent="0.3">
      <c r="A1862" s="109" t="s">
        <v>6</v>
      </c>
      <c r="B1862" s="109" t="s">
        <v>96</v>
      </c>
      <c r="C1862" s="109">
        <v>200</v>
      </c>
    </row>
    <row r="1863" spans="1:3" ht="24" x14ac:dyDescent="0.3">
      <c r="A1863" s="109" t="s">
        <v>6</v>
      </c>
      <c r="B1863" s="109" t="s">
        <v>97</v>
      </c>
      <c r="C1863" s="109">
        <v>770</v>
      </c>
    </row>
    <row r="1864" spans="1:3" ht="24" x14ac:dyDescent="0.3">
      <c r="A1864" s="109" t="s">
        <v>6</v>
      </c>
      <c r="B1864" s="109" t="s">
        <v>98</v>
      </c>
      <c r="C1864" s="109">
        <v>160</v>
      </c>
    </row>
    <row r="1865" spans="1:3" ht="24" x14ac:dyDescent="0.3">
      <c r="A1865" s="109" t="s">
        <v>6</v>
      </c>
      <c r="B1865" s="109" t="s">
        <v>99</v>
      </c>
      <c r="C1865" s="109">
        <v>195</v>
      </c>
    </row>
    <row r="1866" spans="1:3" ht="24" x14ac:dyDescent="0.3">
      <c r="A1866" s="109" t="s">
        <v>6</v>
      </c>
      <c r="B1866" s="109" t="s">
        <v>100</v>
      </c>
      <c r="C1866" s="109">
        <v>140</v>
      </c>
    </row>
    <row r="1867" spans="1:3" ht="24" x14ac:dyDescent="0.3">
      <c r="A1867" s="109" t="s">
        <v>6</v>
      </c>
      <c r="B1867" s="109" t="s">
        <v>101</v>
      </c>
      <c r="C1867" s="109">
        <v>1320</v>
      </c>
    </row>
    <row r="1868" spans="1:3" ht="24" x14ac:dyDescent="0.3">
      <c r="A1868" s="109" t="s">
        <v>6</v>
      </c>
      <c r="B1868" s="109" t="s">
        <v>102</v>
      </c>
      <c r="C1868" s="109">
        <v>0</v>
      </c>
    </row>
    <row r="1869" spans="1:3" ht="24" x14ac:dyDescent="0.3">
      <c r="A1869" s="109" t="s">
        <v>6</v>
      </c>
      <c r="B1869" s="109" t="s">
        <v>103</v>
      </c>
      <c r="C1869" s="109">
        <v>350</v>
      </c>
    </row>
    <row r="1870" spans="1:3" ht="24" x14ac:dyDescent="0.3">
      <c r="A1870" s="109" t="s">
        <v>6</v>
      </c>
      <c r="B1870" s="109" t="s">
        <v>104</v>
      </c>
      <c r="C1870" s="109">
        <v>0</v>
      </c>
    </row>
    <row r="1871" spans="1:3" ht="24" x14ac:dyDescent="0.3">
      <c r="A1871" s="109" t="s">
        <v>6</v>
      </c>
      <c r="B1871" s="109" t="s">
        <v>105</v>
      </c>
      <c r="C1871" s="109">
        <v>0</v>
      </c>
    </row>
    <row r="1872" spans="1:3" ht="24" x14ac:dyDescent="0.3">
      <c r="A1872" s="109" t="s">
        <v>6</v>
      </c>
      <c r="B1872" s="109" t="s">
        <v>106</v>
      </c>
      <c r="C1872" s="109">
        <v>350</v>
      </c>
    </row>
    <row r="1873" spans="1:3" ht="24" x14ac:dyDescent="0.3">
      <c r="A1873" s="109" t="s">
        <v>6</v>
      </c>
      <c r="B1873" s="109" t="s">
        <v>107</v>
      </c>
      <c r="C1873" s="109">
        <v>0</v>
      </c>
    </row>
    <row r="1874" spans="1:3" ht="24" x14ac:dyDescent="0.3">
      <c r="A1874" s="109" t="s">
        <v>6</v>
      </c>
      <c r="B1874" s="109" t="s">
        <v>108</v>
      </c>
      <c r="C1874" s="109">
        <v>0</v>
      </c>
    </row>
    <row r="1875" spans="1:3" ht="24" x14ac:dyDescent="0.3">
      <c r="A1875" s="109" t="s">
        <v>6</v>
      </c>
      <c r="B1875" s="109" t="s">
        <v>109</v>
      </c>
      <c r="C1875" s="109">
        <v>0</v>
      </c>
    </row>
    <row r="1876" spans="1:3" ht="24" x14ac:dyDescent="0.3">
      <c r="A1876" s="109" t="s">
        <v>6</v>
      </c>
      <c r="B1876" s="109" t="s">
        <v>110</v>
      </c>
      <c r="C1876" s="109">
        <v>700</v>
      </c>
    </row>
    <row r="1877" spans="1:3" ht="24" x14ac:dyDescent="0.3">
      <c r="A1877" s="109" t="s">
        <v>6</v>
      </c>
      <c r="B1877" s="109" t="s">
        <v>111</v>
      </c>
      <c r="C1877" s="109">
        <v>0</v>
      </c>
    </row>
    <row r="1878" spans="1:3" ht="24" x14ac:dyDescent="0.3">
      <c r="A1878" s="109" t="s">
        <v>6</v>
      </c>
      <c r="B1878" s="109" t="s">
        <v>112</v>
      </c>
      <c r="C1878" s="109">
        <v>0</v>
      </c>
    </row>
    <row r="1879" spans="1:3" ht="24" x14ac:dyDescent="0.3">
      <c r="A1879" s="109" t="s">
        <v>6</v>
      </c>
      <c r="B1879" s="109" t="s">
        <v>113</v>
      </c>
      <c r="C1879" s="109">
        <v>0</v>
      </c>
    </row>
    <row r="1880" spans="1:3" ht="24" x14ac:dyDescent="0.3">
      <c r="A1880" s="109" t="s">
        <v>6</v>
      </c>
      <c r="B1880" s="109" t="s">
        <v>114</v>
      </c>
      <c r="C1880" s="109">
        <v>0</v>
      </c>
    </row>
    <row r="1881" spans="1:3" ht="24" x14ac:dyDescent="0.3">
      <c r="A1881" s="109" t="s">
        <v>6</v>
      </c>
      <c r="B1881" s="109" t="s">
        <v>115</v>
      </c>
      <c r="C1881" s="109">
        <v>0</v>
      </c>
    </row>
    <row r="1882" spans="1:3" ht="24" x14ac:dyDescent="0.3">
      <c r="A1882" s="109" t="s">
        <v>6</v>
      </c>
      <c r="B1882" s="109" t="s">
        <v>116</v>
      </c>
      <c r="C1882" s="109">
        <v>0</v>
      </c>
    </row>
    <row r="1883" spans="1:3" ht="24" x14ac:dyDescent="0.3">
      <c r="A1883" s="109" t="s">
        <v>6</v>
      </c>
      <c r="B1883" s="109" t="s">
        <v>117</v>
      </c>
      <c r="C1883" s="109">
        <v>0</v>
      </c>
    </row>
    <row r="1884" spans="1:3" ht="24" x14ac:dyDescent="0.3">
      <c r="A1884" s="109" t="s">
        <v>6</v>
      </c>
      <c r="B1884" s="109" t="s">
        <v>118</v>
      </c>
      <c r="C1884" s="109">
        <v>0</v>
      </c>
    </row>
    <row r="1885" spans="1:3" ht="24" x14ac:dyDescent="0.3">
      <c r="A1885" s="109" t="s">
        <v>6</v>
      </c>
      <c r="B1885" s="109" t="s">
        <v>120</v>
      </c>
      <c r="C1885" s="109">
        <v>0</v>
      </c>
    </row>
    <row r="1886" spans="1:3" ht="24" x14ac:dyDescent="0.3">
      <c r="A1886" s="109" t="s">
        <v>6</v>
      </c>
      <c r="B1886" s="109" t="s">
        <v>121</v>
      </c>
      <c r="C1886" s="109">
        <v>176</v>
      </c>
    </row>
    <row r="1887" spans="1:3" ht="24" x14ac:dyDescent="0.3">
      <c r="A1887" s="109" t="s">
        <v>6</v>
      </c>
      <c r="B1887" s="109" t="s">
        <v>122</v>
      </c>
      <c r="C1887" s="109">
        <v>200</v>
      </c>
    </row>
    <row r="1888" spans="1:3" ht="24" x14ac:dyDescent="0.3">
      <c r="A1888" s="109" t="s">
        <v>6</v>
      </c>
      <c r="B1888" s="109" t="s">
        <v>123</v>
      </c>
      <c r="C1888" s="109">
        <v>0</v>
      </c>
    </row>
    <row r="1889" spans="1:3" ht="24" x14ac:dyDescent="0.3">
      <c r="A1889" s="109" t="s">
        <v>6</v>
      </c>
      <c r="B1889" s="109" t="s">
        <v>124</v>
      </c>
      <c r="C1889" s="109">
        <v>320</v>
      </c>
    </row>
    <row r="1890" spans="1:3" ht="24" x14ac:dyDescent="0.3">
      <c r="A1890" s="109" t="s">
        <v>6</v>
      </c>
      <c r="B1890" s="109" t="s">
        <v>125</v>
      </c>
      <c r="C1890" s="109">
        <v>150</v>
      </c>
    </row>
    <row r="1891" spans="1:3" ht="24" x14ac:dyDescent="0.3">
      <c r="A1891" s="109" t="s">
        <v>6</v>
      </c>
      <c r="B1891" s="109" t="s">
        <v>126</v>
      </c>
      <c r="C1891" s="109">
        <v>0</v>
      </c>
    </row>
    <row r="1892" spans="1:3" ht="24" x14ac:dyDescent="0.3">
      <c r="A1892" s="109" t="s">
        <v>7</v>
      </c>
      <c r="B1892" s="109" t="s">
        <v>206</v>
      </c>
      <c r="C1892" s="109" t="s">
        <v>58</v>
      </c>
    </row>
    <row r="1893" spans="1:3" ht="24" x14ac:dyDescent="0.3">
      <c r="A1893" s="109" t="s">
        <v>7</v>
      </c>
      <c r="B1893" s="109" t="s">
        <v>62</v>
      </c>
      <c r="C1893" s="109">
        <v>370</v>
      </c>
    </row>
    <row r="1894" spans="1:3" ht="24" x14ac:dyDescent="0.3">
      <c r="A1894" s="109" t="s">
        <v>7</v>
      </c>
      <c r="B1894" s="109" t="s">
        <v>63</v>
      </c>
      <c r="C1894" s="109">
        <v>240</v>
      </c>
    </row>
    <row r="1895" spans="1:3" ht="24" x14ac:dyDescent="0.3">
      <c r="A1895" s="109" t="s">
        <v>7</v>
      </c>
      <c r="B1895" s="109" t="s">
        <v>64</v>
      </c>
      <c r="C1895" s="109">
        <v>240</v>
      </c>
    </row>
    <row r="1896" spans="1:3" ht="24" x14ac:dyDescent="0.3">
      <c r="A1896" s="109" t="s">
        <v>7</v>
      </c>
      <c r="B1896" s="109" t="s">
        <v>65</v>
      </c>
      <c r="C1896" s="109">
        <v>640</v>
      </c>
    </row>
    <row r="1897" spans="1:3" ht="24" x14ac:dyDescent="0.3">
      <c r="A1897" s="109" t="s">
        <v>7</v>
      </c>
      <c r="B1897" s="109" t="s">
        <v>66</v>
      </c>
      <c r="C1897" s="109">
        <v>165</v>
      </c>
    </row>
    <row r="1898" spans="1:3" ht="24" x14ac:dyDescent="0.3">
      <c r="A1898" s="109" t="s">
        <v>7</v>
      </c>
      <c r="B1898" s="109" t="s">
        <v>67</v>
      </c>
      <c r="C1898" s="109">
        <v>38</v>
      </c>
    </row>
    <row r="1899" spans="1:3" ht="24" x14ac:dyDescent="0.3">
      <c r="A1899" s="109" t="s">
        <v>7</v>
      </c>
      <c r="B1899" s="109" t="s">
        <v>68</v>
      </c>
      <c r="C1899" s="109">
        <v>50</v>
      </c>
    </row>
    <row r="1900" spans="1:3" ht="24" x14ac:dyDescent="0.3">
      <c r="A1900" s="109" t="s">
        <v>7</v>
      </c>
      <c r="B1900" s="109" t="s">
        <v>69</v>
      </c>
      <c r="C1900" s="109">
        <v>270</v>
      </c>
    </row>
    <row r="1901" spans="1:3" ht="24" x14ac:dyDescent="0.3">
      <c r="A1901" s="109" t="s">
        <v>7</v>
      </c>
      <c r="B1901" s="109" t="s">
        <v>70</v>
      </c>
      <c r="C1901" s="109">
        <v>350</v>
      </c>
    </row>
    <row r="1902" spans="1:3" ht="24" x14ac:dyDescent="0.3">
      <c r="A1902" s="109" t="s">
        <v>7</v>
      </c>
      <c r="B1902" s="109" t="s">
        <v>71</v>
      </c>
      <c r="C1902" s="109">
        <v>420</v>
      </c>
    </row>
    <row r="1903" spans="1:3" ht="24" x14ac:dyDescent="0.3">
      <c r="A1903" s="109" t="s">
        <v>7</v>
      </c>
      <c r="B1903" s="109" t="s">
        <v>72</v>
      </c>
      <c r="C1903" s="109">
        <v>250</v>
      </c>
    </row>
    <row r="1904" spans="1:3" ht="24" x14ac:dyDescent="0.3">
      <c r="A1904" s="109" t="s">
        <v>7</v>
      </c>
      <c r="B1904" s="109" t="s">
        <v>73</v>
      </c>
      <c r="C1904" s="109">
        <v>325</v>
      </c>
    </row>
    <row r="1905" spans="1:3" ht="24" x14ac:dyDescent="0.3">
      <c r="A1905" s="109" t="s">
        <v>7</v>
      </c>
      <c r="B1905" s="109" t="s">
        <v>74</v>
      </c>
      <c r="C1905" s="109">
        <v>1950</v>
      </c>
    </row>
    <row r="1906" spans="1:3" ht="24" x14ac:dyDescent="0.3">
      <c r="A1906" s="109" t="s">
        <v>7</v>
      </c>
      <c r="B1906" s="109" t="s">
        <v>75</v>
      </c>
      <c r="C1906" s="109">
        <v>1950</v>
      </c>
    </row>
    <row r="1907" spans="1:3" ht="24" x14ac:dyDescent="0.3">
      <c r="A1907" s="109" t="s">
        <v>7</v>
      </c>
      <c r="B1907" s="109" t="s">
        <v>76</v>
      </c>
      <c r="C1907" s="109">
        <v>650</v>
      </c>
    </row>
    <row r="1908" spans="1:3" ht="24" x14ac:dyDescent="0.3">
      <c r="A1908" s="109" t="s">
        <v>7</v>
      </c>
      <c r="B1908" s="109" t="s">
        <v>77</v>
      </c>
      <c r="C1908" s="109">
        <v>0</v>
      </c>
    </row>
    <row r="1909" spans="1:3" ht="24" x14ac:dyDescent="0.3">
      <c r="A1909" s="109" t="s">
        <v>7</v>
      </c>
      <c r="B1909" s="109" t="s">
        <v>78</v>
      </c>
      <c r="C1909" s="109">
        <v>705</v>
      </c>
    </row>
    <row r="1910" spans="1:3" ht="24" x14ac:dyDescent="0.3">
      <c r="A1910" s="109" t="s">
        <v>7</v>
      </c>
      <c r="B1910" s="109" t="s">
        <v>79</v>
      </c>
      <c r="C1910" s="109">
        <v>1190</v>
      </c>
    </row>
    <row r="1911" spans="1:3" ht="24" x14ac:dyDescent="0.3">
      <c r="A1911" s="109" t="s">
        <v>7</v>
      </c>
      <c r="B1911" s="109" t="s">
        <v>80</v>
      </c>
      <c r="C1911" s="109">
        <v>300</v>
      </c>
    </row>
    <row r="1912" spans="1:3" ht="24" x14ac:dyDescent="0.3">
      <c r="A1912" s="109" t="s">
        <v>7</v>
      </c>
      <c r="B1912" s="109" t="s">
        <v>81</v>
      </c>
      <c r="C1912" s="109">
        <v>180</v>
      </c>
    </row>
    <row r="1913" spans="1:3" ht="24" x14ac:dyDescent="0.3">
      <c r="A1913" s="109" t="s">
        <v>7</v>
      </c>
      <c r="B1913" s="109" t="s">
        <v>83</v>
      </c>
      <c r="C1913" s="109">
        <v>26460</v>
      </c>
    </row>
    <row r="1914" spans="1:3" ht="24" x14ac:dyDescent="0.3">
      <c r="A1914" s="109" t="s">
        <v>7</v>
      </c>
      <c r="B1914" s="109" t="s">
        <v>84</v>
      </c>
      <c r="C1914" s="109">
        <v>16170</v>
      </c>
    </row>
    <row r="1915" spans="1:3" ht="24" x14ac:dyDescent="0.3">
      <c r="A1915" s="109" t="s">
        <v>7</v>
      </c>
      <c r="B1915" s="109" t="s">
        <v>85</v>
      </c>
      <c r="C1915" s="109">
        <v>1000</v>
      </c>
    </row>
    <row r="1916" spans="1:3" ht="24" x14ac:dyDescent="0.3">
      <c r="A1916" s="109" t="s">
        <v>7</v>
      </c>
      <c r="B1916" s="109" t="s">
        <v>86</v>
      </c>
      <c r="C1916" s="109">
        <v>1064</v>
      </c>
    </row>
    <row r="1917" spans="1:3" ht="24" x14ac:dyDescent="0.3">
      <c r="A1917" s="109" t="s">
        <v>7</v>
      </c>
      <c r="B1917" s="109" t="s">
        <v>87</v>
      </c>
      <c r="C1917" s="109">
        <v>5820</v>
      </c>
    </row>
    <row r="1918" spans="1:3" ht="24" x14ac:dyDescent="0.3">
      <c r="A1918" s="109" t="s">
        <v>7</v>
      </c>
      <c r="B1918" s="109" t="s">
        <v>88</v>
      </c>
      <c r="C1918" s="109">
        <v>3152</v>
      </c>
    </row>
    <row r="1919" spans="1:3" ht="24" x14ac:dyDescent="0.3">
      <c r="A1919" s="109" t="s">
        <v>7</v>
      </c>
      <c r="B1919" s="109" t="s">
        <v>89</v>
      </c>
      <c r="C1919" s="109">
        <v>0</v>
      </c>
    </row>
    <row r="1920" spans="1:3" ht="24" x14ac:dyDescent="0.3">
      <c r="A1920" s="109" t="s">
        <v>7</v>
      </c>
      <c r="B1920" s="109" t="s">
        <v>90</v>
      </c>
      <c r="C1920" s="109">
        <v>7788</v>
      </c>
    </row>
    <row r="1921" spans="1:3" ht="24" x14ac:dyDescent="0.3">
      <c r="A1921" s="109" t="s">
        <v>7</v>
      </c>
      <c r="B1921" s="109" t="s">
        <v>92</v>
      </c>
      <c r="C1921" s="109">
        <v>620</v>
      </c>
    </row>
    <row r="1922" spans="1:3" ht="24" x14ac:dyDescent="0.3">
      <c r="A1922" s="109" t="s">
        <v>7</v>
      </c>
      <c r="B1922" s="109" t="s">
        <v>93</v>
      </c>
      <c r="C1922" s="109">
        <v>4320</v>
      </c>
    </row>
    <row r="1923" spans="1:3" ht="24" x14ac:dyDescent="0.3">
      <c r="A1923" s="109" t="s">
        <v>7</v>
      </c>
      <c r="B1923" s="109" t="s">
        <v>94</v>
      </c>
      <c r="C1923" s="109">
        <v>360</v>
      </c>
    </row>
    <row r="1924" spans="1:3" ht="24" x14ac:dyDescent="0.3">
      <c r="A1924" s="109" t="s">
        <v>7</v>
      </c>
      <c r="B1924" s="109" t="s">
        <v>95</v>
      </c>
      <c r="C1924" s="109">
        <v>180</v>
      </c>
    </row>
    <row r="1925" spans="1:3" ht="24" x14ac:dyDescent="0.3">
      <c r="A1925" s="109" t="s">
        <v>7</v>
      </c>
      <c r="B1925" s="109" t="s">
        <v>96</v>
      </c>
      <c r="C1925" s="109">
        <v>410</v>
      </c>
    </row>
    <row r="1926" spans="1:3" ht="24" x14ac:dyDescent="0.3">
      <c r="A1926" s="109" t="s">
        <v>7</v>
      </c>
      <c r="B1926" s="109" t="s">
        <v>97</v>
      </c>
      <c r="C1926" s="109">
        <v>1422</v>
      </c>
    </row>
    <row r="1927" spans="1:3" ht="24" x14ac:dyDescent="0.3">
      <c r="A1927" s="109" t="s">
        <v>7</v>
      </c>
      <c r="B1927" s="109" t="s">
        <v>98</v>
      </c>
      <c r="C1927" s="109">
        <v>550</v>
      </c>
    </row>
    <row r="1928" spans="1:3" ht="24" x14ac:dyDescent="0.3">
      <c r="A1928" s="109" t="s">
        <v>7</v>
      </c>
      <c r="B1928" s="109" t="s">
        <v>99</v>
      </c>
      <c r="C1928" s="109">
        <v>150</v>
      </c>
    </row>
    <row r="1929" spans="1:3" ht="24" x14ac:dyDescent="0.3">
      <c r="A1929" s="109" t="s">
        <v>7</v>
      </c>
      <c r="B1929" s="109" t="s">
        <v>100</v>
      </c>
      <c r="C1929" s="109">
        <v>300</v>
      </c>
    </row>
    <row r="1930" spans="1:3" ht="24" x14ac:dyDescent="0.3">
      <c r="A1930" s="109" t="s">
        <v>7</v>
      </c>
      <c r="B1930" s="109" t="s">
        <v>101</v>
      </c>
      <c r="C1930" s="109">
        <v>1700</v>
      </c>
    </row>
    <row r="1931" spans="1:3" ht="24" x14ac:dyDescent="0.3">
      <c r="A1931" s="109" t="s">
        <v>7</v>
      </c>
      <c r="B1931" s="109" t="s">
        <v>102</v>
      </c>
      <c r="C1931" s="109">
        <v>475</v>
      </c>
    </row>
    <row r="1932" spans="1:3" ht="24" x14ac:dyDescent="0.3">
      <c r="A1932" s="109" t="s">
        <v>7</v>
      </c>
      <c r="B1932" s="109" t="s">
        <v>103</v>
      </c>
      <c r="C1932" s="109">
        <v>240</v>
      </c>
    </row>
    <row r="1933" spans="1:3" ht="24" x14ac:dyDescent="0.3">
      <c r="A1933" s="109" t="s">
        <v>7</v>
      </c>
      <c r="B1933" s="109" t="s">
        <v>104</v>
      </c>
      <c r="C1933" s="109">
        <v>255</v>
      </c>
    </row>
    <row r="1934" spans="1:3" ht="24" x14ac:dyDescent="0.3">
      <c r="A1934" s="109" t="s">
        <v>7</v>
      </c>
      <c r="B1934" s="109" t="s">
        <v>105</v>
      </c>
      <c r="C1934" s="109">
        <v>0</v>
      </c>
    </row>
    <row r="1935" spans="1:3" ht="24" x14ac:dyDescent="0.3">
      <c r="A1935" s="109" t="s">
        <v>7</v>
      </c>
      <c r="B1935" s="109" t="s">
        <v>106</v>
      </c>
      <c r="C1935" s="109">
        <v>380</v>
      </c>
    </row>
    <row r="1936" spans="1:3" ht="24" x14ac:dyDescent="0.3">
      <c r="A1936" s="109" t="s">
        <v>7</v>
      </c>
      <c r="B1936" s="109" t="s">
        <v>107</v>
      </c>
      <c r="C1936" s="109">
        <v>50</v>
      </c>
    </row>
    <row r="1937" spans="1:3" ht="24" x14ac:dyDescent="0.3">
      <c r="A1937" s="109" t="s">
        <v>7</v>
      </c>
      <c r="B1937" s="109" t="s">
        <v>108</v>
      </c>
      <c r="C1937" s="109">
        <v>0</v>
      </c>
    </row>
    <row r="1938" spans="1:3" ht="24" x14ac:dyDescent="0.3">
      <c r="A1938" s="109" t="s">
        <v>7</v>
      </c>
      <c r="B1938" s="109" t="s">
        <v>109</v>
      </c>
      <c r="C1938" s="109">
        <v>0</v>
      </c>
    </row>
    <row r="1939" spans="1:3" ht="24" x14ac:dyDescent="0.3">
      <c r="A1939" s="109" t="s">
        <v>7</v>
      </c>
      <c r="B1939" s="109" t="s">
        <v>110</v>
      </c>
      <c r="C1939" s="109">
        <v>1380</v>
      </c>
    </row>
    <row r="1940" spans="1:3" ht="24" x14ac:dyDescent="0.3">
      <c r="A1940" s="109" t="s">
        <v>7</v>
      </c>
      <c r="B1940" s="109" t="s">
        <v>111</v>
      </c>
      <c r="C1940" s="109">
        <v>0</v>
      </c>
    </row>
    <row r="1941" spans="1:3" ht="24" x14ac:dyDescent="0.3">
      <c r="A1941" s="109" t="s">
        <v>7</v>
      </c>
      <c r="B1941" s="109" t="s">
        <v>112</v>
      </c>
      <c r="C1941" s="109">
        <v>0</v>
      </c>
    </row>
    <row r="1942" spans="1:3" ht="24" x14ac:dyDescent="0.3">
      <c r="A1942" s="109" t="s">
        <v>7</v>
      </c>
      <c r="B1942" s="109" t="s">
        <v>113</v>
      </c>
      <c r="C1942" s="109">
        <v>0</v>
      </c>
    </row>
    <row r="1943" spans="1:3" ht="24" x14ac:dyDescent="0.3">
      <c r="A1943" s="109" t="s">
        <v>7</v>
      </c>
      <c r="B1943" s="109" t="s">
        <v>114</v>
      </c>
      <c r="C1943" s="109">
        <v>0</v>
      </c>
    </row>
    <row r="1944" spans="1:3" ht="24" x14ac:dyDescent="0.3">
      <c r="A1944" s="109" t="s">
        <v>7</v>
      </c>
      <c r="B1944" s="109" t="s">
        <v>115</v>
      </c>
      <c r="C1944" s="109">
        <v>0</v>
      </c>
    </row>
    <row r="1945" spans="1:3" ht="24" x14ac:dyDescent="0.3">
      <c r="A1945" s="109" t="s">
        <v>7</v>
      </c>
      <c r="B1945" s="109" t="s">
        <v>116</v>
      </c>
      <c r="C1945" s="109">
        <v>0</v>
      </c>
    </row>
    <row r="1946" spans="1:3" ht="24" x14ac:dyDescent="0.3">
      <c r="A1946" s="109" t="s">
        <v>7</v>
      </c>
      <c r="B1946" s="109" t="s">
        <v>117</v>
      </c>
      <c r="C1946" s="109">
        <v>0</v>
      </c>
    </row>
    <row r="1947" spans="1:3" ht="24" x14ac:dyDescent="0.3">
      <c r="A1947" s="109" t="s">
        <v>7</v>
      </c>
      <c r="B1947" s="109" t="s">
        <v>118</v>
      </c>
      <c r="C1947" s="109">
        <v>0</v>
      </c>
    </row>
    <row r="1948" spans="1:3" ht="24" x14ac:dyDescent="0.3">
      <c r="A1948" s="109" t="s">
        <v>7</v>
      </c>
      <c r="B1948" s="109" t="s">
        <v>120</v>
      </c>
      <c r="C1948" s="109">
        <v>0</v>
      </c>
    </row>
    <row r="1949" spans="1:3" ht="24" x14ac:dyDescent="0.3">
      <c r="A1949" s="109" t="s">
        <v>7</v>
      </c>
      <c r="B1949" s="109" t="s">
        <v>121</v>
      </c>
      <c r="C1949" s="109">
        <v>176</v>
      </c>
    </row>
    <row r="1950" spans="1:3" ht="24" x14ac:dyDescent="0.3">
      <c r="A1950" s="109" t="s">
        <v>7</v>
      </c>
      <c r="B1950" s="109" t="s">
        <v>122</v>
      </c>
      <c r="C1950" s="109">
        <v>300</v>
      </c>
    </row>
    <row r="1951" spans="1:3" ht="24" x14ac:dyDescent="0.3">
      <c r="A1951" s="109" t="s">
        <v>7</v>
      </c>
      <c r="B1951" s="109" t="s">
        <v>123</v>
      </c>
      <c r="C1951" s="109">
        <v>0</v>
      </c>
    </row>
    <row r="1952" spans="1:3" ht="24" x14ac:dyDescent="0.3">
      <c r="A1952" s="109" t="s">
        <v>7</v>
      </c>
      <c r="B1952" s="109" t="s">
        <v>124</v>
      </c>
      <c r="C1952" s="109">
        <v>480</v>
      </c>
    </row>
    <row r="1953" spans="1:3" ht="24" x14ac:dyDescent="0.3">
      <c r="A1953" s="109" t="s">
        <v>7</v>
      </c>
      <c r="B1953" s="109" t="s">
        <v>125</v>
      </c>
      <c r="C1953" s="109">
        <v>0</v>
      </c>
    </row>
    <row r="1954" spans="1:3" ht="24" x14ac:dyDescent="0.3">
      <c r="A1954" s="109" t="s">
        <v>7</v>
      </c>
      <c r="B1954" s="109" t="s">
        <v>126</v>
      </c>
      <c r="C1954" s="109">
        <v>0</v>
      </c>
    </row>
    <row r="1955" spans="1:3" ht="24" x14ac:dyDescent="0.3">
      <c r="A1955" s="109" t="s">
        <v>331</v>
      </c>
      <c r="B1955" s="109" t="s">
        <v>206</v>
      </c>
      <c r="C1955" s="109" t="s">
        <v>58</v>
      </c>
    </row>
    <row r="1956" spans="1:3" ht="24" x14ac:dyDescent="0.3">
      <c r="A1956" s="109" t="s">
        <v>331</v>
      </c>
      <c r="B1956" s="109" t="s">
        <v>62</v>
      </c>
      <c r="C1956" s="109">
        <v>444</v>
      </c>
    </row>
    <row r="1957" spans="1:3" ht="24" x14ac:dyDescent="0.3">
      <c r="A1957" s="109" t="s">
        <v>331</v>
      </c>
      <c r="B1957" s="109" t="s">
        <v>63</v>
      </c>
      <c r="C1957" s="109">
        <v>320</v>
      </c>
    </row>
    <row r="1958" spans="1:3" ht="24" x14ac:dyDescent="0.3">
      <c r="A1958" s="109" t="s">
        <v>331</v>
      </c>
      <c r="B1958" s="109" t="s">
        <v>64</v>
      </c>
      <c r="C1958" s="109">
        <v>240</v>
      </c>
    </row>
    <row r="1959" spans="1:3" ht="24" x14ac:dyDescent="0.3">
      <c r="A1959" s="109" t="s">
        <v>331</v>
      </c>
      <c r="B1959" s="109" t="s">
        <v>65</v>
      </c>
      <c r="C1959" s="109">
        <v>720</v>
      </c>
    </row>
    <row r="1960" spans="1:3" ht="24" x14ac:dyDescent="0.3">
      <c r="A1960" s="109" t="s">
        <v>331</v>
      </c>
      <c r="B1960" s="109" t="s">
        <v>66</v>
      </c>
      <c r="C1960" s="109">
        <v>110</v>
      </c>
    </row>
    <row r="1961" spans="1:3" ht="24" x14ac:dyDescent="0.3">
      <c r="A1961" s="109" t="s">
        <v>331</v>
      </c>
      <c r="B1961" s="109" t="s">
        <v>67</v>
      </c>
      <c r="C1961" s="109">
        <v>76</v>
      </c>
    </row>
    <row r="1962" spans="1:3" ht="24" x14ac:dyDescent="0.3">
      <c r="A1962" s="109" t="s">
        <v>331</v>
      </c>
      <c r="B1962" s="109" t="s">
        <v>68</v>
      </c>
      <c r="C1962" s="109">
        <v>0</v>
      </c>
    </row>
    <row r="1963" spans="1:3" ht="24" x14ac:dyDescent="0.3">
      <c r="A1963" s="109" t="s">
        <v>331</v>
      </c>
      <c r="B1963" s="109" t="s">
        <v>69</v>
      </c>
      <c r="C1963" s="109">
        <v>270</v>
      </c>
    </row>
    <row r="1964" spans="1:3" ht="24" x14ac:dyDescent="0.3">
      <c r="A1964" s="109" t="s">
        <v>331</v>
      </c>
      <c r="B1964" s="109" t="s">
        <v>70</v>
      </c>
      <c r="C1964" s="109">
        <v>630</v>
      </c>
    </row>
    <row r="1965" spans="1:3" ht="24" x14ac:dyDescent="0.3">
      <c r="A1965" s="109" t="s">
        <v>331</v>
      </c>
      <c r="B1965" s="109" t="s">
        <v>71</v>
      </c>
      <c r="C1965" s="109">
        <v>630</v>
      </c>
    </row>
    <row r="1966" spans="1:3" ht="24" x14ac:dyDescent="0.3">
      <c r="A1966" s="109" t="s">
        <v>331</v>
      </c>
      <c r="B1966" s="109" t="s">
        <v>72</v>
      </c>
      <c r="C1966" s="109">
        <v>780</v>
      </c>
    </row>
    <row r="1967" spans="1:3" ht="24" x14ac:dyDescent="0.3">
      <c r="A1967" s="109" t="s">
        <v>331</v>
      </c>
      <c r="B1967" s="109" t="s">
        <v>73</v>
      </c>
      <c r="C1967" s="109">
        <v>325</v>
      </c>
    </row>
    <row r="1968" spans="1:3" ht="24" x14ac:dyDescent="0.3">
      <c r="A1968" s="109" t="s">
        <v>331</v>
      </c>
      <c r="B1968" s="109" t="s">
        <v>74</v>
      </c>
      <c r="C1968" s="109">
        <v>4200</v>
      </c>
    </row>
    <row r="1969" spans="1:3" ht="24" x14ac:dyDescent="0.3">
      <c r="A1969" s="109" t="s">
        <v>331</v>
      </c>
      <c r="B1969" s="109" t="s">
        <v>75</v>
      </c>
      <c r="C1969" s="109">
        <v>2520</v>
      </c>
    </row>
    <row r="1970" spans="1:3" ht="24" x14ac:dyDescent="0.3">
      <c r="A1970" s="109" t="s">
        <v>331</v>
      </c>
      <c r="B1970" s="109" t="s">
        <v>76</v>
      </c>
      <c r="C1970" s="109">
        <v>650</v>
      </c>
    </row>
    <row r="1971" spans="1:3" ht="24" x14ac:dyDescent="0.3">
      <c r="A1971" s="109" t="s">
        <v>331</v>
      </c>
      <c r="B1971" s="109" t="s">
        <v>77</v>
      </c>
      <c r="C1971" s="109">
        <v>1250</v>
      </c>
    </row>
    <row r="1972" spans="1:3" ht="24" x14ac:dyDescent="0.3">
      <c r="A1972" s="109" t="s">
        <v>331</v>
      </c>
      <c r="B1972" s="109" t="s">
        <v>78</v>
      </c>
      <c r="C1972" s="109">
        <v>799</v>
      </c>
    </row>
    <row r="1973" spans="1:3" ht="24" x14ac:dyDescent="0.3">
      <c r="A1973" s="109" t="s">
        <v>331</v>
      </c>
      <c r="B1973" s="109" t="s">
        <v>79</v>
      </c>
      <c r="C1973" s="109">
        <v>1860</v>
      </c>
    </row>
    <row r="1974" spans="1:3" ht="24" x14ac:dyDescent="0.3">
      <c r="A1974" s="109" t="s">
        <v>331</v>
      </c>
      <c r="B1974" s="109" t="s">
        <v>80</v>
      </c>
      <c r="C1974" s="109">
        <v>300</v>
      </c>
    </row>
    <row r="1975" spans="1:3" ht="24" x14ac:dyDescent="0.3">
      <c r="A1975" s="109" t="s">
        <v>331</v>
      </c>
      <c r="B1975" s="109" t="s">
        <v>81</v>
      </c>
      <c r="C1975" s="109">
        <v>600</v>
      </c>
    </row>
    <row r="1976" spans="1:3" ht="24" x14ac:dyDescent="0.3">
      <c r="A1976" s="109" t="s">
        <v>331</v>
      </c>
      <c r="B1976" s="109" t="s">
        <v>83</v>
      </c>
      <c r="C1976" s="109">
        <v>50660</v>
      </c>
    </row>
    <row r="1977" spans="1:3" ht="24" x14ac:dyDescent="0.3">
      <c r="A1977" s="109" t="s">
        <v>331</v>
      </c>
      <c r="B1977" s="109" t="s">
        <v>84</v>
      </c>
      <c r="C1977" s="109">
        <v>28400</v>
      </c>
    </row>
    <row r="1978" spans="1:3" ht="24" x14ac:dyDescent="0.3">
      <c r="A1978" s="109" t="s">
        <v>331</v>
      </c>
      <c r="B1978" s="109" t="s">
        <v>85</v>
      </c>
      <c r="C1978" s="109">
        <v>0</v>
      </c>
    </row>
    <row r="1979" spans="1:3" ht="24" x14ac:dyDescent="0.3">
      <c r="A1979" s="109" t="s">
        <v>331</v>
      </c>
      <c r="B1979" s="109" t="s">
        <v>86</v>
      </c>
      <c r="C1979" s="109">
        <v>0</v>
      </c>
    </row>
    <row r="1980" spans="1:3" ht="24" x14ac:dyDescent="0.3">
      <c r="A1980" s="109" t="s">
        <v>331</v>
      </c>
      <c r="B1980" s="109" t="s">
        <v>87</v>
      </c>
      <c r="C1980" s="109">
        <v>0</v>
      </c>
    </row>
    <row r="1981" spans="1:3" ht="24" x14ac:dyDescent="0.3">
      <c r="A1981" s="109" t="s">
        <v>331</v>
      </c>
      <c r="B1981" s="109" t="s">
        <v>88</v>
      </c>
      <c r="C1981" s="109">
        <v>0</v>
      </c>
    </row>
    <row r="1982" spans="1:3" ht="24" x14ac:dyDescent="0.3">
      <c r="A1982" s="109" t="s">
        <v>331</v>
      </c>
      <c r="B1982" s="109" t="s">
        <v>89</v>
      </c>
      <c r="C1982" s="109">
        <v>0</v>
      </c>
    </row>
    <row r="1983" spans="1:3" ht="24" x14ac:dyDescent="0.3">
      <c r="A1983" s="109" t="s">
        <v>331</v>
      </c>
      <c r="B1983" s="109" t="s">
        <v>90</v>
      </c>
      <c r="C1983" s="109">
        <v>6600</v>
      </c>
    </row>
    <row r="1984" spans="1:3" ht="24" x14ac:dyDescent="0.3">
      <c r="A1984" s="109" t="s">
        <v>331</v>
      </c>
      <c r="B1984" s="109" t="s">
        <v>92</v>
      </c>
      <c r="C1984" s="109">
        <v>660</v>
      </c>
    </row>
    <row r="1985" spans="1:3" ht="24" x14ac:dyDescent="0.3">
      <c r="A1985" s="109" t="s">
        <v>331</v>
      </c>
      <c r="B1985" s="109" t="s">
        <v>93</v>
      </c>
      <c r="C1985" s="109">
        <v>7190</v>
      </c>
    </row>
    <row r="1986" spans="1:3" ht="24" x14ac:dyDescent="0.3">
      <c r="A1986" s="109" t="s">
        <v>331</v>
      </c>
      <c r="B1986" s="109" t="s">
        <v>94</v>
      </c>
      <c r="C1986" s="109">
        <v>450</v>
      </c>
    </row>
    <row r="1987" spans="1:3" ht="24" x14ac:dyDescent="0.3">
      <c r="A1987" s="109" t="s">
        <v>331</v>
      </c>
      <c r="B1987" s="109" t="s">
        <v>95</v>
      </c>
      <c r="C1987" s="109">
        <v>450</v>
      </c>
    </row>
    <row r="1988" spans="1:3" ht="24" x14ac:dyDescent="0.3">
      <c r="A1988" s="109" t="s">
        <v>331</v>
      </c>
      <c r="B1988" s="109" t="s">
        <v>96</v>
      </c>
      <c r="C1988" s="109">
        <v>225</v>
      </c>
    </row>
    <row r="1989" spans="1:3" ht="24" x14ac:dyDescent="0.3">
      <c r="A1989" s="109" t="s">
        <v>331</v>
      </c>
      <c r="B1989" s="109" t="s">
        <v>97</v>
      </c>
      <c r="C1989" s="109">
        <v>760</v>
      </c>
    </row>
    <row r="1990" spans="1:3" ht="24" x14ac:dyDescent="0.3">
      <c r="A1990" s="109" t="s">
        <v>331</v>
      </c>
      <c r="B1990" s="109" t="s">
        <v>98</v>
      </c>
      <c r="C1990" s="109">
        <v>220</v>
      </c>
    </row>
    <row r="1991" spans="1:3" ht="24" x14ac:dyDescent="0.3">
      <c r="A1991" s="109" t="s">
        <v>331</v>
      </c>
      <c r="B1991" s="109" t="s">
        <v>99</v>
      </c>
      <c r="C1991" s="109">
        <v>0</v>
      </c>
    </row>
    <row r="1992" spans="1:3" ht="24" x14ac:dyDescent="0.3">
      <c r="A1992" s="109" t="s">
        <v>331</v>
      </c>
      <c r="B1992" s="109" t="s">
        <v>100</v>
      </c>
      <c r="C1992" s="109">
        <v>330</v>
      </c>
    </row>
    <row r="1993" spans="1:3" ht="24" x14ac:dyDescent="0.3">
      <c r="A1993" s="109" t="s">
        <v>331</v>
      </c>
      <c r="B1993" s="109" t="s">
        <v>101</v>
      </c>
      <c r="C1993" s="109">
        <v>3250</v>
      </c>
    </row>
    <row r="1994" spans="1:3" ht="24" x14ac:dyDescent="0.3">
      <c r="A1994" s="109" t="s">
        <v>331</v>
      </c>
      <c r="B1994" s="109" t="s">
        <v>102</v>
      </c>
      <c r="C1994" s="109">
        <v>450</v>
      </c>
    </row>
    <row r="1995" spans="1:3" ht="24" x14ac:dyDescent="0.3">
      <c r="A1995" s="109" t="s">
        <v>331</v>
      </c>
      <c r="B1995" s="109" t="s">
        <v>103</v>
      </c>
      <c r="C1995" s="109">
        <v>320</v>
      </c>
    </row>
    <row r="1996" spans="1:3" ht="24" x14ac:dyDescent="0.3">
      <c r="A1996" s="109" t="s">
        <v>331</v>
      </c>
      <c r="B1996" s="109" t="s">
        <v>104</v>
      </c>
      <c r="C1996" s="109">
        <v>620</v>
      </c>
    </row>
    <row r="1997" spans="1:3" ht="24" x14ac:dyDescent="0.3">
      <c r="A1997" s="109" t="s">
        <v>331</v>
      </c>
      <c r="B1997" s="109" t="s">
        <v>105</v>
      </c>
      <c r="C1997" s="109">
        <v>0</v>
      </c>
    </row>
    <row r="1998" spans="1:3" ht="24" x14ac:dyDescent="0.3">
      <c r="A1998" s="109" t="s">
        <v>331</v>
      </c>
      <c r="B1998" s="109" t="s">
        <v>106</v>
      </c>
      <c r="C1998" s="109">
        <v>160</v>
      </c>
    </row>
    <row r="1999" spans="1:3" ht="24" x14ac:dyDescent="0.3">
      <c r="A1999" s="109" t="s">
        <v>331</v>
      </c>
      <c r="B1999" s="109" t="s">
        <v>107</v>
      </c>
      <c r="C1999" s="109">
        <v>90</v>
      </c>
    </row>
    <row r="2000" spans="1:3" ht="24" x14ac:dyDescent="0.3">
      <c r="A2000" s="109" t="s">
        <v>331</v>
      </c>
      <c r="B2000" s="109" t="s">
        <v>108</v>
      </c>
      <c r="C2000" s="109">
        <v>2100</v>
      </c>
    </row>
    <row r="2001" spans="1:3" ht="24" x14ac:dyDescent="0.3">
      <c r="A2001" s="109" t="s">
        <v>331</v>
      </c>
      <c r="B2001" s="109" t="s">
        <v>109</v>
      </c>
      <c r="C2001" s="109">
        <v>0</v>
      </c>
    </row>
    <row r="2002" spans="1:3" ht="24" x14ac:dyDescent="0.3">
      <c r="A2002" s="109" t="s">
        <v>331</v>
      </c>
      <c r="B2002" s="109" t="s">
        <v>110</v>
      </c>
      <c r="C2002" s="109">
        <v>2760</v>
      </c>
    </row>
    <row r="2003" spans="1:3" ht="24" x14ac:dyDescent="0.3">
      <c r="A2003" s="109" t="s">
        <v>331</v>
      </c>
      <c r="B2003" s="109" t="s">
        <v>111</v>
      </c>
      <c r="C2003" s="109">
        <v>0</v>
      </c>
    </row>
    <row r="2004" spans="1:3" ht="24" x14ac:dyDescent="0.3">
      <c r="A2004" s="109" t="s">
        <v>331</v>
      </c>
      <c r="B2004" s="109" t="s">
        <v>112</v>
      </c>
      <c r="C2004" s="109">
        <v>410</v>
      </c>
    </row>
    <row r="2005" spans="1:3" ht="24" x14ac:dyDescent="0.3">
      <c r="A2005" s="109" t="s">
        <v>331</v>
      </c>
      <c r="B2005" s="109" t="s">
        <v>113</v>
      </c>
      <c r="C2005" s="109">
        <v>0</v>
      </c>
    </row>
    <row r="2006" spans="1:3" ht="24" x14ac:dyDescent="0.3">
      <c r="A2006" s="109" t="s">
        <v>331</v>
      </c>
      <c r="B2006" s="109" t="s">
        <v>114</v>
      </c>
      <c r="C2006" s="109">
        <v>0</v>
      </c>
    </row>
    <row r="2007" spans="1:3" ht="24" x14ac:dyDescent="0.3">
      <c r="A2007" s="109" t="s">
        <v>331</v>
      </c>
      <c r="B2007" s="109" t="s">
        <v>115</v>
      </c>
      <c r="C2007" s="109">
        <v>0</v>
      </c>
    </row>
    <row r="2008" spans="1:3" ht="24" x14ac:dyDescent="0.3">
      <c r="A2008" s="109" t="s">
        <v>331</v>
      </c>
      <c r="B2008" s="109" t="s">
        <v>116</v>
      </c>
      <c r="C2008" s="109">
        <v>280</v>
      </c>
    </row>
    <row r="2009" spans="1:3" ht="24" x14ac:dyDescent="0.3">
      <c r="A2009" s="109" t="s">
        <v>331</v>
      </c>
      <c r="B2009" s="109" t="s">
        <v>117</v>
      </c>
      <c r="C2009" s="109">
        <v>960</v>
      </c>
    </row>
    <row r="2010" spans="1:3" ht="24" x14ac:dyDescent="0.3">
      <c r="A2010" s="109" t="s">
        <v>331</v>
      </c>
      <c r="B2010" s="109" t="s">
        <v>118</v>
      </c>
      <c r="C2010" s="109">
        <v>420</v>
      </c>
    </row>
    <row r="2011" spans="1:3" ht="24" x14ac:dyDescent="0.3">
      <c r="A2011" s="109" t="s">
        <v>331</v>
      </c>
      <c r="B2011" s="109" t="s">
        <v>120</v>
      </c>
      <c r="C2011" s="109">
        <v>60</v>
      </c>
    </row>
    <row r="2012" spans="1:3" ht="24" x14ac:dyDescent="0.3">
      <c r="A2012" s="109" t="s">
        <v>331</v>
      </c>
      <c r="B2012" s="109" t="s">
        <v>121</v>
      </c>
      <c r="C2012" s="109">
        <v>220</v>
      </c>
    </row>
    <row r="2013" spans="1:3" ht="24" x14ac:dyDescent="0.3">
      <c r="A2013" s="109" t="s">
        <v>331</v>
      </c>
      <c r="B2013" s="109" t="s">
        <v>122</v>
      </c>
      <c r="C2013" s="109">
        <v>150</v>
      </c>
    </row>
    <row r="2014" spans="1:3" ht="24" x14ac:dyDescent="0.3">
      <c r="A2014" s="109" t="s">
        <v>331</v>
      </c>
      <c r="B2014" s="109" t="s">
        <v>123</v>
      </c>
      <c r="C2014" s="109">
        <v>0</v>
      </c>
    </row>
    <row r="2015" spans="1:3" ht="24" x14ac:dyDescent="0.3">
      <c r="A2015" s="109" t="s">
        <v>331</v>
      </c>
      <c r="B2015" s="109" t="s">
        <v>124</v>
      </c>
      <c r="C2015" s="109">
        <v>510</v>
      </c>
    </row>
    <row r="2016" spans="1:3" ht="24" x14ac:dyDescent="0.3">
      <c r="A2016" s="109" t="s">
        <v>331</v>
      </c>
      <c r="B2016" s="109" t="s">
        <v>125</v>
      </c>
      <c r="C2016" s="109">
        <v>220</v>
      </c>
    </row>
    <row r="2017" spans="1:3" ht="24" x14ac:dyDescent="0.3">
      <c r="A2017" s="109" t="s">
        <v>331</v>
      </c>
      <c r="B2017" s="109" t="s">
        <v>126</v>
      </c>
      <c r="C2017" s="109">
        <v>1400</v>
      </c>
    </row>
    <row r="2018" spans="1:3" ht="24" x14ac:dyDescent="0.3">
      <c r="A2018" s="109" t="s">
        <v>9</v>
      </c>
      <c r="B2018" s="109" t="s">
        <v>206</v>
      </c>
      <c r="C2018" s="109" t="s">
        <v>58</v>
      </c>
    </row>
    <row r="2019" spans="1:3" ht="24" x14ac:dyDescent="0.3">
      <c r="A2019" s="109" t="s">
        <v>9</v>
      </c>
      <c r="B2019" s="109" t="s">
        <v>62</v>
      </c>
      <c r="C2019" s="109">
        <v>444</v>
      </c>
    </row>
    <row r="2020" spans="1:3" ht="24" x14ac:dyDescent="0.3">
      <c r="A2020" s="109" t="s">
        <v>9</v>
      </c>
      <c r="B2020" s="109" t="s">
        <v>63</v>
      </c>
      <c r="C2020" s="109">
        <v>320</v>
      </c>
    </row>
    <row r="2021" spans="1:3" ht="24" x14ac:dyDescent="0.3">
      <c r="A2021" s="109" t="s">
        <v>9</v>
      </c>
      <c r="B2021" s="109" t="s">
        <v>64</v>
      </c>
      <c r="C2021" s="109">
        <v>240</v>
      </c>
    </row>
    <row r="2022" spans="1:3" ht="24" x14ac:dyDescent="0.3">
      <c r="A2022" s="109" t="s">
        <v>9</v>
      </c>
      <c r="B2022" s="109" t="s">
        <v>65</v>
      </c>
      <c r="C2022" s="109">
        <v>810</v>
      </c>
    </row>
    <row r="2023" spans="1:3" ht="24" x14ac:dyDescent="0.3">
      <c r="A2023" s="109" t="s">
        <v>9</v>
      </c>
      <c r="B2023" s="109" t="s">
        <v>66</v>
      </c>
      <c r="C2023" s="109">
        <v>55</v>
      </c>
    </row>
    <row r="2024" spans="1:3" ht="24" x14ac:dyDescent="0.3">
      <c r="A2024" s="109" t="s">
        <v>9</v>
      </c>
      <c r="B2024" s="109" t="s">
        <v>67</v>
      </c>
      <c r="C2024" s="109">
        <v>76</v>
      </c>
    </row>
    <row r="2025" spans="1:3" ht="24" x14ac:dyDescent="0.3">
      <c r="A2025" s="109" t="s">
        <v>9</v>
      </c>
      <c r="B2025" s="109" t="s">
        <v>68</v>
      </c>
      <c r="C2025" s="109">
        <v>0</v>
      </c>
    </row>
    <row r="2026" spans="1:3" ht="24" x14ac:dyDescent="0.3">
      <c r="A2026" s="109" t="s">
        <v>9</v>
      </c>
      <c r="B2026" s="109" t="s">
        <v>69</v>
      </c>
      <c r="C2026" s="109">
        <v>150</v>
      </c>
    </row>
    <row r="2027" spans="1:3" ht="24" x14ac:dyDescent="0.3">
      <c r="A2027" s="109" t="s">
        <v>9</v>
      </c>
      <c r="B2027" s="109" t="s">
        <v>70</v>
      </c>
      <c r="C2027" s="109">
        <v>210</v>
      </c>
    </row>
    <row r="2028" spans="1:3" ht="24" x14ac:dyDescent="0.3">
      <c r="A2028" s="109" t="s">
        <v>9</v>
      </c>
      <c r="B2028" s="109" t="s">
        <v>71</v>
      </c>
      <c r="C2028" s="109">
        <v>210</v>
      </c>
    </row>
    <row r="2029" spans="1:3" ht="24" x14ac:dyDescent="0.3">
      <c r="A2029" s="109" t="s">
        <v>9</v>
      </c>
      <c r="B2029" s="109" t="s">
        <v>72</v>
      </c>
      <c r="C2029" s="109">
        <v>500</v>
      </c>
    </row>
    <row r="2030" spans="1:3" ht="24" x14ac:dyDescent="0.3">
      <c r="A2030" s="109" t="s">
        <v>9</v>
      </c>
      <c r="B2030" s="109" t="s">
        <v>73</v>
      </c>
      <c r="C2030" s="109">
        <v>325</v>
      </c>
    </row>
    <row r="2031" spans="1:3" ht="24" x14ac:dyDescent="0.3">
      <c r="A2031" s="109" t="s">
        <v>9</v>
      </c>
      <c r="B2031" s="109" t="s">
        <v>74</v>
      </c>
      <c r="C2031" s="109">
        <v>0</v>
      </c>
    </row>
    <row r="2032" spans="1:3" ht="24" x14ac:dyDescent="0.3">
      <c r="A2032" s="109" t="s">
        <v>9</v>
      </c>
      <c r="B2032" s="109" t="s">
        <v>75</v>
      </c>
      <c r="C2032" s="109">
        <v>0</v>
      </c>
    </row>
    <row r="2033" spans="1:3" ht="24" x14ac:dyDescent="0.3">
      <c r="A2033" s="109" t="s">
        <v>9</v>
      </c>
      <c r="B2033" s="109" t="s">
        <v>76</v>
      </c>
      <c r="C2033" s="109">
        <v>0</v>
      </c>
    </row>
    <row r="2034" spans="1:3" ht="24" x14ac:dyDescent="0.3">
      <c r="A2034" s="109" t="s">
        <v>9</v>
      </c>
      <c r="B2034" s="109" t="s">
        <v>77</v>
      </c>
      <c r="C2034" s="109">
        <v>550</v>
      </c>
    </row>
    <row r="2035" spans="1:3" ht="24" x14ac:dyDescent="0.3">
      <c r="A2035" s="109" t="s">
        <v>9</v>
      </c>
      <c r="B2035" s="109" t="s">
        <v>78</v>
      </c>
      <c r="C2035" s="109">
        <v>920</v>
      </c>
    </row>
    <row r="2036" spans="1:3" ht="24" x14ac:dyDescent="0.3">
      <c r="A2036" s="109" t="s">
        <v>9</v>
      </c>
      <c r="B2036" s="109" t="s">
        <v>79</v>
      </c>
      <c r="C2036" s="109">
        <v>850</v>
      </c>
    </row>
    <row r="2037" spans="1:3" ht="24" x14ac:dyDescent="0.3">
      <c r="A2037" s="109" t="s">
        <v>9</v>
      </c>
      <c r="B2037" s="109" t="s">
        <v>80</v>
      </c>
      <c r="C2037" s="109">
        <v>420</v>
      </c>
    </row>
    <row r="2038" spans="1:3" ht="24" x14ac:dyDescent="0.3">
      <c r="A2038" s="109" t="s">
        <v>9</v>
      </c>
      <c r="B2038" s="109" t="s">
        <v>81</v>
      </c>
      <c r="C2038" s="109">
        <v>420</v>
      </c>
    </row>
    <row r="2039" spans="1:3" ht="24" x14ac:dyDescent="0.3">
      <c r="A2039" s="109" t="s">
        <v>9</v>
      </c>
      <c r="B2039" s="109" t="s">
        <v>83</v>
      </c>
      <c r="C2039" s="109">
        <v>33480</v>
      </c>
    </row>
    <row r="2040" spans="1:3" ht="24" x14ac:dyDescent="0.3">
      <c r="A2040" s="109" t="s">
        <v>9</v>
      </c>
      <c r="B2040" s="109" t="s">
        <v>84</v>
      </c>
      <c r="C2040" s="109">
        <v>12890</v>
      </c>
    </row>
    <row r="2041" spans="1:3" ht="24" x14ac:dyDescent="0.3">
      <c r="A2041" s="109" t="s">
        <v>9</v>
      </c>
      <c r="B2041" s="109" t="s">
        <v>85</v>
      </c>
      <c r="C2041" s="109">
        <v>0</v>
      </c>
    </row>
    <row r="2042" spans="1:3" ht="24" x14ac:dyDescent="0.3">
      <c r="A2042" s="109" t="s">
        <v>9</v>
      </c>
      <c r="B2042" s="109" t="s">
        <v>86</v>
      </c>
      <c r="C2042" s="109">
        <v>0</v>
      </c>
    </row>
    <row r="2043" spans="1:3" ht="24" x14ac:dyDescent="0.3">
      <c r="A2043" s="109" t="s">
        <v>9</v>
      </c>
      <c r="B2043" s="109" t="s">
        <v>87</v>
      </c>
      <c r="C2043" s="109">
        <v>4860</v>
      </c>
    </row>
    <row r="2044" spans="1:3" ht="24" x14ac:dyDescent="0.3">
      <c r="A2044" s="109" t="s">
        <v>9</v>
      </c>
      <c r="B2044" s="109" t="s">
        <v>88</v>
      </c>
      <c r="C2044" s="109">
        <v>2772</v>
      </c>
    </row>
    <row r="2045" spans="1:3" ht="24" x14ac:dyDescent="0.3">
      <c r="A2045" s="109" t="s">
        <v>9</v>
      </c>
      <c r="B2045" s="109" t="s">
        <v>89</v>
      </c>
      <c r="C2045" s="109">
        <v>0</v>
      </c>
    </row>
    <row r="2046" spans="1:3" ht="24" x14ac:dyDescent="0.3">
      <c r="A2046" s="109" t="s">
        <v>9</v>
      </c>
      <c r="B2046" s="109" t="s">
        <v>90</v>
      </c>
      <c r="C2046" s="109">
        <v>6600</v>
      </c>
    </row>
    <row r="2047" spans="1:3" ht="24" x14ac:dyDescent="0.3">
      <c r="A2047" s="109" t="s">
        <v>9</v>
      </c>
      <c r="B2047" s="109" t="s">
        <v>92</v>
      </c>
      <c r="C2047" s="109">
        <v>640</v>
      </c>
    </row>
    <row r="2048" spans="1:3" ht="24" x14ac:dyDescent="0.3">
      <c r="A2048" s="109" t="s">
        <v>9</v>
      </c>
      <c r="B2048" s="109" t="s">
        <v>93</v>
      </c>
      <c r="C2048" s="109">
        <v>7100</v>
      </c>
    </row>
    <row r="2049" spans="1:3" ht="24" x14ac:dyDescent="0.3">
      <c r="A2049" s="109" t="s">
        <v>9</v>
      </c>
      <c r="B2049" s="109" t="s">
        <v>94</v>
      </c>
      <c r="C2049" s="109">
        <v>460</v>
      </c>
    </row>
    <row r="2050" spans="1:3" ht="24" x14ac:dyDescent="0.3">
      <c r="A2050" s="109" t="s">
        <v>9</v>
      </c>
      <c r="B2050" s="109" t="s">
        <v>95</v>
      </c>
      <c r="C2050" s="109">
        <v>380</v>
      </c>
    </row>
    <row r="2051" spans="1:3" ht="24" x14ac:dyDescent="0.3">
      <c r="A2051" s="109" t="s">
        <v>9</v>
      </c>
      <c r="B2051" s="109" t="s">
        <v>96</v>
      </c>
      <c r="C2051" s="109">
        <v>200</v>
      </c>
    </row>
    <row r="2052" spans="1:3" ht="24" x14ac:dyDescent="0.3">
      <c r="A2052" s="109" t="s">
        <v>9</v>
      </c>
      <c r="B2052" s="109" t="s">
        <v>97</v>
      </c>
      <c r="C2052" s="109">
        <v>750</v>
      </c>
    </row>
    <row r="2053" spans="1:3" ht="24" x14ac:dyDescent="0.3">
      <c r="A2053" s="109" t="s">
        <v>9</v>
      </c>
      <c r="B2053" s="109" t="s">
        <v>98</v>
      </c>
      <c r="C2053" s="109">
        <v>200</v>
      </c>
    </row>
    <row r="2054" spans="1:3" ht="24" x14ac:dyDescent="0.3">
      <c r="A2054" s="109" t="s">
        <v>9</v>
      </c>
      <c r="B2054" s="109" t="s">
        <v>99</v>
      </c>
      <c r="C2054" s="109">
        <v>210</v>
      </c>
    </row>
    <row r="2055" spans="1:3" ht="24" x14ac:dyDescent="0.3">
      <c r="A2055" s="109" t="s">
        <v>9</v>
      </c>
      <c r="B2055" s="109" t="s">
        <v>100</v>
      </c>
      <c r="C2055" s="109">
        <v>390</v>
      </c>
    </row>
    <row r="2056" spans="1:3" ht="24" x14ac:dyDescent="0.3">
      <c r="A2056" s="109" t="s">
        <v>9</v>
      </c>
      <c r="B2056" s="109" t="s">
        <v>101</v>
      </c>
      <c r="C2056" s="109">
        <v>0</v>
      </c>
    </row>
    <row r="2057" spans="1:3" ht="24" x14ac:dyDescent="0.3">
      <c r="A2057" s="109" t="s">
        <v>9</v>
      </c>
      <c r="B2057" s="109" t="s">
        <v>102</v>
      </c>
      <c r="C2057" s="109">
        <v>0</v>
      </c>
    </row>
    <row r="2058" spans="1:3" ht="24" x14ac:dyDescent="0.3">
      <c r="A2058" s="109" t="s">
        <v>9</v>
      </c>
      <c r="B2058" s="109" t="s">
        <v>103</v>
      </c>
      <c r="C2058" s="109">
        <v>155</v>
      </c>
    </row>
    <row r="2059" spans="1:3" ht="24" x14ac:dyDescent="0.3">
      <c r="A2059" s="109" t="s">
        <v>9</v>
      </c>
      <c r="B2059" s="109" t="s">
        <v>104</v>
      </c>
      <c r="C2059" s="109">
        <v>350</v>
      </c>
    </row>
    <row r="2060" spans="1:3" ht="24" x14ac:dyDescent="0.3">
      <c r="A2060" s="109" t="s">
        <v>9</v>
      </c>
      <c r="B2060" s="109" t="s">
        <v>105</v>
      </c>
      <c r="C2060" s="109">
        <v>0</v>
      </c>
    </row>
    <row r="2061" spans="1:3" ht="24" x14ac:dyDescent="0.3">
      <c r="A2061" s="109" t="s">
        <v>9</v>
      </c>
      <c r="B2061" s="109" t="s">
        <v>106</v>
      </c>
      <c r="C2061" s="109">
        <v>350</v>
      </c>
    </row>
    <row r="2062" spans="1:3" ht="24" x14ac:dyDescent="0.3">
      <c r="A2062" s="109" t="s">
        <v>9</v>
      </c>
      <c r="B2062" s="109" t="s">
        <v>107</v>
      </c>
      <c r="C2062" s="109">
        <v>0</v>
      </c>
    </row>
    <row r="2063" spans="1:3" ht="24" x14ac:dyDescent="0.3">
      <c r="A2063" s="109" t="s">
        <v>9</v>
      </c>
      <c r="B2063" s="109" t="s">
        <v>108</v>
      </c>
      <c r="C2063" s="109">
        <v>0</v>
      </c>
    </row>
    <row r="2064" spans="1:3" ht="24" x14ac:dyDescent="0.3">
      <c r="A2064" s="109" t="s">
        <v>9</v>
      </c>
      <c r="B2064" s="109" t="s">
        <v>109</v>
      </c>
      <c r="C2064" s="109">
        <v>0</v>
      </c>
    </row>
    <row r="2065" spans="1:3" ht="24" x14ac:dyDescent="0.3">
      <c r="A2065" s="109" t="s">
        <v>9</v>
      </c>
      <c r="B2065" s="109" t="s">
        <v>110</v>
      </c>
      <c r="C2065" s="109">
        <v>2250</v>
      </c>
    </row>
    <row r="2066" spans="1:3" ht="24" x14ac:dyDescent="0.3">
      <c r="A2066" s="109" t="s">
        <v>9</v>
      </c>
      <c r="B2066" s="109" t="s">
        <v>111</v>
      </c>
      <c r="C2066" s="109">
        <v>0</v>
      </c>
    </row>
    <row r="2067" spans="1:3" ht="24" x14ac:dyDescent="0.3">
      <c r="A2067" s="109" t="s">
        <v>9</v>
      </c>
      <c r="B2067" s="109" t="s">
        <v>112</v>
      </c>
      <c r="C2067" s="109">
        <v>0</v>
      </c>
    </row>
    <row r="2068" spans="1:3" ht="24" x14ac:dyDescent="0.3">
      <c r="A2068" s="109" t="s">
        <v>9</v>
      </c>
      <c r="B2068" s="109" t="s">
        <v>113</v>
      </c>
      <c r="C2068" s="109">
        <v>0</v>
      </c>
    </row>
    <row r="2069" spans="1:3" ht="24" x14ac:dyDescent="0.3">
      <c r="A2069" s="109" t="s">
        <v>9</v>
      </c>
      <c r="B2069" s="109" t="s">
        <v>114</v>
      </c>
      <c r="C2069" s="109">
        <v>0</v>
      </c>
    </row>
    <row r="2070" spans="1:3" ht="24" x14ac:dyDescent="0.3">
      <c r="A2070" s="109" t="s">
        <v>9</v>
      </c>
      <c r="B2070" s="109" t="s">
        <v>115</v>
      </c>
      <c r="C2070" s="109">
        <v>0</v>
      </c>
    </row>
    <row r="2071" spans="1:3" ht="24" x14ac:dyDescent="0.3">
      <c r="A2071" s="109" t="s">
        <v>9</v>
      </c>
      <c r="B2071" s="109" t="s">
        <v>116</v>
      </c>
      <c r="C2071" s="109">
        <v>0</v>
      </c>
    </row>
    <row r="2072" spans="1:3" ht="24" x14ac:dyDescent="0.3">
      <c r="A2072" s="109" t="s">
        <v>9</v>
      </c>
      <c r="B2072" s="109" t="s">
        <v>117</v>
      </c>
      <c r="C2072" s="109">
        <v>0</v>
      </c>
    </row>
    <row r="2073" spans="1:3" ht="24" x14ac:dyDescent="0.3">
      <c r="A2073" s="109" t="s">
        <v>9</v>
      </c>
      <c r="B2073" s="109" t="s">
        <v>118</v>
      </c>
      <c r="C2073" s="109">
        <v>0</v>
      </c>
    </row>
    <row r="2074" spans="1:3" ht="24" x14ac:dyDescent="0.3">
      <c r="A2074" s="109" t="s">
        <v>9</v>
      </c>
      <c r="B2074" s="109" t="s">
        <v>120</v>
      </c>
      <c r="C2074" s="109">
        <v>0</v>
      </c>
    </row>
    <row r="2075" spans="1:3" ht="24" x14ac:dyDescent="0.3">
      <c r="A2075" s="109" t="s">
        <v>9</v>
      </c>
      <c r="B2075" s="109" t="s">
        <v>121</v>
      </c>
      <c r="C2075" s="109">
        <v>0</v>
      </c>
    </row>
    <row r="2076" spans="1:3" ht="24" x14ac:dyDescent="0.3">
      <c r="A2076" s="109" t="s">
        <v>9</v>
      </c>
      <c r="B2076" s="109" t="s">
        <v>122</v>
      </c>
      <c r="C2076" s="109">
        <v>150</v>
      </c>
    </row>
    <row r="2077" spans="1:3" ht="24" x14ac:dyDescent="0.3">
      <c r="A2077" s="109" t="s">
        <v>9</v>
      </c>
      <c r="B2077" s="109" t="s">
        <v>123</v>
      </c>
      <c r="C2077" s="109">
        <v>0</v>
      </c>
    </row>
    <row r="2078" spans="1:3" ht="24" x14ac:dyDescent="0.3">
      <c r="A2078" s="109" t="s">
        <v>9</v>
      </c>
      <c r="B2078" s="109" t="s">
        <v>124</v>
      </c>
      <c r="C2078" s="109">
        <v>480</v>
      </c>
    </row>
    <row r="2079" spans="1:3" ht="24" x14ac:dyDescent="0.3">
      <c r="A2079" s="109" t="s">
        <v>9</v>
      </c>
      <c r="B2079" s="109" t="s">
        <v>125</v>
      </c>
      <c r="C2079" s="109">
        <v>0</v>
      </c>
    </row>
    <row r="2080" spans="1:3" ht="24" x14ac:dyDescent="0.3">
      <c r="A2080" s="109" t="s">
        <v>9</v>
      </c>
      <c r="B2080" s="109" t="s">
        <v>126</v>
      </c>
      <c r="C2080" s="109">
        <v>0</v>
      </c>
    </row>
    <row r="2081" spans="1:3" ht="24" x14ac:dyDescent="0.3">
      <c r="A2081" s="109" t="s">
        <v>10</v>
      </c>
      <c r="B2081" s="109" t="s">
        <v>206</v>
      </c>
      <c r="C2081" s="109" t="s">
        <v>58</v>
      </c>
    </row>
    <row r="2082" spans="1:3" ht="24" x14ac:dyDescent="0.3">
      <c r="A2082" s="109" t="s">
        <v>10</v>
      </c>
      <c r="B2082" s="109" t="s">
        <v>62</v>
      </c>
      <c r="C2082" s="109">
        <v>296</v>
      </c>
    </row>
    <row r="2083" spans="1:3" ht="24" x14ac:dyDescent="0.3">
      <c r="A2083" s="109" t="s">
        <v>10</v>
      </c>
      <c r="B2083" s="109" t="s">
        <v>63</v>
      </c>
      <c r="C2083" s="109">
        <v>240</v>
      </c>
    </row>
    <row r="2084" spans="1:3" ht="24" x14ac:dyDescent="0.3">
      <c r="A2084" s="109" t="s">
        <v>10</v>
      </c>
      <c r="B2084" s="109" t="s">
        <v>64</v>
      </c>
      <c r="C2084" s="109">
        <v>280</v>
      </c>
    </row>
    <row r="2085" spans="1:3" ht="24" x14ac:dyDescent="0.3">
      <c r="A2085" s="109" t="s">
        <v>10</v>
      </c>
      <c r="B2085" s="109" t="s">
        <v>65</v>
      </c>
      <c r="C2085" s="109">
        <v>480</v>
      </c>
    </row>
    <row r="2086" spans="1:3" ht="24" x14ac:dyDescent="0.3">
      <c r="A2086" s="109" t="s">
        <v>10</v>
      </c>
      <c r="B2086" s="109" t="s">
        <v>66</v>
      </c>
      <c r="C2086" s="109">
        <v>165</v>
      </c>
    </row>
    <row r="2087" spans="1:3" ht="24" x14ac:dyDescent="0.3">
      <c r="A2087" s="109" t="s">
        <v>10</v>
      </c>
      <c r="B2087" s="109" t="s">
        <v>67</v>
      </c>
      <c r="C2087" s="109">
        <v>76</v>
      </c>
    </row>
    <row r="2088" spans="1:3" ht="24" x14ac:dyDescent="0.3">
      <c r="A2088" s="109" t="s">
        <v>10</v>
      </c>
      <c r="B2088" s="109" t="s">
        <v>68</v>
      </c>
      <c r="C2088" s="109">
        <v>0</v>
      </c>
    </row>
    <row r="2089" spans="1:3" ht="24" x14ac:dyDescent="0.3">
      <c r="A2089" s="109" t="s">
        <v>10</v>
      </c>
      <c r="B2089" s="109" t="s">
        <v>69</v>
      </c>
      <c r="C2089" s="109">
        <v>450</v>
      </c>
    </row>
    <row r="2090" spans="1:3" ht="24" x14ac:dyDescent="0.3">
      <c r="A2090" s="109" t="s">
        <v>10</v>
      </c>
      <c r="B2090" s="109" t="s">
        <v>70</v>
      </c>
      <c r="C2090" s="109">
        <v>700</v>
      </c>
    </row>
    <row r="2091" spans="1:3" ht="24" x14ac:dyDescent="0.3">
      <c r="A2091" s="109" t="s">
        <v>10</v>
      </c>
      <c r="B2091" s="109" t="s">
        <v>71</v>
      </c>
      <c r="C2091" s="109">
        <v>700</v>
      </c>
    </row>
    <row r="2092" spans="1:3" ht="24" x14ac:dyDescent="0.3">
      <c r="A2092" s="109" t="s">
        <v>10</v>
      </c>
      <c r="B2092" s="109" t="s">
        <v>72</v>
      </c>
      <c r="C2092" s="109">
        <v>0</v>
      </c>
    </row>
    <row r="2093" spans="1:3" ht="24" x14ac:dyDescent="0.3">
      <c r="A2093" s="109" t="s">
        <v>10</v>
      </c>
      <c r="B2093" s="109" t="s">
        <v>73</v>
      </c>
      <c r="C2093" s="109">
        <v>260</v>
      </c>
    </row>
    <row r="2094" spans="1:3" ht="24" x14ac:dyDescent="0.3">
      <c r="A2094" s="109" t="s">
        <v>10</v>
      </c>
      <c r="B2094" s="109" t="s">
        <v>74</v>
      </c>
      <c r="C2094" s="109">
        <v>1300</v>
      </c>
    </row>
    <row r="2095" spans="1:3" ht="24" x14ac:dyDescent="0.3">
      <c r="A2095" s="109" t="s">
        <v>10</v>
      </c>
      <c r="B2095" s="109" t="s">
        <v>75</v>
      </c>
      <c r="C2095" s="109">
        <v>1300</v>
      </c>
    </row>
    <row r="2096" spans="1:3" ht="24" x14ac:dyDescent="0.3">
      <c r="A2096" s="109" t="s">
        <v>10</v>
      </c>
      <c r="B2096" s="109" t="s">
        <v>76</v>
      </c>
      <c r="C2096" s="109">
        <v>0</v>
      </c>
    </row>
    <row r="2097" spans="1:3" ht="24" x14ac:dyDescent="0.3">
      <c r="A2097" s="109" t="s">
        <v>10</v>
      </c>
      <c r="B2097" s="109" t="s">
        <v>77</v>
      </c>
      <c r="C2097" s="109">
        <v>550</v>
      </c>
    </row>
    <row r="2098" spans="1:3" ht="24" x14ac:dyDescent="0.3">
      <c r="A2098" s="109" t="s">
        <v>10</v>
      </c>
      <c r="B2098" s="109" t="s">
        <v>78</v>
      </c>
      <c r="C2098" s="109">
        <v>690</v>
      </c>
    </row>
    <row r="2099" spans="1:3" ht="24" x14ac:dyDescent="0.3">
      <c r="A2099" s="109" t="s">
        <v>10</v>
      </c>
      <c r="B2099" s="109" t="s">
        <v>79</v>
      </c>
      <c r="C2099" s="109">
        <v>850</v>
      </c>
    </row>
    <row r="2100" spans="1:3" ht="24" x14ac:dyDescent="0.3">
      <c r="A2100" s="109" t="s">
        <v>10</v>
      </c>
      <c r="B2100" s="109" t="s">
        <v>80</v>
      </c>
      <c r="C2100" s="109">
        <v>300</v>
      </c>
    </row>
    <row r="2101" spans="1:3" ht="24" x14ac:dyDescent="0.3">
      <c r="A2101" s="109" t="s">
        <v>10</v>
      </c>
      <c r="B2101" s="109" t="s">
        <v>81</v>
      </c>
      <c r="C2101" s="109">
        <v>360</v>
      </c>
    </row>
    <row r="2102" spans="1:3" ht="24" x14ac:dyDescent="0.3">
      <c r="A2102" s="109" t="s">
        <v>10</v>
      </c>
      <c r="B2102" s="109" t="s">
        <v>83</v>
      </c>
      <c r="C2102" s="109">
        <v>29340</v>
      </c>
    </row>
    <row r="2103" spans="1:3" ht="24" x14ac:dyDescent="0.3">
      <c r="A2103" s="109" t="s">
        <v>10</v>
      </c>
      <c r="B2103" s="109" t="s">
        <v>84</v>
      </c>
      <c r="C2103" s="109">
        <v>20880</v>
      </c>
    </row>
    <row r="2104" spans="1:3" ht="24" x14ac:dyDescent="0.3">
      <c r="A2104" s="109" t="s">
        <v>10</v>
      </c>
      <c r="B2104" s="109" t="s">
        <v>85</v>
      </c>
      <c r="C2104" s="109">
        <v>1000</v>
      </c>
    </row>
    <row r="2105" spans="1:3" ht="24" x14ac:dyDescent="0.3">
      <c r="A2105" s="109" t="s">
        <v>10</v>
      </c>
      <c r="B2105" s="109" t="s">
        <v>86</v>
      </c>
      <c r="C2105" s="109">
        <v>200</v>
      </c>
    </row>
    <row r="2106" spans="1:3" ht="24" x14ac:dyDescent="0.3">
      <c r="A2106" s="109" t="s">
        <v>10</v>
      </c>
      <c r="B2106" s="109" t="s">
        <v>87</v>
      </c>
      <c r="C2106" s="109">
        <v>8245</v>
      </c>
    </row>
    <row r="2107" spans="1:3" ht="24" x14ac:dyDescent="0.3">
      <c r="A2107" s="109" t="s">
        <v>10</v>
      </c>
      <c r="B2107" s="109" t="s">
        <v>88</v>
      </c>
      <c r="C2107" s="109">
        <v>1970</v>
      </c>
    </row>
    <row r="2108" spans="1:3" ht="24" x14ac:dyDescent="0.3">
      <c r="A2108" s="109" t="s">
        <v>10</v>
      </c>
      <c r="B2108" s="109" t="s">
        <v>89</v>
      </c>
      <c r="C2108" s="109">
        <v>0</v>
      </c>
    </row>
    <row r="2109" spans="1:3" ht="24" x14ac:dyDescent="0.3">
      <c r="A2109" s="109" t="s">
        <v>10</v>
      </c>
      <c r="B2109" s="109" t="s">
        <v>90</v>
      </c>
      <c r="C2109" s="109">
        <v>6600</v>
      </c>
    </row>
    <row r="2110" spans="1:3" ht="24" x14ac:dyDescent="0.3">
      <c r="A2110" s="109" t="s">
        <v>10</v>
      </c>
      <c r="B2110" s="109" t="s">
        <v>92</v>
      </c>
      <c r="C2110" s="109">
        <v>680</v>
      </c>
    </row>
    <row r="2111" spans="1:3" ht="24" x14ac:dyDescent="0.3">
      <c r="A2111" s="109" t="s">
        <v>10</v>
      </c>
      <c r="B2111" s="109" t="s">
        <v>93</v>
      </c>
      <c r="C2111" s="109">
        <v>7100</v>
      </c>
    </row>
    <row r="2112" spans="1:3" ht="24" x14ac:dyDescent="0.3">
      <c r="A2112" s="109" t="s">
        <v>10</v>
      </c>
      <c r="B2112" s="109" t="s">
        <v>94</v>
      </c>
      <c r="C2112" s="109">
        <v>0</v>
      </c>
    </row>
    <row r="2113" spans="1:3" ht="24" x14ac:dyDescent="0.3">
      <c r="A2113" s="109" t="s">
        <v>10</v>
      </c>
      <c r="B2113" s="109" t="s">
        <v>95</v>
      </c>
      <c r="C2113" s="109">
        <v>0</v>
      </c>
    </row>
    <row r="2114" spans="1:3" ht="24" x14ac:dyDescent="0.3">
      <c r="A2114" s="109" t="s">
        <v>10</v>
      </c>
      <c r="B2114" s="109" t="s">
        <v>96</v>
      </c>
      <c r="C2114" s="109">
        <v>220</v>
      </c>
    </row>
    <row r="2115" spans="1:3" ht="24" x14ac:dyDescent="0.3">
      <c r="A2115" s="109" t="s">
        <v>10</v>
      </c>
      <c r="B2115" s="109" t="s">
        <v>97</v>
      </c>
      <c r="C2115" s="109">
        <v>790</v>
      </c>
    </row>
    <row r="2116" spans="1:3" ht="24" x14ac:dyDescent="0.3">
      <c r="A2116" s="109" t="s">
        <v>10</v>
      </c>
      <c r="B2116" s="109" t="s">
        <v>98</v>
      </c>
      <c r="C2116" s="109">
        <v>160</v>
      </c>
    </row>
    <row r="2117" spans="1:3" ht="24" x14ac:dyDescent="0.3">
      <c r="A2117" s="109" t="s">
        <v>10</v>
      </c>
      <c r="B2117" s="109" t="s">
        <v>99</v>
      </c>
      <c r="C2117" s="109">
        <v>0</v>
      </c>
    </row>
    <row r="2118" spans="1:3" ht="24" x14ac:dyDescent="0.3">
      <c r="A2118" s="109" t="s">
        <v>10</v>
      </c>
      <c r="B2118" s="109" t="s">
        <v>100</v>
      </c>
      <c r="C2118" s="109">
        <v>210</v>
      </c>
    </row>
    <row r="2119" spans="1:3" ht="24" x14ac:dyDescent="0.3">
      <c r="A2119" s="109" t="s">
        <v>10</v>
      </c>
      <c r="B2119" s="109" t="s">
        <v>101</v>
      </c>
      <c r="C2119" s="109">
        <v>0</v>
      </c>
    </row>
    <row r="2120" spans="1:3" ht="24" x14ac:dyDescent="0.3">
      <c r="A2120" s="109" t="s">
        <v>10</v>
      </c>
      <c r="B2120" s="109" t="s">
        <v>102</v>
      </c>
      <c r="C2120" s="109">
        <v>0</v>
      </c>
    </row>
    <row r="2121" spans="1:3" ht="24" x14ac:dyDescent="0.3">
      <c r="A2121" s="109" t="s">
        <v>10</v>
      </c>
      <c r="B2121" s="109" t="s">
        <v>103</v>
      </c>
      <c r="C2121" s="109">
        <v>0</v>
      </c>
    </row>
    <row r="2122" spans="1:3" ht="24" x14ac:dyDescent="0.3">
      <c r="A2122" s="109" t="s">
        <v>10</v>
      </c>
      <c r="B2122" s="109" t="s">
        <v>104</v>
      </c>
      <c r="C2122" s="109">
        <v>280</v>
      </c>
    </row>
    <row r="2123" spans="1:3" ht="24" x14ac:dyDescent="0.3">
      <c r="A2123" s="109" t="s">
        <v>10</v>
      </c>
      <c r="B2123" s="109" t="s">
        <v>105</v>
      </c>
      <c r="C2123" s="109">
        <v>0</v>
      </c>
    </row>
    <row r="2124" spans="1:3" ht="24" x14ac:dyDescent="0.3">
      <c r="A2124" s="109" t="s">
        <v>10</v>
      </c>
      <c r="B2124" s="109" t="s">
        <v>106</v>
      </c>
      <c r="C2124" s="109">
        <v>390</v>
      </c>
    </row>
    <row r="2125" spans="1:3" ht="24" x14ac:dyDescent="0.3">
      <c r="A2125" s="109" t="s">
        <v>10</v>
      </c>
      <c r="B2125" s="109" t="s">
        <v>107</v>
      </c>
      <c r="C2125" s="109">
        <v>0</v>
      </c>
    </row>
    <row r="2126" spans="1:3" ht="24" x14ac:dyDescent="0.3">
      <c r="A2126" s="109" t="s">
        <v>10</v>
      </c>
      <c r="B2126" s="109" t="s">
        <v>108</v>
      </c>
      <c r="C2126" s="109">
        <v>0</v>
      </c>
    </row>
    <row r="2127" spans="1:3" ht="24" x14ac:dyDescent="0.3">
      <c r="A2127" s="109" t="s">
        <v>10</v>
      </c>
      <c r="B2127" s="109" t="s">
        <v>109</v>
      </c>
      <c r="C2127" s="109">
        <v>0</v>
      </c>
    </row>
    <row r="2128" spans="1:3" ht="24" x14ac:dyDescent="0.3">
      <c r="A2128" s="109" t="s">
        <v>10</v>
      </c>
      <c r="B2128" s="109" t="s">
        <v>110</v>
      </c>
      <c r="C2128" s="109">
        <v>0</v>
      </c>
    </row>
    <row r="2129" spans="1:3" ht="24" x14ac:dyDescent="0.3">
      <c r="A2129" s="109" t="s">
        <v>10</v>
      </c>
      <c r="B2129" s="109" t="s">
        <v>111</v>
      </c>
      <c r="C2129" s="109">
        <v>0</v>
      </c>
    </row>
    <row r="2130" spans="1:3" ht="24" x14ac:dyDescent="0.3">
      <c r="A2130" s="109" t="s">
        <v>10</v>
      </c>
      <c r="B2130" s="109" t="s">
        <v>112</v>
      </c>
      <c r="C2130" s="109">
        <v>0</v>
      </c>
    </row>
    <row r="2131" spans="1:3" ht="24" x14ac:dyDescent="0.3">
      <c r="A2131" s="109" t="s">
        <v>10</v>
      </c>
      <c r="B2131" s="109" t="s">
        <v>113</v>
      </c>
      <c r="C2131" s="109">
        <v>0</v>
      </c>
    </row>
    <row r="2132" spans="1:3" ht="24" x14ac:dyDescent="0.3">
      <c r="A2132" s="109" t="s">
        <v>10</v>
      </c>
      <c r="B2132" s="109" t="s">
        <v>114</v>
      </c>
      <c r="C2132" s="109">
        <v>0</v>
      </c>
    </row>
    <row r="2133" spans="1:3" ht="24" x14ac:dyDescent="0.3">
      <c r="A2133" s="109" t="s">
        <v>10</v>
      </c>
      <c r="B2133" s="109" t="s">
        <v>115</v>
      </c>
      <c r="C2133" s="109">
        <v>0</v>
      </c>
    </row>
    <row r="2134" spans="1:3" ht="24" x14ac:dyDescent="0.3">
      <c r="A2134" s="109" t="s">
        <v>10</v>
      </c>
      <c r="B2134" s="109" t="s">
        <v>116</v>
      </c>
      <c r="C2134" s="109">
        <v>0</v>
      </c>
    </row>
    <row r="2135" spans="1:3" ht="24" x14ac:dyDescent="0.3">
      <c r="A2135" s="109" t="s">
        <v>10</v>
      </c>
      <c r="B2135" s="109" t="s">
        <v>117</v>
      </c>
      <c r="C2135" s="109">
        <v>0</v>
      </c>
    </row>
    <row r="2136" spans="1:3" ht="24" x14ac:dyDescent="0.3">
      <c r="A2136" s="109" t="s">
        <v>10</v>
      </c>
      <c r="B2136" s="109" t="s">
        <v>118</v>
      </c>
      <c r="C2136" s="109">
        <v>0</v>
      </c>
    </row>
    <row r="2137" spans="1:3" ht="24" x14ac:dyDescent="0.3">
      <c r="A2137" s="109" t="s">
        <v>10</v>
      </c>
      <c r="B2137" s="109" t="s">
        <v>120</v>
      </c>
      <c r="C2137" s="109">
        <v>0</v>
      </c>
    </row>
    <row r="2138" spans="1:3" ht="24" x14ac:dyDescent="0.3">
      <c r="A2138" s="109" t="s">
        <v>10</v>
      </c>
      <c r="B2138" s="109" t="s">
        <v>121</v>
      </c>
      <c r="C2138" s="109">
        <v>0</v>
      </c>
    </row>
    <row r="2139" spans="1:3" ht="24" x14ac:dyDescent="0.3">
      <c r="A2139" s="109" t="s">
        <v>10</v>
      </c>
      <c r="B2139" s="109" t="s">
        <v>122</v>
      </c>
      <c r="C2139" s="109">
        <v>0</v>
      </c>
    </row>
    <row r="2140" spans="1:3" ht="24" x14ac:dyDescent="0.3">
      <c r="A2140" s="109" t="s">
        <v>10</v>
      </c>
      <c r="B2140" s="109" t="s">
        <v>123</v>
      </c>
      <c r="C2140" s="109">
        <v>0</v>
      </c>
    </row>
    <row r="2141" spans="1:3" ht="24" x14ac:dyDescent="0.3">
      <c r="A2141" s="109" t="s">
        <v>10</v>
      </c>
      <c r="B2141" s="109" t="s">
        <v>124</v>
      </c>
      <c r="C2141" s="109">
        <v>480</v>
      </c>
    </row>
    <row r="2142" spans="1:3" ht="24" x14ac:dyDescent="0.3">
      <c r="A2142" s="109" t="s">
        <v>10</v>
      </c>
      <c r="B2142" s="109" t="s">
        <v>125</v>
      </c>
      <c r="C2142" s="109">
        <v>0</v>
      </c>
    </row>
    <row r="2143" spans="1:3" ht="24" x14ac:dyDescent="0.3">
      <c r="A2143" s="109" t="s">
        <v>10</v>
      </c>
      <c r="B2143" s="109" t="s">
        <v>126</v>
      </c>
      <c r="C2143" s="109">
        <v>3057</v>
      </c>
    </row>
    <row r="2144" spans="1:3" ht="24" x14ac:dyDescent="0.3">
      <c r="A2144" s="109" t="s">
        <v>11</v>
      </c>
      <c r="B2144" s="109" t="s">
        <v>206</v>
      </c>
      <c r="C2144" s="109" t="s">
        <v>58</v>
      </c>
    </row>
    <row r="2145" spans="1:3" ht="24" x14ac:dyDescent="0.3">
      <c r="A2145" s="109" t="s">
        <v>11</v>
      </c>
      <c r="B2145" s="109" t="s">
        <v>62</v>
      </c>
      <c r="C2145" s="109">
        <v>444</v>
      </c>
    </row>
    <row r="2146" spans="1:3" ht="24" x14ac:dyDescent="0.3">
      <c r="A2146" s="109" t="s">
        <v>11</v>
      </c>
      <c r="B2146" s="109" t="s">
        <v>63</v>
      </c>
      <c r="C2146" s="109">
        <v>240</v>
      </c>
    </row>
    <row r="2147" spans="1:3" ht="24" x14ac:dyDescent="0.3">
      <c r="A2147" s="109" t="s">
        <v>11</v>
      </c>
      <c r="B2147" s="109" t="s">
        <v>64</v>
      </c>
      <c r="C2147" s="109">
        <v>0</v>
      </c>
    </row>
    <row r="2148" spans="1:3" ht="24" x14ac:dyDescent="0.3">
      <c r="A2148" s="109" t="s">
        <v>11</v>
      </c>
      <c r="B2148" s="109" t="s">
        <v>65</v>
      </c>
      <c r="C2148" s="109">
        <v>900</v>
      </c>
    </row>
    <row r="2149" spans="1:3" ht="24" x14ac:dyDescent="0.3">
      <c r="A2149" s="109" t="s">
        <v>11</v>
      </c>
      <c r="B2149" s="109" t="s">
        <v>66</v>
      </c>
      <c r="C2149" s="109">
        <v>275</v>
      </c>
    </row>
    <row r="2150" spans="1:3" ht="24" x14ac:dyDescent="0.3">
      <c r="A2150" s="109" t="s">
        <v>11</v>
      </c>
      <c r="B2150" s="109" t="s">
        <v>67</v>
      </c>
      <c r="C2150" s="109">
        <v>0</v>
      </c>
    </row>
    <row r="2151" spans="1:3" ht="24" x14ac:dyDescent="0.3">
      <c r="A2151" s="109" t="s">
        <v>11</v>
      </c>
      <c r="B2151" s="109" t="s">
        <v>68</v>
      </c>
      <c r="C2151" s="109">
        <v>0</v>
      </c>
    </row>
    <row r="2152" spans="1:3" ht="24" x14ac:dyDescent="0.3">
      <c r="A2152" s="109" t="s">
        <v>11</v>
      </c>
      <c r="B2152" s="109" t="s">
        <v>69</v>
      </c>
      <c r="C2152" s="109">
        <v>750</v>
      </c>
    </row>
    <row r="2153" spans="1:3" ht="24" x14ac:dyDescent="0.3">
      <c r="A2153" s="109" t="s">
        <v>11</v>
      </c>
      <c r="B2153" s="109" t="s">
        <v>70</v>
      </c>
      <c r="C2153" s="109">
        <v>420</v>
      </c>
    </row>
    <row r="2154" spans="1:3" ht="24" x14ac:dyDescent="0.3">
      <c r="A2154" s="109" t="s">
        <v>11</v>
      </c>
      <c r="B2154" s="109" t="s">
        <v>71</v>
      </c>
      <c r="C2154" s="109">
        <v>420</v>
      </c>
    </row>
    <row r="2155" spans="1:3" ht="24" x14ac:dyDescent="0.3">
      <c r="A2155" s="109" t="s">
        <v>11</v>
      </c>
      <c r="B2155" s="109" t="s">
        <v>72</v>
      </c>
      <c r="C2155" s="109">
        <v>0</v>
      </c>
    </row>
    <row r="2156" spans="1:3" ht="24" x14ac:dyDescent="0.3">
      <c r="A2156" s="109" t="s">
        <v>11</v>
      </c>
      <c r="B2156" s="109" t="s">
        <v>73</v>
      </c>
      <c r="C2156" s="109">
        <v>210</v>
      </c>
    </row>
    <row r="2157" spans="1:3" ht="24" x14ac:dyDescent="0.3">
      <c r="A2157" s="109" t="s">
        <v>11</v>
      </c>
      <c r="B2157" s="109" t="s">
        <v>74</v>
      </c>
      <c r="C2157" s="109">
        <v>1950</v>
      </c>
    </row>
    <row r="2158" spans="1:3" ht="24" x14ac:dyDescent="0.3">
      <c r="A2158" s="109" t="s">
        <v>11</v>
      </c>
      <c r="B2158" s="109" t="s">
        <v>75</v>
      </c>
      <c r="C2158" s="109">
        <v>1950</v>
      </c>
    </row>
    <row r="2159" spans="1:3" ht="24" x14ac:dyDescent="0.3">
      <c r="A2159" s="109" t="s">
        <v>11</v>
      </c>
      <c r="B2159" s="109" t="s">
        <v>76</v>
      </c>
      <c r="C2159" s="109">
        <v>0</v>
      </c>
    </row>
    <row r="2160" spans="1:3" ht="24" x14ac:dyDescent="0.3">
      <c r="A2160" s="109" t="s">
        <v>11</v>
      </c>
      <c r="B2160" s="109" t="s">
        <v>77</v>
      </c>
      <c r="C2160" s="109">
        <v>550</v>
      </c>
    </row>
    <row r="2161" spans="1:3" ht="24" x14ac:dyDescent="0.3">
      <c r="A2161" s="109" t="s">
        <v>11</v>
      </c>
      <c r="B2161" s="109" t="s">
        <v>78</v>
      </c>
      <c r="C2161" s="109">
        <v>675</v>
      </c>
    </row>
    <row r="2162" spans="1:3" ht="24" x14ac:dyDescent="0.3">
      <c r="A2162" s="109" t="s">
        <v>11</v>
      </c>
      <c r="B2162" s="109" t="s">
        <v>79</v>
      </c>
      <c r="C2162" s="109">
        <v>510</v>
      </c>
    </row>
    <row r="2163" spans="1:3" ht="24" x14ac:dyDescent="0.3">
      <c r="A2163" s="109" t="s">
        <v>11</v>
      </c>
      <c r="B2163" s="109" t="s">
        <v>80</v>
      </c>
      <c r="C2163" s="109">
        <v>120</v>
      </c>
    </row>
    <row r="2164" spans="1:3" ht="24" x14ac:dyDescent="0.3">
      <c r="A2164" s="109" t="s">
        <v>11</v>
      </c>
      <c r="B2164" s="109" t="s">
        <v>81</v>
      </c>
      <c r="C2164" s="109">
        <v>360</v>
      </c>
    </row>
    <row r="2165" spans="1:3" ht="24" x14ac:dyDescent="0.3">
      <c r="A2165" s="109" t="s">
        <v>11</v>
      </c>
      <c r="B2165" s="109" t="s">
        <v>83</v>
      </c>
      <c r="C2165" s="109">
        <v>5520</v>
      </c>
    </row>
    <row r="2166" spans="1:3" ht="24" x14ac:dyDescent="0.3">
      <c r="A2166" s="109" t="s">
        <v>11</v>
      </c>
      <c r="B2166" s="109" t="s">
        <v>84</v>
      </c>
      <c r="C2166" s="109">
        <v>3600</v>
      </c>
    </row>
    <row r="2167" spans="1:3" ht="24" x14ac:dyDescent="0.3">
      <c r="A2167" s="109" t="s">
        <v>11</v>
      </c>
      <c r="B2167" s="109" t="s">
        <v>85</v>
      </c>
      <c r="C2167" s="109">
        <v>660</v>
      </c>
    </row>
    <row r="2168" spans="1:3" ht="24" x14ac:dyDescent="0.3">
      <c r="A2168" s="109" t="s">
        <v>11</v>
      </c>
      <c r="B2168" s="109" t="s">
        <v>86</v>
      </c>
      <c r="C2168" s="109">
        <v>0</v>
      </c>
    </row>
    <row r="2169" spans="1:3" ht="24" x14ac:dyDescent="0.3">
      <c r="A2169" s="109" t="s">
        <v>11</v>
      </c>
      <c r="B2169" s="109" t="s">
        <v>87</v>
      </c>
      <c r="C2169" s="109">
        <v>0</v>
      </c>
    </row>
    <row r="2170" spans="1:3" ht="24" x14ac:dyDescent="0.3">
      <c r="A2170" s="109" t="s">
        <v>11</v>
      </c>
      <c r="B2170" s="109" t="s">
        <v>88</v>
      </c>
      <c r="C2170" s="109">
        <v>0</v>
      </c>
    </row>
    <row r="2171" spans="1:3" ht="24" x14ac:dyDescent="0.3">
      <c r="A2171" s="109" t="s">
        <v>11</v>
      </c>
      <c r="B2171" s="109" t="s">
        <v>89</v>
      </c>
      <c r="C2171" s="109">
        <v>0</v>
      </c>
    </row>
    <row r="2172" spans="1:3" ht="24" x14ac:dyDescent="0.3">
      <c r="A2172" s="109" t="s">
        <v>11</v>
      </c>
      <c r="B2172" s="109" t="s">
        <v>90</v>
      </c>
      <c r="C2172" s="109">
        <v>0</v>
      </c>
    </row>
    <row r="2173" spans="1:3" ht="24" x14ac:dyDescent="0.3">
      <c r="A2173" s="109" t="s">
        <v>11</v>
      </c>
      <c r="B2173" s="109" t="s">
        <v>92</v>
      </c>
      <c r="C2173" s="109">
        <v>0</v>
      </c>
    </row>
    <row r="2174" spans="1:3" ht="24" x14ac:dyDescent="0.3">
      <c r="A2174" s="109" t="s">
        <v>11</v>
      </c>
      <c r="B2174" s="109" t="s">
        <v>93</v>
      </c>
      <c r="C2174" s="109">
        <v>0</v>
      </c>
    </row>
    <row r="2175" spans="1:3" ht="24" x14ac:dyDescent="0.3">
      <c r="A2175" s="109" t="s">
        <v>11</v>
      </c>
      <c r="B2175" s="109" t="s">
        <v>94</v>
      </c>
      <c r="C2175" s="109">
        <v>0</v>
      </c>
    </row>
    <row r="2176" spans="1:3" ht="24" x14ac:dyDescent="0.3">
      <c r="A2176" s="109" t="s">
        <v>11</v>
      </c>
      <c r="B2176" s="109" t="s">
        <v>95</v>
      </c>
      <c r="C2176" s="109">
        <v>0</v>
      </c>
    </row>
    <row r="2177" spans="1:3" ht="24" x14ac:dyDescent="0.3">
      <c r="A2177" s="109" t="s">
        <v>11</v>
      </c>
      <c r="B2177" s="109" t="s">
        <v>96</v>
      </c>
      <c r="C2177" s="109">
        <v>230</v>
      </c>
    </row>
    <row r="2178" spans="1:3" ht="24" x14ac:dyDescent="0.3">
      <c r="A2178" s="109" t="s">
        <v>11</v>
      </c>
      <c r="B2178" s="109" t="s">
        <v>97</v>
      </c>
      <c r="C2178" s="109">
        <v>680</v>
      </c>
    </row>
    <row r="2179" spans="1:3" ht="24" x14ac:dyDescent="0.3">
      <c r="A2179" s="109" t="s">
        <v>11</v>
      </c>
      <c r="B2179" s="109" t="s">
        <v>98</v>
      </c>
      <c r="C2179" s="109">
        <v>200</v>
      </c>
    </row>
    <row r="2180" spans="1:3" ht="24" x14ac:dyDescent="0.3">
      <c r="A2180" s="109" t="s">
        <v>11</v>
      </c>
      <c r="B2180" s="109" t="s">
        <v>99</v>
      </c>
      <c r="C2180" s="109">
        <v>225</v>
      </c>
    </row>
    <row r="2181" spans="1:3" ht="24" x14ac:dyDescent="0.3">
      <c r="A2181" s="109" t="s">
        <v>11</v>
      </c>
      <c r="B2181" s="109" t="s">
        <v>100</v>
      </c>
      <c r="C2181" s="109">
        <v>225</v>
      </c>
    </row>
    <row r="2182" spans="1:3" ht="24" x14ac:dyDescent="0.3">
      <c r="A2182" s="109" t="s">
        <v>11</v>
      </c>
      <c r="B2182" s="109" t="s">
        <v>101</v>
      </c>
      <c r="C2182" s="109">
        <v>1700</v>
      </c>
    </row>
    <row r="2183" spans="1:3" ht="24" x14ac:dyDescent="0.3">
      <c r="A2183" s="109" t="s">
        <v>11</v>
      </c>
      <c r="B2183" s="109" t="s">
        <v>102</v>
      </c>
      <c r="C2183" s="109">
        <v>0</v>
      </c>
    </row>
    <row r="2184" spans="1:3" ht="24" x14ac:dyDescent="0.3">
      <c r="A2184" s="109" t="s">
        <v>11</v>
      </c>
      <c r="B2184" s="109" t="s">
        <v>103</v>
      </c>
      <c r="C2184" s="109">
        <v>220</v>
      </c>
    </row>
    <row r="2185" spans="1:3" ht="24" x14ac:dyDescent="0.3">
      <c r="A2185" s="109" t="s">
        <v>11</v>
      </c>
      <c r="B2185" s="109" t="s">
        <v>104</v>
      </c>
      <c r="C2185" s="109">
        <v>0</v>
      </c>
    </row>
    <row r="2186" spans="1:3" ht="24" x14ac:dyDescent="0.3">
      <c r="A2186" s="109" t="s">
        <v>11</v>
      </c>
      <c r="B2186" s="109" t="s">
        <v>105</v>
      </c>
      <c r="C2186" s="109">
        <v>0</v>
      </c>
    </row>
    <row r="2187" spans="1:3" ht="24" x14ac:dyDescent="0.3">
      <c r="A2187" s="109" t="s">
        <v>11</v>
      </c>
      <c r="B2187" s="109" t="s">
        <v>106</v>
      </c>
      <c r="C2187" s="109">
        <v>190</v>
      </c>
    </row>
    <row r="2188" spans="1:3" ht="24" x14ac:dyDescent="0.3">
      <c r="A2188" s="109" t="s">
        <v>11</v>
      </c>
      <c r="B2188" s="109" t="s">
        <v>107</v>
      </c>
      <c r="C2188" s="109">
        <v>0</v>
      </c>
    </row>
    <row r="2189" spans="1:3" ht="24" x14ac:dyDescent="0.3">
      <c r="A2189" s="109" t="s">
        <v>11</v>
      </c>
      <c r="B2189" s="109" t="s">
        <v>108</v>
      </c>
      <c r="C2189" s="109">
        <v>0</v>
      </c>
    </row>
    <row r="2190" spans="1:3" ht="24" x14ac:dyDescent="0.3">
      <c r="A2190" s="109" t="s">
        <v>11</v>
      </c>
      <c r="B2190" s="109" t="s">
        <v>109</v>
      </c>
      <c r="C2190" s="109">
        <v>0</v>
      </c>
    </row>
    <row r="2191" spans="1:3" ht="24" x14ac:dyDescent="0.3">
      <c r="A2191" s="109" t="s">
        <v>11</v>
      </c>
      <c r="B2191" s="109" t="s">
        <v>110</v>
      </c>
      <c r="C2191" s="109">
        <v>0</v>
      </c>
    </row>
    <row r="2192" spans="1:3" ht="24" x14ac:dyDescent="0.3">
      <c r="A2192" s="109" t="s">
        <v>11</v>
      </c>
      <c r="B2192" s="109" t="s">
        <v>111</v>
      </c>
      <c r="C2192" s="109">
        <v>0</v>
      </c>
    </row>
    <row r="2193" spans="1:3" ht="24" x14ac:dyDescent="0.3">
      <c r="A2193" s="109" t="s">
        <v>11</v>
      </c>
      <c r="B2193" s="109" t="s">
        <v>112</v>
      </c>
      <c r="C2193" s="109">
        <v>0</v>
      </c>
    </row>
    <row r="2194" spans="1:3" ht="24" x14ac:dyDescent="0.3">
      <c r="A2194" s="109" t="s">
        <v>11</v>
      </c>
      <c r="B2194" s="109" t="s">
        <v>113</v>
      </c>
      <c r="C2194" s="109">
        <v>0</v>
      </c>
    </row>
    <row r="2195" spans="1:3" ht="24" x14ac:dyDescent="0.3">
      <c r="A2195" s="109" t="s">
        <v>11</v>
      </c>
      <c r="B2195" s="109" t="s">
        <v>114</v>
      </c>
      <c r="C2195" s="109">
        <v>0</v>
      </c>
    </row>
    <row r="2196" spans="1:3" ht="24" x14ac:dyDescent="0.3">
      <c r="A2196" s="109" t="s">
        <v>11</v>
      </c>
      <c r="B2196" s="109" t="s">
        <v>115</v>
      </c>
      <c r="C2196" s="109">
        <v>0</v>
      </c>
    </row>
    <row r="2197" spans="1:3" ht="24" x14ac:dyDescent="0.3">
      <c r="A2197" s="109" t="s">
        <v>11</v>
      </c>
      <c r="B2197" s="109" t="s">
        <v>116</v>
      </c>
      <c r="C2197" s="109">
        <v>0</v>
      </c>
    </row>
    <row r="2198" spans="1:3" ht="24" x14ac:dyDescent="0.3">
      <c r="A2198" s="109" t="s">
        <v>11</v>
      </c>
      <c r="B2198" s="109" t="s">
        <v>117</v>
      </c>
      <c r="C2198" s="109">
        <v>0</v>
      </c>
    </row>
    <row r="2199" spans="1:3" ht="24" x14ac:dyDescent="0.3">
      <c r="A2199" s="109" t="s">
        <v>11</v>
      </c>
      <c r="B2199" s="109" t="s">
        <v>118</v>
      </c>
      <c r="C2199" s="109">
        <v>0</v>
      </c>
    </row>
    <row r="2200" spans="1:3" ht="24" x14ac:dyDescent="0.3">
      <c r="A2200" s="109" t="s">
        <v>11</v>
      </c>
      <c r="B2200" s="109" t="s">
        <v>120</v>
      </c>
      <c r="C2200" s="109">
        <v>0</v>
      </c>
    </row>
    <row r="2201" spans="1:3" ht="24" x14ac:dyDescent="0.3">
      <c r="A2201" s="109" t="s">
        <v>11</v>
      </c>
      <c r="B2201" s="109" t="s">
        <v>121</v>
      </c>
      <c r="C2201" s="109">
        <v>180</v>
      </c>
    </row>
    <row r="2202" spans="1:3" ht="24" x14ac:dyDescent="0.3">
      <c r="A2202" s="109" t="s">
        <v>11</v>
      </c>
      <c r="B2202" s="109" t="s">
        <v>122</v>
      </c>
      <c r="C2202" s="109">
        <v>0</v>
      </c>
    </row>
    <row r="2203" spans="1:3" ht="24" x14ac:dyDescent="0.3">
      <c r="A2203" s="109" t="s">
        <v>11</v>
      </c>
      <c r="B2203" s="109" t="s">
        <v>123</v>
      </c>
      <c r="C2203" s="109">
        <v>0</v>
      </c>
    </row>
    <row r="2204" spans="1:3" ht="24" x14ac:dyDescent="0.3">
      <c r="A2204" s="109" t="s">
        <v>11</v>
      </c>
      <c r="B2204" s="109" t="s">
        <v>124</v>
      </c>
      <c r="C2204" s="109">
        <v>220</v>
      </c>
    </row>
    <row r="2205" spans="1:3" ht="24" x14ac:dyDescent="0.3">
      <c r="A2205" s="109" t="s">
        <v>11</v>
      </c>
      <c r="B2205" s="109" t="s">
        <v>125</v>
      </c>
      <c r="C2205" s="109">
        <v>0</v>
      </c>
    </row>
    <row r="2206" spans="1:3" ht="24" x14ac:dyDescent="0.3">
      <c r="A2206" s="109" t="s">
        <v>11</v>
      </c>
      <c r="B2206" s="109" t="s">
        <v>126</v>
      </c>
      <c r="C2206" s="109">
        <v>3450</v>
      </c>
    </row>
    <row r="2207" spans="1:3" ht="24" x14ac:dyDescent="0.3">
      <c r="A2207" s="109" t="s">
        <v>12</v>
      </c>
      <c r="B2207" s="109" t="s">
        <v>206</v>
      </c>
      <c r="C2207" s="109" t="s">
        <v>58</v>
      </c>
    </row>
    <row r="2208" spans="1:3" ht="24" x14ac:dyDescent="0.3">
      <c r="A2208" s="109" t="s">
        <v>12</v>
      </c>
      <c r="B2208" s="109" t="s">
        <v>62</v>
      </c>
      <c r="C2208" s="109">
        <v>407</v>
      </c>
    </row>
    <row r="2209" spans="1:3" ht="24" x14ac:dyDescent="0.3">
      <c r="A2209" s="109" t="s">
        <v>12</v>
      </c>
      <c r="B2209" s="109" t="s">
        <v>63</v>
      </c>
      <c r="C2209" s="109">
        <v>80</v>
      </c>
    </row>
    <row r="2210" spans="1:3" ht="24" x14ac:dyDescent="0.3">
      <c r="A2210" s="109" t="s">
        <v>12</v>
      </c>
      <c r="B2210" s="109" t="s">
        <v>64</v>
      </c>
      <c r="C2210" s="109">
        <v>160</v>
      </c>
    </row>
    <row r="2211" spans="1:3" ht="24" x14ac:dyDescent="0.3">
      <c r="A2211" s="109" t="s">
        <v>12</v>
      </c>
      <c r="B2211" s="109" t="s">
        <v>65</v>
      </c>
      <c r="C2211" s="109">
        <v>640</v>
      </c>
    </row>
    <row r="2212" spans="1:3" ht="24" x14ac:dyDescent="0.3">
      <c r="A2212" s="109" t="s">
        <v>12</v>
      </c>
      <c r="B2212" s="109" t="s">
        <v>66</v>
      </c>
      <c r="C2212" s="109">
        <v>110</v>
      </c>
    </row>
    <row r="2213" spans="1:3" ht="24" x14ac:dyDescent="0.3">
      <c r="A2213" s="109" t="s">
        <v>12</v>
      </c>
      <c r="B2213" s="109" t="s">
        <v>67</v>
      </c>
      <c r="C2213" s="109">
        <v>76</v>
      </c>
    </row>
    <row r="2214" spans="1:3" ht="24" x14ac:dyDescent="0.3">
      <c r="A2214" s="109" t="s">
        <v>12</v>
      </c>
      <c r="B2214" s="109" t="s">
        <v>68</v>
      </c>
      <c r="C2214" s="109">
        <v>0</v>
      </c>
    </row>
    <row r="2215" spans="1:3" ht="24" x14ac:dyDescent="0.3">
      <c r="A2215" s="109" t="s">
        <v>12</v>
      </c>
      <c r="B2215" s="109" t="s">
        <v>69</v>
      </c>
      <c r="C2215" s="109">
        <v>0</v>
      </c>
    </row>
    <row r="2216" spans="1:3" ht="24" x14ac:dyDescent="0.3">
      <c r="A2216" s="109" t="s">
        <v>12</v>
      </c>
      <c r="B2216" s="109" t="s">
        <v>70</v>
      </c>
      <c r="C2216" s="109">
        <v>350</v>
      </c>
    </row>
    <row r="2217" spans="1:3" ht="24" x14ac:dyDescent="0.3">
      <c r="A2217" s="109" t="s">
        <v>12</v>
      </c>
      <c r="B2217" s="109" t="s">
        <v>71</v>
      </c>
      <c r="C2217" s="109">
        <v>350</v>
      </c>
    </row>
    <row r="2218" spans="1:3" ht="24" x14ac:dyDescent="0.3">
      <c r="A2218" s="109" t="s">
        <v>12</v>
      </c>
      <c r="B2218" s="109" t="s">
        <v>72</v>
      </c>
      <c r="C2218" s="109">
        <v>0</v>
      </c>
    </row>
    <row r="2219" spans="1:3" ht="24" x14ac:dyDescent="0.3">
      <c r="A2219" s="109" t="s">
        <v>12</v>
      </c>
      <c r="B2219" s="109" t="s">
        <v>73</v>
      </c>
      <c r="C2219" s="109">
        <v>140</v>
      </c>
    </row>
    <row r="2220" spans="1:3" ht="24" x14ac:dyDescent="0.3">
      <c r="A2220" s="109" t="s">
        <v>12</v>
      </c>
      <c r="B2220" s="109" t="s">
        <v>74</v>
      </c>
      <c r="C2220" s="109">
        <v>1300</v>
      </c>
    </row>
    <row r="2221" spans="1:3" ht="24" x14ac:dyDescent="0.3">
      <c r="A2221" s="109" t="s">
        <v>12</v>
      </c>
      <c r="B2221" s="109" t="s">
        <v>75</v>
      </c>
      <c r="C2221" s="109">
        <v>1300</v>
      </c>
    </row>
    <row r="2222" spans="1:3" ht="24" x14ac:dyDescent="0.3">
      <c r="A2222" s="109" t="s">
        <v>12</v>
      </c>
      <c r="B2222" s="109" t="s">
        <v>76</v>
      </c>
      <c r="C2222" s="109">
        <v>0</v>
      </c>
    </row>
    <row r="2223" spans="1:3" ht="24" x14ac:dyDescent="0.3">
      <c r="A2223" s="109" t="s">
        <v>12</v>
      </c>
      <c r="B2223" s="109" t="s">
        <v>77</v>
      </c>
      <c r="C2223" s="109">
        <v>0</v>
      </c>
    </row>
    <row r="2224" spans="1:3" ht="24" x14ac:dyDescent="0.3">
      <c r="A2224" s="109" t="s">
        <v>12</v>
      </c>
      <c r="B2224" s="109" t="s">
        <v>78</v>
      </c>
      <c r="C2224" s="109">
        <v>645</v>
      </c>
    </row>
    <row r="2225" spans="1:3" ht="24" x14ac:dyDescent="0.3">
      <c r="A2225" s="109" t="s">
        <v>12</v>
      </c>
      <c r="B2225" s="109" t="s">
        <v>79</v>
      </c>
      <c r="C2225" s="109">
        <v>510</v>
      </c>
    </row>
    <row r="2226" spans="1:3" ht="24" x14ac:dyDescent="0.3">
      <c r="A2226" s="109" t="s">
        <v>12</v>
      </c>
      <c r="B2226" s="109" t="s">
        <v>80</v>
      </c>
      <c r="C2226" s="109">
        <v>0</v>
      </c>
    </row>
    <row r="2227" spans="1:3" ht="24" x14ac:dyDescent="0.3">
      <c r="A2227" s="109" t="s">
        <v>12</v>
      </c>
      <c r="B2227" s="109" t="s">
        <v>81</v>
      </c>
      <c r="C2227" s="109">
        <v>0</v>
      </c>
    </row>
    <row r="2228" spans="1:3" ht="24" x14ac:dyDescent="0.3">
      <c r="A2228" s="109" t="s">
        <v>12</v>
      </c>
      <c r="B2228" s="109" t="s">
        <v>83</v>
      </c>
      <c r="C2228" s="109">
        <v>16560</v>
      </c>
    </row>
    <row r="2229" spans="1:3" ht="24" x14ac:dyDescent="0.3">
      <c r="A2229" s="109" t="s">
        <v>12</v>
      </c>
      <c r="B2229" s="109" t="s">
        <v>84</v>
      </c>
      <c r="C2229" s="109">
        <v>14400</v>
      </c>
    </row>
    <row r="2230" spans="1:3" ht="24" x14ac:dyDescent="0.3">
      <c r="A2230" s="109" t="s">
        <v>12</v>
      </c>
      <c r="B2230" s="109" t="s">
        <v>85</v>
      </c>
      <c r="C2230" s="109">
        <v>400</v>
      </c>
    </row>
    <row r="2231" spans="1:3" ht="24" x14ac:dyDescent="0.3">
      <c r="A2231" s="109" t="s">
        <v>12</v>
      </c>
      <c r="B2231" s="109" t="s">
        <v>86</v>
      </c>
      <c r="C2231" s="109">
        <v>120</v>
      </c>
    </row>
    <row r="2232" spans="1:3" ht="24" x14ac:dyDescent="0.3">
      <c r="A2232" s="109" t="s">
        <v>12</v>
      </c>
      <c r="B2232" s="109" t="s">
        <v>87</v>
      </c>
      <c r="C2232" s="109">
        <v>0</v>
      </c>
    </row>
    <row r="2233" spans="1:3" ht="24" x14ac:dyDescent="0.3">
      <c r="A2233" s="109" t="s">
        <v>12</v>
      </c>
      <c r="B2233" s="109" t="s">
        <v>88</v>
      </c>
      <c r="C2233" s="109">
        <v>0</v>
      </c>
    </row>
    <row r="2234" spans="1:3" ht="24" x14ac:dyDescent="0.3">
      <c r="A2234" s="109" t="s">
        <v>12</v>
      </c>
      <c r="B2234" s="109" t="s">
        <v>89</v>
      </c>
      <c r="C2234" s="109">
        <v>0</v>
      </c>
    </row>
    <row r="2235" spans="1:3" ht="24" x14ac:dyDescent="0.3">
      <c r="A2235" s="109" t="s">
        <v>12</v>
      </c>
      <c r="B2235" s="109" t="s">
        <v>90</v>
      </c>
      <c r="C2235" s="109">
        <v>6600</v>
      </c>
    </row>
    <row r="2236" spans="1:3" ht="24" x14ac:dyDescent="0.3">
      <c r="A2236" s="109" t="s">
        <v>12</v>
      </c>
      <c r="B2236" s="109" t="s">
        <v>92</v>
      </c>
      <c r="C2236" s="109">
        <v>0</v>
      </c>
    </row>
    <row r="2237" spans="1:3" ht="24" x14ac:dyDescent="0.3">
      <c r="A2237" s="109" t="s">
        <v>12</v>
      </c>
      <c r="B2237" s="109" t="s">
        <v>93</v>
      </c>
      <c r="C2237" s="109">
        <v>7100</v>
      </c>
    </row>
    <row r="2238" spans="1:3" ht="24" x14ac:dyDescent="0.3">
      <c r="A2238" s="109" t="s">
        <v>12</v>
      </c>
      <c r="B2238" s="109" t="s">
        <v>94</v>
      </c>
      <c r="C2238" s="109">
        <v>0</v>
      </c>
    </row>
    <row r="2239" spans="1:3" ht="24" x14ac:dyDescent="0.3">
      <c r="A2239" s="109" t="s">
        <v>12</v>
      </c>
      <c r="B2239" s="109" t="s">
        <v>95</v>
      </c>
      <c r="C2239" s="109">
        <v>0</v>
      </c>
    </row>
    <row r="2240" spans="1:3" ht="24" x14ac:dyDescent="0.3">
      <c r="A2240" s="109" t="s">
        <v>12</v>
      </c>
      <c r="B2240" s="109" t="s">
        <v>96</v>
      </c>
      <c r="C2240" s="109">
        <v>200</v>
      </c>
    </row>
    <row r="2241" spans="1:3" ht="24" x14ac:dyDescent="0.3">
      <c r="A2241" s="109" t="s">
        <v>12</v>
      </c>
      <c r="B2241" s="109" t="s">
        <v>97</v>
      </c>
      <c r="C2241" s="109">
        <v>750</v>
      </c>
    </row>
    <row r="2242" spans="1:3" ht="24" x14ac:dyDescent="0.3">
      <c r="A2242" s="109" t="s">
        <v>12</v>
      </c>
      <c r="B2242" s="109" t="s">
        <v>98</v>
      </c>
      <c r="C2242" s="109">
        <v>165</v>
      </c>
    </row>
    <row r="2243" spans="1:3" ht="24" x14ac:dyDescent="0.3">
      <c r="A2243" s="109" t="s">
        <v>12</v>
      </c>
      <c r="B2243" s="109" t="s">
        <v>99</v>
      </c>
      <c r="C2243" s="109">
        <v>112</v>
      </c>
    </row>
    <row r="2244" spans="1:3" ht="24" x14ac:dyDescent="0.3">
      <c r="A2244" s="109" t="s">
        <v>12</v>
      </c>
      <c r="B2244" s="109" t="s">
        <v>100</v>
      </c>
      <c r="C2244" s="109">
        <v>210</v>
      </c>
    </row>
    <row r="2245" spans="1:3" ht="24" x14ac:dyDescent="0.3">
      <c r="A2245" s="109" t="s">
        <v>12</v>
      </c>
      <c r="B2245" s="109" t="s">
        <v>101</v>
      </c>
      <c r="C2245" s="109">
        <v>1700</v>
      </c>
    </row>
    <row r="2246" spans="1:3" ht="24" x14ac:dyDescent="0.3">
      <c r="A2246" s="109" t="s">
        <v>12</v>
      </c>
      <c r="B2246" s="109" t="s">
        <v>102</v>
      </c>
      <c r="C2246" s="109">
        <v>250</v>
      </c>
    </row>
    <row r="2247" spans="1:3" ht="24" x14ac:dyDescent="0.3">
      <c r="A2247" s="109" t="s">
        <v>12</v>
      </c>
      <c r="B2247" s="109" t="s">
        <v>103</v>
      </c>
      <c r="C2247" s="109">
        <v>200</v>
      </c>
    </row>
    <row r="2248" spans="1:3" ht="24" x14ac:dyDescent="0.3">
      <c r="A2248" s="109" t="s">
        <v>12</v>
      </c>
      <c r="B2248" s="109" t="s">
        <v>104</v>
      </c>
      <c r="C2248" s="109">
        <v>150</v>
      </c>
    </row>
    <row r="2249" spans="1:3" ht="24" x14ac:dyDescent="0.3">
      <c r="A2249" s="109" t="s">
        <v>12</v>
      </c>
      <c r="B2249" s="109" t="s">
        <v>105</v>
      </c>
      <c r="C2249" s="109">
        <v>0</v>
      </c>
    </row>
    <row r="2250" spans="1:3" ht="24" x14ac:dyDescent="0.3">
      <c r="A2250" s="109" t="s">
        <v>12</v>
      </c>
      <c r="B2250" s="109" t="s">
        <v>106</v>
      </c>
      <c r="C2250" s="109">
        <v>330</v>
      </c>
    </row>
    <row r="2251" spans="1:3" ht="24" x14ac:dyDescent="0.3">
      <c r="A2251" s="109" t="s">
        <v>12</v>
      </c>
      <c r="B2251" s="109" t="s">
        <v>107</v>
      </c>
      <c r="C2251" s="109">
        <v>400</v>
      </c>
    </row>
    <row r="2252" spans="1:3" ht="24" x14ac:dyDescent="0.3">
      <c r="A2252" s="109" t="s">
        <v>12</v>
      </c>
      <c r="B2252" s="109" t="s">
        <v>108</v>
      </c>
      <c r="C2252" s="109">
        <v>0</v>
      </c>
    </row>
    <row r="2253" spans="1:3" ht="24" x14ac:dyDescent="0.3">
      <c r="A2253" s="109" t="s">
        <v>12</v>
      </c>
      <c r="B2253" s="109" t="s">
        <v>109</v>
      </c>
      <c r="C2253" s="109">
        <v>0</v>
      </c>
    </row>
    <row r="2254" spans="1:3" ht="24" x14ac:dyDescent="0.3">
      <c r="A2254" s="109" t="s">
        <v>12</v>
      </c>
      <c r="B2254" s="109" t="s">
        <v>110</v>
      </c>
      <c r="C2254" s="109">
        <v>780</v>
      </c>
    </row>
    <row r="2255" spans="1:3" ht="24" x14ac:dyDescent="0.3">
      <c r="A2255" s="109" t="s">
        <v>12</v>
      </c>
      <c r="B2255" s="109" t="s">
        <v>111</v>
      </c>
      <c r="C2255" s="109">
        <v>0</v>
      </c>
    </row>
    <row r="2256" spans="1:3" ht="24" x14ac:dyDescent="0.3">
      <c r="A2256" s="109" t="s">
        <v>12</v>
      </c>
      <c r="B2256" s="109" t="s">
        <v>112</v>
      </c>
      <c r="C2256" s="109">
        <v>0</v>
      </c>
    </row>
    <row r="2257" spans="1:3" ht="24" x14ac:dyDescent="0.3">
      <c r="A2257" s="109" t="s">
        <v>12</v>
      </c>
      <c r="B2257" s="109" t="s">
        <v>113</v>
      </c>
      <c r="C2257" s="109">
        <v>0</v>
      </c>
    </row>
    <row r="2258" spans="1:3" ht="24" x14ac:dyDescent="0.3">
      <c r="A2258" s="109" t="s">
        <v>12</v>
      </c>
      <c r="B2258" s="109" t="s">
        <v>114</v>
      </c>
      <c r="C2258" s="109">
        <v>0</v>
      </c>
    </row>
    <row r="2259" spans="1:3" ht="24" x14ac:dyDescent="0.3">
      <c r="A2259" s="109" t="s">
        <v>12</v>
      </c>
      <c r="B2259" s="109" t="s">
        <v>115</v>
      </c>
      <c r="C2259" s="109">
        <v>0</v>
      </c>
    </row>
    <row r="2260" spans="1:3" ht="24" x14ac:dyDescent="0.3">
      <c r="A2260" s="109" t="s">
        <v>12</v>
      </c>
      <c r="B2260" s="109" t="s">
        <v>116</v>
      </c>
      <c r="C2260" s="109">
        <v>0</v>
      </c>
    </row>
    <row r="2261" spans="1:3" ht="24" x14ac:dyDescent="0.3">
      <c r="A2261" s="109" t="s">
        <v>12</v>
      </c>
      <c r="B2261" s="109" t="s">
        <v>117</v>
      </c>
      <c r="C2261" s="109">
        <v>0</v>
      </c>
    </row>
    <row r="2262" spans="1:3" ht="24" x14ac:dyDescent="0.3">
      <c r="A2262" s="109" t="s">
        <v>12</v>
      </c>
      <c r="B2262" s="109" t="s">
        <v>118</v>
      </c>
      <c r="C2262" s="109">
        <v>0</v>
      </c>
    </row>
    <row r="2263" spans="1:3" ht="24" x14ac:dyDescent="0.3">
      <c r="A2263" s="109" t="s">
        <v>12</v>
      </c>
      <c r="B2263" s="109" t="s">
        <v>120</v>
      </c>
      <c r="C2263" s="109">
        <v>0</v>
      </c>
    </row>
    <row r="2264" spans="1:3" ht="24" x14ac:dyDescent="0.3">
      <c r="A2264" s="109" t="s">
        <v>12</v>
      </c>
      <c r="B2264" s="109" t="s">
        <v>121</v>
      </c>
      <c r="C2264" s="109">
        <v>135</v>
      </c>
    </row>
    <row r="2265" spans="1:3" ht="24" x14ac:dyDescent="0.3">
      <c r="A2265" s="109" t="s">
        <v>12</v>
      </c>
      <c r="B2265" s="109" t="s">
        <v>122</v>
      </c>
      <c r="C2265" s="109">
        <v>330</v>
      </c>
    </row>
    <row r="2266" spans="1:3" ht="24" x14ac:dyDescent="0.3">
      <c r="A2266" s="109" t="s">
        <v>12</v>
      </c>
      <c r="B2266" s="109" t="s">
        <v>123</v>
      </c>
      <c r="C2266" s="109">
        <v>0</v>
      </c>
    </row>
    <row r="2267" spans="1:3" ht="24" x14ac:dyDescent="0.3">
      <c r="A2267" s="109" t="s">
        <v>12</v>
      </c>
      <c r="B2267" s="109" t="s">
        <v>124</v>
      </c>
      <c r="C2267" s="109">
        <v>140</v>
      </c>
    </row>
    <row r="2268" spans="1:3" ht="24" x14ac:dyDescent="0.3">
      <c r="A2268" s="109" t="s">
        <v>12</v>
      </c>
      <c r="B2268" s="109" t="s">
        <v>125</v>
      </c>
      <c r="C2268" s="109">
        <v>0</v>
      </c>
    </row>
    <row r="2269" spans="1:3" ht="24" x14ac:dyDescent="0.3">
      <c r="A2269" s="109" t="s">
        <v>12</v>
      </c>
      <c r="B2269" s="109" t="s">
        <v>126</v>
      </c>
      <c r="C2269" s="109">
        <v>3080</v>
      </c>
    </row>
    <row r="2270" spans="1:3" ht="24" x14ac:dyDescent="0.3">
      <c r="A2270" s="109" t="s">
        <v>1</v>
      </c>
      <c r="B2270" s="109" t="s">
        <v>206</v>
      </c>
      <c r="C2270" s="109" t="s">
        <v>59</v>
      </c>
    </row>
    <row r="2271" spans="1:3" ht="24" x14ac:dyDescent="0.3">
      <c r="A2271" s="109" t="s">
        <v>1</v>
      </c>
      <c r="B2271" s="109" t="s">
        <v>62</v>
      </c>
      <c r="C2271" s="109">
        <v>36</v>
      </c>
    </row>
    <row r="2272" spans="1:3" ht="24" x14ac:dyDescent="0.3">
      <c r="A2272" s="109" t="s">
        <v>1</v>
      </c>
      <c r="B2272" s="109" t="s">
        <v>63</v>
      </c>
      <c r="C2272" s="109">
        <v>40</v>
      </c>
    </row>
    <row r="2273" spans="1:3" ht="24" x14ac:dyDescent="0.3">
      <c r="A2273" s="109" t="s">
        <v>1</v>
      </c>
      <c r="B2273" s="109" t="s">
        <v>64</v>
      </c>
      <c r="C2273" s="109">
        <v>0</v>
      </c>
    </row>
    <row r="2274" spans="1:3" ht="24" x14ac:dyDescent="0.3">
      <c r="A2274" s="109" t="s">
        <v>1</v>
      </c>
      <c r="B2274" s="109" t="s">
        <v>65</v>
      </c>
      <c r="C2274" s="109">
        <v>80</v>
      </c>
    </row>
    <row r="2275" spans="1:3" ht="24" x14ac:dyDescent="0.3">
      <c r="A2275" s="109" t="s">
        <v>1</v>
      </c>
      <c r="B2275" s="109" t="s">
        <v>66</v>
      </c>
      <c r="C2275" s="109">
        <v>55</v>
      </c>
    </row>
    <row r="2276" spans="1:3" ht="24" x14ac:dyDescent="0.3">
      <c r="A2276" s="109" t="s">
        <v>1</v>
      </c>
      <c r="B2276" s="109" t="s">
        <v>67</v>
      </c>
      <c r="C2276" s="109">
        <v>0</v>
      </c>
    </row>
    <row r="2277" spans="1:3" ht="24" x14ac:dyDescent="0.3">
      <c r="A2277" s="109" t="s">
        <v>1</v>
      </c>
      <c r="B2277" s="109" t="s">
        <v>68</v>
      </c>
      <c r="C2277" s="109">
        <v>0</v>
      </c>
    </row>
    <row r="2278" spans="1:3" ht="24" x14ac:dyDescent="0.3">
      <c r="A2278" s="109" t="s">
        <v>1</v>
      </c>
      <c r="B2278" s="109" t="s">
        <v>69</v>
      </c>
      <c r="C2278" s="109">
        <v>90</v>
      </c>
    </row>
    <row r="2279" spans="1:3" ht="24" x14ac:dyDescent="0.3">
      <c r="A2279" s="109" t="s">
        <v>1</v>
      </c>
      <c r="B2279" s="109" t="s">
        <v>70</v>
      </c>
      <c r="C2279" s="109">
        <v>70</v>
      </c>
    </row>
    <row r="2280" spans="1:3" ht="24" x14ac:dyDescent="0.3">
      <c r="A2280" s="109" t="s">
        <v>1</v>
      </c>
      <c r="B2280" s="109" t="s">
        <v>71</v>
      </c>
      <c r="C2280" s="109">
        <v>70</v>
      </c>
    </row>
    <row r="2281" spans="1:3" ht="24" x14ac:dyDescent="0.3">
      <c r="A2281" s="109" t="s">
        <v>1</v>
      </c>
      <c r="B2281" s="109" t="s">
        <v>72</v>
      </c>
      <c r="C2281" s="109">
        <v>0</v>
      </c>
    </row>
    <row r="2282" spans="1:3" ht="24" x14ac:dyDescent="0.3">
      <c r="A2282" s="109" t="s">
        <v>1</v>
      </c>
      <c r="B2282" s="109" t="s">
        <v>73</v>
      </c>
      <c r="C2282" s="109">
        <v>130</v>
      </c>
    </row>
    <row r="2283" spans="1:3" ht="24" x14ac:dyDescent="0.3">
      <c r="A2283" s="109" t="s">
        <v>1</v>
      </c>
      <c r="B2283" s="109" t="s">
        <v>74</v>
      </c>
      <c r="C2283" s="109">
        <v>650</v>
      </c>
    </row>
    <row r="2284" spans="1:3" ht="24" x14ac:dyDescent="0.3">
      <c r="A2284" s="109" t="s">
        <v>1</v>
      </c>
      <c r="B2284" s="109" t="s">
        <v>75</v>
      </c>
      <c r="C2284" s="109">
        <v>650</v>
      </c>
    </row>
    <row r="2285" spans="1:3" ht="24" x14ac:dyDescent="0.3">
      <c r="A2285" s="109" t="s">
        <v>1</v>
      </c>
      <c r="B2285" s="109" t="s">
        <v>76</v>
      </c>
      <c r="C2285" s="109">
        <v>0</v>
      </c>
    </row>
    <row r="2286" spans="1:3" ht="24" x14ac:dyDescent="0.3">
      <c r="A2286" s="109" t="s">
        <v>1</v>
      </c>
      <c r="B2286" s="109" t="s">
        <v>77</v>
      </c>
      <c r="C2286" s="109">
        <v>550</v>
      </c>
    </row>
    <row r="2287" spans="1:3" ht="24" x14ac:dyDescent="0.3">
      <c r="A2287" s="109" t="s">
        <v>1</v>
      </c>
      <c r="B2287" s="109" t="s">
        <v>78</v>
      </c>
      <c r="C2287" s="109">
        <v>49</v>
      </c>
    </row>
    <row r="2288" spans="1:3" ht="24" x14ac:dyDescent="0.3">
      <c r="A2288" s="109" t="s">
        <v>1</v>
      </c>
      <c r="B2288" s="109" t="s">
        <v>79</v>
      </c>
      <c r="C2288" s="109">
        <v>180</v>
      </c>
    </row>
    <row r="2289" spans="1:3" ht="24" x14ac:dyDescent="0.3">
      <c r="A2289" s="109" t="s">
        <v>1</v>
      </c>
      <c r="B2289" s="109" t="s">
        <v>80</v>
      </c>
      <c r="C2289" s="109">
        <v>0</v>
      </c>
    </row>
    <row r="2290" spans="1:3" ht="24" x14ac:dyDescent="0.3">
      <c r="A2290" s="109" t="s">
        <v>1</v>
      </c>
      <c r="B2290" s="109" t="s">
        <v>81</v>
      </c>
      <c r="C2290" s="109">
        <v>60</v>
      </c>
    </row>
    <row r="2291" spans="1:3" ht="24" x14ac:dyDescent="0.3">
      <c r="A2291" s="109" t="s">
        <v>1</v>
      </c>
      <c r="B2291" s="109" t="s">
        <v>83</v>
      </c>
      <c r="C2291" s="109">
        <v>81.415525114155244</v>
      </c>
    </row>
    <row r="2292" spans="1:3" ht="24" x14ac:dyDescent="0.3">
      <c r="A2292" s="109" t="s">
        <v>1</v>
      </c>
      <c r="B2292" s="109" t="s">
        <v>84</v>
      </c>
      <c r="C2292" s="109">
        <v>123.66666666666667</v>
      </c>
    </row>
    <row r="2293" spans="1:3" ht="24" x14ac:dyDescent="0.3">
      <c r="A2293" s="109" t="s">
        <v>1</v>
      </c>
      <c r="B2293" s="109" t="s">
        <v>85</v>
      </c>
      <c r="C2293" s="109">
        <v>66.166666666666671</v>
      </c>
    </row>
    <row r="2294" spans="1:3" ht="24" x14ac:dyDescent="0.3">
      <c r="A2294" s="109" t="s">
        <v>1</v>
      </c>
      <c r="B2294" s="109" t="s">
        <v>86</v>
      </c>
      <c r="C2294" s="109">
        <v>54.666666666666664</v>
      </c>
    </row>
    <row r="2295" spans="1:3" ht="24" x14ac:dyDescent="0.3">
      <c r="A2295" s="109" t="s">
        <v>1</v>
      </c>
      <c r="B2295" s="109" t="s">
        <v>87</v>
      </c>
      <c r="C2295" s="109">
        <v>485</v>
      </c>
    </row>
    <row r="2296" spans="1:3" ht="24" x14ac:dyDescent="0.3">
      <c r="A2296" s="109" t="s">
        <v>1</v>
      </c>
      <c r="B2296" s="109" t="s">
        <v>88</v>
      </c>
      <c r="C2296" s="109">
        <v>197</v>
      </c>
    </row>
    <row r="2297" spans="1:3" ht="24" x14ac:dyDescent="0.3">
      <c r="A2297" s="109" t="s">
        <v>1</v>
      </c>
      <c r="B2297" s="109" t="s">
        <v>89</v>
      </c>
      <c r="C2297" s="109">
        <v>0</v>
      </c>
    </row>
    <row r="2298" spans="1:3" ht="24" x14ac:dyDescent="0.3">
      <c r="A2298" s="109" t="s">
        <v>1</v>
      </c>
      <c r="B2298" s="109" t="s">
        <v>90</v>
      </c>
      <c r="C2298" s="109">
        <v>132</v>
      </c>
    </row>
    <row r="2299" spans="1:3" ht="24" x14ac:dyDescent="0.3">
      <c r="A2299" s="109" t="s">
        <v>1</v>
      </c>
      <c r="B2299" s="109" t="s">
        <v>92</v>
      </c>
      <c r="C2299" s="109">
        <v>320</v>
      </c>
    </row>
    <row r="2300" spans="1:3" ht="24" x14ac:dyDescent="0.3">
      <c r="A2300" s="109" t="s">
        <v>1</v>
      </c>
      <c r="B2300" s="109" t="s">
        <v>93</v>
      </c>
      <c r="C2300" s="109">
        <v>770</v>
      </c>
    </row>
    <row r="2301" spans="1:3" ht="24" x14ac:dyDescent="0.3">
      <c r="A2301" s="109" t="s">
        <v>1</v>
      </c>
      <c r="B2301" s="109" t="s">
        <v>94</v>
      </c>
      <c r="C2301" s="109">
        <v>0</v>
      </c>
    </row>
    <row r="2302" spans="1:3" ht="24" x14ac:dyDescent="0.3">
      <c r="A2302" s="109" t="s">
        <v>1</v>
      </c>
      <c r="B2302" s="109" t="s">
        <v>95</v>
      </c>
      <c r="C2302" s="109">
        <v>0</v>
      </c>
    </row>
    <row r="2303" spans="1:3" ht="24" x14ac:dyDescent="0.3">
      <c r="A2303" s="109" t="s">
        <v>1</v>
      </c>
      <c r="B2303" s="109" t="s">
        <v>96</v>
      </c>
      <c r="C2303" s="109">
        <v>190</v>
      </c>
    </row>
    <row r="2304" spans="1:3" ht="24" x14ac:dyDescent="0.3">
      <c r="A2304" s="109" t="s">
        <v>1</v>
      </c>
      <c r="B2304" s="109" t="s">
        <v>97</v>
      </c>
      <c r="C2304" s="109">
        <v>650</v>
      </c>
    </row>
    <row r="2305" spans="1:3" ht="24" x14ac:dyDescent="0.3">
      <c r="A2305" s="109" t="s">
        <v>1</v>
      </c>
      <c r="B2305" s="109" t="s">
        <v>98</v>
      </c>
      <c r="C2305" s="109">
        <v>0</v>
      </c>
    </row>
    <row r="2306" spans="1:3" ht="24" x14ac:dyDescent="0.3">
      <c r="A2306" s="109" t="s">
        <v>1</v>
      </c>
      <c r="B2306" s="109" t="s">
        <v>99</v>
      </c>
      <c r="C2306" s="109">
        <v>10</v>
      </c>
    </row>
    <row r="2307" spans="1:3" ht="24" x14ac:dyDescent="0.3">
      <c r="A2307" s="109" t="s">
        <v>1</v>
      </c>
      <c r="B2307" s="109" t="s">
        <v>100</v>
      </c>
      <c r="C2307" s="109">
        <v>13</v>
      </c>
    </row>
    <row r="2308" spans="1:3" ht="24" x14ac:dyDescent="0.3">
      <c r="A2308" s="109" t="s">
        <v>1</v>
      </c>
      <c r="B2308" s="109" t="s">
        <v>101</v>
      </c>
      <c r="C2308" s="109">
        <v>3500</v>
      </c>
    </row>
    <row r="2309" spans="1:3" ht="24" x14ac:dyDescent="0.3">
      <c r="A2309" s="109" t="s">
        <v>1</v>
      </c>
      <c r="B2309" s="109" t="s">
        <v>102</v>
      </c>
      <c r="C2309" s="109">
        <v>290</v>
      </c>
    </row>
    <row r="2310" spans="1:3" ht="24" x14ac:dyDescent="0.3">
      <c r="A2310" s="109" t="s">
        <v>1</v>
      </c>
      <c r="B2310" s="109" t="s">
        <v>103</v>
      </c>
      <c r="C2310" s="109">
        <v>0</v>
      </c>
    </row>
    <row r="2311" spans="1:3" ht="24" x14ac:dyDescent="0.3">
      <c r="A2311" s="109" t="s">
        <v>1</v>
      </c>
      <c r="B2311" s="109" t="s">
        <v>104</v>
      </c>
      <c r="C2311" s="109">
        <v>0</v>
      </c>
    </row>
    <row r="2312" spans="1:3" ht="24" x14ac:dyDescent="0.3">
      <c r="A2312" s="109" t="s">
        <v>1</v>
      </c>
      <c r="B2312" s="109" t="s">
        <v>105</v>
      </c>
      <c r="C2312" s="109">
        <v>0</v>
      </c>
    </row>
    <row r="2313" spans="1:3" ht="24" x14ac:dyDescent="0.3">
      <c r="A2313" s="109" t="s">
        <v>1</v>
      </c>
      <c r="B2313" s="109" t="s">
        <v>106</v>
      </c>
      <c r="C2313" s="109">
        <v>0</v>
      </c>
    </row>
    <row r="2314" spans="1:3" ht="24" x14ac:dyDescent="0.3">
      <c r="A2314" s="109" t="s">
        <v>1</v>
      </c>
      <c r="B2314" s="109" t="s">
        <v>107</v>
      </c>
      <c r="C2314" s="109">
        <v>0</v>
      </c>
    </row>
    <row r="2315" spans="1:3" ht="24" x14ac:dyDescent="0.3">
      <c r="A2315" s="109" t="s">
        <v>1</v>
      </c>
      <c r="B2315" s="109" t="s">
        <v>108</v>
      </c>
      <c r="C2315" s="109">
        <v>400</v>
      </c>
    </row>
    <row r="2316" spans="1:3" ht="24" x14ac:dyDescent="0.3">
      <c r="A2316" s="109" t="s">
        <v>1</v>
      </c>
      <c r="B2316" s="109" t="s">
        <v>109</v>
      </c>
      <c r="C2316" s="109">
        <v>0</v>
      </c>
    </row>
    <row r="2317" spans="1:3" ht="24" x14ac:dyDescent="0.3">
      <c r="A2317" s="109" t="s">
        <v>1</v>
      </c>
      <c r="B2317" s="109" t="s">
        <v>110</v>
      </c>
      <c r="C2317" s="109">
        <v>0</v>
      </c>
    </row>
    <row r="2318" spans="1:3" ht="24" x14ac:dyDescent="0.3">
      <c r="A2318" s="109" t="s">
        <v>1</v>
      </c>
      <c r="B2318" s="109" t="s">
        <v>111</v>
      </c>
      <c r="C2318" s="109">
        <v>0</v>
      </c>
    </row>
    <row r="2319" spans="1:3" ht="24" x14ac:dyDescent="0.3">
      <c r="A2319" s="109" t="s">
        <v>1</v>
      </c>
      <c r="B2319" s="109" t="s">
        <v>112</v>
      </c>
      <c r="C2319" s="109">
        <v>0</v>
      </c>
    </row>
    <row r="2320" spans="1:3" ht="24" x14ac:dyDescent="0.3">
      <c r="A2320" s="109" t="s">
        <v>1</v>
      </c>
      <c r="B2320" s="109" t="s">
        <v>113</v>
      </c>
      <c r="C2320" s="109">
        <v>0</v>
      </c>
    </row>
    <row r="2321" spans="1:3" ht="24" x14ac:dyDescent="0.3">
      <c r="A2321" s="109" t="s">
        <v>1</v>
      </c>
      <c r="B2321" s="109" t="s">
        <v>114</v>
      </c>
      <c r="C2321" s="109">
        <v>0</v>
      </c>
    </row>
    <row r="2322" spans="1:3" ht="24" x14ac:dyDescent="0.3">
      <c r="A2322" s="109" t="s">
        <v>1</v>
      </c>
      <c r="B2322" s="109" t="s">
        <v>115</v>
      </c>
      <c r="C2322" s="109">
        <v>0</v>
      </c>
    </row>
    <row r="2323" spans="1:3" ht="24" x14ac:dyDescent="0.3">
      <c r="A2323" s="109" t="s">
        <v>1</v>
      </c>
      <c r="B2323" s="109" t="s">
        <v>116</v>
      </c>
      <c r="C2323" s="109">
        <v>150</v>
      </c>
    </row>
    <row r="2324" spans="1:3" ht="24" x14ac:dyDescent="0.3">
      <c r="A2324" s="109" t="s">
        <v>1</v>
      </c>
      <c r="B2324" s="109" t="s">
        <v>117</v>
      </c>
      <c r="C2324" s="109">
        <v>260</v>
      </c>
    </row>
    <row r="2325" spans="1:3" ht="24" x14ac:dyDescent="0.3">
      <c r="A2325" s="109" t="s">
        <v>1</v>
      </c>
      <c r="B2325" s="109" t="s">
        <v>118</v>
      </c>
      <c r="C2325" s="109">
        <v>19.583333333333332</v>
      </c>
    </row>
    <row r="2326" spans="1:3" ht="24" x14ac:dyDescent="0.3">
      <c r="A2326" s="109" t="s">
        <v>1</v>
      </c>
      <c r="B2326" s="109" t="s">
        <v>120</v>
      </c>
      <c r="C2326" s="109">
        <v>160</v>
      </c>
    </row>
    <row r="2327" spans="1:3" ht="24" x14ac:dyDescent="0.3">
      <c r="A2327" s="109" t="s">
        <v>1</v>
      </c>
      <c r="B2327" s="109" t="s">
        <v>121</v>
      </c>
      <c r="C2327" s="109">
        <v>41</v>
      </c>
    </row>
    <row r="2328" spans="1:3" ht="24" x14ac:dyDescent="0.3">
      <c r="A2328" s="109" t="s">
        <v>1</v>
      </c>
      <c r="B2328" s="109" t="s">
        <v>122</v>
      </c>
      <c r="C2328" s="109">
        <v>0</v>
      </c>
    </row>
    <row r="2329" spans="1:3" ht="24" x14ac:dyDescent="0.3">
      <c r="A2329" s="109" t="s">
        <v>1</v>
      </c>
      <c r="B2329" s="109" t="s">
        <v>123</v>
      </c>
      <c r="C2329" s="109">
        <v>0</v>
      </c>
    </row>
    <row r="2330" spans="1:3" ht="24" x14ac:dyDescent="0.3">
      <c r="A2330" s="109" t="s">
        <v>1</v>
      </c>
      <c r="B2330" s="109" t="s">
        <v>124</v>
      </c>
      <c r="C2330" s="109">
        <v>0</v>
      </c>
    </row>
    <row r="2331" spans="1:3" ht="24" x14ac:dyDescent="0.3">
      <c r="A2331" s="109" t="s">
        <v>1</v>
      </c>
      <c r="B2331" s="109" t="s">
        <v>125</v>
      </c>
      <c r="C2331" s="109">
        <v>0</v>
      </c>
    </row>
    <row r="2332" spans="1:3" ht="24" x14ac:dyDescent="0.3">
      <c r="A2332" s="109" t="s">
        <v>1</v>
      </c>
      <c r="B2332" s="109" t="s">
        <v>126</v>
      </c>
      <c r="C2332" s="109">
        <v>6.4</v>
      </c>
    </row>
    <row r="2333" spans="1:3" ht="24" x14ac:dyDescent="0.3">
      <c r="A2333" s="109" t="s">
        <v>25</v>
      </c>
      <c r="B2333" s="109" t="s">
        <v>206</v>
      </c>
      <c r="C2333" s="109" t="s">
        <v>59</v>
      </c>
    </row>
    <row r="2334" spans="1:3" ht="24" x14ac:dyDescent="0.3">
      <c r="A2334" s="109" t="s">
        <v>25</v>
      </c>
      <c r="B2334" s="109" t="s">
        <v>62</v>
      </c>
      <c r="C2334" s="109">
        <v>36</v>
      </c>
    </row>
    <row r="2335" spans="1:3" ht="24" x14ac:dyDescent="0.3">
      <c r="A2335" s="109" t="s">
        <v>25</v>
      </c>
      <c r="B2335" s="109" t="s">
        <v>63</v>
      </c>
      <c r="C2335" s="109">
        <v>40</v>
      </c>
    </row>
    <row r="2336" spans="1:3" ht="24" x14ac:dyDescent="0.3">
      <c r="A2336" s="109" t="s">
        <v>25</v>
      </c>
      <c r="B2336" s="109" t="s">
        <v>64</v>
      </c>
      <c r="C2336" s="109">
        <v>40</v>
      </c>
    </row>
    <row r="2337" spans="1:3" ht="24" x14ac:dyDescent="0.3">
      <c r="A2337" s="109" t="s">
        <v>25</v>
      </c>
      <c r="B2337" s="109" t="s">
        <v>65</v>
      </c>
      <c r="C2337" s="109">
        <v>75</v>
      </c>
    </row>
    <row r="2338" spans="1:3" ht="24" x14ac:dyDescent="0.3">
      <c r="A2338" s="109" t="s">
        <v>25</v>
      </c>
      <c r="B2338" s="109" t="s">
        <v>66</v>
      </c>
      <c r="C2338" s="109">
        <v>55</v>
      </c>
    </row>
    <row r="2339" spans="1:3" ht="24" x14ac:dyDescent="0.3">
      <c r="A2339" s="109" t="s">
        <v>25</v>
      </c>
      <c r="B2339" s="109" t="s">
        <v>67</v>
      </c>
      <c r="C2339" s="109">
        <v>0</v>
      </c>
    </row>
    <row r="2340" spans="1:3" ht="24" x14ac:dyDescent="0.3">
      <c r="A2340" s="109" t="s">
        <v>25</v>
      </c>
      <c r="B2340" s="109" t="s">
        <v>68</v>
      </c>
      <c r="C2340" s="109">
        <v>25</v>
      </c>
    </row>
    <row r="2341" spans="1:3" ht="24" x14ac:dyDescent="0.3">
      <c r="A2341" s="109" t="s">
        <v>25</v>
      </c>
      <c r="B2341" s="109" t="s">
        <v>69</v>
      </c>
      <c r="C2341" s="109">
        <v>90</v>
      </c>
    </row>
    <row r="2342" spans="1:3" ht="24" x14ac:dyDescent="0.3">
      <c r="A2342" s="109" t="s">
        <v>25</v>
      </c>
      <c r="B2342" s="109" t="s">
        <v>70</v>
      </c>
      <c r="C2342" s="109">
        <v>70</v>
      </c>
    </row>
    <row r="2343" spans="1:3" ht="24" x14ac:dyDescent="0.3">
      <c r="A2343" s="109" t="s">
        <v>25</v>
      </c>
      <c r="B2343" s="109" t="s">
        <v>71</v>
      </c>
      <c r="C2343" s="109">
        <v>70</v>
      </c>
    </row>
    <row r="2344" spans="1:3" ht="24" x14ac:dyDescent="0.3">
      <c r="A2344" s="109" t="s">
        <v>25</v>
      </c>
      <c r="B2344" s="109" t="s">
        <v>72</v>
      </c>
      <c r="C2344" s="109">
        <v>250</v>
      </c>
    </row>
    <row r="2345" spans="1:3" ht="24" x14ac:dyDescent="0.3">
      <c r="A2345" s="109" t="s">
        <v>25</v>
      </c>
      <c r="B2345" s="109" t="s">
        <v>73</v>
      </c>
      <c r="C2345" s="109">
        <v>70</v>
      </c>
    </row>
    <row r="2346" spans="1:3" ht="24" x14ac:dyDescent="0.3">
      <c r="A2346" s="109" t="s">
        <v>25</v>
      </c>
      <c r="B2346" s="109" t="s">
        <v>74</v>
      </c>
      <c r="C2346" s="109">
        <v>650</v>
      </c>
    </row>
    <row r="2347" spans="1:3" ht="24" x14ac:dyDescent="0.3">
      <c r="A2347" s="109" t="s">
        <v>25</v>
      </c>
      <c r="B2347" s="109" t="s">
        <v>75</v>
      </c>
      <c r="C2347" s="109">
        <v>650</v>
      </c>
    </row>
    <row r="2348" spans="1:3" ht="24" x14ac:dyDescent="0.3">
      <c r="A2348" s="109" t="s">
        <v>25</v>
      </c>
      <c r="B2348" s="109" t="s">
        <v>76</v>
      </c>
      <c r="C2348" s="109">
        <v>0</v>
      </c>
    </row>
    <row r="2349" spans="1:3" ht="24" x14ac:dyDescent="0.3">
      <c r="A2349" s="109" t="s">
        <v>25</v>
      </c>
      <c r="B2349" s="109" t="s">
        <v>77</v>
      </c>
      <c r="C2349" s="109">
        <v>550</v>
      </c>
    </row>
    <row r="2350" spans="1:3" ht="24" x14ac:dyDescent="0.3">
      <c r="A2350" s="109" t="s">
        <v>25</v>
      </c>
      <c r="B2350" s="109" t="s">
        <v>78</v>
      </c>
      <c r="C2350" s="109">
        <v>49</v>
      </c>
    </row>
    <row r="2351" spans="1:3" ht="24" x14ac:dyDescent="0.3">
      <c r="A2351" s="109" t="s">
        <v>25</v>
      </c>
      <c r="B2351" s="109" t="s">
        <v>79</v>
      </c>
      <c r="C2351" s="109">
        <v>170</v>
      </c>
    </row>
    <row r="2352" spans="1:3" ht="24" x14ac:dyDescent="0.3">
      <c r="A2352" s="109" t="s">
        <v>25</v>
      </c>
      <c r="B2352" s="109" t="s">
        <v>80</v>
      </c>
      <c r="C2352" s="109">
        <v>60</v>
      </c>
    </row>
    <row r="2353" spans="1:3" ht="24" x14ac:dyDescent="0.3">
      <c r="A2353" s="109" t="s">
        <v>25</v>
      </c>
      <c r="B2353" s="109" t="s">
        <v>81</v>
      </c>
      <c r="C2353" s="109">
        <v>60</v>
      </c>
    </row>
    <row r="2354" spans="1:3" ht="24" x14ac:dyDescent="0.3">
      <c r="A2354" s="109" t="s">
        <v>25</v>
      </c>
      <c r="B2354" s="109" t="s">
        <v>83</v>
      </c>
      <c r="C2354" s="109">
        <v>81.038961038961034</v>
      </c>
    </row>
    <row r="2355" spans="1:3" ht="24" x14ac:dyDescent="0.3">
      <c r="A2355" s="109" t="s">
        <v>25</v>
      </c>
      <c r="B2355" s="109" t="s">
        <v>84</v>
      </c>
      <c r="C2355" s="109">
        <v>123.33333333333333</v>
      </c>
    </row>
    <row r="2356" spans="1:3" ht="24" x14ac:dyDescent="0.3">
      <c r="A2356" s="109" t="s">
        <v>25</v>
      </c>
      <c r="B2356" s="109" t="s">
        <v>85</v>
      </c>
      <c r="C2356" s="109">
        <v>42</v>
      </c>
    </row>
    <row r="2357" spans="1:3" ht="24" x14ac:dyDescent="0.3">
      <c r="A2357" s="109" t="s">
        <v>25</v>
      </c>
      <c r="B2357" s="109" t="s">
        <v>86</v>
      </c>
      <c r="C2357" s="109">
        <v>42</v>
      </c>
    </row>
    <row r="2358" spans="1:3" ht="24" x14ac:dyDescent="0.3">
      <c r="A2358" s="109" t="s">
        <v>25</v>
      </c>
      <c r="B2358" s="109" t="s">
        <v>87</v>
      </c>
      <c r="C2358" s="109">
        <v>485</v>
      </c>
    </row>
    <row r="2359" spans="1:3" ht="24" x14ac:dyDescent="0.3">
      <c r="A2359" s="109" t="s">
        <v>25</v>
      </c>
      <c r="B2359" s="109" t="s">
        <v>88</v>
      </c>
      <c r="C2359" s="109">
        <v>197</v>
      </c>
    </row>
    <row r="2360" spans="1:3" ht="24" x14ac:dyDescent="0.3">
      <c r="A2360" s="109" t="s">
        <v>25</v>
      </c>
      <c r="B2360" s="109" t="s">
        <v>89</v>
      </c>
      <c r="C2360" s="109">
        <v>0</v>
      </c>
    </row>
    <row r="2361" spans="1:3" ht="24" x14ac:dyDescent="0.3">
      <c r="A2361" s="109" t="s">
        <v>25</v>
      </c>
      <c r="B2361" s="109" t="s">
        <v>90</v>
      </c>
      <c r="C2361" s="109">
        <v>0</v>
      </c>
    </row>
    <row r="2362" spans="1:3" ht="24" x14ac:dyDescent="0.3">
      <c r="A2362" s="109" t="s">
        <v>25</v>
      </c>
      <c r="B2362" s="109" t="s">
        <v>92</v>
      </c>
      <c r="C2362" s="109">
        <v>300</v>
      </c>
    </row>
    <row r="2363" spans="1:3" ht="24" x14ac:dyDescent="0.3">
      <c r="A2363" s="109" t="s">
        <v>25</v>
      </c>
      <c r="B2363" s="109" t="s">
        <v>93</v>
      </c>
      <c r="C2363" s="109">
        <v>710</v>
      </c>
    </row>
    <row r="2364" spans="1:3" ht="24" x14ac:dyDescent="0.3">
      <c r="A2364" s="109" t="s">
        <v>25</v>
      </c>
      <c r="B2364" s="109" t="s">
        <v>94</v>
      </c>
      <c r="C2364" s="109">
        <v>250</v>
      </c>
    </row>
    <row r="2365" spans="1:3" ht="24" x14ac:dyDescent="0.3">
      <c r="A2365" s="109" t="s">
        <v>25</v>
      </c>
      <c r="B2365" s="109" t="s">
        <v>95</v>
      </c>
      <c r="C2365" s="109">
        <v>330</v>
      </c>
    </row>
    <row r="2366" spans="1:3" ht="24" x14ac:dyDescent="0.3">
      <c r="A2366" s="109" t="s">
        <v>25</v>
      </c>
      <c r="B2366" s="109" t="s">
        <v>96</v>
      </c>
      <c r="C2366" s="109">
        <v>250</v>
      </c>
    </row>
    <row r="2367" spans="1:3" ht="24" x14ac:dyDescent="0.3">
      <c r="A2367" s="109" t="s">
        <v>25</v>
      </c>
      <c r="B2367" s="109" t="s">
        <v>97</v>
      </c>
      <c r="C2367" s="109">
        <v>630</v>
      </c>
    </row>
    <row r="2368" spans="1:3" ht="24" x14ac:dyDescent="0.3">
      <c r="A2368" s="109" t="s">
        <v>25</v>
      </c>
      <c r="B2368" s="109" t="s">
        <v>98</v>
      </c>
      <c r="C2368" s="109">
        <v>1300</v>
      </c>
    </row>
    <row r="2369" spans="1:3" ht="24" x14ac:dyDescent="0.3">
      <c r="A2369" s="109" t="s">
        <v>25</v>
      </c>
      <c r="B2369" s="109" t="s">
        <v>99</v>
      </c>
      <c r="C2369" s="109">
        <v>14</v>
      </c>
    </row>
    <row r="2370" spans="1:3" ht="24" x14ac:dyDescent="0.3">
      <c r="A2370" s="109" t="s">
        <v>25</v>
      </c>
      <c r="B2370" s="109" t="s">
        <v>100</v>
      </c>
      <c r="C2370" s="109">
        <v>14</v>
      </c>
    </row>
    <row r="2371" spans="1:3" ht="24" x14ac:dyDescent="0.3">
      <c r="A2371" s="109" t="s">
        <v>25</v>
      </c>
      <c r="B2371" s="109" t="s">
        <v>101</v>
      </c>
      <c r="C2371" s="109">
        <v>3600</v>
      </c>
    </row>
    <row r="2372" spans="1:3" ht="24" x14ac:dyDescent="0.3">
      <c r="A2372" s="109" t="s">
        <v>25</v>
      </c>
      <c r="B2372" s="109" t="s">
        <v>102</v>
      </c>
      <c r="C2372" s="109">
        <v>900</v>
      </c>
    </row>
    <row r="2373" spans="1:3" ht="24" x14ac:dyDescent="0.3">
      <c r="A2373" s="109" t="s">
        <v>25</v>
      </c>
      <c r="B2373" s="109" t="s">
        <v>103</v>
      </c>
      <c r="C2373" s="109">
        <v>360</v>
      </c>
    </row>
    <row r="2374" spans="1:3" ht="24" x14ac:dyDescent="0.3">
      <c r="A2374" s="109" t="s">
        <v>25</v>
      </c>
      <c r="B2374" s="109" t="s">
        <v>104</v>
      </c>
      <c r="C2374" s="109">
        <v>550</v>
      </c>
    </row>
    <row r="2375" spans="1:3" ht="24" x14ac:dyDescent="0.3">
      <c r="A2375" s="109" t="s">
        <v>25</v>
      </c>
      <c r="B2375" s="109" t="s">
        <v>105</v>
      </c>
      <c r="C2375" s="109">
        <v>0</v>
      </c>
    </row>
    <row r="2376" spans="1:3" ht="24" x14ac:dyDescent="0.3">
      <c r="A2376" s="109" t="s">
        <v>25</v>
      </c>
      <c r="B2376" s="109" t="s">
        <v>106</v>
      </c>
      <c r="C2376" s="109">
        <v>330</v>
      </c>
    </row>
    <row r="2377" spans="1:3" ht="24" x14ac:dyDescent="0.3">
      <c r="A2377" s="109" t="s">
        <v>25</v>
      </c>
      <c r="B2377" s="109" t="s">
        <v>107</v>
      </c>
      <c r="C2377" s="109">
        <v>166.66666666666669</v>
      </c>
    </row>
    <row r="2378" spans="1:3" ht="24" x14ac:dyDescent="0.3">
      <c r="A2378" s="109" t="s">
        <v>25</v>
      </c>
      <c r="B2378" s="109" t="s">
        <v>108</v>
      </c>
      <c r="C2378" s="109">
        <v>700</v>
      </c>
    </row>
    <row r="2379" spans="1:3" ht="24" x14ac:dyDescent="0.3">
      <c r="A2379" s="109" t="s">
        <v>25</v>
      </c>
      <c r="B2379" s="109" t="s">
        <v>109</v>
      </c>
      <c r="C2379" s="109">
        <v>0</v>
      </c>
    </row>
    <row r="2380" spans="1:3" ht="24" x14ac:dyDescent="0.3">
      <c r="A2380" s="109" t="s">
        <v>25</v>
      </c>
      <c r="B2380" s="109" t="s">
        <v>110</v>
      </c>
      <c r="C2380" s="109">
        <v>2200</v>
      </c>
    </row>
    <row r="2381" spans="1:3" ht="24" x14ac:dyDescent="0.3">
      <c r="A2381" s="109" t="s">
        <v>25</v>
      </c>
      <c r="B2381" s="109" t="s">
        <v>111</v>
      </c>
      <c r="C2381" s="109">
        <v>0</v>
      </c>
    </row>
    <row r="2382" spans="1:3" ht="24" x14ac:dyDescent="0.3">
      <c r="A2382" s="109" t="s">
        <v>25</v>
      </c>
      <c r="B2382" s="109" t="s">
        <v>112</v>
      </c>
      <c r="C2382" s="109">
        <v>0</v>
      </c>
    </row>
    <row r="2383" spans="1:3" ht="24" x14ac:dyDescent="0.3">
      <c r="A2383" s="109" t="s">
        <v>25</v>
      </c>
      <c r="B2383" s="109" t="s">
        <v>113</v>
      </c>
      <c r="C2383" s="109">
        <v>0</v>
      </c>
    </row>
    <row r="2384" spans="1:3" ht="24" x14ac:dyDescent="0.3">
      <c r="A2384" s="109" t="s">
        <v>25</v>
      </c>
      <c r="B2384" s="109" t="s">
        <v>114</v>
      </c>
      <c r="C2384" s="109">
        <v>0</v>
      </c>
    </row>
    <row r="2385" spans="1:3" ht="24" x14ac:dyDescent="0.3">
      <c r="A2385" s="109" t="s">
        <v>25</v>
      </c>
      <c r="B2385" s="109" t="s">
        <v>115</v>
      </c>
      <c r="C2385" s="109">
        <v>0</v>
      </c>
    </row>
    <row r="2386" spans="1:3" ht="24" x14ac:dyDescent="0.3">
      <c r="A2386" s="109" t="s">
        <v>25</v>
      </c>
      <c r="B2386" s="109" t="s">
        <v>116</v>
      </c>
      <c r="C2386" s="109">
        <v>150</v>
      </c>
    </row>
    <row r="2387" spans="1:3" ht="24" x14ac:dyDescent="0.3">
      <c r="A2387" s="109" t="s">
        <v>25</v>
      </c>
      <c r="B2387" s="109" t="s">
        <v>117</v>
      </c>
      <c r="C2387" s="109">
        <v>280</v>
      </c>
    </row>
    <row r="2388" spans="1:3" ht="24" x14ac:dyDescent="0.3">
      <c r="A2388" s="109" t="s">
        <v>25</v>
      </c>
      <c r="B2388" s="109" t="s">
        <v>118</v>
      </c>
      <c r="C2388" s="109">
        <v>20.833333333333332</v>
      </c>
    </row>
    <row r="2389" spans="1:3" ht="24" x14ac:dyDescent="0.3">
      <c r="A2389" s="109" t="s">
        <v>25</v>
      </c>
      <c r="B2389" s="109" t="s">
        <v>120</v>
      </c>
      <c r="C2389" s="109">
        <v>150</v>
      </c>
    </row>
    <row r="2390" spans="1:3" ht="24" x14ac:dyDescent="0.3">
      <c r="A2390" s="109" t="s">
        <v>25</v>
      </c>
      <c r="B2390" s="109" t="s">
        <v>121</v>
      </c>
      <c r="C2390" s="109">
        <v>42</v>
      </c>
    </row>
    <row r="2391" spans="1:3" ht="24" x14ac:dyDescent="0.3">
      <c r="A2391" s="109" t="s">
        <v>25</v>
      </c>
      <c r="B2391" s="109" t="s">
        <v>122</v>
      </c>
      <c r="C2391" s="109">
        <v>140</v>
      </c>
    </row>
    <row r="2392" spans="1:3" ht="24" x14ac:dyDescent="0.3">
      <c r="A2392" s="109" t="s">
        <v>25</v>
      </c>
      <c r="B2392" s="109" t="s">
        <v>123</v>
      </c>
      <c r="C2392" s="109">
        <v>0</v>
      </c>
    </row>
    <row r="2393" spans="1:3" ht="24" x14ac:dyDescent="0.3">
      <c r="A2393" s="109" t="s">
        <v>25</v>
      </c>
      <c r="B2393" s="109" t="s">
        <v>124</v>
      </c>
      <c r="C2393" s="109">
        <v>0</v>
      </c>
    </row>
    <row r="2394" spans="1:3" ht="24" x14ac:dyDescent="0.3">
      <c r="A2394" s="109" t="s">
        <v>25</v>
      </c>
      <c r="B2394" s="109" t="s">
        <v>125</v>
      </c>
      <c r="C2394" s="109">
        <v>200</v>
      </c>
    </row>
    <row r="2395" spans="1:3" ht="24" x14ac:dyDescent="0.3">
      <c r="A2395" s="109" t="s">
        <v>25</v>
      </c>
      <c r="B2395" s="109" t="s">
        <v>126</v>
      </c>
      <c r="C2395" s="109">
        <v>0</v>
      </c>
    </row>
    <row r="2396" spans="1:3" ht="24" x14ac:dyDescent="0.3">
      <c r="A2396" s="109" t="s">
        <v>3</v>
      </c>
      <c r="B2396" s="109" t="s">
        <v>206</v>
      </c>
      <c r="C2396" s="109" t="s">
        <v>59</v>
      </c>
    </row>
    <row r="2397" spans="1:3" ht="24" x14ac:dyDescent="0.3">
      <c r="A2397" s="109" t="s">
        <v>3</v>
      </c>
      <c r="B2397" s="109" t="s">
        <v>62</v>
      </c>
      <c r="C2397" s="109">
        <v>36</v>
      </c>
    </row>
    <row r="2398" spans="1:3" ht="24" x14ac:dyDescent="0.3">
      <c r="A2398" s="109" t="s">
        <v>3</v>
      </c>
      <c r="B2398" s="109" t="s">
        <v>63</v>
      </c>
      <c r="C2398" s="109">
        <v>40</v>
      </c>
    </row>
    <row r="2399" spans="1:3" ht="24" x14ac:dyDescent="0.3">
      <c r="A2399" s="109" t="s">
        <v>3</v>
      </c>
      <c r="B2399" s="109" t="s">
        <v>64</v>
      </c>
      <c r="C2399" s="109">
        <v>40</v>
      </c>
    </row>
    <row r="2400" spans="1:3" ht="24" x14ac:dyDescent="0.3">
      <c r="A2400" s="109" t="s">
        <v>3</v>
      </c>
      <c r="B2400" s="109" t="s">
        <v>65</v>
      </c>
      <c r="C2400" s="109">
        <v>0</v>
      </c>
    </row>
    <row r="2401" spans="1:3" ht="24" x14ac:dyDescent="0.3">
      <c r="A2401" s="109" t="s">
        <v>3</v>
      </c>
      <c r="B2401" s="109" t="s">
        <v>66</v>
      </c>
      <c r="C2401" s="109">
        <v>55</v>
      </c>
    </row>
    <row r="2402" spans="1:3" ht="24" x14ac:dyDescent="0.3">
      <c r="A2402" s="109" t="s">
        <v>3</v>
      </c>
      <c r="B2402" s="109" t="s">
        <v>67</v>
      </c>
      <c r="C2402" s="109">
        <v>0</v>
      </c>
    </row>
    <row r="2403" spans="1:3" ht="24" x14ac:dyDescent="0.3">
      <c r="A2403" s="109" t="s">
        <v>3</v>
      </c>
      <c r="B2403" s="109" t="s">
        <v>68</v>
      </c>
      <c r="C2403" s="109">
        <v>25</v>
      </c>
    </row>
    <row r="2404" spans="1:3" ht="24" x14ac:dyDescent="0.3">
      <c r="A2404" s="109" t="s">
        <v>3</v>
      </c>
      <c r="B2404" s="109" t="s">
        <v>69</v>
      </c>
      <c r="C2404" s="109">
        <v>90</v>
      </c>
    </row>
    <row r="2405" spans="1:3" ht="24" x14ac:dyDescent="0.3">
      <c r="A2405" s="109" t="s">
        <v>3</v>
      </c>
      <c r="B2405" s="109" t="s">
        <v>70</v>
      </c>
      <c r="C2405" s="109">
        <v>70</v>
      </c>
    </row>
    <row r="2406" spans="1:3" ht="24" x14ac:dyDescent="0.3">
      <c r="A2406" s="109" t="s">
        <v>3</v>
      </c>
      <c r="B2406" s="109" t="s">
        <v>71</v>
      </c>
      <c r="C2406" s="109">
        <v>70</v>
      </c>
    </row>
    <row r="2407" spans="1:3" ht="24" x14ac:dyDescent="0.3">
      <c r="A2407" s="109" t="s">
        <v>3</v>
      </c>
      <c r="B2407" s="109" t="s">
        <v>72</v>
      </c>
      <c r="C2407" s="109">
        <v>0</v>
      </c>
    </row>
    <row r="2408" spans="1:3" ht="24" x14ac:dyDescent="0.3">
      <c r="A2408" s="109" t="s">
        <v>3</v>
      </c>
      <c r="B2408" s="109" t="s">
        <v>73</v>
      </c>
      <c r="C2408" s="109">
        <v>0</v>
      </c>
    </row>
    <row r="2409" spans="1:3" ht="24" x14ac:dyDescent="0.3">
      <c r="A2409" s="109" t="s">
        <v>3</v>
      </c>
      <c r="B2409" s="109" t="s">
        <v>74</v>
      </c>
      <c r="C2409" s="109">
        <v>630</v>
      </c>
    </row>
    <row r="2410" spans="1:3" ht="24" x14ac:dyDescent="0.3">
      <c r="A2410" s="109" t="s">
        <v>3</v>
      </c>
      <c r="B2410" s="109" t="s">
        <v>75</v>
      </c>
      <c r="C2410" s="109">
        <v>0</v>
      </c>
    </row>
    <row r="2411" spans="1:3" ht="24" x14ac:dyDescent="0.3">
      <c r="A2411" s="109" t="s">
        <v>3</v>
      </c>
      <c r="B2411" s="109" t="s">
        <v>76</v>
      </c>
      <c r="C2411" s="109">
        <v>630</v>
      </c>
    </row>
    <row r="2412" spans="1:3" ht="24" x14ac:dyDescent="0.3">
      <c r="A2412" s="109" t="s">
        <v>3</v>
      </c>
      <c r="B2412" s="109" t="s">
        <v>77</v>
      </c>
      <c r="C2412" s="109">
        <v>0</v>
      </c>
    </row>
    <row r="2413" spans="1:3" ht="24" x14ac:dyDescent="0.3">
      <c r="A2413" s="109" t="s">
        <v>3</v>
      </c>
      <c r="B2413" s="109" t="s">
        <v>78</v>
      </c>
      <c r="C2413" s="109">
        <v>48</v>
      </c>
    </row>
    <row r="2414" spans="1:3" ht="24" x14ac:dyDescent="0.3">
      <c r="A2414" s="109" t="s">
        <v>3</v>
      </c>
      <c r="B2414" s="109" t="s">
        <v>79</v>
      </c>
      <c r="C2414" s="109">
        <v>170</v>
      </c>
    </row>
    <row r="2415" spans="1:3" ht="24" x14ac:dyDescent="0.3">
      <c r="A2415" s="109" t="s">
        <v>3</v>
      </c>
      <c r="B2415" s="109" t="s">
        <v>80</v>
      </c>
      <c r="C2415" s="109">
        <v>60</v>
      </c>
    </row>
    <row r="2416" spans="1:3" ht="24" x14ac:dyDescent="0.3">
      <c r="A2416" s="109" t="s">
        <v>3</v>
      </c>
      <c r="B2416" s="109" t="s">
        <v>81</v>
      </c>
      <c r="C2416" s="109">
        <v>0</v>
      </c>
    </row>
    <row r="2417" spans="1:3" ht="24" x14ac:dyDescent="0.3">
      <c r="A2417" s="109" t="s">
        <v>3</v>
      </c>
      <c r="B2417" s="109" t="s">
        <v>83</v>
      </c>
      <c r="C2417" s="109">
        <v>90</v>
      </c>
    </row>
    <row r="2418" spans="1:3" ht="24" x14ac:dyDescent="0.3">
      <c r="A2418" s="109" t="s">
        <v>3</v>
      </c>
      <c r="B2418" s="109" t="s">
        <v>84</v>
      </c>
      <c r="C2418" s="109">
        <v>120</v>
      </c>
    </row>
    <row r="2419" spans="1:3" ht="24" x14ac:dyDescent="0.3">
      <c r="A2419" s="109" t="s">
        <v>3</v>
      </c>
      <c r="B2419" s="109" t="s">
        <v>85</v>
      </c>
      <c r="C2419" s="109">
        <v>0</v>
      </c>
    </row>
    <row r="2420" spans="1:3" ht="24" x14ac:dyDescent="0.3">
      <c r="A2420" s="109" t="s">
        <v>3</v>
      </c>
      <c r="B2420" s="109" t="s">
        <v>86</v>
      </c>
      <c r="C2420" s="109">
        <v>41</v>
      </c>
    </row>
    <row r="2421" spans="1:3" ht="24" x14ac:dyDescent="0.3">
      <c r="A2421" s="109" t="s">
        <v>3</v>
      </c>
      <c r="B2421" s="109" t="s">
        <v>87</v>
      </c>
      <c r="C2421" s="109">
        <v>485</v>
      </c>
    </row>
    <row r="2422" spans="1:3" ht="24" x14ac:dyDescent="0.3">
      <c r="A2422" s="109" t="s">
        <v>3</v>
      </c>
      <c r="B2422" s="109" t="s">
        <v>88</v>
      </c>
      <c r="C2422" s="109">
        <v>197</v>
      </c>
    </row>
    <row r="2423" spans="1:3" ht="24" x14ac:dyDescent="0.3">
      <c r="A2423" s="109" t="s">
        <v>3</v>
      </c>
      <c r="B2423" s="109" t="s">
        <v>89</v>
      </c>
      <c r="C2423" s="109">
        <v>0</v>
      </c>
    </row>
    <row r="2424" spans="1:3" ht="24" x14ac:dyDescent="0.3">
      <c r="A2424" s="109" t="s">
        <v>3</v>
      </c>
      <c r="B2424" s="109" t="s">
        <v>90</v>
      </c>
      <c r="C2424" s="109">
        <v>132</v>
      </c>
    </row>
    <row r="2425" spans="1:3" ht="24" x14ac:dyDescent="0.3">
      <c r="A2425" s="109" t="s">
        <v>3</v>
      </c>
      <c r="B2425" s="109" t="s">
        <v>92</v>
      </c>
      <c r="C2425" s="109">
        <v>300</v>
      </c>
    </row>
    <row r="2426" spans="1:3" ht="24" x14ac:dyDescent="0.3">
      <c r="A2426" s="109" t="s">
        <v>3</v>
      </c>
      <c r="B2426" s="109" t="s">
        <v>93</v>
      </c>
      <c r="C2426" s="109">
        <v>750</v>
      </c>
    </row>
    <row r="2427" spans="1:3" ht="24" x14ac:dyDescent="0.3">
      <c r="A2427" s="109" t="s">
        <v>3</v>
      </c>
      <c r="B2427" s="109" t="s">
        <v>94</v>
      </c>
      <c r="C2427" s="109">
        <v>0</v>
      </c>
    </row>
    <row r="2428" spans="1:3" ht="24" x14ac:dyDescent="0.3">
      <c r="A2428" s="109" t="s">
        <v>3</v>
      </c>
      <c r="B2428" s="109" t="s">
        <v>95</v>
      </c>
      <c r="C2428" s="109">
        <v>280</v>
      </c>
    </row>
    <row r="2429" spans="1:3" ht="24" x14ac:dyDescent="0.3">
      <c r="A2429" s="109" t="s">
        <v>3</v>
      </c>
      <c r="B2429" s="109" t="s">
        <v>96</v>
      </c>
      <c r="C2429" s="109">
        <v>280</v>
      </c>
    </row>
    <row r="2430" spans="1:3" ht="24" x14ac:dyDescent="0.3">
      <c r="A2430" s="109" t="s">
        <v>3</v>
      </c>
      <c r="B2430" s="109" t="s">
        <v>97</v>
      </c>
      <c r="C2430" s="109">
        <v>630</v>
      </c>
    </row>
    <row r="2431" spans="1:3" ht="24" x14ac:dyDescent="0.3">
      <c r="A2431" s="109" t="s">
        <v>3</v>
      </c>
      <c r="B2431" s="109" t="s">
        <v>98</v>
      </c>
      <c r="C2431" s="109">
        <v>1300</v>
      </c>
    </row>
    <row r="2432" spans="1:3" ht="24" x14ac:dyDescent="0.3">
      <c r="A2432" s="109" t="s">
        <v>3</v>
      </c>
      <c r="B2432" s="109" t="s">
        <v>99</v>
      </c>
      <c r="C2432" s="109">
        <v>0</v>
      </c>
    </row>
    <row r="2433" spans="1:3" ht="24" x14ac:dyDescent="0.3">
      <c r="A2433" s="109" t="s">
        <v>3</v>
      </c>
      <c r="B2433" s="109" t="s">
        <v>100</v>
      </c>
      <c r="C2433" s="109">
        <v>14</v>
      </c>
    </row>
    <row r="2434" spans="1:3" ht="24" x14ac:dyDescent="0.3">
      <c r="A2434" s="109" t="s">
        <v>3</v>
      </c>
      <c r="B2434" s="109" t="s">
        <v>101</v>
      </c>
      <c r="C2434" s="109">
        <v>3540</v>
      </c>
    </row>
    <row r="2435" spans="1:3" ht="24" x14ac:dyDescent="0.3">
      <c r="A2435" s="109" t="s">
        <v>3</v>
      </c>
      <c r="B2435" s="109" t="s">
        <v>102</v>
      </c>
      <c r="C2435" s="109">
        <v>1000</v>
      </c>
    </row>
    <row r="2436" spans="1:3" ht="24" x14ac:dyDescent="0.3">
      <c r="A2436" s="109" t="s">
        <v>3</v>
      </c>
      <c r="B2436" s="109" t="s">
        <v>103</v>
      </c>
      <c r="C2436" s="109">
        <v>0</v>
      </c>
    </row>
    <row r="2437" spans="1:3" ht="24" x14ac:dyDescent="0.3">
      <c r="A2437" s="109" t="s">
        <v>3</v>
      </c>
      <c r="B2437" s="109" t="s">
        <v>104</v>
      </c>
      <c r="C2437" s="109">
        <v>0</v>
      </c>
    </row>
    <row r="2438" spans="1:3" ht="24" x14ac:dyDescent="0.3">
      <c r="A2438" s="109" t="s">
        <v>3</v>
      </c>
      <c r="B2438" s="109" t="s">
        <v>105</v>
      </c>
      <c r="C2438" s="109">
        <v>0</v>
      </c>
    </row>
    <row r="2439" spans="1:3" ht="24" x14ac:dyDescent="0.3">
      <c r="A2439" s="109" t="s">
        <v>3</v>
      </c>
      <c r="B2439" s="109" t="s">
        <v>106</v>
      </c>
      <c r="C2439" s="109">
        <v>283.33333333333337</v>
      </c>
    </row>
    <row r="2440" spans="1:3" ht="24" x14ac:dyDescent="0.3">
      <c r="A2440" s="109" t="s">
        <v>3</v>
      </c>
      <c r="B2440" s="109" t="s">
        <v>107</v>
      </c>
      <c r="C2440" s="109">
        <v>0</v>
      </c>
    </row>
    <row r="2441" spans="1:3" ht="24" x14ac:dyDescent="0.3">
      <c r="A2441" s="109" t="s">
        <v>3</v>
      </c>
      <c r="B2441" s="109" t="s">
        <v>108</v>
      </c>
      <c r="C2441" s="109">
        <v>0</v>
      </c>
    </row>
    <row r="2442" spans="1:3" ht="24" x14ac:dyDescent="0.3">
      <c r="A2442" s="109" t="s">
        <v>3</v>
      </c>
      <c r="B2442" s="109" t="s">
        <v>109</v>
      </c>
      <c r="C2442" s="109">
        <v>0</v>
      </c>
    </row>
    <row r="2443" spans="1:3" ht="24" x14ac:dyDescent="0.3">
      <c r="A2443" s="109" t="s">
        <v>3</v>
      </c>
      <c r="B2443" s="109" t="s">
        <v>110</v>
      </c>
      <c r="C2443" s="109">
        <v>0</v>
      </c>
    </row>
    <row r="2444" spans="1:3" ht="24" x14ac:dyDescent="0.3">
      <c r="A2444" s="109" t="s">
        <v>3</v>
      </c>
      <c r="B2444" s="109" t="s">
        <v>111</v>
      </c>
      <c r="C2444" s="109">
        <v>0</v>
      </c>
    </row>
    <row r="2445" spans="1:3" ht="24" x14ac:dyDescent="0.3">
      <c r="A2445" s="109" t="s">
        <v>3</v>
      </c>
      <c r="B2445" s="109" t="s">
        <v>112</v>
      </c>
      <c r="C2445" s="109">
        <v>0</v>
      </c>
    </row>
    <row r="2446" spans="1:3" ht="24" x14ac:dyDescent="0.3">
      <c r="A2446" s="109" t="s">
        <v>3</v>
      </c>
      <c r="B2446" s="109" t="s">
        <v>113</v>
      </c>
      <c r="C2446" s="109">
        <v>0</v>
      </c>
    </row>
    <row r="2447" spans="1:3" ht="24" x14ac:dyDescent="0.3">
      <c r="A2447" s="109" t="s">
        <v>3</v>
      </c>
      <c r="B2447" s="109" t="s">
        <v>114</v>
      </c>
      <c r="C2447" s="109">
        <v>0</v>
      </c>
    </row>
    <row r="2448" spans="1:3" ht="24" x14ac:dyDescent="0.3">
      <c r="A2448" s="109" t="s">
        <v>3</v>
      </c>
      <c r="B2448" s="109" t="s">
        <v>115</v>
      </c>
      <c r="C2448" s="109">
        <v>0</v>
      </c>
    </row>
    <row r="2449" spans="1:3" ht="24" x14ac:dyDescent="0.3">
      <c r="A2449" s="109" t="s">
        <v>3</v>
      </c>
      <c r="B2449" s="109" t="s">
        <v>116</v>
      </c>
      <c r="C2449" s="109">
        <v>0</v>
      </c>
    </row>
    <row r="2450" spans="1:3" ht="24" x14ac:dyDescent="0.3">
      <c r="A2450" s="109" t="s">
        <v>3</v>
      </c>
      <c r="B2450" s="109" t="s">
        <v>117</v>
      </c>
      <c r="C2450" s="109">
        <v>260</v>
      </c>
    </row>
    <row r="2451" spans="1:3" ht="24" x14ac:dyDescent="0.3">
      <c r="A2451" s="109" t="s">
        <v>3</v>
      </c>
      <c r="B2451" s="109" t="s">
        <v>118</v>
      </c>
      <c r="C2451" s="109">
        <v>0</v>
      </c>
    </row>
    <row r="2452" spans="1:3" ht="24" x14ac:dyDescent="0.3">
      <c r="A2452" s="109" t="s">
        <v>3</v>
      </c>
      <c r="B2452" s="109" t="s">
        <v>120</v>
      </c>
      <c r="C2452" s="109">
        <v>0</v>
      </c>
    </row>
    <row r="2453" spans="1:3" ht="24" x14ac:dyDescent="0.3">
      <c r="A2453" s="109" t="s">
        <v>3</v>
      </c>
      <c r="B2453" s="109" t="s">
        <v>121</v>
      </c>
      <c r="C2453" s="109">
        <v>43</v>
      </c>
    </row>
    <row r="2454" spans="1:3" ht="24" x14ac:dyDescent="0.3">
      <c r="A2454" s="109" t="s">
        <v>3</v>
      </c>
      <c r="B2454" s="109" t="s">
        <v>122</v>
      </c>
      <c r="C2454" s="109">
        <v>140</v>
      </c>
    </row>
    <row r="2455" spans="1:3" ht="24" x14ac:dyDescent="0.3">
      <c r="A2455" s="109" t="s">
        <v>3</v>
      </c>
      <c r="B2455" s="109" t="s">
        <v>123</v>
      </c>
      <c r="C2455" s="109">
        <v>0</v>
      </c>
    </row>
    <row r="2456" spans="1:3" ht="24" x14ac:dyDescent="0.3">
      <c r="A2456" s="109" t="s">
        <v>3</v>
      </c>
      <c r="B2456" s="109" t="s">
        <v>124</v>
      </c>
      <c r="C2456" s="109">
        <v>160</v>
      </c>
    </row>
    <row r="2457" spans="1:3" ht="24" x14ac:dyDescent="0.3">
      <c r="A2457" s="109" t="s">
        <v>3</v>
      </c>
      <c r="B2457" s="109" t="s">
        <v>125</v>
      </c>
      <c r="C2457" s="109">
        <v>180</v>
      </c>
    </row>
    <row r="2458" spans="1:3" ht="24" x14ac:dyDescent="0.3">
      <c r="A2458" s="109" t="s">
        <v>3</v>
      </c>
      <c r="B2458" s="109" t="s">
        <v>126</v>
      </c>
      <c r="C2458" s="109">
        <v>5.75</v>
      </c>
    </row>
    <row r="2459" spans="1:3" ht="24" x14ac:dyDescent="0.3">
      <c r="A2459" s="109" t="s">
        <v>4</v>
      </c>
      <c r="B2459" s="109" t="s">
        <v>206</v>
      </c>
      <c r="C2459" s="109" t="s">
        <v>59</v>
      </c>
    </row>
    <row r="2460" spans="1:3" ht="24" x14ac:dyDescent="0.3">
      <c r="A2460" s="109" t="s">
        <v>4</v>
      </c>
      <c r="B2460" s="109" t="s">
        <v>62</v>
      </c>
      <c r="C2460" s="109">
        <v>36</v>
      </c>
    </row>
    <row r="2461" spans="1:3" ht="24" x14ac:dyDescent="0.3">
      <c r="A2461" s="109" t="s">
        <v>4</v>
      </c>
      <c r="B2461" s="109" t="s">
        <v>63</v>
      </c>
      <c r="C2461" s="109">
        <v>40</v>
      </c>
    </row>
    <row r="2462" spans="1:3" ht="24" x14ac:dyDescent="0.3">
      <c r="A2462" s="109" t="s">
        <v>4</v>
      </c>
      <c r="B2462" s="109" t="s">
        <v>64</v>
      </c>
      <c r="C2462" s="109">
        <v>40</v>
      </c>
    </row>
    <row r="2463" spans="1:3" ht="24" x14ac:dyDescent="0.3">
      <c r="A2463" s="109" t="s">
        <v>4</v>
      </c>
      <c r="B2463" s="109" t="s">
        <v>65</v>
      </c>
      <c r="C2463" s="109">
        <v>80</v>
      </c>
    </row>
    <row r="2464" spans="1:3" ht="24" x14ac:dyDescent="0.3">
      <c r="A2464" s="109" t="s">
        <v>4</v>
      </c>
      <c r="B2464" s="109" t="s">
        <v>66</v>
      </c>
      <c r="C2464" s="109">
        <v>55</v>
      </c>
    </row>
    <row r="2465" spans="1:3" ht="24" x14ac:dyDescent="0.3">
      <c r="A2465" s="109" t="s">
        <v>4</v>
      </c>
      <c r="B2465" s="109" t="s">
        <v>67</v>
      </c>
      <c r="C2465" s="109">
        <v>38</v>
      </c>
    </row>
    <row r="2466" spans="1:3" ht="24" x14ac:dyDescent="0.3">
      <c r="A2466" s="109" t="s">
        <v>4</v>
      </c>
      <c r="B2466" s="109" t="s">
        <v>68</v>
      </c>
      <c r="C2466" s="109">
        <v>25</v>
      </c>
    </row>
    <row r="2467" spans="1:3" ht="24" x14ac:dyDescent="0.3">
      <c r="A2467" s="109" t="s">
        <v>4</v>
      </c>
      <c r="B2467" s="109" t="s">
        <v>69</v>
      </c>
      <c r="C2467" s="109">
        <v>90</v>
      </c>
    </row>
    <row r="2468" spans="1:3" ht="24" x14ac:dyDescent="0.3">
      <c r="A2468" s="109" t="s">
        <v>4</v>
      </c>
      <c r="B2468" s="109" t="s">
        <v>70</v>
      </c>
      <c r="C2468" s="109">
        <v>70</v>
      </c>
    </row>
    <row r="2469" spans="1:3" ht="24" x14ac:dyDescent="0.3">
      <c r="A2469" s="109" t="s">
        <v>4</v>
      </c>
      <c r="B2469" s="109" t="s">
        <v>71</v>
      </c>
      <c r="C2469" s="109">
        <v>70</v>
      </c>
    </row>
    <row r="2470" spans="1:3" ht="24" x14ac:dyDescent="0.3">
      <c r="A2470" s="109" t="s">
        <v>4</v>
      </c>
      <c r="B2470" s="109" t="s">
        <v>72</v>
      </c>
      <c r="C2470" s="109">
        <v>250</v>
      </c>
    </row>
    <row r="2471" spans="1:3" ht="24" x14ac:dyDescent="0.3">
      <c r="A2471" s="109" t="s">
        <v>4</v>
      </c>
      <c r="B2471" s="109" t="s">
        <v>73</v>
      </c>
      <c r="C2471" s="109">
        <v>130</v>
      </c>
    </row>
    <row r="2472" spans="1:3" ht="24" x14ac:dyDescent="0.3">
      <c r="A2472" s="109" t="s">
        <v>4</v>
      </c>
      <c r="B2472" s="109" t="s">
        <v>74</v>
      </c>
      <c r="C2472" s="109">
        <v>630</v>
      </c>
    </row>
    <row r="2473" spans="1:3" ht="24" x14ac:dyDescent="0.3">
      <c r="A2473" s="109" t="s">
        <v>4</v>
      </c>
      <c r="B2473" s="109" t="s">
        <v>75</v>
      </c>
      <c r="C2473" s="109">
        <v>630</v>
      </c>
    </row>
    <row r="2474" spans="1:3" ht="24" x14ac:dyDescent="0.3">
      <c r="A2474" s="109" t="s">
        <v>4</v>
      </c>
      <c r="B2474" s="109" t="s">
        <v>76</v>
      </c>
      <c r="C2474" s="109">
        <v>0</v>
      </c>
    </row>
    <row r="2475" spans="1:3" ht="24" x14ac:dyDescent="0.3">
      <c r="A2475" s="109" t="s">
        <v>4</v>
      </c>
      <c r="B2475" s="109" t="s">
        <v>77</v>
      </c>
      <c r="C2475" s="109">
        <v>550</v>
      </c>
    </row>
    <row r="2476" spans="1:3" ht="24" x14ac:dyDescent="0.3">
      <c r="A2476" s="109" t="s">
        <v>4</v>
      </c>
      <c r="B2476" s="109" t="s">
        <v>78</v>
      </c>
      <c r="C2476" s="109">
        <v>47</v>
      </c>
    </row>
    <row r="2477" spans="1:3" ht="24" x14ac:dyDescent="0.3">
      <c r="A2477" s="109" t="s">
        <v>4</v>
      </c>
      <c r="B2477" s="109" t="s">
        <v>79</v>
      </c>
      <c r="C2477" s="109">
        <v>170</v>
      </c>
    </row>
    <row r="2478" spans="1:3" ht="24" x14ac:dyDescent="0.3">
      <c r="A2478" s="109" t="s">
        <v>4</v>
      </c>
      <c r="B2478" s="109" t="s">
        <v>80</v>
      </c>
      <c r="C2478" s="109">
        <v>60</v>
      </c>
    </row>
    <row r="2479" spans="1:3" ht="24" x14ac:dyDescent="0.3">
      <c r="A2479" s="109" t="s">
        <v>4</v>
      </c>
      <c r="B2479" s="109" t="s">
        <v>81</v>
      </c>
      <c r="C2479" s="109">
        <v>60</v>
      </c>
    </row>
    <row r="2480" spans="1:3" ht="24" x14ac:dyDescent="0.3">
      <c r="A2480" s="109" t="s">
        <v>4</v>
      </c>
      <c r="B2480" s="109" t="s">
        <v>83</v>
      </c>
      <c r="C2480" s="109">
        <v>90</v>
      </c>
    </row>
    <row r="2481" spans="1:3" ht="24" x14ac:dyDescent="0.3">
      <c r="A2481" s="109" t="s">
        <v>4</v>
      </c>
      <c r="B2481" s="109" t="s">
        <v>84</v>
      </c>
      <c r="C2481" s="109">
        <v>113.33333333333333</v>
      </c>
    </row>
    <row r="2482" spans="1:3" ht="24" x14ac:dyDescent="0.3">
      <c r="A2482" s="109" t="s">
        <v>4</v>
      </c>
      <c r="B2482" s="109" t="s">
        <v>85</v>
      </c>
      <c r="C2482" s="109">
        <v>42</v>
      </c>
    </row>
    <row r="2483" spans="1:3" ht="24" x14ac:dyDescent="0.3">
      <c r="A2483" s="109" t="s">
        <v>4</v>
      </c>
      <c r="B2483" s="109" t="s">
        <v>86</v>
      </c>
      <c r="C2483" s="109">
        <v>42</v>
      </c>
    </row>
    <row r="2484" spans="1:3" ht="24" x14ac:dyDescent="0.3">
      <c r="A2484" s="109" t="s">
        <v>4</v>
      </c>
      <c r="B2484" s="109" t="s">
        <v>87</v>
      </c>
      <c r="C2484" s="109">
        <v>485</v>
      </c>
    </row>
    <row r="2485" spans="1:3" ht="24" x14ac:dyDescent="0.3">
      <c r="A2485" s="109" t="s">
        <v>4</v>
      </c>
      <c r="B2485" s="109" t="s">
        <v>88</v>
      </c>
      <c r="C2485" s="109">
        <v>197</v>
      </c>
    </row>
    <row r="2486" spans="1:3" ht="24" x14ac:dyDescent="0.3">
      <c r="A2486" s="109" t="s">
        <v>4</v>
      </c>
      <c r="B2486" s="109" t="s">
        <v>89</v>
      </c>
      <c r="C2486" s="109">
        <v>0</v>
      </c>
    </row>
    <row r="2487" spans="1:3" ht="24" x14ac:dyDescent="0.3">
      <c r="A2487" s="109" t="s">
        <v>4</v>
      </c>
      <c r="B2487" s="109" t="s">
        <v>90</v>
      </c>
      <c r="C2487" s="109">
        <v>132</v>
      </c>
    </row>
    <row r="2488" spans="1:3" ht="24" x14ac:dyDescent="0.3">
      <c r="A2488" s="109" t="s">
        <v>4</v>
      </c>
      <c r="B2488" s="109" t="s">
        <v>92</v>
      </c>
      <c r="C2488" s="109">
        <v>0</v>
      </c>
    </row>
    <row r="2489" spans="1:3" ht="24" x14ac:dyDescent="0.3">
      <c r="A2489" s="109" t="s">
        <v>4</v>
      </c>
      <c r="B2489" s="109" t="s">
        <v>93</v>
      </c>
      <c r="C2489" s="109">
        <v>740</v>
      </c>
    </row>
    <row r="2490" spans="1:3" ht="24" x14ac:dyDescent="0.3">
      <c r="A2490" s="109" t="s">
        <v>4</v>
      </c>
      <c r="B2490" s="109" t="s">
        <v>94</v>
      </c>
      <c r="C2490" s="109">
        <v>250</v>
      </c>
    </row>
    <row r="2491" spans="1:3" ht="24" x14ac:dyDescent="0.3">
      <c r="A2491" s="109" t="s">
        <v>4</v>
      </c>
      <c r="B2491" s="109" t="s">
        <v>95</v>
      </c>
      <c r="C2491" s="109">
        <v>375</v>
      </c>
    </row>
    <row r="2492" spans="1:3" ht="24" x14ac:dyDescent="0.3">
      <c r="A2492" s="109" t="s">
        <v>4</v>
      </c>
      <c r="B2492" s="109" t="s">
        <v>96</v>
      </c>
      <c r="C2492" s="109">
        <v>240</v>
      </c>
    </row>
    <row r="2493" spans="1:3" ht="24" x14ac:dyDescent="0.3">
      <c r="A2493" s="109" t="s">
        <v>4</v>
      </c>
      <c r="B2493" s="109" t="s">
        <v>97</v>
      </c>
      <c r="C2493" s="109">
        <v>630</v>
      </c>
    </row>
    <row r="2494" spans="1:3" ht="24" x14ac:dyDescent="0.3">
      <c r="A2494" s="109" t="s">
        <v>4</v>
      </c>
      <c r="B2494" s="109" t="s">
        <v>98</v>
      </c>
      <c r="C2494" s="109">
        <v>1500</v>
      </c>
    </row>
    <row r="2495" spans="1:3" ht="24" x14ac:dyDescent="0.3">
      <c r="A2495" s="109" t="s">
        <v>4</v>
      </c>
      <c r="B2495" s="109" t="s">
        <v>99</v>
      </c>
      <c r="C2495" s="109">
        <v>15</v>
      </c>
    </row>
    <row r="2496" spans="1:3" ht="24" x14ac:dyDescent="0.3">
      <c r="A2496" s="109" t="s">
        <v>4</v>
      </c>
      <c r="B2496" s="109" t="s">
        <v>100</v>
      </c>
      <c r="C2496" s="109">
        <v>14</v>
      </c>
    </row>
    <row r="2497" spans="1:3" ht="24" x14ac:dyDescent="0.3">
      <c r="A2497" s="109" t="s">
        <v>4</v>
      </c>
      <c r="B2497" s="109" t="s">
        <v>101</v>
      </c>
      <c r="C2497" s="109">
        <v>2400</v>
      </c>
    </row>
    <row r="2498" spans="1:3" ht="24" x14ac:dyDescent="0.3">
      <c r="A2498" s="109" t="s">
        <v>4</v>
      </c>
      <c r="B2498" s="109" t="s">
        <v>102</v>
      </c>
      <c r="C2498" s="109">
        <v>1000</v>
      </c>
    </row>
    <row r="2499" spans="1:3" ht="24" x14ac:dyDescent="0.3">
      <c r="A2499" s="109" t="s">
        <v>4</v>
      </c>
      <c r="B2499" s="109" t="s">
        <v>103</v>
      </c>
      <c r="C2499" s="109">
        <v>300</v>
      </c>
    </row>
    <row r="2500" spans="1:3" ht="24" x14ac:dyDescent="0.3">
      <c r="A2500" s="109" t="s">
        <v>4</v>
      </c>
      <c r="B2500" s="109" t="s">
        <v>104</v>
      </c>
      <c r="C2500" s="109">
        <v>850</v>
      </c>
    </row>
    <row r="2501" spans="1:3" ht="24" x14ac:dyDescent="0.3">
      <c r="A2501" s="109" t="s">
        <v>4</v>
      </c>
      <c r="B2501" s="109" t="s">
        <v>105</v>
      </c>
      <c r="C2501" s="109">
        <v>0</v>
      </c>
    </row>
    <row r="2502" spans="1:3" ht="24" x14ac:dyDescent="0.3">
      <c r="A2502" s="109" t="s">
        <v>4</v>
      </c>
      <c r="B2502" s="109" t="s">
        <v>106</v>
      </c>
      <c r="C2502" s="109">
        <v>358.33333333333337</v>
      </c>
    </row>
    <row r="2503" spans="1:3" ht="24" x14ac:dyDescent="0.3">
      <c r="A2503" s="109" t="s">
        <v>4</v>
      </c>
      <c r="B2503" s="109" t="s">
        <v>107</v>
      </c>
      <c r="C2503" s="109">
        <v>0</v>
      </c>
    </row>
    <row r="2504" spans="1:3" ht="24" x14ac:dyDescent="0.3">
      <c r="A2504" s="109" t="s">
        <v>4</v>
      </c>
      <c r="B2504" s="109" t="s">
        <v>108</v>
      </c>
      <c r="C2504" s="109">
        <v>350</v>
      </c>
    </row>
    <row r="2505" spans="1:3" ht="24" x14ac:dyDescent="0.3">
      <c r="A2505" s="109" t="s">
        <v>4</v>
      </c>
      <c r="B2505" s="109" t="s">
        <v>109</v>
      </c>
      <c r="C2505" s="109">
        <v>0</v>
      </c>
    </row>
    <row r="2506" spans="1:3" ht="24" x14ac:dyDescent="0.3">
      <c r="A2506" s="109" t="s">
        <v>4</v>
      </c>
      <c r="B2506" s="109" t="s">
        <v>110</v>
      </c>
      <c r="C2506" s="109">
        <v>2550</v>
      </c>
    </row>
    <row r="2507" spans="1:3" ht="24" x14ac:dyDescent="0.3">
      <c r="A2507" s="109" t="s">
        <v>4</v>
      </c>
      <c r="B2507" s="109" t="s">
        <v>111</v>
      </c>
      <c r="C2507" s="109">
        <v>0</v>
      </c>
    </row>
    <row r="2508" spans="1:3" ht="24" x14ac:dyDescent="0.3">
      <c r="A2508" s="109" t="s">
        <v>4</v>
      </c>
      <c r="B2508" s="109" t="s">
        <v>112</v>
      </c>
      <c r="C2508" s="109">
        <v>0</v>
      </c>
    </row>
    <row r="2509" spans="1:3" ht="24" x14ac:dyDescent="0.3">
      <c r="A2509" s="109" t="s">
        <v>4</v>
      </c>
      <c r="B2509" s="109" t="s">
        <v>113</v>
      </c>
      <c r="C2509" s="109">
        <v>0</v>
      </c>
    </row>
    <row r="2510" spans="1:3" ht="24" x14ac:dyDescent="0.3">
      <c r="A2510" s="109" t="s">
        <v>4</v>
      </c>
      <c r="B2510" s="109" t="s">
        <v>114</v>
      </c>
      <c r="C2510" s="109">
        <v>0</v>
      </c>
    </row>
    <row r="2511" spans="1:3" ht="24" x14ac:dyDescent="0.3">
      <c r="A2511" s="109" t="s">
        <v>4</v>
      </c>
      <c r="B2511" s="109" t="s">
        <v>115</v>
      </c>
      <c r="C2511" s="109">
        <v>0</v>
      </c>
    </row>
    <row r="2512" spans="1:3" ht="24" x14ac:dyDescent="0.3">
      <c r="A2512" s="109" t="s">
        <v>4</v>
      </c>
      <c r="B2512" s="109" t="s">
        <v>116</v>
      </c>
      <c r="C2512" s="109">
        <v>140</v>
      </c>
    </row>
    <row r="2513" spans="1:3" ht="24" x14ac:dyDescent="0.3">
      <c r="A2513" s="109" t="s">
        <v>4</v>
      </c>
      <c r="B2513" s="109" t="s">
        <v>117</v>
      </c>
      <c r="C2513" s="109">
        <v>320</v>
      </c>
    </row>
    <row r="2514" spans="1:3" ht="24" x14ac:dyDescent="0.3">
      <c r="A2514" s="109" t="s">
        <v>4</v>
      </c>
      <c r="B2514" s="109" t="s">
        <v>118</v>
      </c>
      <c r="C2514" s="109">
        <v>0</v>
      </c>
    </row>
    <row r="2515" spans="1:3" ht="24" x14ac:dyDescent="0.3">
      <c r="A2515" s="109" t="s">
        <v>4</v>
      </c>
      <c r="B2515" s="109" t="s">
        <v>120</v>
      </c>
      <c r="C2515" s="109">
        <v>0</v>
      </c>
    </row>
    <row r="2516" spans="1:3" ht="24" x14ac:dyDescent="0.3">
      <c r="A2516" s="109" t="s">
        <v>4</v>
      </c>
      <c r="B2516" s="109" t="s">
        <v>121</v>
      </c>
      <c r="C2516" s="109">
        <v>44</v>
      </c>
    </row>
    <row r="2517" spans="1:3" ht="24" x14ac:dyDescent="0.3">
      <c r="A2517" s="109" t="s">
        <v>4</v>
      </c>
      <c r="B2517" s="109" t="s">
        <v>122</v>
      </c>
      <c r="C2517" s="109">
        <v>150</v>
      </c>
    </row>
    <row r="2518" spans="1:3" ht="24" x14ac:dyDescent="0.3">
      <c r="A2518" s="109" t="s">
        <v>4</v>
      </c>
      <c r="B2518" s="109" t="s">
        <v>123</v>
      </c>
      <c r="C2518" s="109">
        <v>0</v>
      </c>
    </row>
    <row r="2519" spans="1:3" ht="24" x14ac:dyDescent="0.3">
      <c r="A2519" s="109" t="s">
        <v>4</v>
      </c>
      <c r="B2519" s="109" t="s">
        <v>124</v>
      </c>
      <c r="C2519" s="109">
        <v>150</v>
      </c>
    </row>
    <row r="2520" spans="1:3" ht="24" x14ac:dyDescent="0.3">
      <c r="A2520" s="109" t="s">
        <v>4</v>
      </c>
      <c r="B2520" s="109" t="s">
        <v>125</v>
      </c>
      <c r="C2520" s="109">
        <v>0</v>
      </c>
    </row>
    <row r="2521" spans="1:3" ht="24" x14ac:dyDescent="0.3">
      <c r="A2521" s="109" t="s">
        <v>4</v>
      </c>
      <c r="B2521" s="109" t="s">
        <v>126</v>
      </c>
      <c r="C2521" s="109">
        <v>5.75</v>
      </c>
    </row>
    <row r="2522" spans="1:3" ht="24" x14ac:dyDescent="0.3">
      <c r="A2522" s="109" t="s">
        <v>5</v>
      </c>
      <c r="B2522" s="109" t="s">
        <v>206</v>
      </c>
      <c r="C2522" s="109" t="s">
        <v>59</v>
      </c>
    </row>
    <row r="2523" spans="1:3" ht="24" x14ac:dyDescent="0.3">
      <c r="A2523" s="109" t="s">
        <v>5</v>
      </c>
      <c r="B2523" s="109" t="s">
        <v>62</v>
      </c>
      <c r="C2523" s="109">
        <v>36</v>
      </c>
    </row>
    <row r="2524" spans="1:3" ht="24" x14ac:dyDescent="0.3">
      <c r="A2524" s="109" t="s">
        <v>5</v>
      </c>
      <c r="B2524" s="109" t="s">
        <v>63</v>
      </c>
      <c r="C2524" s="109">
        <v>40</v>
      </c>
    </row>
    <row r="2525" spans="1:3" ht="24" x14ac:dyDescent="0.3">
      <c r="A2525" s="109" t="s">
        <v>5</v>
      </c>
      <c r="B2525" s="109" t="s">
        <v>64</v>
      </c>
      <c r="C2525" s="109">
        <v>40</v>
      </c>
    </row>
    <row r="2526" spans="1:3" ht="24" x14ac:dyDescent="0.3">
      <c r="A2526" s="109" t="s">
        <v>5</v>
      </c>
      <c r="B2526" s="109" t="s">
        <v>65</v>
      </c>
      <c r="C2526" s="109">
        <v>80</v>
      </c>
    </row>
    <row r="2527" spans="1:3" ht="24" x14ac:dyDescent="0.3">
      <c r="A2527" s="109" t="s">
        <v>5</v>
      </c>
      <c r="B2527" s="109" t="s">
        <v>66</v>
      </c>
      <c r="C2527" s="109">
        <v>55</v>
      </c>
    </row>
    <row r="2528" spans="1:3" ht="24" x14ac:dyDescent="0.3">
      <c r="A2528" s="109" t="s">
        <v>5</v>
      </c>
      <c r="B2528" s="109" t="s">
        <v>67</v>
      </c>
      <c r="C2528" s="109">
        <v>38</v>
      </c>
    </row>
    <row r="2529" spans="1:3" ht="24" x14ac:dyDescent="0.3">
      <c r="A2529" s="109" t="s">
        <v>5</v>
      </c>
      <c r="B2529" s="109" t="s">
        <v>68</v>
      </c>
      <c r="C2529" s="109">
        <v>25</v>
      </c>
    </row>
    <row r="2530" spans="1:3" ht="24" x14ac:dyDescent="0.3">
      <c r="A2530" s="109" t="s">
        <v>5</v>
      </c>
      <c r="B2530" s="109" t="s">
        <v>69</v>
      </c>
      <c r="C2530" s="109">
        <v>90</v>
      </c>
    </row>
    <row r="2531" spans="1:3" ht="24" x14ac:dyDescent="0.3">
      <c r="A2531" s="109" t="s">
        <v>5</v>
      </c>
      <c r="B2531" s="109" t="s">
        <v>70</v>
      </c>
      <c r="C2531" s="109">
        <v>70</v>
      </c>
    </row>
    <row r="2532" spans="1:3" ht="24" x14ac:dyDescent="0.3">
      <c r="A2532" s="109" t="s">
        <v>5</v>
      </c>
      <c r="B2532" s="109" t="s">
        <v>71</v>
      </c>
      <c r="C2532" s="109">
        <v>70</v>
      </c>
    </row>
    <row r="2533" spans="1:3" ht="24" x14ac:dyDescent="0.3">
      <c r="A2533" s="109" t="s">
        <v>5</v>
      </c>
      <c r="B2533" s="109" t="s">
        <v>72</v>
      </c>
      <c r="C2533" s="109">
        <v>250</v>
      </c>
    </row>
    <row r="2534" spans="1:3" ht="24" x14ac:dyDescent="0.3">
      <c r="A2534" s="109" t="s">
        <v>5</v>
      </c>
      <c r="B2534" s="109" t="s">
        <v>73</v>
      </c>
      <c r="C2534" s="109">
        <v>130</v>
      </c>
    </row>
    <row r="2535" spans="1:3" ht="24" x14ac:dyDescent="0.3">
      <c r="A2535" s="109" t="s">
        <v>5</v>
      </c>
      <c r="B2535" s="109" t="s">
        <v>74</v>
      </c>
      <c r="C2535" s="109">
        <v>630</v>
      </c>
    </row>
    <row r="2536" spans="1:3" ht="24" x14ac:dyDescent="0.3">
      <c r="A2536" s="109" t="s">
        <v>5</v>
      </c>
      <c r="B2536" s="109" t="s">
        <v>75</v>
      </c>
      <c r="C2536" s="109">
        <v>630</v>
      </c>
    </row>
    <row r="2537" spans="1:3" ht="24" x14ac:dyDescent="0.3">
      <c r="A2537" s="109" t="s">
        <v>5</v>
      </c>
      <c r="B2537" s="109" t="s">
        <v>76</v>
      </c>
      <c r="C2537" s="109">
        <v>650</v>
      </c>
    </row>
    <row r="2538" spans="1:3" ht="24" x14ac:dyDescent="0.3">
      <c r="A2538" s="109" t="s">
        <v>5</v>
      </c>
      <c r="B2538" s="109" t="s">
        <v>77</v>
      </c>
      <c r="C2538" s="109">
        <v>550</v>
      </c>
    </row>
    <row r="2539" spans="1:3" ht="24" x14ac:dyDescent="0.3">
      <c r="A2539" s="109" t="s">
        <v>5</v>
      </c>
      <c r="B2539" s="109" t="s">
        <v>78</v>
      </c>
      <c r="C2539" s="109">
        <v>47</v>
      </c>
    </row>
    <row r="2540" spans="1:3" ht="24" x14ac:dyDescent="0.3">
      <c r="A2540" s="109" t="s">
        <v>5</v>
      </c>
      <c r="B2540" s="109" t="s">
        <v>79</v>
      </c>
      <c r="C2540" s="109">
        <v>170</v>
      </c>
    </row>
    <row r="2541" spans="1:3" ht="24" x14ac:dyDescent="0.3">
      <c r="A2541" s="109" t="s">
        <v>5</v>
      </c>
      <c r="B2541" s="109" t="s">
        <v>80</v>
      </c>
      <c r="C2541" s="109">
        <v>60</v>
      </c>
    </row>
    <row r="2542" spans="1:3" ht="24" x14ac:dyDescent="0.3">
      <c r="A2542" s="109" t="s">
        <v>5</v>
      </c>
      <c r="B2542" s="109" t="s">
        <v>81</v>
      </c>
      <c r="C2542" s="109">
        <v>60</v>
      </c>
    </row>
    <row r="2543" spans="1:3" ht="24" x14ac:dyDescent="0.3">
      <c r="A2543" s="109" t="s">
        <v>5</v>
      </c>
      <c r="B2543" s="109" t="s">
        <v>83</v>
      </c>
      <c r="C2543" s="109">
        <v>88.071216617210681</v>
      </c>
    </row>
    <row r="2544" spans="1:3" ht="24" x14ac:dyDescent="0.3">
      <c r="A2544" s="109" t="s">
        <v>5</v>
      </c>
      <c r="B2544" s="109" t="s">
        <v>84</v>
      </c>
      <c r="C2544" s="109">
        <v>112.64705882352941</v>
      </c>
    </row>
    <row r="2545" spans="1:3" ht="24" x14ac:dyDescent="0.3">
      <c r="A2545" s="109" t="s">
        <v>5</v>
      </c>
      <c r="B2545" s="109" t="s">
        <v>85</v>
      </c>
      <c r="C2545" s="109">
        <v>42</v>
      </c>
    </row>
    <row r="2546" spans="1:3" ht="24" x14ac:dyDescent="0.3">
      <c r="A2546" s="109" t="s">
        <v>5</v>
      </c>
      <c r="B2546" s="109" t="s">
        <v>86</v>
      </c>
      <c r="C2546" s="109">
        <v>39</v>
      </c>
    </row>
    <row r="2547" spans="1:3" ht="24" x14ac:dyDescent="0.3">
      <c r="A2547" s="109" t="s">
        <v>5</v>
      </c>
      <c r="B2547" s="109" t="s">
        <v>87</v>
      </c>
      <c r="C2547" s="109">
        <v>485</v>
      </c>
    </row>
    <row r="2548" spans="1:3" ht="24" x14ac:dyDescent="0.3">
      <c r="A2548" s="109" t="s">
        <v>5</v>
      </c>
      <c r="B2548" s="109" t="s">
        <v>88</v>
      </c>
      <c r="C2548" s="109">
        <v>197</v>
      </c>
    </row>
    <row r="2549" spans="1:3" ht="24" x14ac:dyDescent="0.3">
      <c r="A2549" s="109" t="s">
        <v>5</v>
      </c>
      <c r="B2549" s="109" t="s">
        <v>89</v>
      </c>
      <c r="C2549" s="109">
        <v>0</v>
      </c>
    </row>
    <row r="2550" spans="1:3" ht="24" x14ac:dyDescent="0.3">
      <c r="A2550" s="109" t="s">
        <v>5</v>
      </c>
      <c r="B2550" s="109" t="s">
        <v>90</v>
      </c>
      <c r="C2550" s="109">
        <v>132</v>
      </c>
    </row>
    <row r="2551" spans="1:3" ht="24" x14ac:dyDescent="0.3">
      <c r="A2551" s="109" t="s">
        <v>5</v>
      </c>
      <c r="B2551" s="109" t="s">
        <v>92</v>
      </c>
      <c r="C2551" s="109">
        <v>0</v>
      </c>
    </row>
    <row r="2552" spans="1:3" ht="24" x14ac:dyDescent="0.3">
      <c r="A2552" s="109" t="s">
        <v>5</v>
      </c>
      <c r="B2552" s="109" t="s">
        <v>93</v>
      </c>
      <c r="C2552" s="109">
        <v>750</v>
      </c>
    </row>
    <row r="2553" spans="1:3" ht="24" x14ac:dyDescent="0.3">
      <c r="A2553" s="109" t="s">
        <v>5</v>
      </c>
      <c r="B2553" s="109" t="s">
        <v>94</v>
      </c>
      <c r="C2553" s="109">
        <v>240</v>
      </c>
    </row>
    <row r="2554" spans="1:3" ht="24" x14ac:dyDescent="0.3">
      <c r="A2554" s="109" t="s">
        <v>5</v>
      </c>
      <c r="B2554" s="109" t="s">
        <v>95</v>
      </c>
      <c r="C2554" s="109">
        <v>350</v>
      </c>
    </row>
    <row r="2555" spans="1:3" ht="24" x14ac:dyDescent="0.3">
      <c r="A2555" s="109" t="s">
        <v>5</v>
      </c>
      <c r="B2555" s="109" t="s">
        <v>96</v>
      </c>
      <c r="C2555" s="109">
        <v>210</v>
      </c>
    </row>
    <row r="2556" spans="1:3" ht="24" x14ac:dyDescent="0.3">
      <c r="A2556" s="109" t="s">
        <v>5</v>
      </c>
      <c r="B2556" s="109" t="s">
        <v>97</v>
      </c>
      <c r="C2556" s="109">
        <v>660</v>
      </c>
    </row>
    <row r="2557" spans="1:3" ht="24" x14ac:dyDescent="0.3">
      <c r="A2557" s="109" t="s">
        <v>5</v>
      </c>
      <c r="B2557" s="109" t="s">
        <v>98</v>
      </c>
      <c r="C2557" s="109">
        <v>1450</v>
      </c>
    </row>
    <row r="2558" spans="1:3" ht="24" x14ac:dyDescent="0.3">
      <c r="A2558" s="109" t="s">
        <v>5</v>
      </c>
      <c r="B2558" s="109" t="s">
        <v>99</v>
      </c>
      <c r="C2558" s="109">
        <v>14.166666666666666</v>
      </c>
    </row>
    <row r="2559" spans="1:3" ht="24" x14ac:dyDescent="0.3">
      <c r="A2559" s="109" t="s">
        <v>5</v>
      </c>
      <c r="B2559" s="109" t="s">
        <v>100</v>
      </c>
      <c r="C2559" s="109">
        <v>14</v>
      </c>
    </row>
    <row r="2560" spans="1:3" ht="24" x14ac:dyDescent="0.3">
      <c r="A2560" s="109" t="s">
        <v>5</v>
      </c>
      <c r="B2560" s="109" t="s">
        <v>101</v>
      </c>
      <c r="C2560" s="109">
        <v>3300</v>
      </c>
    </row>
    <row r="2561" spans="1:3" ht="24" x14ac:dyDescent="0.3">
      <c r="A2561" s="109" t="s">
        <v>5</v>
      </c>
      <c r="B2561" s="109" t="s">
        <v>102</v>
      </c>
      <c r="C2561" s="109">
        <v>0</v>
      </c>
    </row>
    <row r="2562" spans="1:3" ht="24" x14ac:dyDescent="0.3">
      <c r="A2562" s="109" t="s">
        <v>5</v>
      </c>
      <c r="B2562" s="109" t="s">
        <v>103</v>
      </c>
      <c r="C2562" s="109">
        <v>350</v>
      </c>
    </row>
    <row r="2563" spans="1:3" ht="24" x14ac:dyDescent="0.3">
      <c r="A2563" s="109" t="s">
        <v>5</v>
      </c>
      <c r="B2563" s="109" t="s">
        <v>104</v>
      </c>
      <c r="C2563" s="109">
        <v>850</v>
      </c>
    </row>
    <row r="2564" spans="1:3" ht="24" x14ac:dyDescent="0.3">
      <c r="A2564" s="109" t="s">
        <v>5</v>
      </c>
      <c r="B2564" s="109" t="s">
        <v>105</v>
      </c>
      <c r="C2564" s="109">
        <v>0</v>
      </c>
    </row>
    <row r="2565" spans="1:3" ht="24" x14ac:dyDescent="0.3">
      <c r="A2565" s="109" t="s">
        <v>5</v>
      </c>
      <c r="B2565" s="109" t="s">
        <v>106</v>
      </c>
      <c r="C2565" s="109">
        <v>342.85714285714289</v>
      </c>
    </row>
    <row r="2566" spans="1:3" ht="24" x14ac:dyDescent="0.3">
      <c r="A2566" s="109" t="s">
        <v>5</v>
      </c>
      <c r="B2566" s="109" t="s">
        <v>107</v>
      </c>
      <c r="C2566" s="109">
        <v>175</v>
      </c>
    </row>
    <row r="2567" spans="1:3" ht="24" x14ac:dyDescent="0.3">
      <c r="A2567" s="109" t="s">
        <v>5</v>
      </c>
      <c r="B2567" s="109" t="s">
        <v>108</v>
      </c>
      <c r="C2567" s="109">
        <v>720</v>
      </c>
    </row>
    <row r="2568" spans="1:3" ht="24" x14ac:dyDescent="0.3">
      <c r="A2568" s="109" t="s">
        <v>5</v>
      </c>
      <c r="B2568" s="109" t="s">
        <v>109</v>
      </c>
      <c r="C2568" s="109">
        <v>0</v>
      </c>
    </row>
    <row r="2569" spans="1:3" ht="24" x14ac:dyDescent="0.3">
      <c r="A2569" s="109" t="s">
        <v>5</v>
      </c>
      <c r="B2569" s="109" t="s">
        <v>110</v>
      </c>
      <c r="C2569" s="109">
        <v>2250</v>
      </c>
    </row>
    <row r="2570" spans="1:3" ht="24" x14ac:dyDescent="0.3">
      <c r="A2570" s="109" t="s">
        <v>5</v>
      </c>
      <c r="B2570" s="109" t="s">
        <v>111</v>
      </c>
      <c r="C2570" s="109">
        <v>0</v>
      </c>
    </row>
    <row r="2571" spans="1:3" ht="24" x14ac:dyDescent="0.3">
      <c r="A2571" s="109" t="s">
        <v>5</v>
      </c>
      <c r="B2571" s="109" t="s">
        <v>112</v>
      </c>
      <c r="C2571" s="109">
        <v>880</v>
      </c>
    </row>
    <row r="2572" spans="1:3" ht="24" x14ac:dyDescent="0.3">
      <c r="A2572" s="109" t="s">
        <v>5</v>
      </c>
      <c r="B2572" s="109" t="s">
        <v>113</v>
      </c>
      <c r="C2572" s="109">
        <v>2200</v>
      </c>
    </row>
    <row r="2573" spans="1:3" ht="24" x14ac:dyDescent="0.3">
      <c r="A2573" s="109" t="s">
        <v>5</v>
      </c>
      <c r="B2573" s="109" t="s">
        <v>114</v>
      </c>
      <c r="C2573" s="109">
        <v>600</v>
      </c>
    </row>
    <row r="2574" spans="1:3" ht="24" x14ac:dyDescent="0.3">
      <c r="A2574" s="109" t="s">
        <v>5</v>
      </c>
      <c r="B2574" s="109" t="s">
        <v>115</v>
      </c>
      <c r="C2574" s="109">
        <v>0</v>
      </c>
    </row>
    <row r="2575" spans="1:3" ht="24" x14ac:dyDescent="0.3">
      <c r="A2575" s="109" t="s">
        <v>5</v>
      </c>
      <c r="B2575" s="109" t="s">
        <v>116</v>
      </c>
      <c r="C2575" s="109">
        <v>150</v>
      </c>
    </row>
    <row r="2576" spans="1:3" ht="24" x14ac:dyDescent="0.3">
      <c r="A2576" s="109" t="s">
        <v>5</v>
      </c>
      <c r="B2576" s="109" t="s">
        <v>117</v>
      </c>
      <c r="C2576" s="109">
        <v>326.66666666666669</v>
      </c>
    </row>
    <row r="2577" spans="1:3" ht="24" x14ac:dyDescent="0.3">
      <c r="A2577" s="109" t="s">
        <v>5</v>
      </c>
      <c r="B2577" s="109" t="s">
        <v>118</v>
      </c>
      <c r="C2577" s="109">
        <v>20</v>
      </c>
    </row>
    <row r="2578" spans="1:3" ht="24" x14ac:dyDescent="0.3">
      <c r="A2578" s="109" t="s">
        <v>5</v>
      </c>
      <c r="B2578" s="109" t="s">
        <v>120</v>
      </c>
      <c r="C2578" s="109">
        <v>120</v>
      </c>
    </row>
    <row r="2579" spans="1:3" ht="24" x14ac:dyDescent="0.3">
      <c r="A2579" s="109" t="s">
        <v>5</v>
      </c>
      <c r="B2579" s="109" t="s">
        <v>121</v>
      </c>
      <c r="C2579" s="109">
        <v>44</v>
      </c>
    </row>
    <row r="2580" spans="1:3" ht="24" x14ac:dyDescent="0.3">
      <c r="A2580" s="109" t="s">
        <v>5</v>
      </c>
      <c r="B2580" s="109" t="s">
        <v>122</v>
      </c>
      <c r="C2580" s="109">
        <v>140</v>
      </c>
    </row>
    <row r="2581" spans="1:3" ht="24" x14ac:dyDescent="0.3">
      <c r="A2581" s="109" t="s">
        <v>5</v>
      </c>
      <c r="B2581" s="109" t="s">
        <v>123</v>
      </c>
      <c r="C2581" s="109">
        <v>0</v>
      </c>
    </row>
    <row r="2582" spans="1:3" ht="24" x14ac:dyDescent="0.3">
      <c r="A2582" s="109" t="s">
        <v>5</v>
      </c>
      <c r="B2582" s="109" t="s">
        <v>124</v>
      </c>
      <c r="C2582" s="109">
        <v>150</v>
      </c>
    </row>
    <row r="2583" spans="1:3" ht="24" x14ac:dyDescent="0.3">
      <c r="A2583" s="109" t="s">
        <v>5</v>
      </c>
      <c r="B2583" s="109" t="s">
        <v>125</v>
      </c>
      <c r="C2583" s="109">
        <v>0</v>
      </c>
    </row>
    <row r="2584" spans="1:3" ht="24" x14ac:dyDescent="0.3">
      <c r="A2584" s="109" t="s">
        <v>5</v>
      </c>
      <c r="B2584" s="109" t="s">
        <v>126</v>
      </c>
      <c r="C2584" s="109">
        <v>0</v>
      </c>
    </row>
    <row r="2585" spans="1:3" ht="24" x14ac:dyDescent="0.3">
      <c r="A2585" s="109" t="s">
        <v>6</v>
      </c>
      <c r="B2585" s="109" t="s">
        <v>206</v>
      </c>
      <c r="C2585" s="109" t="s">
        <v>59</v>
      </c>
    </row>
    <row r="2586" spans="1:3" ht="24" x14ac:dyDescent="0.3">
      <c r="A2586" s="109" t="s">
        <v>6</v>
      </c>
      <c r="B2586" s="109" t="s">
        <v>62</v>
      </c>
      <c r="C2586" s="109">
        <v>36</v>
      </c>
    </row>
    <row r="2587" spans="1:3" ht="24" x14ac:dyDescent="0.3">
      <c r="A2587" s="109" t="s">
        <v>6</v>
      </c>
      <c r="B2587" s="109" t="s">
        <v>63</v>
      </c>
      <c r="C2587" s="109">
        <v>40</v>
      </c>
    </row>
    <row r="2588" spans="1:3" ht="24" x14ac:dyDescent="0.3">
      <c r="A2588" s="109" t="s">
        <v>6</v>
      </c>
      <c r="B2588" s="109" t="s">
        <v>64</v>
      </c>
      <c r="C2588" s="109">
        <v>40</v>
      </c>
    </row>
    <row r="2589" spans="1:3" ht="24" x14ac:dyDescent="0.3">
      <c r="A2589" s="109" t="s">
        <v>6</v>
      </c>
      <c r="B2589" s="109" t="s">
        <v>65</v>
      </c>
      <c r="C2589" s="109">
        <v>80</v>
      </c>
    </row>
    <row r="2590" spans="1:3" ht="24" x14ac:dyDescent="0.3">
      <c r="A2590" s="109" t="s">
        <v>6</v>
      </c>
      <c r="B2590" s="109" t="s">
        <v>66</v>
      </c>
      <c r="C2590" s="109">
        <v>55</v>
      </c>
    </row>
    <row r="2591" spans="1:3" ht="24" x14ac:dyDescent="0.3">
      <c r="A2591" s="109" t="s">
        <v>6</v>
      </c>
      <c r="B2591" s="109" t="s">
        <v>67</v>
      </c>
      <c r="C2591" s="109">
        <v>40</v>
      </c>
    </row>
    <row r="2592" spans="1:3" ht="24" x14ac:dyDescent="0.3">
      <c r="A2592" s="109" t="s">
        <v>6</v>
      </c>
      <c r="B2592" s="109" t="s">
        <v>68</v>
      </c>
      <c r="C2592" s="109">
        <v>15</v>
      </c>
    </row>
    <row r="2593" spans="1:3" ht="24" x14ac:dyDescent="0.3">
      <c r="A2593" s="109" t="s">
        <v>6</v>
      </c>
      <c r="B2593" s="109" t="s">
        <v>69</v>
      </c>
      <c r="C2593" s="109">
        <v>90</v>
      </c>
    </row>
    <row r="2594" spans="1:3" ht="24" x14ac:dyDescent="0.3">
      <c r="A2594" s="109" t="s">
        <v>6</v>
      </c>
      <c r="B2594" s="109" t="s">
        <v>70</v>
      </c>
      <c r="C2594" s="109">
        <v>70</v>
      </c>
    </row>
    <row r="2595" spans="1:3" ht="24" x14ac:dyDescent="0.3">
      <c r="A2595" s="109" t="s">
        <v>6</v>
      </c>
      <c r="B2595" s="109" t="s">
        <v>71</v>
      </c>
      <c r="C2595" s="109">
        <v>70</v>
      </c>
    </row>
    <row r="2596" spans="1:3" ht="24" x14ac:dyDescent="0.3">
      <c r="A2596" s="109" t="s">
        <v>6</v>
      </c>
      <c r="B2596" s="109" t="s">
        <v>72</v>
      </c>
      <c r="C2596" s="109">
        <v>250</v>
      </c>
    </row>
    <row r="2597" spans="1:3" ht="24" x14ac:dyDescent="0.3">
      <c r="A2597" s="109" t="s">
        <v>6</v>
      </c>
      <c r="B2597" s="109" t="s">
        <v>73</v>
      </c>
      <c r="C2597" s="109">
        <v>70</v>
      </c>
    </row>
    <row r="2598" spans="1:3" ht="24" x14ac:dyDescent="0.3">
      <c r="A2598" s="109" t="s">
        <v>6</v>
      </c>
      <c r="B2598" s="109" t="s">
        <v>74</v>
      </c>
      <c r="C2598" s="109">
        <v>650</v>
      </c>
    </row>
    <row r="2599" spans="1:3" ht="24" x14ac:dyDescent="0.3">
      <c r="A2599" s="109" t="s">
        <v>6</v>
      </c>
      <c r="B2599" s="109" t="s">
        <v>75</v>
      </c>
      <c r="C2599" s="109">
        <v>650</v>
      </c>
    </row>
    <row r="2600" spans="1:3" ht="24" x14ac:dyDescent="0.3">
      <c r="A2600" s="109" t="s">
        <v>6</v>
      </c>
      <c r="B2600" s="109" t="s">
        <v>76</v>
      </c>
      <c r="C2600" s="109">
        <v>0</v>
      </c>
    </row>
    <row r="2601" spans="1:3" ht="24" x14ac:dyDescent="0.3">
      <c r="A2601" s="109" t="s">
        <v>6</v>
      </c>
      <c r="B2601" s="109" t="s">
        <v>77</v>
      </c>
      <c r="C2601" s="109">
        <v>0</v>
      </c>
    </row>
    <row r="2602" spans="1:3" ht="24" x14ac:dyDescent="0.3">
      <c r="A2602" s="109" t="s">
        <v>6</v>
      </c>
      <c r="B2602" s="109" t="s">
        <v>78</v>
      </c>
      <c r="C2602" s="109">
        <v>47</v>
      </c>
    </row>
    <row r="2603" spans="1:3" ht="24" x14ac:dyDescent="0.3">
      <c r="A2603" s="109" t="s">
        <v>6</v>
      </c>
      <c r="B2603" s="109" t="s">
        <v>79</v>
      </c>
      <c r="C2603" s="109">
        <v>180</v>
      </c>
    </row>
    <row r="2604" spans="1:3" ht="24" x14ac:dyDescent="0.3">
      <c r="A2604" s="109" t="s">
        <v>6</v>
      </c>
      <c r="B2604" s="109" t="s">
        <v>80</v>
      </c>
      <c r="C2604" s="109">
        <v>60</v>
      </c>
    </row>
    <row r="2605" spans="1:3" ht="24" x14ac:dyDescent="0.3">
      <c r="A2605" s="109" t="s">
        <v>6</v>
      </c>
      <c r="B2605" s="109" t="s">
        <v>81</v>
      </c>
      <c r="C2605" s="109">
        <v>60</v>
      </c>
    </row>
    <row r="2606" spans="1:3" ht="24" x14ac:dyDescent="0.3">
      <c r="A2606" s="109" t="s">
        <v>6</v>
      </c>
      <c r="B2606" s="109" t="s">
        <v>83</v>
      </c>
      <c r="C2606" s="109">
        <v>90</v>
      </c>
    </row>
    <row r="2607" spans="1:3" ht="24" x14ac:dyDescent="0.3">
      <c r="A2607" s="109" t="s">
        <v>6</v>
      </c>
      <c r="B2607" s="109" t="s">
        <v>84</v>
      </c>
      <c r="C2607" s="109">
        <v>110</v>
      </c>
    </row>
    <row r="2608" spans="1:3" ht="24" x14ac:dyDescent="0.3">
      <c r="A2608" s="109" t="s">
        <v>6</v>
      </c>
      <c r="B2608" s="109" t="s">
        <v>85</v>
      </c>
      <c r="C2608" s="109">
        <v>40</v>
      </c>
    </row>
    <row r="2609" spans="1:3" ht="24" x14ac:dyDescent="0.3">
      <c r="A2609" s="109" t="s">
        <v>6</v>
      </c>
      <c r="B2609" s="109" t="s">
        <v>86</v>
      </c>
      <c r="C2609" s="109">
        <v>38</v>
      </c>
    </row>
    <row r="2610" spans="1:3" ht="24" x14ac:dyDescent="0.3">
      <c r="A2610" s="109" t="s">
        <v>6</v>
      </c>
      <c r="B2610" s="109" t="s">
        <v>87</v>
      </c>
      <c r="C2610" s="109">
        <v>0</v>
      </c>
    </row>
    <row r="2611" spans="1:3" ht="24" x14ac:dyDescent="0.3">
      <c r="A2611" s="109" t="s">
        <v>6</v>
      </c>
      <c r="B2611" s="109" t="s">
        <v>88</v>
      </c>
      <c r="C2611" s="109">
        <v>0</v>
      </c>
    </row>
    <row r="2612" spans="1:3" ht="24" x14ac:dyDescent="0.3">
      <c r="A2612" s="109" t="s">
        <v>6</v>
      </c>
      <c r="B2612" s="109" t="s">
        <v>89</v>
      </c>
      <c r="C2612" s="109">
        <v>0</v>
      </c>
    </row>
    <row r="2613" spans="1:3" ht="24" x14ac:dyDescent="0.3">
      <c r="A2613" s="109" t="s">
        <v>6</v>
      </c>
      <c r="B2613" s="109" t="s">
        <v>90</v>
      </c>
      <c r="C2613" s="109">
        <v>130.34482758620689</v>
      </c>
    </row>
    <row r="2614" spans="1:3" ht="24" x14ac:dyDescent="0.3">
      <c r="A2614" s="109" t="s">
        <v>6</v>
      </c>
      <c r="B2614" s="109" t="s">
        <v>92</v>
      </c>
      <c r="C2614" s="109">
        <v>300</v>
      </c>
    </row>
    <row r="2615" spans="1:3" ht="24" x14ac:dyDescent="0.3">
      <c r="A2615" s="109" t="s">
        <v>6</v>
      </c>
      <c r="B2615" s="109" t="s">
        <v>93</v>
      </c>
      <c r="C2615" s="109">
        <v>745.83333333333337</v>
      </c>
    </row>
    <row r="2616" spans="1:3" ht="24" x14ac:dyDescent="0.3">
      <c r="A2616" s="109" t="s">
        <v>6</v>
      </c>
      <c r="B2616" s="109" t="s">
        <v>94</v>
      </c>
      <c r="C2616" s="109">
        <v>220</v>
      </c>
    </row>
    <row r="2617" spans="1:3" ht="24" x14ac:dyDescent="0.3">
      <c r="A2617" s="109" t="s">
        <v>6</v>
      </c>
      <c r="B2617" s="109" t="s">
        <v>95</v>
      </c>
      <c r="C2617" s="109">
        <v>320</v>
      </c>
    </row>
    <row r="2618" spans="1:3" ht="24" x14ac:dyDescent="0.3">
      <c r="A2618" s="109" t="s">
        <v>6</v>
      </c>
      <c r="B2618" s="109" t="s">
        <v>96</v>
      </c>
      <c r="C2618" s="109">
        <v>200</v>
      </c>
    </row>
    <row r="2619" spans="1:3" ht="24" x14ac:dyDescent="0.3">
      <c r="A2619" s="109" t="s">
        <v>6</v>
      </c>
      <c r="B2619" s="109" t="s">
        <v>97</v>
      </c>
      <c r="C2619" s="109">
        <v>770</v>
      </c>
    </row>
    <row r="2620" spans="1:3" ht="24" x14ac:dyDescent="0.3">
      <c r="A2620" s="109" t="s">
        <v>6</v>
      </c>
      <c r="B2620" s="109" t="s">
        <v>98</v>
      </c>
      <c r="C2620" s="109">
        <v>1600</v>
      </c>
    </row>
    <row r="2621" spans="1:3" ht="24" x14ac:dyDescent="0.3">
      <c r="A2621" s="109" t="s">
        <v>6</v>
      </c>
      <c r="B2621" s="109" t="s">
        <v>99</v>
      </c>
      <c r="C2621" s="109">
        <v>15</v>
      </c>
    </row>
    <row r="2622" spans="1:3" ht="24" x14ac:dyDescent="0.3">
      <c r="A2622" s="109" t="s">
        <v>6</v>
      </c>
      <c r="B2622" s="109" t="s">
        <v>100</v>
      </c>
      <c r="C2622" s="109">
        <v>14</v>
      </c>
    </row>
    <row r="2623" spans="1:3" ht="24" x14ac:dyDescent="0.3">
      <c r="A2623" s="109" t="s">
        <v>6</v>
      </c>
      <c r="B2623" s="109" t="s">
        <v>101</v>
      </c>
      <c r="C2623" s="109">
        <v>3300</v>
      </c>
    </row>
    <row r="2624" spans="1:3" ht="24" x14ac:dyDescent="0.3">
      <c r="A2624" s="109" t="s">
        <v>6</v>
      </c>
      <c r="B2624" s="109" t="s">
        <v>102</v>
      </c>
      <c r="C2624" s="109">
        <v>0</v>
      </c>
    </row>
    <row r="2625" spans="1:3" ht="24" x14ac:dyDescent="0.3">
      <c r="A2625" s="109" t="s">
        <v>6</v>
      </c>
      <c r="B2625" s="109" t="s">
        <v>103</v>
      </c>
      <c r="C2625" s="109">
        <v>350</v>
      </c>
    </row>
    <row r="2626" spans="1:3" ht="24" x14ac:dyDescent="0.3">
      <c r="A2626" s="109" t="s">
        <v>6</v>
      </c>
      <c r="B2626" s="109" t="s">
        <v>104</v>
      </c>
      <c r="C2626" s="109">
        <v>0</v>
      </c>
    </row>
    <row r="2627" spans="1:3" ht="24" x14ac:dyDescent="0.3">
      <c r="A2627" s="109" t="s">
        <v>6</v>
      </c>
      <c r="B2627" s="109" t="s">
        <v>105</v>
      </c>
      <c r="C2627" s="109">
        <v>0</v>
      </c>
    </row>
    <row r="2628" spans="1:3" ht="24" x14ac:dyDescent="0.3">
      <c r="A2628" s="109" t="s">
        <v>6</v>
      </c>
      <c r="B2628" s="109" t="s">
        <v>106</v>
      </c>
      <c r="C2628" s="109">
        <v>350</v>
      </c>
    </row>
    <row r="2629" spans="1:3" ht="24" x14ac:dyDescent="0.3">
      <c r="A2629" s="109" t="s">
        <v>6</v>
      </c>
      <c r="B2629" s="109" t="s">
        <v>107</v>
      </c>
      <c r="C2629" s="109">
        <v>0</v>
      </c>
    </row>
    <row r="2630" spans="1:3" ht="24" x14ac:dyDescent="0.3">
      <c r="A2630" s="109" t="s">
        <v>6</v>
      </c>
      <c r="B2630" s="109" t="s">
        <v>108</v>
      </c>
      <c r="C2630" s="109">
        <v>0</v>
      </c>
    </row>
    <row r="2631" spans="1:3" ht="24" x14ac:dyDescent="0.3">
      <c r="A2631" s="109" t="s">
        <v>6</v>
      </c>
      <c r="B2631" s="109" t="s">
        <v>109</v>
      </c>
      <c r="C2631" s="109">
        <v>0</v>
      </c>
    </row>
    <row r="2632" spans="1:3" ht="24" x14ac:dyDescent="0.3">
      <c r="A2632" s="109" t="s">
        <v>6</v>
      </c>
      <c r="B2632" s="109" t="s">
        <v>110</v>
      </c>
      <c r="C2632" s="109">
        <v>2333.3333333333335</v>
      </c>
    </row>
    <row r="2633" spans="1:3" ht="24" x14ac:dyDescent="0.3">
      <c r="A2633" s="109" t="s">
        <v>6</v>
      </c>
      <c r="B2633" s="109" t="s">
        <v>111</v>
      </c>
      <c r="C2633" s="109">
        <v>0</v>
      </c>
    </row>
    <row r="2634" spans="1:3" ht="24" x14ac:dyDescent="0.3">
      <c r="A2634" s="109" t="s">
        <v>6</v>
      </c>
      <c r="B2634" s="109" t="s">
        <v>112</v>
      </c>
      <c r="C2634" s="109">
        <v>0</v>
      </c>
    </row>
    <row r="2635" spans="1:3" ht="24" x14ac:dyDescent="0.3">
      <c r="A2635" s="109" t="s">
        <v>6</v>
      </c>
      <c r="B2635" s="109" t="s">
        <v>113</v>
      </c>
      <c r="C2635" s="109">
        <v>0</v>
      </c>
    </row>
    <row r="2636" spans="1:3" ht="24" x14ac:dyDescent="0.3">
      <c r="A2636" s="109" t="s">
        <v>6</v>
      </c>
      <c r="B2636" s="109" t="s">
        <v>114</v>
      </c>
      <c r="C2636" s="109">
        <v>0</v>
      </c>
    </row>
    <row r="2637" spans="1:3" ht="24" x14ac:dyDescent="0.3">
      <c r="A2637" s="109" t="s">
        <v>6</v>
      </c>
      <c r="B2637" s="109" t="s">
        <v>115</v>
      </c>
      <c r="C2637" s="109">
        <v>0</v>
      </c>
    </row>
    <row r="2638" spans="1:3" ht="24" x14ac:dyDescent="0.3">
      <c r="A2638" s="109" t="s">
        <v>6</v>
      </c>
      <c r="B2638" s="109" t="s">
        <v>116</v>
      </c>
      <c r="C2638" s="109">
        <v>0</v>
      </c>
    </row>
    <row r="2639" spans="1:3" ht="24" x14ac:dyDescent="0.3">
      <c r="A2639" s="109" t="s">
        <v>6</v>
      </c>
      <c r="B2639" s="109" t="s">
        <v>117</v>
      </c>
      <c r="C2639" s="109">
        <v>0</v>
      </c>
    </row>
    <row r="2640" spans="1:3" ht="24" x14ac:dyDescent="0.3">
      <c r="A2640" s="109" t="s">
        <v>6</v>
      </c>
      <c r="B2640" s="109" t="s">
        <v>118</v>
      </c>
      <c r="C2640" s="109">
        <v>0</v>
      </c>
    </row>
    <row r="2641" spans="1:3" ht="24" x14ac:dyDescent="0.3">
      <c r="A2641" s="109" t="s">
        <v>6</v>
      </c>
      <c r="B2641" s="109" t="s">
        <v>120</v>
      </c>
      <c r="C2641" s="109">
        <v>0</v>
      </c>
    </row>
    <row r="2642" spans="1:3" ht="24" x14ac:dyDescent="0.3">
      <c r="A2642" s="109" t="s">
        <v>6</v>
      </c>
      <c r="B2642" s="109" t="s">
        <v>121</v>
      </c>
      <c r="C2642" s="109">
        <v>44</v>
      </c>
    </row>
    <row r="2643" spans="1:3" ht="24" x14ac:dyDescent="0.3">
      <c r="A2643" s="109" t="s">
        <v>6</v>
      </c>
      <c r="B2643" s="109" t="s">
        <v>122</v>
      </c>
      <c r="C2643" s="109">
        <v>200</v>
      </c>
    </row>
    <row r="2644" spans="1:3" ht="24" x14ac:dyDescent="0.3">
      <c r="A2644" s="109" t="s">
        <v>6</v>
      </c>
      <c r="B2644" s="109" t="s">
        <v>123</v>
      </c>
      <c r="C2644" s="109">
        <v>0</v>
      </c>
    </row>
    <row r="2645" spans="1:3" ht="24" x14ac:dyDescent="0.3">
      <c r="A2645" s="109" t="s">
        <v>6</v>
      </c>
      <c r="B2645" s="109" t="s">
        <v>124</v>
      </c>
      <c r="C2645" s="109">
        <v>160</v>
      </c>
    </row>
    <row r="2646" spans="1:3" ht="24" x14ac:dyDescent="0.3">
      <c r="A2646" s="109" t="s">
        <v>6</v>
      </c>
      <c r="B2646" s="109" t="s">
        <v>125</v>
      </c>
      <c r="C2646" s="109">
        <v>150</v>
      </c>
    </row>
    <row r="2647" spans="1:3" ht="24" x14ac:dyDescent="0.3">
      <c r="A2647" s="109" t="s">
        <v>6</v>
      </c>
      <c r="B2647" s="109" t="s">
        <v>126</v>
      </c>
      <c r="C2647" s="109">
        <v>0</v>
      </c>
    </row>
    <row r="2648" spans="1:3" ht="24" x14ac:dyDescent="0.3">
      <c r="A2648" s="109" t="s">
        <v>7</v>
      </c>
      <c r="B2648" s="109" t="s">
        <v>206</v>
      </c>
      <c r="C2648" s="109" t="s">
        <v>59</v>
      </c>
    </row>
    <row r="2649" spans="1:3" ht="24" x14ac:dyDescent="0.3">
      <c r="A2649" s="109" t="s">
        <v>7</v>
      </c>
      <c r="B2649" s="109" t="s">
        <v>62</v>
      </c>
      <c r="C2649" s="109">
        <v>37</v>
      </c>
    </row>
    <row r="2650" spans="1:3" ht="24" x14ac:dyDescent="0.3">
      <c r="A2650" s="109" t="s">
        <v>7</v>
      </c>
      <c r="B2650" s="109" t="s">
        <v>63</v>
      </c>
      <c r="C2650" s="109">
        <v>40</v>
      </c>
    </row>
    <row r="2651" spans="1:3" ht="24" x14ac:dyDescent="0.3">
      <c r="A2651" s="109" t="s">
        <v>7</v>
      </c>
      <c r="B2651" s="109" t="s">
        <v>64</v>
      </c>
      <c r="C2651" s="109">
        <v>40</v>
      </c>
    </row>
    <row r="2652" spans="1:3" ht="24" x14ac:dyDescent="0.3">
      <c r="A2652" s="109" t="s">
        <v>7</v>
      </c>
      <c r="B2652" s="109" t="s">
        <v>65</v>
      </c>
      <c r="C2652" s="109">
        <v>80</v>
      </c>
    </row>
    <row r="2653" spans="1:3" ht="24" x14ac:dyDescent="0.3">
      <c r="A2653" s="109" t="s">
        <v>7</v>
      </c>
      <c r="B2653" s="109" t="s">
        <v>66</v>
      </c>
      <c r="C2653" s="109">
        <v>55</v>
      </c>
    </row>
    <row r="2654" spans="1:3" ht="24" x14ac:dyDescent="0.3">
      <c r="A2654" s="109" t="s">
        <v>7</v>
      </c>
      <c r="B2654" s="109" t="s">
        <v>67</v>
      </c>
      <c r="C2654" s="109">
        <v>38</v>
      </c>
    </row>
    <row r="2655" spans="1:3" ht="24" x14ac:dyDescent="0.3">
      <c r="A2655" s="109" t="s">
        <v>7</v>
      </c>
      <c r="B2655" s="109" t="s">
        <v>68</v>
      </c>
      <c r="C2655" s="109">
        <v>25</v>
      </c>
    </row>
    <row r="2656" spans="1:3" ht="24" x14ac:dyDescent="0.3">
      <c r="A2656" s="109" t="s">
        <v>7</v>
      </c>
      <c r="B2656" s="109" t="s">
        <v>69</v>
      </c>
      <c r="C2656" s="109">
        <v>90</v>
      </c>
    </row>
    <row r="2657" spans="1:3" ht="24" x14ac:dyDescent="0.3">
      <c r="A2657" s="109" t="s">
        <v>7</v>
      </c>
      <c r="B2657" s="109" t="s">
        <v>70</v>
      </c>
      <c r="C2657" s="109">
        <v>70</v>
      </c>
    </row>
    <row r="2658" spans="1:3" ht="24" x14ac:dyDescent="0.3">
      <c r="A2658" s="109" t="s">
        <v>7</v>
      </c>
      <c r="B2658" s="109" t="s">
        <v>71</v>
      </c>
      <c r="C2658" s="109">
        <v>70</v>
      </c>
    </row>
    <row r="2659" spans="1:3" ht="24" x14ac:dyDescent="0.3">
      <c r="A2659" s="109" t="s">
        <v>7</v>
      </c>
      <c r="B2659" s="109" t="s">
        <v>72</v>
      </c>
      <c r="C2659" s="109">
        <v>250</v>
      </c>
    </row>
    <row r="2660" spans="1:3" ht="24" x14ac:dyDescent="0.3">
      <c r="A2660" s="109" t="s">
        <v>7</v>
      </c>
      <c r="B2660" s="109" t="s">
        <v>73</v>
      </c>
      <c r="C2660" s="109">
        <v>130</v>
      </c>
    </row>
    <row r="2661" spans="1:3" ht="24" x14ac:dyDescent="0.3">
      <c r="A2661" s="109" t="s">
        <v>7</v>
      </c>
      <c r="B2661" s="109" t="s">
        <v>74</v>
      </c>
      <c r="C2661" s="109">
        <v>650</v>
      </c>
    </row>
    <row r="2662" spans="1:3" ht="24" x14ac:dyDescent="0.3">
      <c r="A2662" s="109" t="s">
        <v>7</v>
      </c>
      <c r="B2662" s="109" t="s">
        <v>75</v>
      </c>
      <c r="C2662" s="109">
        <v>650</v>
      </c>
    </row>
    <row r="2663" spans="1:3" ht="24" x14ac:dyDescent="0.3">
      <c r="A2663" s="109" t="s">
        <v>7</v>
      </c>
      <c r="B2663" s="109" t="s">
        <v>76</v>
      </c>
      <c r="C2663" s="109">
        <v>650</v>
      </c>
    </row>
    <row r="2664" spans="1:3" ht="24" x14ac:dyDescent="0.3">
      <c r="A2664" s="109" t="s">
        <v>7</v>
      </c>
      <c r="B2664" s="109" t="s">
        <v>77</v>
      </c>
      <c r="C2664" s="109">
        <v>0</v>
      </c>
    </row>
    <row r="2665" spans="1:3" ht="24" x14ac:dyDescent="0.3">
      <c r="A2665" s="109" t="s">
        <v>7</v>
      </c>
      <c r="B2665" s="109" t="s">
        <v>78</v>
      </c>
      <c r="C2665" s="109">
        <v>47</v>
      </c>
    </row>
    <row r="2666" spans="1:3" ht="24" x14ac:dyDescent="0.3">
      <c r="A2666" s="109" t="s">
        <v>7</v>
      </c>
      <c r="B2666" s="109" t="s">
        <v>79</v>
      </c>
      <c r="C2666" s="109">
        <v>170</v>
      </c>
    </row>
    <row r="2667" spans="1:3" ht="24" x14ac:dyDescent="0.3">
      <c r="A2667" s="109" t="s">
        <v>7</v>
      </c>
      <c r="B2667" s="109" t="s">
        <v>80</v>
      </c>
      <c r="C2667" s="109">
        <v>60</v>
      </c>
    </row>
    <row r="2668" spans="1:3" ht="24" x14ac:dyDescent="0.3">
      <c r="A2668" s="109" t="s">
        <v>7</v>
      </c>
      <c r="B2668" s="109" t="s">
        <v>81</v>
      </c>
      <c r="C2668" s="109">
        <v>60</v>
      </c>
    </row>
    <row r="2669" spans="1:3" ht="24" x14ac:dyDescent="0.3">
      <c r="A2669" s="109" t="s">
        <v>7</v>
      </c>
      <c r="B2669" s="109" t="s">
        <v>83</v>
      </c>
      <c r="C2669" s="109">
        <v>90</v>
      </c>
    </row>
    <row r="2670" spans="1:3" ht="24" x14ac:dyDescent="0.3">
      <c r="A2670" s="109" t="s">
        <v>7</v>
      </c>
      <c r="B2670" s="109" t="s">
        <v>84</v>
      </c>
      <c r="C2670" s="109">
        <v>117.17391304347827</v>
      </c>
    </row>
    <row r="2671" spans="1:3" ht="24" x14ac:dyDescent="0.3">
      <c r="A2671" s="109" t="s">
        <v>7</v>
      </c>
      <c r="B2671" s="109" t="s">
        <v>85</v>
      </c>
      <c r="C2671" s="109">
        <v>40</v>
      </c>
    </row>
    <row r="2672" spans="1:3" ht="24" x14ac:dyDescent="0.3">
      <c r="A2672" s="109" t="s">
        <v>7</v>
      </c>
      <c r="B2672" s="109" t="s">
        <v>86</v>
      </c>
      <c r="C2672" s="109">
        <v>38</v>
      </c>
    </row>
    <row r="2673" spans="1:3" ht="24" x14ac:dyDescent="0.3">
      <c r="A2673" s="109" t="s">
        <v>7</v>
      </c>
      <c r="B2673" s="109" t="s">
        <v>87</v>
      </c>
      <c r="C2673" s="109">
        <v>485</v>
      </c>
    </row>
    <row r="2674" spans="1:3" ht="24" x14ac:dyDescent="0.3">
      <c r="A2674" s="109" t="s">
        <v>7</v>
      </c>
      <c r="B2674" s="109" t="s">
        <v>88</v>
      </c>
      <c r="C2674" s="109">
        <v>197</v>
      </c>
    </row>
    <row r="2675" spans="1:3" ht="24" x14ac:dyDescent="0.3">
      <c r="A2675" s="109" t="s">
        <v>7</v>
      </c>
      <c r="B2675" s="109" t="s">
        <v>89</v>
      </c>
      <c r="C2675" s="109">
        <v>0</v>
      </c>
    </row>
    <row r="2676" spans="1:3" ht="24" x14ac:dyDescent="0.3">
      <c r="A2676" s="109" t="s">
        <v>7</v>
      </c>
      <c r="B2676" s="109" t="s">
        <v>90</v>
      </c>
      <c r="C2676" s="109">
        <v>132</v>
      </c>
    </row>
    <row r="2677" spans="1:3" ht="24" x14ac:dyDescent="0.3">
      <c r="A2677" s="109" t="s">
        <v>7</v>
      </c>
      <c r="B2677" s="109" t="s">
        <v>92</v>
      </c>
      <c r="C2677" s="109">
        <v>310</v>
      </c>
    </row>
    <row r="2678" spans="1:3" ht="24" x14ac:dyDescent="0.3">
      <c r="A2678" s="109" t="s">
        <v>7</v>
      </c>
      <c r="B2678" s="109" t="s">
        <v>93</v>
      </c>
      <c r="C2678" s="109">
        <v>720</v>
      </c>
    </row>
    <row r="2679" spans="1:3" ht="24" x14ac:dyDescent="0.3">
      <c r="A2679" s="109" t="s">
        <v>7</v>
      </c>
      <c r="B2679" s="109" t="s">
        <v>94</v>
      </c>
      <c r="C2679" s="109">
        <v>240</v>
      </c>
    </row>
    <row r="2680" spans="1:3" ht="24" x14ac:dyDescent="0.3">
      <c r="A2680" s="109" t="s">
        <v>7</v>
      </c>
      <c r="B2680" s="109" t="s">
        <v>95</v>
      </c>
      <c r="C2680" s="109">
        <v>360</v>
      </c>
    </row>
    <row r="2681" spans="1:3" ht="24" x14ac:dyDescent="0.3">
      <c r="A2681" s="109" t="s">
        <v>7</v>
      </c>
      <c r="B2681" s="109" t="s">
        <v>96</v>
      </c>
      <c r="C2681" s="109">
        <v>205</v>
      </c>
    </row>
    <row r="2682" spans="1:3" ht="24" x14ac:dyDescent="0.3">
      <c r="A2682" s="109" t="s">
        <v>7</v>
      </c>
      <c r="B2682" s="109" t="s">
        <v>97</v>
      </c>
      <c r="C2682" s="109">
        <v>711</v>
      </c>
    </row>
    <row r="2683" spans="1:3" ht="24" x14ac:dyDescent="0.3">
      <c r="A2683" s="109" t="s">
        <v>7</v>
      </c>
      <c r="B2683" s="109" t="s">
        <v>98</v>
      </c>
      <c r="C2683" s="109">
        <v>1833.333333333333</v>
      </c>
    </row>
    <row r="2684" spans="1:3" ht="24" x14ac:dyDescent="0.3">
      <c r="A2684" s="109" t="s">
        <v>7</v>
      </c>
      <c r="B2684" s="109" t="s">
        <v>99</v>
      </c>
      <c r="C2684" s="109">
        <v>15</v>
      </c>
    </row>
    <row r="2685" spans="1:3" ht="24" x14ac:dyDescent="0.3">
      <c r="A2685" s="109" t="s">
        <v>7</v>
      </c>
      <c r="B2685" s="109" t="s">
        <v>100</v>
      </c>
      <c r="C2685" s="109">
        <v>13.636363636363637</v>
      </c>
    </row>
    <row r="2686" spans="1:3" ht="24" x14ac:dyDescent="0.3">
      <c r="A2686" s="109" t="s">
        <v>7</v>
      </c>
      <c r="B2686" s="109" t="s">
        <v>101</v>
      </c>
      <c r="C2686" s="109">
        <v>3400</v>
      </c>
    </row>
    <row r="2687" spans="1:3" ht="24" x14ac:dyDescent="0.3">
      <c r="A2687" s="109" t="s">
        <v>7</v>
      </c>
      <c r="B2687" s="109" t="s">
        <v>102</v>
      </c>
      <c r="C2687" s="109">
        <v>950</v>
      </c>
    </row>
    <row r="2688" spans="1:3" ht="24" x14ac:dyDescent="0.3">
      <c r="A2688" s="109" t="s">
        <v>7</v>
      </c>
      <c r="B2688" s="109" t="s">
        <v>103</v>
      </c>
      <c r="C2688" s="109">
        <v>400</v>
      </c>
    </row>
    <row r="2689" spans="1:3" ht="24" x14ac:dyDescent="0.3">
      <c r="A2689" s="109" t="s">
        <v>7</v>
      </c>
      <c r="B2689" s="109" t="s">
        <v>104</v>
      </c>
      <c r="C2689" s="109">
        <v>850</v>
      </c>
    </row>
    <row r="2690" spans="1:3" ht="24" x14ac:dyDescent="0.3">
      <c r="A2690" s="109" t="s">
        <v>7</v>
      </c>
      <c r="B2690" s="109" t="s">
        <v>105</v>
      </c>
      <c r="C2690" s="109">
        <v>0</v>
      </c>
    </row>
    <row r="2691" spans="1:3" ht="24" x14ac:dyDescent="0.3">
      <c r="A2691" s="109" t="s">
        <v>7</v>
      </c>
      <c r="B2691" s="109" t="s">
        <v>106</v>
      </c>
      <c r="C2691" s="109">
        <v>380</v>
      </c>
    </row>
    <row r="2692" spans="1:3" ht="24" x14ac:dyDescent="0.3">
      <c r="A2692" s="109" t="s">
        <v>7</v>
      </c>
      <c r="B2692" s="109" t="s">
        <v>107</v>
      </c>
      <c r="C2692" s="109">
        <v>250</v>
      </c>
    </row>
    <row r="2693" spans="1:3" ht="24" x14ac:dyDescent="0.3">
      <c r="A2693" s="109" t="s">
        <v>7</v>
      </c>
      <c r="B2693" s="109" t="s">
        <v>108</v>
      </c>
      <c r="C2693" s="109">
        <v>0</v>
      </c>
    </row>
    <row r="2694" spans="1:3" ht="24" x14ac:dyDescent="0.3">
      <c r="A2694" s="109" t="s">
        <v>7</v>
      </c>
      <c r="B2694" s="109" t="s">
        <v>109</v>
      </c>
      <c r="C2694" s="109">
        <v>0</v>
      </c>
    </row>
    <row r="2695" spans="1:3" ht="24" x14ac:dyDescent="0.3">
      <c r="A2695" s="109" t="s">
        <v>7</v>
      </c>
      <c r="B2695" s="109" t="s">
        <v>110</v>
      </c>
      <c r="C2695" s="109">
        <v>2300</v>
      </c>
    </row>
    <row r="2696" spans="1:3" ht="24" x14ac:dyDescent="0.3">
      <c r="A2696" s="109" t="s">
        <v>7</v>
      </c>
      <c r="B2696" s="109" t="s">
        <v>111</v>
      </c>
      <c r="C2696" s="109">
        <v>0</v>
      </c>
    </row>
    <row r="2697" spans="1:3" ht="24" x14ac:dyDescent="0.3">
      <c r="A2697" s="109" t="s">
        <v>7</v>
      </c>
      <c r="B2697" s="109" t="s">
        <v>112</v>
      </c>
      <c r="C2697" s="109">
        <v>0</v>
      </c>
    </row>
    <row r="2698" spans="1:3" ht="24" x14ac:dyDescent="0.3">
      <c r="A2698" s="109" t="s">
        <v>7</v>
      </c>
      <c r="B2698" s="109" t="s">
        <v>113</v>
      </c>
      <c r="C2698" s="109">
        <v>0</v>
      </c>
    </row>
    <row r="2699" spans="1:3" ht="24" x14ac:dyDescent="0.3">
      <c r="A2699" s="109" t="s">
        <v>7</v>
      </c>
      <c r="B2699" s="109" t="s">
        <v>114</v>
      </c>
      <c r="C2699" s="109">
        <v>0</v>
      </c>
    </row>
    <row r="2700" spans="1:3" ht="24" x14ac:dyDescent="0.3">
      <c r="A2700" s="109" t="s">
        <v>7</v>
      </c>
      <c r="B2700" s="109" t="s">
        <v>115</v>
      </c>
      <c r="C2700" s="109">
        <v>0</v>
      </c>
    </row>
    <row r="2701" spans="1:3" ht="24" x14ac:dyDescent="0.3">
      <c r="A2701" s="109" t="s">
        <v>7</v>
      </c>
      <c r="B2701" s="109" t="s">
        <v>116</v>
      </c>
      <c r="C2701" s="109">
        <v>0</v>
      </c>
    </row>
    <row r="2702" spans="1:3" ht="24" x14ac:dyDescent="0.3">
      <c r="A2702" s="109" t="s">
        <v>7</v>
      </c>
      <c r="B2702" s="109" t="s">
        <v>117</v>
      </c>
      <c r="C2702" s="109">
        <v>0</v>
      </c>
    </row>
    <row r="2703" spans="1:3" ht="24" x14ac:dyDescent="0.3">
      <c r="A2703" s="109" t="s">
        <v>7</v>
      </c>
      <c r="B2703" s="109" t="s">
        <v>118</v>
      </c>
      <c r="C2703" s="109">
        <v>0</v>
      </c>
    </row>
    <row r="2704" spans="1:3" ht="24" x14ac:dyDescent="0.3">
      <c r="A2704" s="109" t="s">
        <v>7</v>
      </c>
      <c r="B2704" s="109" t="s">
        <v>120</v>
      </c>
      <c r="C2704" s="109">
        <v>0</v>
      </c>
    </row>
    <row r="2705" spans="1:3" ht="24" x14ac:dyDescent="0.3">
      <c r="A2705" s="109" t="s">
        <v>7</v>
      </c>
      <c r="B2705" s="109" t="s">
        <v>121</v>
      </c>
      <c r="C2705" s="109">
        <v>44</v>
      </c>
    </row>
    <row r="2706" spans="1:3" ht="24" x14ac:dyDescent="0.3">
      <c r="A2706" s="109" t="s">
        <v>7</v>
      </c>
      <c r="B2706" s="109" t="s">
        <v>122</v>
      </c>
      <c r="C2706" s="109">
        <v>150</v>
      </c>
    </row>
    <row r="2707" spans="1:3" ht="24" x14ac:dyDescent="0.3">
      <c r="A2707" s="109" t="s">
        <v>7</v>
      </c>
      <c r="B2707" s="109" t="s">
        <v>123</v>
      </c>
      <c r="C2707" s="109">
        <v>0</v>
      </c>
    </row>
    <row r="2708" spans="1:3" ht="24" x14ac:dyDescent="0.3">
      <c r="A2708" s="109" t="s">
        <v>7</v>
      </c>
      <c r="B2708" s="109" t="s">
        <v>124</v>
      </c>
      <c r="C2708" s="109">
        <v>160</v>
      </c>
    </row>
    <row r="2709" spans="1:3" ht="24" x14ac:dyDescent="0.3">
      <c r="A2709" s="109" t="s">
        <v>7</v>
      </c>
      <c r="B2709" s="109" t="s">
        <v>125</v>
      </c>
      <c r="C2709" s="109">
        <v>0</v>
      </c>
    </row>
    <row r="2710" spans="1:3" ht="24" x14ac:dyDescent="0.3">
      <c r="A2710" s="109" t="s">
        <v>7</v>
      </c>
      <c r="B2710" s="109" t="s">
        <v>126</v>
      </c>
      <c r="C2710" s="109">
        <v>0</v>
      </c>
    </row>
    <row r="2711" spans="1:3" ht="24" x14ac:dyDescent="0.3">
      <c r="A2711" s="109" t="s">
        <v>331</v>
      </c>
      <c r="B2711" s="109" t="s">
        <v>206</v>
      </c>
      <c r="C2711" s="109" t="s">
        <v>59</v>
      </c>
    </row>
    <row r="2712" spans="1:3" ht="24" x14ac:dyDescent="0.3">
      <c r="A2712" s="109" t="s">
        <v>331</v>
      </c>
      <c r="B2712" s="109" t="s">
        <v>62</v>
      </c>
      <c r="C2712" s="109">
        <v>37</v>
      </c>
    </row>
    <row r="2713" spans="1:3" ht="24" x14ac:dyDescent="0.3">
      <c r="A2713" s="109" t="s">
        <v>331</v>
      </c>
      <c r="B2713" s="109" t="s">
        <v>63</v>
      </c>
      <c r="C2713" s="109">
        <v>40</v>
      </c>
    </row>
    <row r="2714" spans="1:3" ht="24" x14ac:dyDescent="0.3">
      <c r="A2714" s="109" t="s">
        <v>331</v>
      </c>
      <c r="B2714" s="109" t="s">
        <v>64</v>
      </c>
      <c r="C2714" s="109">
        <v>40</v>
      </c>
    </row>
    <row r="2715" spans="1:3" ht="24" x14ac:dyDescent="0.3">
      <c r="A2715" s="109" t="s">
        <v>331</v>
      </c>
      <c r="B2715" s="109" t="s">
        <v>65</v>
      </c>
      <c r="C2715" s="109">
        <v>80</v>
      </c>
    </row>
    <row r="2716" spans="1:3" ht="24" x14ac:dyDescent="0.3">
      <c r="A2716" s="109" t="s">
        <v>331</v>
      </c>
      <c r="B2716" s="109" t="s">
        <v>66</v>
      </c>
      <c r="C2716" s="109">
        <v>55</v>
      </c>
    </row>
    <row r="2717" spans="1:3" ht="24" x14ac:dyDescent="0.3">
      <c r="A2717" s="109" t="s">
        <v>331</v>
      </c>
      <c r="B2717" s="109" t="s">
        <v>67</v>
      </c>
      <c r="C2717" s="109">
        <v>38</v>
      </c>
    </row>
    <row r="2718" spans="1:3" ht="24" x14ac:dyDescent="0.3">
      <c r="A2718" s="109" t="s">
        <v>331</v>
      </c>
      <c r="B2718" s="109" t="s">
        <v>68</v>
      </c>
      <c r="C2718" s="109">
        <v>0</v>
      </c>
    </row>
    <row r="2719" spans="1:3" ht="24" x14ac:dyDescent="0.3">
      <c r="A2719" s="109" t="s">
        <v>331</v>
      </c>
      <c r="B2719" s="109" t="s">
        <v>69</v>
      </c>
      <c r="C2719" s="109">
        <v>90</v>
      </c>
    </row>
    <row r="2720" spans="1:3" ht="24" x14ac:dyDescent="0.3">
      <c r="A2720" s="109" t="s">
        <v>331</v>
      </c>
      <c r="B2720" s="109" t="s">
        <v>70</v>
      </c>
      <c r="C2720" s="109">
        <v>70</v>
      </c>
    </row>
    <row r="2721" spans="1:3" ht="24" x14ac:dyDescent="0.3">
      <c r="A2721" s="109" t="s">
        <v>331</v>
      </c>
      <c r="B2721" s="109" t="s">
        <v>71</v>
      </c>
      <c r="C2721" s="109">
        <v>70</v>
      </c>
    </row>
    <row r="2722" spans="1:3" ht="24" x14ac:dyDescent="0.3">
      <c r="A2722" s="109" t="s">
        <v>331</v>
      </c>
      <c r="B2722" s="109" t="s">
        <v>72</v>
      </c>
      <c r="C2722" s="109">
        <v>260</v>
      </c>
    </row>
    <row r="2723" spans="1:3" ht="24" x14ac:dyDescent="0.3">
      <c r="A2723" s="109" t="s">
        <v>331</v>
      </c>
      <c r="B2723" s="109" t="s">
        <v>73</v>
      </c>
      <c r="C2723" s="109">
        <v>130</v>
      </c>
    </row>
    <row r="2724" spans="1:3" ht="24" x14ac:dyDescent="0.3">
      <c r="A2724" s="109" t="s">
        <v>331</v>
      </c>
      <c r="B2724" s="109" t="s">
        <v>74</v>
      </c>
      <c r="C2724" s="109">
        <v>600</v>
      </c>
    </row>
    <row r="2725" spans="1:3" ht="24" x14ac:dyDescent="0.3">
      <c r="A2725" s="109" t="s">
        <v>331</v>
      </c>
      <c r="B2725" s="109" t="s">
        <v>75</v>
      </c>
      <c r="C2725" s="109">
        <v>630</v>
      </c>
    </row>
    <row r="2726" spans="1:3" ht="24" x14ac:dyDescent="0.3">
      <c r="A2726" s="109" t="s">
        <v>331</v>
      </c>
      <c r="B2726" s="109" t="s">
        <v>76</v>
      </c>
      <c r="C2726" s="109">
        <v>650</v>
      </c>
    </row>
    <row r="2727" spans="1:3" ht="24" x14ac:dyDescent="0.3">
      <c r="A2727" s="109" t="s">
        <v>331</v>
      </c>
      <c r="B2727" s="109" t="s">
        <v>77</v>
      </c>
      <c r="C2727" s="109">
        <v>568.18181818181813</v>
      </c>
    </row>
    <row r="2728" spans="1:3" ht="24" x14ac:dyDescent="0.3">
      <c r="A2728" s="109" t="s">
        <v>331</v>
      </c>
      <c r="B2728" s="109" t="s">
        <v>78</v>
      </c>
      <c r="C2728" s="109">
        <v>47</v>
      </c>
    </row>
    <row r="2729" spans="1:3" ht="24" x14ac:dyDescent="0.3">
      <c r="A2729" s="109" t="s">
        <v>331</v>
      </c>
      <c r="B2729" s="109" t="s">
        <v>79</v>
      </c>
      <c r="C2729" s="109">
        <v>169.09090909090909</v>
      </c>
    </row>
    <row r="2730" spans="1:3" ht="24" x14ac:dyDescent="0.3">
      <c r="A2730" s="109" t="s">
        <v>331</v>
      </c>
      <c r="B2730" s="109" t="s">
        <v>80</v>
      </c>
      <c r="C2730" s="109">
        <v>60</v>
      </c>
    </row>
    <row r="2731" spans="1:3" ht="24" x14ac:dyDescent="0.3">
      <c r="A2731" s="109" t="s">
        <v>331</v>
      </c>
      <c r="B2731" s="109" t="s">
        <v>81</v>
      </c>
      <c r="C2731" s="109">
        <v>60</v>
      </c>
    </row>
    <row r="2732" spans="1:3" ht="24" x14ac:dyDescent="0.3">
      <c r="A2732" s="109" t="s">
        <v>331</v>
      </c>
      <c r="B2732" s="109" t="s">
        <v>83</v>
      </c>
      <c r="C2732" s="109">
        <v>85.574324324324323</v>
      </c>
    </row>
    <row r="2733" spans="1:3" ht="24" x14ac:dyDescent="0.3">
      <c r="A2733" s="109" t="s">
        <v>331</v>
      </c>
      <c r="B2733" s="109" t="s">
        <v>84</v>
      </c>
      <c r="C2733" s="109">
        <v>88.75</v>
      </c>
    </row>
    <row r="2734" spans="1:3" ht="24" x14ac:dyDescent="0.3">
      <c r="A2734" s="109" t="s">
        <v>331</v>
      </c>
      <c r="B2734" s="109" t="s">
        <v>85</v>
      </c>
      <c r="C2734" s="109">
        <v>0</v>
      </c>
    </row>
    <row r="2735" spans="1:3" ht="24" x14ac:dyDescent="0.3">
      <c r="A2735" s="109" t="s">
        <v>331</v>
      </c>
      <c r="B2735" s="109" t="s">
        <v>86</v>
      </c>
      <c r="C2735" s="109">
        <v>0</v>
      </c>
    </row>
    <row r="2736" spans="1:3" ht="24" x14ac:dyDescent="0.3">
      <c r="A2736" s="109" t="s">
        <v>331</v>
      </c>
      <c r="B2736" s="109" t="s">
        <v>87</v>
      </c>
      <c r="C2736" s="109">
        <v>0</v>
      </c>
    </row>
    <row r="2737" spans="1:3" ht="24" x14ac:dyDescent="0.3">
      <c r="A2737" s="109" t="s">
        <v>331</v>
      </c>
      <c r="B2737" s="109" t="s">
        <v>88</v>
      </c>
      <c r="C2737" s="109">
        <v>0</v>
      </c>
    </row>
    <row r="2738" spans="1:3" ht="24" x14ac:dyDescent="0.3">
      <c r="A2738" s="109" t="s">
        <v>331</v>
      </c>
      <c r="B2738" s="109" t="s">
        <v>89</v>
      </c>
      <c r="C2738" s="109">
        <v>0</v>
      </c>
    </row>
    <row r="2739" spans="1:3" ht="24" x14ac:dyDescent="0.3">
      <c r="A2739" s="109" t="s">
        <v>331</v>
      </c>
      <c r="B2739" s="109" t="s">
        <v>90</v>
      </c>
      <c r="C2739" s="109">
        <v>132</v>
      </c>
    </row>
    <row r="2740" spans="1:3" ht="24" x14ac:dyDescent="0.3">
      <c r="A2740" s="109" t="s">
        <v>331</v>
      </c>
      <c r="B2740" s="109" t="s">
        <v>92</v>
      </c>
      <c r="C2740" s="109">
        <v>330</v>
      </c>
    </row>
    <row r="2741" spans="1:3" ht="24" x14ac:dyDescent="0.3">
      <c r="A2741" s="109" t="s">
        <v>331</v>
      </c>
      <c r="B2741" s="109" t="s">
        <v>93</v>
      </c>
      <c r="C2741" s="109">
        <v>711.88118811881191</v>
      </c>
    </row>
    <row r="2742" spans="1:3" ht="24" x14ac:dyDescent="0.3">
      <c r="A2742" s="109" t="s">
        <v>331</v>
      </c>
      <c r="B2742" s="109" t="s">
        <v>94</v>
      </c>
      <c r="C2742" s="109">
        <v>225</v>
      </c>
    </row>
    <row r="2743" spans="1:3" ht="24" x14ac:dyDescent="0.3">
      <c r="A2743" s="109" t="s">
        <v>331</v>
      </c>
      <c r="B2743" s="109" t="s">
        <v>95</v>
      </c>
      <c r="C2743" s="109">
        <v>281.25</v>
      </c>
    </row>
    <row r="2744" spans="1:3" ht="24" x14ac:dyDescent="0.3">
      <c r="A2744" s="109" t="s">
        <v>331</v>
      </c>
      <c r="B2744" s="109" t="s">
        <v>96</v>
      </c>
      <c r="C2744" s="109">
        <v>225</v>
      </c>
    </row>
    <row r="2745" spans="1:3" ht="24" x14ac:dyDescent="0.3">
      <c r="A2745" s="109" t="s">
        <v>331</v>
      </c>
      <c r="B2745" s="109" t="s">
        <v>97</v>
      </c>
      <c r="C2745" s="109">
        <v>760</v>
      </c>
    </row>
    <row r="2746" spans="1:3" ht="24" x14ac:dyDescent="0.3">
      <c r="A2746" s="109" t="s">
        <v>331</v>
      </c>
      <c r="B2746" s="109" t="s">
        <v>98</v>
      </c>
      <c r="C2746" s="109">
        <v>2200</v>
      </c>
    </row>
    <row r="2747" spans="1:3" ht="24" x14ac:dyDescent="0.3">
      <c r="A2747" s="109" t="s">
        <v>331</v>
      </c>
      <c r="B2747" s="109" t="s">
        <v>99</v>
      </c>
      <c r="C2747" s="109">
        <v>0</v>
      </c>
    </row>
    <row r="2748" spans="1:3" ht="24" x14ac:dyDescent="0.3">
      <c r="A2748" s="109" t="s">
        <v>331</v>
      </c>
      <c r="B2748" s="109" t="s">
        <v>100</v>
      </c>
      <c r="C2748" s="109">
        <v>11</v>
      </c>
    </row>
    <row r="2749" spans="1:3" ht="24" x14ac:dyDescent="0.3">
      <c r="A2749" s="109" t="s">
        <v>331</v>
      </c>
      <c r="B2749" s="109" t="s">
        <v>101</v>
      </c>
      <c r="C2749" s="109">
        <v>2166.6666666666665</v>
      </c>
    </row>
    <row r="2750" spans="1:3" ht="24" x14ac:dyDescent="0.3">
      <c r="A2750" s="109" t="s">
        <v>331</v>
      </c>
      <c r="B2750" s="109" t="s">
        <v>102</v>
      </c>
      <c r="C2750" s="109">
        <v>900</v>
      </c>
    </row>
    <row r="2751" spans="1:3" ht="24" x14ac:dyDescent="0.3">
      <c r="A2751" s="109" t="s">
        <v>331</v>
      </c>
      <c r="B2751" s="109" t="s">
        <v>103</v>
      </c>
      <c r="C2751" s="109">
        <v>320</v>
      </c>
    </row>
    <row r="2752" spans="1:3" ht="24" x14ac:dyDescent="0.3">
      <c r="A2752" s="109" t="s">
        <v>331</v>
      </c>
      <c r="B2752" s="109" t="s">
        <v>104</v>
      </c>
      <c r="C2752" s="109">
        <v>620</v>
      </c>
    </row>
    <row r="2753" spans="1:3" ht="24" x14ac:dyDescent="0.3">
      <c r="A2753" s="109" t="s">
        <v>331</v>
      </c>
      <c r="B2753" s="109" t="s">
        <v>105</v>
      </c>
      <c r="C2753" s="109">
        <v>0</v>
      </c>
    </row>
    <row r="2754" spans="1:3" ht="24" x14ac:dyDescent="0.3">
      <c r="A2754" s="109" t="s">
        <v>331</v>
      </c>
      <c r="B2754" s="109" t="s">
        <v>106</v>
      </c>
      <c r="C2754" s="109">
        <v>320</v>
      </c>
    </row>
    <row r="2755" spans="1:3" ht="24" x14ac:dyDescent="0.3">
      <c r="A2755" s="109" t="s">
        <v>331</v>
      </c>
      <c r="B2755" s="109" t="s">
        <v>107</v>
      </c>
      <c r="C2755" s="109">
        <v>180</v>
      </c>
    </row>
    <row r="2756" spans="1:3" ht="24" x14ac:dyDescent="0.3">
      <c r="A2756" s="109" t="s">
        <v>331</v>
      </c>
      <c r="B2756" s="109" t="s">
        <v>108</v>
      </c>
      <c r="C2756" s="109">
        <v>700</v>
      </c>
    </row>
    <row r="2757" spans="1:3" ht="24" x14ac:dyDescent="0.3">
      <c r="A2757" s="109" t="s">
        <v>331</v>
      </c>
      <c r="B2757" s="109" t="s">
        <v>109</v>
      </c>
      <c r="C2757" s="109">
        <v>0</v>
      </c>
    </row>
    <row r="2758" spans="1:3" ht="24" x14ac:dyDescent="0.3">
      <c r="A2758" s="109" t="s">
        <v>331</v>
      </c>
      <c r="B2758" s="109" t="s">
        <v>110</v>
      </c>
      <c r="C2758" s="109">
        <v>2300</v>
      </c>
    </row>
    <row r="2759" spans="1:3" ht="24" x14ac:dyDescent="0.3">
      <c r="A2759" s="109" t="s">
        <v>331</v>
      </c>
      <c r="B2759" s="109" t="s">
        <v>111</v>
      </c>
      <c r="C2759" s="109">
        <v>0</v>
      </c>
    </row>
    <row r="2760" spans="1:3" ht="24" x14ac:dyDescent="0.3">
      <c r="A2760" s="109" t="s">
        <v>331</v>
      </c>
      <c r="B2760" s="109" t="s">
        <v>112</v>
      </c>
      <c r="C2760" s="109">
        <v>820</v>
      </c>
    </row>
    <row r="2761" spans="1:3" ht="24" x14ac:dyDescent="0.3">
      <c r="A2761" s="109" t="s">
        <v>331</v>
      </c>
      <c r="B2761" s="109" t="s">
        <v>113</v>
      </c>
      <c r="C2761" s="109">
        <v>0</v>
      </c>
    </row>
    <row r="2762" spans="1:3" ht="24" x14ac:dyDescent="0.3">
      <c r="A2762" s="109" t="s">
        <v>331</v>
      </c>
      <c r="B2762" s="109" t="s">
        <v>114</v>
      </c>
      <c r="C2762" s="109">
        <v>0</v>
      </c>
    </row>
    <row r="2763" spans="1:3" ht="24" x14ac:dyDescent="0.3">
      <c r="A2763" s="109" t="s">
        <v>331</v>
      </c>
      <c r="B2763" s="109" t="s">
        <v>115</v>
      </c>
      <c r="C2763" s="109">
        <v>0</v>
      </c>
    </row>
    <row r="2764" spans="1:3" ht="24" x14ac:dyDescent="0.3">
      <c r="A2764" s="109" t="s">
        <v>331</v>
      </c>
      <c r="B2764" s="109" t="s">
        <v>116</v>
      </c>
      <c r="C2764" s="109">
        <v>140</v>
      </c>
    </row>
    <row r="2765" spans="1:3" ht="24" x14ac:dyDescent="0.3">
      <c r="A2765" s="109" t="s">
        <v>331</v>
      </c>
      <c r="B2765" s="109" t="s">
        <v>117</v>
      </c>
      <c r="C2765" s="109">
        <v>480</v>
      </c>
    </row>
    <row r="2766" spans="1:3" ht="24" x14ac:dyDescent="0.3">
      <c r="A2766" s="109" t="s">
        <v>331</v>
      </c>
      <c r="B2766" s="109" t="s">
        <v>118</v>
      </c>
      <c r="C2766" s="109">
        <v>17.5</v>
      </c>
    </row>
    <row r="2767" spans="1:3" ht="24" x14ac:dyDescent="0.3">
      <c r="A2767" s="109" t="s">
        <v>331</v>
      </c>
      <c r="B2767" s="109" t="s">
        <v>120</v>
      </c>
      <c r="C2767" s="109">
        <v>120</v>
      </c>
    </row>
    <row r="2768" spans="1:3" ht="24" x14ac:dyDescent="0.3">
      <c r="A2768" s="109" t="s">
        <v>331</v>
      </c>
      <c r="B2768" s="109" t="s">
        <v>121</v>
      </c>
      <c r="C2768" s="109">
        <v>44</v>
      </c>
    </row>
    <row r="2769" spans="1:3" ht="24" x14ac:dyDescent="0.3">
      <c r="A2769" s="109" t="s">
        <v>331</v>
      </c>
      <c r="B2769" s="109" t="s">
        <v>122</v>
      </c>
      <c r="C2769" s="109">
        <v>150</v>
      </c>
    </row>
    <row r="2770" spans="1:3" ht="24" x14ac:dyDescent="0.3">
      <c r="A2770" s="109" t="s">
        <v>331</v>
      </c>
      <c r="B2770" s="109" t="s">
        <v>123</v>
      </c>
      <c r="C2770" s="109">
        <v>0</v>
      </c>
    </row>
    <row r="2771" spans="1:3" ht="24" x14ac:dyDescent="0.3">
      <c r="A2771" s="109" t="s">
        <v>331</v>
      </c>
      <c r="B2771" s="109" t="s">
        <v>124</v>
      </c>
      <c r="C2771" s="109">
        <v>170</v>
      </c>
    </row>
    <row r="2772" spans="1:3" ht="24" x14ac:dyDescent="0.3">
      <c r="A2772" s="109" t="s">
        <v>331</v>
      </c>
      <c r="B2772" s="109" t="s">
        <v>125</v>
      </c>
      <c r="C2772" s="109">
        <v>220</v>
      </c>
    </row>
    <row r="2773" spans="1:3" ht="24" x14ac:dyDescent="0.3">
      <c r="A2773" s="109" t="s">
        <v>331</v>
      </c>
      <c r="B2773" s="109" t="s">
        <v>126</v>
      </c>
      <c r="C2773" s="109">
        <v>7</v>
      </c>
    </row>
    <row r="2774" spans="1:3" ht="24" x14ac:dyDescent="0.3">
      <c r="A2774" s="109" t="s">
        <v>9</v>
      </c>
      <c r="B2774" s="109" t="s">
        <v>206</v>
      </c>
      <c r="C2774" s="109" t="s">
        <v>59</v>
      </c>
    </row>
    <row r="2775" spans="1:3" ht="24" x14ac:dyDescent="0.3">
      <c r="A2775" s="109" t="s">
        <v>9</v>
      </c>
      <c r="B2775" s="109" t="s">
        <v>62</v>
      </c>
      <c r="C2775" s="109">
        <v>37</v>
      </c>
    </row>
    <row r="2776" spans="1:3" ht="24" x14ac:dyDescent="0.3">
      <c r="A2776" s="109" t="s">
        <v>9</v>
      </c>
      <c r="B2776" s="109" t="s">
        <v>63</v>
      </c>
      <c r="C2776" s="109">
        <v>40</v>
      </c>
    </row>
    <row r="2777" spans="1:3" ht="24" x14ac:dyDescent="0.3">
      <c r="A2777" s="109" t="s">
        <v>9</v>
      </c>
      <c r="B2777" s="109" t="s">
        <v>64</v>
      </c>
      <c r="C2777" s="109">
        <v>40</v>
      </c>
    </row>
    <row r="2778" spans="1:3" ht="24" x14ac:dyDescent="0.3">
      <c r="A2778" s="109" t="s">
        <v>9</v>
      </c>
      <c r="B2778" s="109" t="s">
        <v>65</v>
      </c>
      <c r="C2778" s="109">
        <v>90</v>
      </c>
    </row>
    <row r="2779" spans="1:3" ht="24" x14ac:dyDescent="0.3">
      <c r="A2779" s="109" t="s">
        <v>9</v>
      </c>
      <c r="B2779" s="109" t="s">
        <v>66</v>
      </c>
      <c r="C2779" s="109">
        <v>55</v>
      </c>
    </row>
    <row r="2780" spans="1:3" ht="24" x14ac:dyDescent="0.3">
      <c r="A2780" s="109" t="s">
        <v>9</v>
      </c>
      <c r="B2780" s="109" t="s">
        <v>67</v>
      </c>
      <c r="C2780" s="109">
        <v>38</v>
      </c>
    </row>
    <row r="2781" spans="1:3" ht="24" x14ac:dyDescent="0.3">
      <c r="A2781" s="109" t="s">
        <v>9</v>
      </c>
      <c r="B2781" s="109" t="s">
        <v>68</v>
      </c>
      <c r="C2781" s="109">
        <v>0</v>
      </c>
    </row>
    <row r="2782" spans="1:3" ht="24" x14ac:dyDescent="0.3">
      <c r="A2782" s="109" t="s">
        <v>9</v>
      </c>
      <c r="B2782" s="109" t="s">
        <v>69</v>
      </c>
      <c r="C2782" s="109">
        <v>37.5</v>
      </c>
    </row>
    <row r="2783" spans="1:3" ht="24" x14ac:dyDescent="0.3">
      <c r="A2783" s="109" t="s">
        <v>9</v>
      </c>
      <c r="B2783" s="109" t="s">
        <v>70</v>
      </c>
      <c r="C2783" s="109">
        <v>70</v>
      </c>
    </row>
    <row r="2784" spans="1:3" ht="24" x14ac:dyDescent="0.3">
      <c r="A2784" s="109" t="s">
        <v>9</v>
      </c>
      <c r="B2784" s="109" t="s">
        <v>71</v>
      </c>
      <c r="C2784" s="109">
        <v>70</v>
      </c>
    </row>
    <row r="2785" spans="1:3" ht="24" x14ac:dyDescent="0.3">
      <c r="A2785" s="109" t="s">
        <v>9</v>
      </c>
      <c r="B2785" s="109" t="s">
        <v>72</v>
      </c>
      <c r="C2785" s="109">
        <v>250</v>
      </c>
    </row>
    <row r="2786" spans="1:3" ht="24" x14ac:dyDescent="0.3">
      <c r="A2786" s="109" t="s">
        <v>9</v>
      </c>
      <c r="B2786" s="109" t="s">
        <v>73</v>
      </c>
      <c r="C2786" s="109">
        <v>130</v>
      </c>
    </row>
    <row r="2787" spans="1:3" ht="24" x14ac:dyDescent="0.3">
      <c r="A2787" s="109" t="s">
        <v>9</v>
      </c>
      <c r="B2787" s="109" t="s">
        <v>74</v>
      </c>
      <c r="C2787" s="109">
        <v>0</v>
      </c>
    </row>
    <row r="2788" spans="1:3" ht="24" x14ac:dyDescent="0.3">
      <c r="A2788" s="109" t="s">
        <v>9</v>
      </c>
      <c r="B2788" s="109" t="s">
        <v>75</v>
      </c>
      <c r="C2788" s="109">
        <v>0</v>
      </c>
    </row>
    <row r="2789" spans="1:3" ht="24" x14ac:dyDescent="0.3">
      <c r="A2789" s="109" t="s">
        <v>9</v>
      </c>
      <c r="B2789" s="109" t="s">
        <v>76</v>
      </c>
      <c r="C2789" s="109">
        <v>0</v>
      </c>
    </row>
    <row r="2790" spans="1:3" ht="24" x14ac:dyDescent="0.3">
      <c r="A2790" s="109" t="s">
        <v>9</v>
      </c>
      <c r="B2790" s="109" t="s">
        <v>77</v>
      </c>
      <c r="C2790" s="109">
        <v>550</v>
      </c>
    </row>
    <row r="2791" spans="1:3" ht="24" x14ac:dyDescent="0.3">
      <c r="A2791" s="109" t="s">
        <v>9</v>
      </c>
      <c r="B2791" s="109" t="s">
        <v>78</v>
      </c>
      <c r="C2791" s="109">
        <v>46</v>
      </c>
    </row>
    <row r="2792" spans="1:3" ht="24" x14ac:dyDescent="0.3">
      <c r="A2792" s="109" t="s">
        <v>9</v>
      </c>
      <c r="B2792" s="109" t="s">
        <v>79</v>
      </c>
      <c r="C2792" s="109">
        <v>170</v>
      </c>
    </row>
    <row r="2793" spans="1:3" ht="24" x14ac:dyDescent="0.3">
      <c r="A2793" s="109" t="s">
        <v>9</v>
      </c>
      <c r="B2793" s="109" t="s">
        <v>80</v>
      </c>
      <c r="C2793" s="109">
        <v>60</v>
      </c>
    </row>
    <row r="2794" spans="1:3" ht="24" x14ac:dyDescent="0.3">
      <c r="A2794" s="109" t="s">
        <v>9</v>
      </c>
      <c r="B2794" s="109" t="s">
        <v>81</v>
      </c>
      <c r="C2794" s="109">
        <v>60</v>
      </c>
    </row>
    <row r="2795" spans="1:3" ht="24" x14ac:dyDescent="0.3">
      <c r="A2795" s="109" t="s">
        <v>9</v>
      </c>
      <c r="B2795" s="109" t="s">
        <v>83</v>
      </c>
      <c r="C2795" s="109">
        <v>93</v>
      </c>
    </row>
    <row r="2796" spans="1:3" ht="24" x14ac:dyDescent="0.3">
      <c r="A2796" s="109" t="s">
        <v>9</v>
      </c>
      <c r="B2796" s="109" t="s">
        <v>84</v>
      </c>
      <c r="C2796" s="109">
        <v>115.08928571428571</v>
      </c>
    </row>
    <row r="2797" spans="1:3" ht="24" x14ac:dyDescent="0.3">
      <c r="A2797" s="109" t="s">
        <v>9</v>
      </c>
      <c r="B2797" s="109" t="s">
        <v>85</v>
      </c>
      <c r="C2797" s="109">
        <v>0</v>
      </c>
    </row>
    <row r="2798" spans="1:3" ht="24" x14ac:dyDescent="0.3">
      <c r="A2798" s="109" t="s">
        <v>9</v>
      </c>
      <c r="B2798" s="109" t="s">
        <v>86</v>
      </c>
      <c r="C2798" s="109">
        <v>0</v>
      </c>
    </row>
    <row r="2799" spans="1:3" ht="24" x14ac:dyDescent="0.3">
      <c r="A2799" s="109" t="s">
        <v>9</v>
      </c>
      <c r="B2799" s="109" t="s">
        <v>87</v>
      </c>
      <c r="C2799" s="109">
        <v>486</v>
      </c>
    </row>
    <row r="2800" spans="1:3" ht="24" x14ac:dyDescent="0.3">
      <c r="A2800" s="109" t="s">
        <v>9</v>
      </c>
      <c r="B2800" s="109" t="s">
        <v>88</v>
      </c>
      <c r="C2800" s="109">
        <v>198</v>
      </c>
    </row>
    <row r="2801" spans="1:3" ht="24" x14ac:dyDescent="0.3">
      <c r="A2801" s="109" t="s">
        <v>9</v>
      </c>
      <c r="B2801" s="109" t="s">
        <v>89</v>
      </c>
      <c r="C2801" s="109">
        <v>0</v>
      </c>
    </row>
    <row r="2802" spans="1:3" ht="24" x14ac:dyDescent="0.3">
      <c r="A2802" s="109" t="s">
        <v>9</v>
      </c>
      <c r="B2802" s="109" t="s">
        <v>90</v>
      </c>
      <c r="C2802" s="109">
        <v>132</v>
      </c>
    </row>
    <row r="2803" spans="1:3" ht="24" x14ac:dyDescent="0.3">
      <c r="A2803" s="109" t="s">
        <v>9</v>
      </c>
      <c r="B2803" s="109" t="s">
        <v>92</v>
      </c>
      <c r="C2803" s="109">
        <v>320</v>
      </c>
    </row>
    <row r="2804" spans="1:3" ht="24" x14ac:dyDescent="0.3">
      <c r="A2804" s="109" t="s">
        <v>9</v>
      </c>
      <c r="B2804" s="109" t="s">
        <v>93</v>
      </c>
      <c r="C2804" s="109">
        <v>710</v>
      </c>
    </row>
    <row r="2805" spans="1:3" ht="24" x14ac:dyDescent="0.3">
      <c r="A2805" s="109" t="s">
        <v>9</v>
      </c>
      <c r="B2805" s="109" t="s">
        <v>94</v>
      </c>
      <c r="C2805" s="109">
        <v>230</v>
      </c>
    </row>
    <row r="2806" spans="1:3" ht="24" x14ac:dyDescent="0.3">
      <c r="A2806" s="109" t="s">
        <v>9</v>
      </c>
      <c r="B2806" s="109" t="s">
        <v>95</v>
      </c>
      <c r="C2806" s="109">
        <v>380</v>
      </c>
    </row>
    <row r="2807" spans="1:3" ht="24" x14ac:dyDescent="0.3">
      <c r="A2807" s="109" t="s">
        <v>9</v>
      </c>
      <c r="B2807" s="109" t="s">
        <v>96</v>
      </c>
      <c r="C2807" s="109">
        <v>200</v>
      </c>
    </row>
    <row r="2808" spans="1:3" ht="24" x14ac:dyDescent="0.3">
      <c r="A2808" s="109" t="s">
        <v>9</v>
      </c>
      <c r="B2808" s="109" t="s">
        <v>97</v>
      </c>
      <c r="C2808" s="109">
        <v>750</v>
      </c>
    </row>
    <row r="2809" spans="1:3" ht="24" x14ac:dyDescent="0.3">
      <c r="A2809" s="109" t="s">
        <v>9</v>
      </c>
      <c r="B2809" s="109" t="s">
        <v>98</v>
      </c>
      <c r="C2809" s="109">
        <v>2000</v>
      </c>
    </row>
    <row r="2810" spans="1:3" ht="24" x14ac:dyDescent="0.3">
      <c r="A2810" s="109" t="s">
        <v>9</v>
      </c>
      <c r="B2810" s="109" t="s">
        <v>99</v>
      </c>
      <c r="C2810" s="109">
        <v>14</v>
      </c>
    </row>
    <row r="2811" spans="1:3" ht="24" x14ac:dyDescent="0.3">
      <c r="A2811" s="109" t="s">
        <v>9</v>
      </c>
      <c r="B2811" s="109" t="s">
        <v>100</v>
      </c>
      <c r="C2811" s="109">
        <v>13</v>
      </c>
    </row>
    <row r="2812" spans="1:3" ht="24" x14ac:dyDescent="0.3">
      <c r="A2812" s="109" t="s">
        <v>9</v>
      </c>
      <c r="B2812" s="109" t="s">
        <v>101</v>
      </c>
      <c r="C2812" s="109">
        <v>0</v>
      </c>
    </row>
    <row r="2813" spans="1:3" ht="24" x14ac:dyDescent="0.3">
      <c r="A2813" s="109" t="s">
        <v>9</v>
      </c>
      <c r="B2813" s="109" t="s">
        <v>102</v>
      </c>
      <c r="C2813" s="109">
        <v>0</v>
      </c>
    </row>
    <row r="2814" spans="1:3" ht="24" x14ac:dyDescent="0.3">
      <c r="A2814" s="109" t="s">
        <v>9</v>
      </c>
      <c r="B2814" s="109" t="s">
        <v>103</v>
      </c>
      <c r="C2814" s="109">
        <v>310</v>
      </c>
    </row>
    <row r="2815" spans="1:3" ht="24" x14ac:dyDescent="0.3">
      <c r="A2815" s="109" t="s">
        <v>9</v>
      </c>
      <c r="B2815" s="109" t="s">
        <v>104</v>
      </c>
      <c r="C2815" s="109">
        <v>700</v>
      </c>
    </row>
    <row r="2816" spans="1:3" ht="24" x14ac:dyDescent="0.3">
      <c r="A2816" s="109" t="s">
        <v>9</v>
      </c>
      <c r="B2816" s="109" t="s">
        <v>105</v>
      </c>
      <c r="C2816" s="109">
        <v>0</v>
      </c>
    </row>
    <row r="2817" spans="1:3" ht="24" x14ac:dyDescent="0.3">
      <c r="A2817" s="109" t="s">
        <v>9</v>
      </c>
      <c r="B2817" s="109" t="s">
        <v>106</v>
      </c>
      <c r="C2817" s="109">
        <v>350</v>
      </c>
    </row>
    <row r="2818" spans="1:3" ht="24" x14ac:dyDescent="0.3">
      <c r="A2818" s="109" t="s">
        <v>9</v>
      </c>
      <c r="B2818" s="109" t="s">
        <v>107</v>
      </c>
      <c r="C2818" s="109">
        <v>0</v>
      </c>
    </row>
    <row r="2819" spans="1:3" ht="24" x14ac:dyDescent="0.3">
      <c r="A2819" s="109" t="s">
        <v>9</v>
      </c>
      <c r="B2819" s="109" t="s">
        <v>108</v>
      </c>
      <c r="C2819" s="109">
        <v>0</v>
      </c>
    </row>
    <row r="2820" spans="1:3" ht="24" x14ac:dyDescent="0.3">
      <c r="A2820" s="109" t="s">
        <v>9</v>
      </c>
      <c r="B2820" s="109" t="s">
        <v>109</v>
      </c>
      <c r="C2820" s="109">
        <v>0</v>
      </c>
    </row>
    <row r="2821" spans="1:3" ht="24" x14ac:dyDescent="0.3">
      <c r="A2821" s="109" t="s">
        <v>9</v>
      </c>
      <c r="B2821" s="109" t="s">
        <v>110</v>
      </c>
      <c r="C2821" s="109">
        <v>2250</v>
      </c>
    </row>
    <row r="2822" spans="1:3" ht="24" x14ac:dyDescent="0.3">
      <c r="A2822" s="109" t="s">
        <v>9</v>
      </c>
      <c r="B2822" s="109" t="s">
        <v>111</v>
      </c>
      <c r="C2822" s="109">
        <v>0</v>
      </c>
    </row>
    <row r="2823" spans="1:3" ht="24" x14ac:dyDescent="0.3">
      <c r="A2823" s="109" t="s">
        <v>9</v>
      </c>
      <c r="B2823" s="109" t="s">
        <v>112</v>
      </c>
      <c r="C2823" s="109">
        <v>0</v>
      </c>
    </row>
    <row r="2824" spans="1:3" ht="24" x14ac:dyDescent="0.3">
      <c r="A2824" s="109" t="s">
        <v>9</v>
      </c>
      <c r="B2824" s="109" t="s">
        <v>113</v>
      </c>
      <c r="C2824" s="109">
        <v>0</v>
      </c>
    </row>
    <row r="2825" spans="1:3" ht="24" x14ac:dyDescent="0.3">
      <c r="A2825" s="109" t="s">
        <v>9</v>
      </c>
      <c r="B2825" s="109" t="s">
        <v>114</v>
      </c>
      <c r="C2825" s="109">
        <v>0</v>
      </c>
    </row>
    <row r="2826" spans="1:3" ht="24" x14ac:dyDescent="0.3">
      <c r="A2826" s="109" t="s">
        <v>9</v>
      </c>
      <c r="B2826" s="109" t="s">
        <v>115</v>
      </c>
      <c r="C2826" s="109">
        <v>0</v>
      </c>
    </row>
    <row r="2827" spans="1:3" ht="24" x14ac:dyDescent="0.3">
      <c r="A2827" s="109" t="s">
        <v>9</v>
      </c>
      <c r="B2827" s="109" t="s">
        <v>116</v>
      </c>
      <c r="C2827" s="109">
        <v>0</v>
      </c>
    </row>
    <row r="2828" spans="1:3" ht="24" x14ac:dyDescent="0.3">
      <c r="A2828" s="109" t="s">
        <v>9</v>
      </c>
      <c r="B2828" s="109" t="s">
        <v>117</v>
      </c>
      <c r="C2828" s="109">
        <v>0</v>
      </c>
    </row>
    <row r="2829" spans="1:3" ht="24" x14ac:dyDescent="0.3">
      <c r="A2829" s="109" t="s">
        <v>9</v>
      </c>
      <c r="B2829" s="109" t="s">
        <v>118</v>
      </c>
      <c r="C2829" s="109">
        <v>0</v>
      </c>
    </row>
    <row r="2830" spans="1:3" ht="24" x14ac:dyDescent="0.3">
      <c r="A2830" s="109" t="s">
        <v>9</v>
      </c>
      <c r="B2830" s="109" t="s">
        <v>120</v>
      </c>
      <c r="C2830" s="109">
        <v>0</v>
      </c>
    </row>
    <row r="2831" spans="1:3" ht="24" x14ac:dyDescent="0.3">
      <c r="A2831" s="109" t="s">
        <v>9</v>
      </c>
      <c r="B2831" s="109" t="s">
        <v>121</v>
      </c>
      <c r="C2831" s="109">
        <v>0</v>
      </c>
    </row>
    <row r="2832" spans="1:3" ht="24" x14ac:dyDescent="0.3">
      <c r="A2832" s="109" t="s">
        <v>9</v>
      </c>
      <c r="B2832" s="109" t="s">
        <v>122</v>
      </c>
      <c r="C2832" s="109">
        <v>150</v>
      </c>
    </row>
    <row r="2833" spans="1:3" ht="24" x14ac:dyDescent="0.3">
      <c r="A2833" s="109" t="s">
        <v>9</v>
      </c>
      <c r="B2833" s="109" t="s">
        <v>123</v>
      </c>
      <c r="C2833" s="109">
        <v>0</v>
      </c>
    </row>
    <row r="2834" spans="1:3" ht="24" x14ac:dyDescent="0.3">
      <c r="A2834" s="109" t="s">
        <v>9</v>
      </c>
      <c r="B2834" s="109" t="s">
        <v>124</v>
      </c>
      <c r="C2834" s="109">
        <v>160</v>
      </c>
    </row>
    <row r="2835" spans="1:3" ht="24" x14ac:dyDescent="0.3">
      <c r="A2835" s="109" t="s">
        <v>9</v>
      </c>
      <c r="B2835" s="109" t="s">
        <v>125</v>
      </c>
      <c r="C2835" s="109">
        <v>0</v>
      </c>
    </row>
    <row r="2836" spans="1:3" ht="24" x14ac:dyDescent="0.3">
      <c r="A2836" s="109" t="s">
        <v>9</v>
      </c>
      <c r="B2836" s="109" t="s">
        <v>126</v>
      </c>
      <c r="C2836" s="109">
        <v>0</v>
      </c>
    </row>
    <row r="2837" spans="1:3" ht="24" x14ac:dyDescent="0.3">
      <c r="A2837" s="109" t="s">
        <v>10</v>
      </c>
      <c r="B2837" s="109" t="s">
        <v>206</v>
      </c>
      <c r="C2837" s="109" t="s">
        <v>59</v>
      </c>
    </row>
    <row r="2838" spans="1:3" ht="24" x14ac:dyDescent="0.3">
      <c r="A2838" s="109" t="s">
        <v>10</v>
      </c>
      <c r="B2838" s="109" t="s">
        <v>62</v>
      </c>
      <c r="C2838" s="109">
        <v>37</v>
      </c>
    </row>
    <row r="2839" spans="1:3" ht="24" x14ac:dyDescent="0.3">
      <c r="A2839" s="109" t="s">
        <v>10</v>
      </c>
      <c r="B2839" s="109" t="s">
        <v>63</v>
      </c>
      <c r="C2839" s="109">
        <v>40</v>
      </c>
    </row>
    <row r="2840" spans="1:3" ht="24" x14ac:dyDescent="0.3">
      <c r="A2840" s="109" t="s">
        <v>10</v>
      </c>
      <c r="B2840" s="109" t="s">
        <v>64</v>
      </c>
      <c r="C2840" s="109">
        <v>40</v>
      </c>
    </row>
    <row r="2841" spans="1:3" ht="24" x14ac:dyDescent="0.3">
      <c r="A2841" s="109" t="s">
        <v>10</v>
      </c>
      <c r="B2841" s="109" t="s">
        <v>65</v>
      </c>
      <c r="C2841" s="109">
        <v>80</v>
      </c>
    </row>
    <row r="2842" spans="1:3" ht="24" x14ac:dyDescent="0.3">
      <c r="A2842" s="109" t="s">
        <v>10</v>
      </c>
      <c r="B2842" s="109" t="s">
        <v>66</v>
      </c>
      <c r="C2842" s="109">
        <v>55</v>
      </c>
    </row>
    <row r="2843" spans="1:3" ht="24" x14ac:dyDescent="0.3">
      <c r="A2843" s="109" t="s">
        <v>10</v>
      </c>
      <c r="B2843" s="109" t="s">
        <v>67</v>
      </c>
      <c r="C2843" s="109">
        <v>38</v>
      </c>
    </row>
    <row r="2844" spans="1:3" ht="24" x14ac:dyDescent="0.3">
      <c r="A2844" s="109" t="s">
        <v>10</v>
      </c>
      <c r="B2844" s="109" t="s">
        <v>68</v>
      </c>
      <c r="C2844" s="109">
        <v>0</v>
      </c>
    </row>
    <row r="2845" spans="1:3" ht="24" x14ac:dyDescent="0.3">
      <c r="A2845" s="109" t="s">
        <v>10</v>
      </c>
      <c r="B2845" s="109" t="s">
        <v>69</v>
      </c>
      <c r="C2845" s="109">
        <v>90</v>
      </c>
    </row>
    <row r="2846" spans="1:3" ht="24" x14ac:dyDescent="0.3">
      <c r="A2846" s="109" t="s">
        <v>10</v>
      </c>
      <c r="B2846" s="109" t="s">
        <v>70</v>
      </c>
      <c r="C2846" s="109">
        <v>70</v>
      </c>
    </row>
    <row r="2847" spans="1:3" ht="24" x14ac:dyDescent="0.3">
      <c r="A2847" s="109" t="s">
        <v>10</v>
      </c>
      <c r="B2847" s="109" t="s">
        <v>71</v>
      </c>
      <c r="C2847" s="109">
        <v>70</v>
      </c>
    </row>
    <row r="2848" spans="1:3" ht="24" x14ac:dyDescent="0.3">
      <c r="A2848" s="109" t="s">
        <v>10</v>
      </c>
      <c r="B2848" s="109" t="s">
        <v>72</v>
      </c>
      <c r="C2848" s="109">
        <v>0</v>
      </c>
    </row>
    <row r="2849" spans="1:3" ht="24" x14ac:dyDescent="0.3">
      <c r="A2849" s="109" t="s">
        <v>10</v>
      </c>
      <c r="B2849" s="109" t="s">
        <v>73</v>
      </c>
      <c r="C2849" s="109">
        <v>130</v>
      </c>
    </row>
    <row r="2850" spans="1:3" ht="24" x14ac:dyDescent="0.3">
      <c r="A2850" s="109" t="s">
        <v>10</v>
      </c>
      <c r="B2850" s="109" t="s">
        <v>74</v>
      </c>
      <c r="C2850" s="109">
        <v>650</v>
      </c>
    </row>
    <row r="2851" spans="1:3" ht="24" x14ac:dyDescent="0.3">
      <c r="A2851" s="109" t="s">
        <v>10</v>
      </c>
      <c r="B2851" s="109" t="s">
        <v>75</v>
      </c>
      <c r="C2851" s="109">
        <v>650</v>
      </c>
    </row>
    <row r="2852" spans="1:3" ht="24" x14ac:dyDescent="0.3">
      <c r="A2852" s="109" t="s">
        <v>10</v>
      </c>
      <c r="B2852" s="109" t="s">
        <v>76</v>
      </c>
      <c r="C2852" s="109">
        <v>0</v>
      </c>
    </row>
    <row r="2853" spans="1:3" ht="24" x14ac:dyDescent="0.3">
      <c r="A2853" s="109" t="s">
        <v>10</v>
      </c>
      <c r="B2853" s="109" t="s">
        <v>77</v>
      </c>
      <c r="C2853" s="109">
        <v>550</v>
      </c>
    </row>
    <row r="2854" spans="1:3" ht="24" x14ac:dyDescent="0.3">
      <c r="A2854" s="109" t="s">
        <v>10</v>
      </c>
      <c r="B2854" s="109" t="s">
        <v>78</v>
      </c>
      <c r="C2854" s="109">
        <v>46</v>
      </c>
    </row>
    <row r="2855" spans="1:3" ht="24" x14ac:dyDescent="0.3">
      <c r="A2855" s="109" t="s">
        <v>10</v>
      </c>
      <c r="B2855" s="109" t="s">
        <v>79</v>
      </c>
      <c r="C2855" s="109">
        <v>170</v>
      </c>
    </row>
    <row r="2856" spans="1:3" ht="24" x14ac:dyDescent="0.3">
      <c r="A2856" s="109" t="s">
        <v>10</v>
      </c>
      <c r="B2856" s="109" t="s">
        <v>80</v>
      </c>
      <c r="C2856" s="109">
        <v>60</v>
      </c>
    </row>
    <row r="2857" spans="1:3" ht="24" x14ac:dyDescent="0.3">
      <c r="A2857" s="109" t="s">
        <v>10</v>
      </c>
      <c r="B2857" s="109" t="s">
        <v>81</v>
      </c>
      <c r="C2857" s="109">
        <v>60</v>
      </c>
    </row>
    <row r="2858" spans="1:3" ht="24" x14ac:dyDescent="0.3">
      <c r="A2858" s="109" t="s">
        <v>10</v>
      </c>
      <c r="B2858" s="109" t="s">
        <v>83</v>
      </c>
      <c r="C2858" s="109">
        <v>97.8</v>
      </c>
    </row>
    <row r="2859" spans="1:3" ht="24" x14ac:dyDescent="0.3">
      <c r="A2859" s="109" t="s">
        <v>10</v>
      </c>
      <c r="B2859" s="109" t="s">
        <v>84</v>
      </c>
      <c r="C2859" s="109">
        <v>116</v>
      </c>
    </row>
    <row r="2860" spans="1:3" ht="24" x14ac:dyDescent="0.3">
      <c r="A2860" s="109" t="s">
        <v>10</v>
      </c>
      <c r="B2860" s="109" t="s">
        <v>85</v>
      </c>
      <c r="C2860" s="109">
        <v>40</v>
      </c>
    </row>
    <row r="2861" spans="1:3" ht="24" x14ac:dyDescent="0.3">
      <c r="A2861" s="109" t="s">
        <v>10</v>
      </c>
      <c r="B2861" s="109" t="s">
        <v>86</v>
      </c>
      <c r="C2861" s="109">
        <v>40</v>
      </c>
    </row>
    <row r="2862" spans="1:3" ht="24" x14ac:dyDescent="0.3">
      <c r="A2862" s="109" t="s">
        <v>10</v>
      </c>
      <c r="B2862" s="109" t="s">
        <v>87</v>
      </c>
      <c r="C2862" s="109">
        <v>485</v>
      </c>
    </row>
    <row r="2863" spans="1:3" ht="24" x14ac:dyDescent="0.3">
      <c r="A2863" s="109" t="s">
        <v>10</v>
      </c>
      <c r="B2863" s="109" t="s">
        <v>88</v>
      </c>
      <c r="C2863" s="109">
        <v>197</v>
      </c>
    </row>
    <row r="2864" spans="1:3" ht="24" x14ac:dyDescent="0.3">
      <c r="A2864" s="109" t="s">
        <v>10</v>
      </c>
      <c r="B2864" s="109" t="s">
        <v>89</v>
      </c>
      <c r="C2864" s="109">
        <v>0</v>
      </c>
    </row>
    <row r="2865" spans="1:3" ht="24" x14ac:dyDescent="0.3">
      <c r="A2865" s="109" t="s">
        <v>10</v>
      </c>
      <c r="B2865" s="109" t="s">
        <v>90</v>
      </c>
      <c r="C2865" s="109">
        <v>132</v>
      </c>
    </row>
    <row r="2866" spans="1:3" ht="24" x14ac:dyDescent="0.3">
      <c r="A2866" s="109" t="s">
        <v>10</v>
      </c>
      <c r="B2866" s="109" t="s">
        <v>92</v>
      </c>
      <c r="C2866" s="109">
        <v>340</v>
      </c>
    </row>
    <row r="2867" spans="1:3" ht="24" x14ac:dyDescent="0.3">
      <c r="A2867" s="109" t="s">
        <v>10</v>
      </c>
      <c r="B2867" s="109" t="s">
        <v>93</v>
      </c>
      <c r="C2867" s="109">
        <v>710</v>
      </c>
    </row>
    <row r="2868" spans="1:3" ht="24" x14ac:dyDescent="0.3">
      <c r="A2868" s="109" t="s">
        <v>10</v>
      </c>
      <c r="B2868" s="109" t="s">
        <v>94</v>
      </c>
      <c r="C2868" s="109">
        <v>0</v>
      </c>
    </row>
    <row r="2869" spans="1:3" ht="24" x14ac:dyDescent="0.3">
      <c r="A2869" s="109" t="s">
        <v>10</v>
      </c>
      <c r="B2869" s="109" t="s">
        <v>95</v>
      </c>
      <c r="C2869" s="109">
        <v>0</v>
      </c>
    </row>
    <row r="2870" spans="1:3" ht="24" x14ac:dyDescent="0.3">
      <c r="A2870" s="109" t="s">
        <v>10</v>
      </c>
      <c r="B2870" s="109" t="s">
        <v>96</v>
      </c>
      <c r="C2870" s="109">
        <v>220</v>
      </c>
    </row>
    <row r="2871" spans="1:3" ht="24" x14ac:dyDescent="0.3">
      <c r="A2871" s="109" t="s">
        <v>10</v>
      </c>
      <c r="B2871" s="109" t="s">
        <v>97</v>
      </c>
      <c r="C2871" s="109">
        <v>790</v>
      </c>
    </row>
    <row r="2872" spans="1:3" ht="24" x14ac:dyDescent="0.3">
      <c r="A2872" s="109" t="s">
        <v>10</v>
      </c>
      <c r="B2872" s="109" t="s">
        <v>98</v>
      </c>
      <c r="C2872" s="109">
        <v>1600</v>
      </c>
    </row>
    <row r="2873" spans="1:3" ht="24" x14ac:dyDescent="0.3">
      <c r="A2873" s="109" t="s">
        <v>10</v>
      </c>
      <c r="B2873" s="109" t="s">
        <v>99</v>
      </c>
      <c r="C2873" s="109">
        <v>0</v>
      </c>
    </row>
    <row r="2874" spans="1:3" ht="24" x14ac:dyDescent="0.3">
      <c r="A2874" s="109" t="s">
        <v>10</v>
      </c>
      <c r="B2874" s="109" t="s">
        <v>100</v>
      </c>
      <c r="C2874" s="109">
        <v>14</v>
      </c>
    </row>
    <row r="2875" spans="1:3" ht="24" x14ac:dyDescent="0.3">
      <c r="A2875" s="109" t="s">
        <v>10</v>
      </c>
      <c r="B2875" s="109" t="s">
        <v>101</v>
      </c>
      <c r="C2875" s="109">
        <v>0</v>
      </c>
    </row>
    <row r="2876" spans="1:3" ht="24" x14ac:dyDescent="0.3">
      <c r="A2876" s="109" t="s">
        <v>10</v>
      </c>
      <c r="B2876" s="109" t="s">
        <v>102</v>
      </c>
      <c r="C2876" s="109">
        <v>0</v>
      </c>
    </row>
    <row r="2877" spans="1:3" ht="24" x14ac:dyDescent="0.3">
      <c r="A2877" s="109" t="s">
        <v>10</v>
      </c>
      <c r="B2877" s="109" t="s">
        <v>103</v>
      </c>
      <c r="C2877" s="109">
        <v>0</v>
      </c>
    </row>
    <row r="2878" spans="1:3" ht="24" x14ac:dyDescent="0.3">
      <c r="A2878" s="109" t="s">
        <v>10</v>
      </c>
      <c r="B2878" s="109" t="s">
        <v>104</v>
      </c>
      <c r="C2878" s="109">
        <v>700</v>
      </c>
    </row>
    <row r="2879" spans="1:3" ht="24" x14ac:dyDescent="0.3">
      <c r="A2879" s="109" t="s">
        <v>10</v>
      </c>
      <c r="B2879" s="109" t="s">
        <v>105</v>
      </c>
      <c r="C2879" s="109">
        <v>0</v>
      </c>
    </row>
    <row r="2880" spans="1:3" ht="24" x14ac:dyDescent="0.3">
      <c r="A2880" s="109" t="s">
        <v>10</v>
      </c>
      <c r="B2880" s="109" t="s">
        <v>106</v>
      </c>
      <c r="C2880" s="109">
        <v>390</v>
      </c>
    </row>
    <row r="2881" spans="1:3" ht="24" x14ac:dyDescent="0.3">
      <c r="A2881" s="109" t="s">
        <v>10</v>
      </c>
      <c r="B2881" s="109" t="s">
        <v>107</v>
      </c>
      <c r="C2881" s="109">
        <v>0</v>
      </c>
    </row>
    <row r="2882" spans="1:3" ht="24" x14ac:dyDescent="0.3">
      <c r="A2882" s="109" t="s">
        <v>10</v>
      </c>
      <c r="B2882" s="109" t="s">
        <v>108</v>
      </c>
      <c r="C2882" s="109">
        <v>0</v>
      </c>
    </row>
    <row r="2883" spans="1:3" ht="24" x14ac:dyDescent="0.3">
      <c r="A2883" s="109" t="s">
        <v>10</v>
      </c>
      <c r="B2883" s="109" t="s">
        <v>109</v>
      </c>
      <c r="C2883" s="109">
        <v>0</v>
      </c>
    </row>
    <row r="2884" spans="1:3" ht="24" x14ac:dyDescent="0.3">
      <c r="A2884" s="109" t="s">
        <v>10</v>
      </c>
      <c r="B2884" s="109" t="s">
        <v>110</v>
      </c>
      <c r="C2884" s="109">
        <v>0</v>
      </c>
    </row>
    <row r="2885" spans="1:3" ht="24" x14ac:dyDescent="0.3">
      <c r="A2885" s="109" t="s">
        <v>10</v>
      </c>
      <c r="B2885" s="109" t="s">
        <v>111</v>
      </c>
      <c r="C2885" s="109">
        <v>0</v>
      </c>
    </row>
    <row r="2886" spans="1:3" ht="24" x14ac:dyDescent="0.3">
      <c r="A2886" s="109" t="s">
        <v>10</v>
      </c>
      <c r="B2886" s="109" t="s">
        <v>112</v>
      </c>
      <c r="C2886" s="109">
        <v>0</v>
      </c>
    </row>
    <row r="2887" spans="1:3" ht="24" x14ac:dyDescent="0.3">
      <c r="A2887" s="109" t="s">
        <v>10</v>
      </c>
      <c r="B2887" s="109" t="s">
        <v>113</v>
      </c>
      <c r="C2887" s="109">
        <v>0</v>
      </c>
    </row>
    <row r="2888" spans="1:3" ht="24" x14ac:dyDescent="0.3">
      <c r="A2888" s="109" t="s">
        <v>10</v>
      </c>
      <c r="B2888" s="109" t="s">
        <v>114</v>
      </c>
      <c r="C2888" s="109">
        <v>0</v>
      </c>
    </row>
    <row r="2889" spans="1:3" ht="24" x14ac:dyDescent="0.3">
      <c r="A2889" s="109" t="s">
        <v>10</v>
      </c>
      <c r="B2889" s="109" t="s">
        <v>115</v>
      </c>
      <c r="C2889" s="109">
        <v>0</v>
      </c>
    </row>
    <row r="2890" spans="1:3" ht="24" x14ac:dyDescent="0.3">
      <c r="A2890" s="109" t="s">
        <v>10</v>
      </c>
      <c r="B2890" s="109" t="s">
        <v>116</v>
      </c>
      <c r="C2890" s="109">
        <v>0</v>
      </c>
    </row>
    <row r="2891" spans="1:3" ht="24" x14ac:dyDescent="0.3">
      <c r="A2891" s="109" t="s">
        <v>10</v>
      </c>
      <c r="B2891" s="109" t="s">
        <v>117</v>
      </c>
      <c r="C2891" s="109">
        <v>0</v>
      </c>
    </row>
    <row r="2892" spans="1:3" ht="24" x14ac:dyDescent="0.3">
      <c r="A2892" s="109" t="s">
        <v>10</v>
      </c>
      <c r="B2892" s="109" t="s">
        <v>118</v>
      </c>
      <c r="C2892" s="109">
        <v>0</v>
      </c>
    </row>
    <row r="2893" spans="1:3" ht="24" x14ac:dyDescent="0.3">
      <c r="A2893" s="109" t="s">
        <v>10</v>
      </c>
      <c r="B2893" s="109" t="s">
        <v>120</v>
      </c>
      <c r="C2893" s="109">
        <v>0</v>
      </c>
    </row>
    <row r="2894" spans="1:3" ht="24" x14ac:dyDescent="0.3">
      <c r="A2894" s="109" t="s">
        <v>10</v>
      </c>
      <c r="B2894" s="109" t="s">
        <v>121</v>
      </c>
      <c r="C2894" s="109">
        <v>0</v>
      </c>
    </row>
    <row r="2895" spans="1:3" ht="24" x14ac:dyDescent="0.3">
      <c r="A2895" s="109" t="s">
        <v>10</v>
      </c>
      <c r="B2895" s="109" t="s">
        <v>122</v>
      </c>
      <c r="C2895" s="109">
        <v>0</v>
      </c>
    </row>
    <row r="2896" spans="1:3" ht="24" x14ac:dyDescent="0.3">
      <c r="A2896" s="109" t="s">
        <v>10</v>
      </c>
      <c r="B2896" s="109" t="s">
        <v>123</v>
      </c>
      <c r="C2896" s="109">
        <v>0</v>
      </c>
    </row>
    <row r="2897" spans="1:3" ht="24" x14ac:dyDescent="0.3">
      <c r="A2897" s="109" t="s">
        <v>10</v>
      </c>
      <c r="B2897" s="109" t="s">
        <v>124</v>
      </c>
      <c r="C2897" s="109">
        <v>160</v>
      </c>
    </row>
    <row r="2898" spans="1:3" ht="24" x14ac:dyDescent="0.3">
      <c r="A2898" s="109" t="s">
        <v>10</v>
      </c>
      <c r="B2898" s="109" t="s">
        <v>125</v>
      </c>
      <c r="C2898" s="109">
        <v>0</v>
      </c>
    </row>
    <row r="2899" spans="1:3" ht="24" x14ac:dyDescent="0.3">
      <c r="A2899" s="109" t="s">
        <v>10</v>
      </c>
      <c r="B2899" s="109" t="s">
        <v>126</v>
      </c>
      <c r="C2899" s="109">
        <v>5.0949999999999998</v>
      </c>
    </row>
    <row r="2900" spans="1:3" ht="24" x14ac:dyDescent="0.3">
      <c r="A2900" s="109" t="s">
        <v>11</v>
      </c>
      <c r="B2900" s="109" t="s">
        <v>206</v>
      </c>
      <c r="C2900" s="109" t="s">
        <v>59</v>
      </c>
    </row>
    <row r="2901" spans="1:3" ht="24" x14ac:dyDescent="0.3">
      <c r="A2901" s="109" t="s">
        <v>11</v>
      </c>
      <c r="B2901" s="109" t="s">
        <v>62</v>
      </c>
      <c r="C2901" s="109">
        <v>37</v>
      </c>
    </row>
    <row r="2902" spans="1:3" ht="24" x14ac:dyDescent="0.3">
      <c r="A2902" s="109" t="s">
        <v>11</v>
      </c>
      <c r="B2902" s="109" t="s">
        <v>63</v>
      </c>
      <c r="C2902" s="109">
        <v>40</v>
      </c>
    </row>
    <row r="2903" spans="1:3" ht="24" x14ac:dyDescent="0.3">
      <c r="A2903" s="109" t="s">
        <v>11</v>
      </c>
      <c r="B2903" s="109" t="s">
        <v>64</v>
      </c>
      <c r="C2903" s="109">
        <v>0</v>
      </c>
    </row>
    <row r="2904" spans="1:3" ht="24" x14ac:dyDescent="0.3">
      <c r="A2904" s="109" t="s">
        <v>11</v>
      </c>
      <c r="B2904" s="109" t="s">
        <v>65</v>
      </c>
      <c r="C2904" s="109">
        <v>75</v>
      </c>
    </row>
    <row r="2905" spans="1:3" ht="24" x14ac:dyDescent="0.3">
      <c r="A2905" s="109" t="s">
        <v>11</v>
      </c>
      <c r="B2905" s="109" t="s">
        <v>66</v>
      </c>
      <c r="C2905" s="109">
        <v>55</v>
      </c>
    </row>
    <row r="2906" spans="1:3" ht="24" x14ac:dyDescent="0.3">
      <c r="A2906" s="109" t="s">
        <v>11</v>
      </c>
      <c r="B2906" s="109" t="s">
        <v>67</v>
      </c>
      <c r="C2906" s="109">
        <v>0</v>
      </c>
    </row>
    <row r="2907" spans="1:3" ht="24" x14ac:dyDescent="0.3">
      <c r="A2907" s="109" t="s">
        <v>11</v>
      </c>
      <c r="B2907" s="109" t="s">
        <v>68</v>
      </c>
      <c r="C2907" s="109">
        <v>0</v>
      </c>
    </row>
    <row r="2908" spans="1:3" ht="24" x14ac:dyDescent="0.3">
      <c r="A2908" s="109" t="s">
        <v>11</v>
      </c>
      <c r="B2908" s="109" t="s">
        <v>69</v>
      </c>
      <c r="C2908" s="109">
        <v>150</v>
      </c>
    </row>
    <row r="2909" spans="1:3" ht="24" x14ac:dyDescent="0.3">
      <c r="A2909" s="109" t="s">
        <v>11</v>
      </c>
      <c r="B2909" s="109" t="s">
        <v>70</v>
      </c>
      <c r="C2909" s="109">
        <v>70</v>
      </c>
    </row>
    <row r="2910" spans="1:3" ht="24" x14ac:dyDescent="0.3">
      <c r="A2910" s="109" t="s">
        <v>11</v>
      </c>
      <c r="B2910" s="109" t="s">
        <v>71</v>
      </c>
      <c r="C2910" s="109">
        <v>70</v>
      </c>
    </row>
    <row r="2911" spans="1:3" ht="24" x14ac:dyDescent="0.3">
      <c r="A2911" s="109" t="s">
        <v>11</v>
      </c>
      <c r="B2911" s="109" t="s">
        <v>72</v>
      </c>
      <c r="C2911" s="109">
        <v>0</v>
      </c>
    </row>
    <row r="2912" spans="1:3" ht="24" x14ac:dyDescent="0.3">
      <c r="A2912" s="109" t="s">
        <v>11</v>
      </c>
      <c r="B2912" s="109" t="s">
        <v>73</v>
      </c>
      <c r="C2912" s="109">
        <v>70</v>
      </c>
    </row>
    <row r="2913" spans="1:3" ht="24" x14ac:dyDescent="0.3">
      <c r="A2913" s="109" t="s">
        <v>11</v>
      </c>
      <c r="B2913" s="109" t="s">
        <v>74</v>
      </c>
      <c r="C2913" s="109">
        <v>650</v>
      </c>
    </row>
    <row r="2914" spans="1:3" ht="24" x14ac:dyDescent="0.3">
      <c r="A2914" s="109" t="s">
        <v>11</v>
      </c>
      <c r="B2914" s="109" t="s">
        <v>75</v>
      </c>
      <c r="C2914" s="109">
        <v>650</v>
      </c>
    </row>
    <row r="2915" spans="1:3" ht="24" x14ac:dyDescent="0.3">
      <c r="A2915" s="109" t="s">
        <v>11</v>
      </c>
      <c r="B2915" s="109" t="s">
        <v>76</v>
      </c>
      <c r="C2915" s="109">
        <v>0</v>
      </c>
    </row>
    <row r="2916" spans="1:3" ht="24" x14ac:dyDescent="0.3">
      <c r="A2916" s="109" t="s">
        <v>11</v>
      </c>
      <c r="B2916" s="109" t="s">
        <v>77</v>
      </c>
      <c r="C2916" s="109">
        <v>550</v>
      </c>
    </row>
    <row r="2917" spans="1:3" ht="24" x14ac:dyDescent="0.3">
      <c r="A2917" s="109" t="s">
        <v>11</v>
      </c>
      <c r="B2917" s="109" t="s">
        <v>78</v>
      </c>
      <c r="C2917" s="109">
        <v>45</v>
      </c>
    </row>
    <row r="2918" spans="1:3" ht="24" x14ac:dyDescent="0.3">
      <c r="A2918" s="109" t="s">
        <v>11</v>
      </c>
      <c r="B2918" s="109" t="s">
        <v>79</v>
      </c>
      <c r="C2918" s="109">
        <v>170</v>
      </c>
    </row>
    <row r="2919" spans="1:3" ht="24" x14ac:dyDescent="0.3">
      <c r="A2919" s="109" t="s">
        <v>11</v>
      </c>
      <c r="B2919" s="109" t="s">
        <v>80</v>
      </c>
      <c r="C2919" s="109">
        <v>60</v>
      </c>
    </row>
    <row r="2920" spans="1:3" ht="24" x14ac:dyDescent="0.3">
      <c r="A2920" s="109" t="s">
        <v>11</v>
      </c>
      <c r="B2920" s="109" t="s">
        <v>81</v>
      </c>
      <c r="C2920" s="109">
        <v>60</v>
      </c>
    </row>
    <row r="2921" spans="1:3" ht="24" x14ac:dyDescent="0.3">
      <c r="A2921" s="109" t="s">
        <v>11</v>
      </c>
      <c r="B2921" s="109" t="s">
        <v>83</v>
      </c>
      <c r="C2921" s="109">
        <v>92</v>
      </c>
    </row>
    <row r="2922" spans="1:3" ht="24" x14ac:dyDescent="0.3">
      <c r="A2922" s="109" t="s">
        <v>11</v>
      </c>
      <c r="B2922" s="109" t="s">
        <v>84</v>
      </c>
      <c r="C2922" s="109">
        <v>112.5</v>
      </c>
    </row>
    <row r="2923" spans="1:3" ht="24" x14ac:dyDescent="0.3">
      <c r="A2923" s="109" t="s">
        <v>11</v>
      </c>
      <c r="B2923" s="109" t="s">
        <v>85</v>
      </c>
      <c r="C2923" s="109">
        <v>44</v>
      </c>
    </row>
    <row r="2924" spans="1:3" ht="24" x14ac:dyDescent="0.3">
      <c r="A2924" s="109" t="s">
        <v>11</v>
      </c>
      <c r="B2924" s="109" t="s">
        <v>86</v>
      </c>
      <c r="C2924" s="109">
        <v>0</v>
      </c>
    </row>
    <row r="2925" spans="1:3" ht="24" x14ac:dyDescent="0.3">
      <c r="A2925" s="109" t="s">
        <v>11</v>
      </c>
      <c r="B2925" s="109" t="s">
        <v>87</v>
      </c>
      <c r="C2925" s="109">
        <v>0</v>
      </c>
    </row>
    <row r="2926" spans="1:3" ht="24" x14ac:dyDescent="0.3">
      <c r="A2926" s="109" t="s">
        <v>11</v>
      </c>
      <c r="B2926" s="109" t="s">
        <v>88</v>
      </c>
      <c r="C2926" s="109">
        <v>0</v>
      </c>
    </row>
    <row r="2927" spans="1:3" ht="24" x14ac:dyDescent="0.3">
      <c r="A2927" s="109" t="s">
        <v>11</v>
      </c>
      <c r="B2927" s="109" t="s">
        <v>89</v>
      </c>
      <c r="C2927" s="109">
        <v>0</v>
      </c>
    </row>
    <row r="2928" spans="1:3" ht="24" x14ac:dyDescent="0.3">
      <c r="A2928" s="109" t="s">
        <v>11</v>
      </c>
      <c r="B2928" s="109" t="s">
        <v>90</v>
      </c>
      <c r="C2928" s="109">
        <v>0</v>
      </c>
    </row>
    <row r="2929" spans="1:3" ht="24" x14ac:dyDescent="0.3">
      <c r="A2929" s="109" t="s">
        <v>11</v>
      </c>
      <c r="B2929" s="109" t="s">
        <v>92</v>
      </c>
      <c r="C2929" s="109">
        <v>0</v>
      </c>
    </row>
    <row r="2930" spans="1:3" ht="24" x14ac:dyDescent="0.3">
      <c r="A2930" s="109" t="s">
        <v>11</v>
      </c>
      <c r="B2930" s="109" t="s">
        <v>93</v>
      </c>
      <c r="C2930" s="109">
        <v>0</v>
      </c>
    </row>
    <row r="2931" spans="1:3" ht="24" x14ac:dyDescent="0.3">
      <c r="A2931" s="109" t="s">
        <v>11</v>
      </c>
      <c r="B2931" s="109" t="s">
        <v>94</v>
      </c>
      <c r="C2931" s="109">
        <v>0</v>
      </c>
    </row>
    <row r="2932" spans="1:3" ht="24" x14ac:dyDescent="0.3">
      <c r="A2932" s="109" t="s">
        <v>11</v>
      </c>
      <c r="B2932" s="109" t="s">
        <v>95</v>
      </c>
      <c r="C2932" s="109">
        <v>0</v>
      </c>
    </row>
    <row r="2933" spans="1:3" ht="24" x14ac:dyDescent="0.3">
      <c r="A2933" s="109" t="s">
        <v>11</v>
      </c>
      <c r="B2933" s="109" t="s">
        <v>96</v>
      </c>
      <c r="C2933" s="109">
        <v>230</v>
      </c>
    </row>
    <row r="2934" spans="1:3" ht="24" x14ac:dyDescent="0.3">
      <c r="A2934" s="109" t="s">
        <v>11</v>
      </c>
      <c r="B2934" s="109" t="s">
        <v>97</v>
      </c>
      <c r="C2934" s="109">
        <v>680</v>
      </c>
    </row>
    <row r="2935" spans="1:3" ht="24" x14ac:dyDescent="0.3">
      <c r="A2935" s="109" t="s">
        <v>11</v>
      </c>
      <c r="B2935" s="109" t="s">
        <v>98</v>
      </c>
      <c r="C2935" s="109">
        <v>2000</v>
      </c>
    </row>
    <row r="2936" spans="1:3" ht="24" x14ac:dyDescent="0.3">
      <c r="A2936" s="109" t="s">
        <v>11</v>
      </c>
      <c r="B2936" s="109" t="s">
        <v>99</v>
      </c>
      <c r="C2936" s="109">
        <v>22.5</v>
      </c>
    </row>
    <row r="2937" spans="1:3" ht="24" x14ac:dyDescent="0.3">
      <c r="A2937" s="109" t="s">
        <v>11</v>
      </c>
      <c r="B2937" s="109" t="s">
        <v>100</v>
      </c>
      <c r="C2937" s="109">
        <v>15</v>
      </c>
    </row>
    <row r="2938" spans="1:3" ht="24" x14ac:dyDescent="0.3">
      <c r="A2938" s="109" t="s">
        <v>11</v>
      </c>
      <c r="B2938" s="109" t="s">
        <v>101</v>
      </c>
      <c r="C2938" s="109">
        <v>3400</v>
      </c>
    </row>
    <row r="2939" spans="1:3" ht="24" x14ac:dyDescent="0.3">
      <c r="A2939" s="109" t="s">
        <v>11</v>
      </c>
      <c r="B2939" s="109" t="s">
        <v>102</v>
      </c>
      <c r="C2939" s="109">
        <v>0</v>
      </c>
    </row>
    <row r="2940" spans="1:3" ht="24" x14ac:dyDescent="0.3">
      <c r="A2940" s="109" t="s">
        <v>11</v>
      </c>
      <c r="B2940" s="109" t="s">
        <v>103</v>
      </c>
      <c r="C2940" s="109">
        <v>440</v>
      </c>
    </row>
    <row r="2941" spans="1:3" ht="24" x14ac:dyDescent="0.3">
      <c r="A2941" s="109" t="s">
        <v>11</v>
      </c>
      <c r="B2941" s="109" t="s">
        <v>104</v>
      </c>
      <c r="C2941" s="109">
        <v>0</v>
      </c>
    </row>
    <row r="2942" spans="1:3" ht="24" x14ac:dyDescent="0.3">
      <c r="A2942" s="109" t="s">
        <v>11</v>
      </c>
      <c r="B2942" s="109" t="s">
        <v>105</v>
      </c>
      <c r="C2942" s="109">
        <v>0</v>
      </c>
    </row>
    <row r="2943" spans="1:3" ht="24" x14ac:dyDescent="0.3">
      <c r="A2943" s="109" t="s">
        <v>11</v>
      </c>
      <c r="B2943" s="109" t="s">
        <v>106</v>
      </c>
      <c r="C2943" s="109">
        <v>380</v>
      </c>
    </row>
    <row r="2944" spans="1:3" ht="24" x14ac:dyDescent="0.3">
      <c r="A2944" s="109" t="s">
        <v>11</v>
      </c>
      <c r="B2944" s="109" t="s">
        <v>107</v>
      </c>
      <c r="C2944" s="109">
        <v>0</v>
      </c>
    </row>
    <row r="2945" spans="1:3" ht="24" x14ac:dyDescent="0.3">
      <c r="A2945" s="109" t="s">
        <v>11</v>
      </c>
      <c r="B2945" s="109" t="s">
        <v>108</v>
      </c>
      <c r="C2945" s="109">
        <v>0</v>
      </c>
    </row>
    <row r="2946" spans="1:3" ht="24" x14ac:dyDescent="0.3">
      <c r="A2946" s="109" t="s">
        <v>11</v>
      </c>
      <c r="B2946" s="109" t="s">
        <v>109</v>
      </c>
      <c r="C2946" s="109">
        <v>0</v>
      </c>
    </row>
    <row r="2947" spans="1:3" ht="24" x14ac:dyDescent="0.3">
      <c r="A2947" s="109" t="s">
        <v>11</v>
      </c>
      <c r="B2947" s="109" t="s">
        <v>110</v>
      </c>
      <c r="C2947" s="109">
        <v>0</v>
      </c>
    </row>
    <row r="2948" spans="1:3" ht="24" x14ac:dyDescent="0.3">
      <c r="A2948" s="109" t="s">
        <v>11</v>
      </c>
      <c r="B2948" s="109" t="s">
        <v>111</v>
      </c>
      <c r="C2948" s="109">
        <v>0</v>
      </c>
    </row>
    <row r="2949" spans="1:3" ht="24" x14ac:dyDescent="0.3">
      <c r="A2949" s="109" t="s">
        <v>11</v>
      </c>
      <c r="B2949" s="109" t="s">
        <v>112</v>
      </c>
      <c r="C2949" s="109">
        <v>0</v>
      </c>
    </row>
    <row r="2950" spans="1:3" ht="24" x14ac:dyDescent="0.3">
      <c r="A2950" s="109" t="s">
        <v>11</v>
      </c>
      <c r="B2950" s="109" t="s">
        <v>113</v>
      </c>
      <c r="C2950" s="109">
        <v>0</v>
      </c>
    </row>
    <row r="2951" spans="1:3" ht="24" x14ac:dyDescent="0.3">
      <c r="A2951" s="109" t="s">
        <v>11</v>
      </c>
      <c r="B2951" s="109" t="s">
        <v>114</v>
      </c>
      <c r="C2951" s="109">
        <v>0</v>
      </c>
    </row>
    <row r="2952" spans="1:3" ht="24" x14ac:dyDescent="0.3">
      <c r="A2952" s="109" t="s">
        <v>11</v>
      </c>
      <c r="B2952" s="109" t="s">
        <v>115</v>
      </c>
      <c r="C2952" s="109">
        <v>0</v>
      </c>
    </row>
    <row r="2953" spans="1:3" ht="24" x14ac:dyDescent="0.3">
      <c r="A2953" s="109" t="s">
        <v>11</v>
      </c>
      <c r="B2953" s="109" t="s">
        <v>116</v>
      </c>
      <c r="C2953" s="109">
        <v>0</v>
      </c>
    </row>
    <row r="2954" spans="1:3" ht="24" x14ac:dyDescent="0.3">
      <c r="A2954" s="109" t="s">
        <v>11</v>
      </c>
      <c r="B2954" s="109" t="s">
        <v>117</v>
      </c>
      <c r="C2954" s="109">
        <v>0</v>
      </c>
    </row>
    <row r="2955" spans="1:3" ht="24" x14ac:dyDescent="0.3">
      <c r="A2955" s="109" t="s">
        <v>11</v>
      </c>
      <c r="B2955" s="109" t="s">
        <v>118</v>
      </c>
      <c r="C2955" s="109">
        <v>0</v>
      </c>
    </row>
    <row r="2956" spans="1:3" ht="24" x14ac:dyDescent="0.3">
      <c r="A2956" s="109" t="s">
        <v>11</v>
      </c>
      <c r="B2956" s="109" t="s">
        <v>120</v>
      </c>
      <c r="C2956" s="109">
        <v>0</v>
      </c>
    </row>
    <row r="2957" spans="1:3" ht="24" x14ac:dyDescent="0.3">
      <c r="A2957" s="109" t="s">
        <v>11</v>
      </c>
      <c r="B2957" s="109" t="s">
        <v>121</v>
      </c>
      <c r="C2957" s="109">
        <v>90</v>
      </c>
    </row>
    <row r="2958" spans="1:3" ht="24" x14ac:dyDescent="0.3">
      <c r="A2958" s="109" t="s">
        <v>11</v>
      </c>
      <c r="B2958" s="109" t="s">
        <v>122</v>
      </c>
      <c r="C2958" s="109">
        <v>0</v>
      </c>
    </row>
    <row r="2959" spans="1:3" ht="24" x14ac:dyDescent="0.3">
      <c r="A2959" s="109" t="s">
        <v>11</v>
      </c>
      <c r="B2959" s="109" t="s">
        <v>123</v>
      </c>
      <c r="C2959" s="109">
        <v>0</v>
      </c>
    </row>
    <row r="2960" spans="1:3" ht="24" x14ac:dyDescent="0.3">
      <c r="A2960" s="109" t="s">
        <v>11</v>
      </c>
      <c r="B2960" s="109" t="s">
        <v>124</v>
      </c>
      <c r="C2960" s="109">
        <v>110</v>
      </c>
    </row>
    <row r="2961" spans="1:3" ht="24" x14ac:dyDescent="0.3">
      <c r="A2961" s="109" t="s">
        <v>11</v>
      </c>
      <c r="B2961" s="109" t="s">
        <v>125</v>
      </c>
      <c r="C2961" s="109">
        <v>0</v>
      </c>
    </row>
    <row r="2962" spans="1:3" ht="24" x14ac:dyDescent="0.3">
      <c r="A2962" s="109" t="s">
        <v>11</v>
      </c>
      <c r="B2962" s="109" t="s">
        <v>126</v>
      </c>
      <c r="C2962" s="109">
        <v>5.75</v>
      </c>
    </row>
    <row r="2963" spans="1:3" ht="24" x14ac:dyDescent="0.3">
      <c r="A2963" s="109" t="s">
        <v>12</v>
      </c>
      <c r="B2963" s="109" t="s">
        <v>206</v>
      </c>
      <c r="C2963" s="109" t="s">
        <v>59</v>
      </c>
    </row>
    <row r="2964" spans="1:3" ht="24" x14ac:dyDescent="0.3">
      <c r="A2964" s="109" t="s">
        <v>12</v>
      </c>
      <c r="B2964" s="109" t="s">
        <v>62</v>
      </c>
      <c r="C2964" s="109">
        <v>37</v>
      </c>
    </row>
    <row r="2965" spans="1:3" ht="24" x14ac:dyDescent="0.3">
      <c r="A2965" s="109" t="s">
        <v>12</v>
      </c>
      <c r="B2965" s="109" t="s">
        <v>63</v>
      </c>
      <c r="C2965" s="109">
        <v>40</v>
      </c>
    </row>
    <row r="2966" spans="1:3" ht="24" x14ac:dyDescent="0.3">
      <c r="A2966" s="109" t="s">
        <v>12</v>
      </c>
      <c r="B2966" s="109" t="s">
        <v>64</v>
      </c>
      <c r="C2966" s="109">
        <v>40</v>
      </c>
    </row>
    <row r="2967" spans="1:3" ht="24" x14ac:dyDescent="0.3">
      <c r="A2967" s="109" t="s">
        <v>12</v>
      </c>
      <c r="B2967" s="109" t="s">
        <v>65</v>
      </c>
      <c r="C2967" s="109">
        <v>80</v>
      </c>
    </row>
    <row r="2968" spans="1:3" ht="24" x14ac:dyDescent="0.3">
      <c r="A2968" s="109" t="s">
        <v>12</v>
      </c>
      <c r="B2968" s="109" t="s">
        <v>66</v>
      </c>
      <c r="C2968" s="109">
        <v>55</v>
      </c>
    </row>
    <row r="2969" spans="1:3" ht="24" x14ac:dyDescent="0.3">
      <c r="A2969" s="109" t="s">
        <v>12</v>
      </c>
      <c r="B2969" s="109" t="s">
        <v>67</v>
      </c>
      <c r="C2969" s="109">
        <v>38</v>
      </c>
    </row>
    <row r="2970" spans="1:3" ht="24" x14ac:dyDescent="0.3">
      <c r="A2970" s="109" t="s">
        <v>12</v>
      </c>
      <c r="B2970" s="109" t="s">
        <v>68</v>
      </c>
      <c r="C2970" s="109">
        <v>0</v>
      </c>
    </row>
    <row r="2971" spans="1:3" ht="24" x14ac:dyDescent="0.3">
      <c r="A2971" s="109" t="s">
        <v>12</v>
      </c>
      <c r="B2971" s="109" t="s">
        <v>69</v>
      </c>
      <c r="C2971" s="109">
        <v>0</v>
      </c>
    </row>
    <row r="2972" spans="1:3" ht="24" x14ac:dyDescent="0.3">
      <c r="A2972" s="109" t="s">
        <v>12</v>
      </c>
      <c r="B2972" s="109" t="s">
        <v>70</v>
      </c>
      <c r="C2972" s="109">
        <v>70</v>
      </c>
    </row>
    <row r="2973" spans="1:3" ht="24" x14ac:dyDescent="0.3">
      <c r="A2973" s="109" t="s">
        <v>12</v>
      </c>
      <c r="B2973" s="109" t="s">
        <v>71</v>
      </c>
      <c r="C2973" s="109">
        <v>70</v>
      </c>
    </row>
    <row r="2974" spans="1:3" ht="24" x14ac:dyDescent="0.3">
      <c r="A2974" s="109" t="s">
        <v>12</v>
      </c>
      <c r="B2974" s="109" t="s">
        <v>72</v>
      </c>
      <c r="C2974" s="109">
        <v>0</v>
      </c>
    </row>
    <row r="2975" spans="1:3" ht="24" x14ac:dyDescent="0.3">
      <c r="A2975" s="109" t="s">
        <v>12</v>
      </c>
      <c r="B2975" s="109" t="s">
        <v>73</v>
      </c>
      <c r="C2975" s="109">
        <v>70</v>
      </c>
    </row>
    <row r="2976" spans="1:3" ht="24" x14ac:dyDescent="0.3">
      <c r="A2976" s="109" t="s">
        <v>12</v>
      </c>
      <c r="B2976" s="109" t="s">
        <v>74</v>
      </c>
      <c r="C2976" s="109">
        <v>650</v>
      </c>
    </row>
    <row r="2977" spans="1:3" ht="24" x14ac:dyDescent="0.3">
      <c r="A2977" s="109" t="s">
        <v>12</v>
      </c>
      <c r="B2977" s="109" t="s">
        <v>75</v>
      </c>
      <c r="C2977" s="109">
        <v>650</v>
      </c>
    </row>
    <row r="2978" spans="1:3" ht="24" x14ac:dyDescent="0.3">
      <c r="A2978" s="109" t="s">
        <v>12</v>
      </c>
      <c r="B2978" s="109" t="s">
        <v>76</v>
      </c>
      <c r="C2978" s="109">
        <v>0</v>
      </c>
    </row>
    <row r="2979" spans="1:3" ht="24" x14ac:dyDescent="0.3">
      <c r="A2979" s="109" t="s">
        <v>12</v>
      </c>
      <c r="B2979" s="109" t="s">
        <v>77</v>
      </c>
      <c r="C2979" s="109">
        <v>0</v>
      </c>
    </row>
    <row r="2980" spans="1:3" ht="24" x14ac:dyDescent="0.3">
      <c r="A2980" s="109" t="s">
        <v>12</v>
      </c>
      <c r="B2980" s="109" t="s">
        <v>78</v>
      </c>
      <c r="C2980" s="109">
        <v>43</v>
      </c>
    </row>
    <row r="2981" spans="1:3" ht="24" x14ac:dyDescent="0.3">
      <c r="A2981" s="109" t="s">
        <v>12</v>
      </c>
      <c r="B2981" s="109" t="s">
        <v>79</v>
      </c>
      <c r="C2981" s="109">
        <v>170</v>
      </c>
    </row>
    <row r="2982" spans="1:3" ht="24" x14ac:dyDescent="0.3">
      <c r="A2982" s="109" t="s">
        <v>12</v>
      </c>
      <c r="B2982" s="109" t="s">
        <v>80</v>
      </c>
      <c r="C2982" s="109">
        <v>0</v>
      </c>
    </row>
    <row r="2983" spans="1:3" ht="24" x14ac:dyDescent="0.3">
      <c r="A2983" s="109" t="s">
        <v>12</v>
      </c>
      <c r="B2983" s="109" t="s">
        <v>81</v>
      </c>
      <c r="C2983" s="109">
        <v>0</v>
      </c>
    </row>
    <row r="2984" spans="1:3" ht="24" x14ac:dyDescent="0.3">
      <c r="A2984" s="109" t="s">
        <v>12</v>
      </c>
      <c r="B2984" s="109" t="s">
        <v>83</v>
      </c>
      <c r="C2984" s="109">
        <v>92</v>
      </c>
    </row>
    <row r="2985" spans="1:3" ht="24" x14ac:dyDescent="0.3">
      <c r="A2985" s="109" t="s">
        <v>12</v>
      </c>
      <c r="B2985" s="109" t="s">
        <v>84</v>
      </c>
      <c r="C2985" s="109">
        <v>112.5</v>
      </c>
    </row>
    <row r="2986" spans="1:3" ht="24" x14ac:dyDescent="0.3">
      <c r="A2986" s="109" t="s">
        <v>12</v>
      </c>
      <c r="B2986" s="109" t="s">
        <v>85</v>
      </c>
      <c r="C2986" s="109">
        <v>40</v>
      </c>
    </row>
    <row r="2987" spans="1:3" ht="24" x14ac:dyDescent="0.3">
      <c r="A2987" s="109" t="s">
        <v>12</v>
      </c>
      <c r="B2987" s="109" t="s">
        <v>86</v>
      </c>
      <c r="C2987" s="109">
        <v>40</v>
      </c>
    </row>
    <row r="2988" spans="1:3" ht="24" x14ac:dyDescent="0.3">
      <c r="A2988" s="109" t="s">
        <v>12</v>
      </c>
      <c r="B2988" s="109" t="s">
        <v>87</v>
      </c>
      <c r="C2988" s="109">
        <v>0</v>
      </c>
    </row>
    <row r="2989" spans="1:3" ht="24" x14ac:dyDescent="0.3">
      <c r="A2989" s="109" t="s">
        <v>12</v>
      </c>
      <c r="B2989" s="109" t="s">
        <v>88</v>
      </c>
      <c r="C2989" s="109">
        <v>0</v>
      </c>
    </row>
    <row r="2990" spans="1:3" ht="24" x14ac:dyDescent="0.3">
      <c r="A2990" s="109" t="s">
        <v>12</v>
      </c>
      <c r="B2990" s="109" t="s">
        <v>89</v>
      </c>
      <c r="C2990" s="109">
        <v>0</v>
      </c>
    </row>
    <row r="2991" spans="1:3" ht="24" x14ac:dyDescent="0.3">
      <c r="A2991" s="109" t="s">
        <v>12</v>
      </c>
      <c r="B2991" s="109" t="s">
        <v>90</v>
      </c>
      <c r="C2991" s="109">
        <v>132</v>
      </c>
    </row>
    <row r="2992" spans="1:3" ht="24" x14ac:dyDescent="0.3">
      <c r="A2992" s="109" t="s">
        <v>12</v>
      </c>
      <c r="B2992" s="109" t="s">
        <v>92</v>
      </c>
      <c r="C2992" s="109">
        <v>0</v>
      </c>
    </row>
    <row r="2993" spans="1:3" ht="24" x14ac:dyDescent="0.3">
      <c r="A2993" s="109" t="s">
        <v>12</v>
      </c>
      <c r="B2993" s="109" t="s">
        <v>93</v>
      </c>
      <c r="C2993" s="109">
        <v>710</v>
      </c>
    </row>
    <row r="2994" spans="1:3" ht="24" x14ac:dyDescent="0.3">
      <c r="A2994" s="109" t="s">
        <v>12</v>
      </c>
      <c r="B2994" s="109" t="s">
        <v>94</v>
      </c>
      <c r="C2994" s="109">
        <v>0</v>
      </c>
    </row>
    <row r="2995" spans="1:3" ht="24" x14ac:dyDescent="0.3">
      <c r="A2995" s="109" t="s">
        <v>12</v>
      </c>
      <c r="B2995" s="109" t="s">
        <v>95</v>
      </c>
      <c r="C2995" s="109">
        <v>0</v>
      </c>
    </row>
    <row r="2996" spans="1:3" ht="24" x14ac:dyDescent="0.3">
      <c r="A2996" s="109" t="s">
        <v>12</v>
      </c>
      <c r="B2996" s="109" t="s">
        <v>96</v>
      </c>
      <c r="C2996" s="109">
        <v>200</v>
      </c>
    </row>
    <row r="2997" spans="1:3" ht="24" x14ac:dyDescent="0.3">
      <c r="A2997" s="109" t="s">
        <v>12</v>
      </c>
      <c r="B2997" s="109" t="s">
        <v>97</v>
      </c>
      <c r="C2997" s="109">
        <v>750</v>
      </c>
    </row>
    <row r="2998" spans="1:3" ht="24" x14ac:dyDescent="0.3">
      <c r="A2998" s="109" t="s">
        <v>12</v>
      </c>
      <c r="B2998" s="109" t="s">
        <v>98</v>
      </c>
      <c r="C2998" s="109">
        <v>1650</v>
      </c>
    </row>
    <row r="2999" spans="1:3" ht="24" x14ac:dyDescent="0.3">
      <c r="A2999" s="109" t="s">
        <v>12</v>
      </c>
      <c r="B2999" s="109" t="s">
        <v>99</v>
      </c>
      <c r="C2999" s="109">
        <v>14</v>
      </c>
    </row>
    <row r="3000" spans="1:3" ht="24" x14ac:dyDescent="0.3">
      <c r="A3000" s="109" t="s">
        <v>12</v>
      </c>
      <c r="B3000" s="109" t="s">
        <v>100</v>
      </c>
      <c r="C3000" s="109">
        <v>14</v>
      </c>
    </row>
    <row r="3001" spans="1:3" ht="24" x14ac:dyDescent="0.3">
      <c r="A3001" s="109" t="s">
        <v>12</v>
      </c>
      <c r="B3001" s="109" t="s">
        <v>101</v>
      </c>
      <c r="C3001" s="109">
        <v>3400</v>
      </c>
    </row>
    <row r="3002" spans="1:3" ht="24" x14ac:dyDescent="0.3">
      <c r="A3002" s="109" t="s">
        <v>12</v>
      </c>
      <c r="B3002" s="109" t="s">
        <v>102</v>
      </c>
      <c r="C3002" s="109">
        <v>1000</v>
      </c>
    </row>
    <row r="3003" spans="1:3" ht="24" x14ac:dyDescent="0.3">
      <c r="A3003" s="109" t="s">
        <v>12</v>
      </c>
      <c r="B3003" s="109" t="s">
        <v>103</v>
      </c>
      <c r="C3003" s="109">
        <v>400</v>
      </c>
    </row>
    <row r="3004" spans="1:3" ht="24" x14ac:dyDescent="0.3">
      <c r="A3004" s="109" t="s">
        <v>12</v>
      </c>
      <c r="B3004" s="109" t="s">
        <v>104</v>
      </c>
      <c r="C3004" s="109">
        <v>750</v>
      </c>
    </row>
    <row r="3005" spans="1:3" ht="24" x14ac:dyDescent="0.3">
      <c r="A3005" s="109" t="s">
        <v>12</v>
      </c>
      <c r="B3005" s="109" t="s">
        <v>105</v>
      </c>
      <c r="C3005" s="109">
        <v>0</v>
      </c>
    </row>
    <row r="3006" spans="1:3" ht="24" x14ac:dyDescent="0.3">
      <c r="A3006" s="109" t="s">
        <v>12</v>
      </c>
      <c r="B3006" s="109" t="s">
        <v>106</v>
      </c>
      <c r="C3006" s="109">
        <v>330</v>
      </c>
    </row>
    <row r="3007" spans="1:3" ht="24" x14ac:dyDescent="0.3">
      <c r="A3007" s="109" t="s">
        <v>12</v>
      </c>
      <c r="B3007" s="109" t="s">
        <v>107</v>
      </c>
      <c r="C3007" s="109">
        <v>2000</v>
      </c>
    </row>
    <row r="3008" spans="1:3" ht="24" x14ac:dyDescent="0.3">
      <c r="A3008" s="109" t="s">
        <v>12</v>
      </c>
      <c r="B3008" s="109" t="s">
        <v>108</v>
      </c>
      <c r="C3008" s="109">
        <v>0</v>
      </c>
    </row>
    <row r="3009" spans="1:3" ht="24" x14ac:dyDescent="0.3">
      <c r="A3009" s="109" t="s">
        <v>12</v>
      </c>
      <c r="B3009" s="109" t="s">
        <v>109</v>
      </c>
      <c r="C3009" s="109">
        <v>0</v>
      </c>
    </row>
    <row r="3010" spans="1:3" ht="24" x14ac:dyDescent="0.3">
      <c r="A3010" s="109" t="s">
        <v>12</v>
      </c>
      <c r="B3010" s="109" t="s">
        <v>110</v>
      </c>
      <c r="C3010" s="109">
        <v>2600</v>
      </c>
    </row>
    <row r="3011" spans="1:3" ht="24" x14ac:dyDescent="0.3">
      <c r="A3011" s="109" t="s">
        <v>12</v>
      </c>
      <c r="B3011" s="109" t="s">
        <v>111</v>
      </c>
      <c r="C3011" s="109">
        <v>0</v>
      </c>
    </row>
    <row r="3012" spans="1:3" ht="24" x14ac:dyDescent="0.3">
      <c r="A3012" s="109" t="s">
        <v>12</v>
      </c>
      <c r="B3012" s="109" t="s">
        <v>112</v>
      </c>
      <c r="C3012" s="109">
        <v>0</v>
      </c>
    </row>
    <row r="3013" spans="1:3" ht="24" x14ac:dyDescent="0.3">
      <c r="A3013" s="109" t="s">
        <v>12</v>
      </c>
      <c r="B3013" s="109" t="s">
        <v>113</v>
      </c>
      <c r="C3013" s="109">
        <v>0</v>
      </c>
    </row>
    <row r="3014" spans="1:3" ht="24" x14ac:dyDescent="0.3">
      <c r="A3014" s="109" t="s">
        <v>12</v>
      </c>
      <c r="B3014" s="109" t="s">
        <v>114</v>
      </c>
      <c r="C3014" s="109">
        <v>0</v>
      </c>
    </row>
    <row r="3015" spans="1:3" ht="24" x14ac:dyDescent="0.3">
      <c r="A3015" s="109" t="s">
        <v>12</v>
      </c>
      <c r="B3015" s="109" t="s">
        <v>115</v>
      </c>
      <c r="C3015" s="109">
        <v>0</v>
      </c>
    </row>
    <row r="3016" spans="1:3" ht="24" x14ac:dyDescent="0.3">
      <c r="A3016" s="109" t="s">
        <v>12</v>
      </c>
      <c r="B3016" s="109" t="s">
        <v>116</v>
      </c>
      <c r="C3016" s="109">
        <v>0</v>
      </c>
    </row>
    <row r="3017" spans="1:3" ht="24" x14ac:dyDescent="0.3">
      <c r="A3017" s="109" t="s">
        <v>12</v>
      </c>
      <c r="B3017" s="109" t="s">
        <v>117</v>
      </c>
      <c r="C3017" s="109">
        <v>0</v>
      </c>
    </row>
    <row r="3018" spans="1:3" ht="24" x14ac:dyDescent="0.3">
      <c r="A3018" s="109" t="s">
        <v>12</v>
      </c>
      <c r="B3018" s="109" t="s">
        <v>118</v>
      </c>
      <c r="C3018" s="109">
        <v>0</v>
      </c>
    </row>
    <row r="3019" spans="1:3" ht="24" x14ac:dyDescent="0.3">
      <c r="A3019" s="109" t="s">
        <v>12</v>
      </c>
      <c r="B3019" s="109" t="s">
        <v>120</v>
      </c>
      <c r="C3019" s="109">
        <v>0</v>
      </c>
    </row>
    <row r="3020" spans="1:3" ht="24" x14ac:dyDescent="0.3">
      <c r="A3020" s="109" t="s">
        <v>12</v>
      </c>
      <c r="B3020" s="109" t="s">
        <v>121</v>
      </c>
      <c r="C3020" s="109">
        <v>45</v>
      </c>
    </row>
    <row r="3021" spans="1:3" ht="24" x14ac:dyDescent="0.3">
      <c r="A3021" s="109" t="s">
        <v>12</v>
      </c>
      <c r="B3021" s="109" t="s">
        <v>122</v>
      </c>
      <c r="C3021" s="109">
        <v>330</v>
      </c>
    </row>
    <row r="3022" spans="1:3" ht="24" x14ac:dyDescent="0.3">
      <c r="A3022" s="109" t="s">
        <v>12</v>
      </c>
      <c r="B3022" s="109" t="s">
        <v>123</v>
      </c>
      <c r="C3022" s="109">
        <v>0</v>
      </c>
    </row>
    <row r="3023" spans="1:3" ht="24" x14ac:dyDescent="0.3">
      <c r="A3023" s="109" t="s">
        <v>12</v>
      </c>
      <c r="B3023" s="109" t="s">
        <v>124</v>
      </c>
      <c r="C3023" s="109">
        <v>70</v>
      </c>
    </row>
    <row r="3024" spans="1:3" ht="24" x14ac:dyDescent="0.3">
      <c r="A3024" s="109" t="s">
        <v>12</v>
      </c>
      <c r="B3024" s="109" t="s">
        <v>125</v>
      </c>
      <c r="C3024" s="109">
        <v>0</v>
      </c>
    </row>
    <row r="3025" spans="1:3" ht="24" x14ac:dyDescent="0.3">
      <c r="A3025" s="109" t="s">
        <v>12</v>
      </c>
      <c r="B3025" s="109" t="s">
        <v>126</v>
      </c>
      <c r="C3025" s="109">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F49F-AF13-F94A-AA9D-9AEE51C5C85B}">
  <sheetPr codeName="Sheet7"/>
  <dimension ref="A1:BM49"/>
  <sheetViews>
    <sheetView showGridLines="0" zoomScale="120" zoomScaleNormal="120" workbookViewId="0">
      <selection activeCell="A10" sqref="A10"/>
    </sheetView>
  </sheetViews>
  <sheetFormatPr baseColWidth="10" defaultRowHeight="14" x14ac:dyDescent="0.2"/>
  <cols>
    <col min="1" max="1" width="26.796875" style="94" customWidth="1"/>
    <col min="2" max="2" width="11.19921875" style="94" customWidth="1"/>
    <col min="3" max="3" width="8.59765625" style="94" customWidth="1"/>
    <col min="4" max="4" width="21.796875" style="94" customWidth="1"/>
    <col min="5" max="5" width="19.796875" style="94" customWidth="1"/>
    <col min="6" max="6" width="20.19921875" style="94" customWidth="1"/>
    <col min="7" max="7" width="18" style="94" customWidth="1"/>
    <col min="8" max="8" width="15.59765625" style="94" customWidth="1"/>
    <col min="9" max="9" width="16.19921875" style="94" customWidth="1"/>
    <col min="10" max="10" width="12.59765625" style="94" customWidth="1"/>
    <col min="11" max="11" width="20.3984375" style="94" customWidth="1"/>
    <col min="12" max="12" width="15.59765625" style="94" customWidth="1"/>
    <col min="13" max="13" width="17.796875" style="94" customWidth="1"/>
    <col min="14" max="14" width="21.796875" style="94" customWidth="1"/>
    <col min="15" max="15" width="20.59765625" style="94" customWidth="1"/>
    <col min="16" max="16" width="23" style="94" customWidth="1"/>
    <col min="17" max="17" width="21.59765625" style="94" customWidth="1"/>
    <col min="18" max="18" width="30.796875" style="94" customWidth="1"/>
    <col min="19" max="19" width="19.796875" style="94" customWidth="1"/>
    <col min="20" max="20" width="20.3984375" style="94" customWidth="1"/>
    <col min="21" max="21" width="19.3984375" style="94" customWidth="1"/>
    <col min="22" max="22" width="18.796875" style="94" customWidth="1"/>
    <col min="23" max="23" width="21.19921875" style="94" customWidth="1"/>
    <col min="24" max="24" width="19.796875" style="94" customWidth="1"/>
    <col min="25" max="25" width="11.19921875" style="94" customWidth="1"/>
    <col min="26" max="26" width="14.59765625" style="94" customWidth="1"/>
    <col min="27" max="27" width="13.59765625" style="94" customWidth="1"/>
    <col min="28" max="28" width="22.59765625" style="94" customWidth="1"/>
    <col min="29" max="29" width="23" style="94" customWidth="1"/>
    <col min="30" max="30" width="21.59765625" style="94" customWidth="1"/>
    <col min="31" max="31" width="23.796875" style="94" customWidth="1"/>
    <col min="32" max="32" width="18.19921875" style="94" customWidth="1"/>
    <col min="33" max="33" width="21" style="94" customWidth="1"/>
    <col min="34" max="34" width="14" style="94" customWidth="1"/>
    <col min="35" max="35" width="15" style="94" customWidth="1"/>
    <col min="36" max="36" width="11.796875" style="94" customWidth="1"/>
    <col min="37" max="37" width="20.19921875" style="94" customWidth="1"/>
    <col min="38" max="38" width="18.59765625" style="94" customWidth="1"/>
    <col min="39" max="39" width="13" style="94" customWidth="1"/>
    <col min="40" max="40" width="16" style="94" customWidth="1"/>
    <col min="41" max="41" width="15.59765625" style="94" customWidth="1"/>
    <col min="42" max="42" width="14.796875" style="94" customWidth="1"/>
    <col min="43" max="43" width="16.59765625" style="94" customWidth="1"/>
    <col min="44" max="44" width="18.3984375" style="94" customWidth="1"/>
    <col min="45" max="45" width="17.59765625" style="94" customWidth="1"/>
    <col min="46" max="46" width="16" style="94" customWidth="1"/>
    <col min="47" max="48" width="20.19921875" style="94" customWidth="1"/>
    <col min="49" max="49" width="15.3984375" style="94" customWidth="1"/>
    <col min="50" max="50" width="12" style="94" customWidth="1"/>
    <col min="51" max="51" width="16.19921875" style="94" customWidth="1"/>
    <col min="52" max="52" width="21" style="94" customWidth="1"/>
    <col min="53" max="53" width="15.19921875" style="94" customWidth="1"/>
    <col min="54" max="54" width="23" style="94" customWidth="1"/>
    <col min="55" max="55" width="18.796875" style="94" customWidth="1"/>
    <col min="56" max="56" width="21.59765625" style="94" customWidth="1"/>
    <col min="57" max="57" width="12" style="94" customWidth="1"/>
    <col min="58" max="58" width="15.796875" style="94" customWidth="1"/>
    <col min="59" max="59" width="16.59765625" style="94" customWidth="1"/>
    <col min="60" max="61" width="14.59765625" style="94" customWidth="1"/>
    <col min="62" max="62" width="24.59765625" style="94" customWidth="1"/>
    <col min="63" max="63" width="23.3984375" style="94" customWidth="1"/>
    <col min="64" max="64" width="15.59765625" style="94" customWidth="1"/>
    <col min="65" max="65" width="11.59765625" style="94" customWidth="1"/>
    <col min="66" max="66" width="11" style="94"/>
    <col min="67" max="69" width="13" style="94"/>
    <col min="70" max="16384" width="11" style="94"/>
  </cols>
  <sheetData>
    <row r="1" spans="1:65" x14ac:dyDescent="0.2">
      <c r="A1" s="94" t="s">
        <v>332</v>
      </c>
      <c r="B1" s="94" t="s">
        <v>307</v>
      </c>
      <c r="C1" s="94" t="s">
        <v>206</v>
      </c>
      <c r="D1" s="94" t="s">
        <v>62</v>
      </c>
      <c r="E1" s="94" t="s">
        <v>63</v>
      </c>
      <c r="F1" s="94" t="s">
        <v>64</v>
      </c>
      <c r="G1" s="94" t="s">
        <v>65</v>
      </c>
      <c r="H1" s="94" t="s">
        <v>66</v>
      </c>
      <c r="I1" s="94" t="s">
        <v>67</v>
      </c>
      <c r="J1" s="94" t="s">
        <v>68</v>
      </c>
      <c r="K1" s="94" t="s">
        <v>69</v>
      </c>
      <c r="L1" s="94" t="s">
        <v>70</v>
      </c>
      <c r="M1" s="94" t="s">
        <v>71</v>
      </c>
      <c r="N1" s="94" t="s">
        <v>72</v>
      </c>
      <c r="O1" s="94" t="s">
        <v>73</v>
      </c>
      <c r="P1" s="94" t="s">
        <v>74</v>
      </c>
      <c r="Q1" s="94" t="s">
        <v>75</v>
      </c>
      <c r="R1" s="94" t="s">
        <v>76</v>
      </c>
      <c r="S1" s="94" t="s">
        <v>77</v>
      </c>
      <c r="T1" s="94" t="s">
        <v>78</v>
      </c>
      <c r="U1" s="94" t="s">
        <v>79</v>
      </c>
      <c r="V1" s="94" t="s">
        <v>80</v>
      </c>
      <c r="W1" s="94" t="s">
        <v>81</v>
      </c>
      <c r="X1" s="94" t="s">
        <v>83</v>
      </c>
      <c r="Y1" s="94" t="s">
        <v>84</v>
      </c>
      <c r="Z1" s="94" t="s">
        <v>85</v>
      </c>
      <c r="AA1" s="94" t="s">
        <v>86</v>
      </c>
      <c r="AB1" s="94" t="s">
        <v>87</v>
      </c>
      <c r="AC1" s="94" t="s">
        <v>88</v>
      </c>
      <c r="AD1" s="94" t="s">
        <v>89</v>
      </c>
      <c r="AE1" s="94" t="s">
        <v>90</v>
      </c>
      <c r="AF1" s="94" t="s">
        <v>92</v>
      </c>
      <c r="AG1" s="94" t="s">
        <v>93</v>
      </c>
      <c r="AH1" s="94" t="s">
        <v>94</v>
      </c>
      <c r="AI1" s="94" t="s">
        <v>95</v>
      </c>
      <c r="AJ1" s="94" t="s">
        <v>96</v>
      </c>
      <c r="AK1" s="94" t="s">
        <v>97</v>
      </c>
      <c r="AL1" s="94" t="s">
        <v>98</v>
      </c>
      <c r="AM1" s="94" t="s">
        <v>99</v>
      </c>
      <c r="AN1" s="94" t="s">
        <v>100</v>
      </c>
      <c r="AO1" s="94" t="s">
        <v>101</v>
      </c>
      <c r="AP1" s="94" t="s">
        <v>102</v>
      </c>
      <c r="AQ1" s="94" t="s">
        <v>103</v>
      </c>
      <c r="AR1" s="94" t="s">
        <v>104</v>
      </c>
      <c r="AS1" s="94" t="s">
        <v>105</v>
      </c>
      <c r="AT1" s="94" t="s">
        <v>106</v>
      </c>
      <c r="AU1" s="94" t="s">
        <v>107</v>
      </c>
      <c r="AV1" s="94" t="s">
        <v>108</v>
      </c>
      <c r="AW1" s="94" t="s">
        <v>109</v>
      </c>
      <c r="AX1" s="94" t="s">
        <v>110</v>
      </c>
      <c r="AY1" s="94" t="s">
        <v>111</v>
      </c>
      <c r="AZ1" s="94" t="s">
        <v>112</v>
      </c>
      <c r="BA1" s="94" t="s">
        <v>113</v>
      </c>
      <c r="BB1" s="94" t="s">
        <v>114</v>
      </c>
      <c r="BC1" s="94" t="s">
        <v>115</v>
      </c>
      <c r="BD1" s="94" t="s">
        <v>116</v>
      </c>
      <c r="BE1" s="94" t="s">
        <v>117</v>
      </c>
      <c r="BF1" s="94" t="s">
        <v>118</v>
      </c>
      <c r="BG1" s="94" t="s">
        <v>120</v>
      </c>
      <c r="BH1" s="94" t="s">
        <v>121</v>
      </c>
      <c r="BI1" s="94" t="s">
        <v>122</v>
      </c>
      <c r="BJ1" s="94" t="s">
        <v>123</v>
      </c>
      <c r="BK1" s="94" t="s">
        <v>124</v>
      </c>
      <c r="BL1" s="94" t="s">
        <v>125</v>
      </c>
      <c r="BM1" s="94" t="s">
        <v>126</v>
      </c>
    </row>
    <row r="2" spans="1:65" x14ac:dyDescent="0.2">
      <c r="A2" s="94" t="s">
        <v>351</v>
      </c>
      <c r="B2" s="94" t="s">
        <v>1</v>
      </c>
      <c r="C2" s="94" t="s">
        <v>57</v>
      </c>
      <c r="D2" s="94">
        <v>8</v>
      </c>
      <c r="E2" s="94">
        <v>5</v>
      </c>
      <c r="F2" s="94">
        <v>0</v>
      </c>
      <c r="G2" s="94">
        <v>6</v>
      </c>
      <c r="H2" s="94">
        <v>2</v>
      </c>
      <c r="I2" s="94">
        <v>0</v>
      </c>
      <c r="J2" s="94">
        <v>0</v>
      </c>
      <c r="K2" s="94">
        <v>2</v>
      </c>
      <c r="L2" s="94">
        <v>1</v>
      </c>
      <c r="M2" s="94">
        <v>1</v>
      </c>
      <c r="N2" s="94">
        <v>0</v>
      </c>
      <c r="O2" s="94">
        <v>1</v>
      </c>
      <c r="P2" s="94">
        <v>2</v>
      </c>
      <c r="Q2" s="94">
        <v>1</v>
      </c>
      <c r="R2" s="94">
        <v>0</v>
      </c>
      <c r="S2" s="94">
        <v>1</v>
      </c>
      <c r="T2" s="94">
        <v>12</v>
      </c>
      <c r="U2" s="94">
        <v>5</v>
      </c>
      <c r="V2" s="94">
        <v>0</v>
      </c>
      <c r="W2" s="94">
        <v>5</v>
      </c>
      <c r="X2" s="94">
        <v>438</v>
      </c>
      <c r="Y2" s="94">
        <v>150</v>
      </c>
      <c r="Z2" s="94">
        <v>30</v>
      </c>
      <c r="AA2" s="94">
        <v>15</v>
      </c>
      <c r="AB2" s="94">
        <v>15</v>
      </c>
      <c r="AC2" s="94">
        <v>6</v>
      </c>
      <c r="AD2" s="94">
        <v>0</v>
      </c>
      <c r="AE2" s="94">
        <v>100</v>
      </c>
      <c r="AF2" s="94">
        <v>2</v>
      </c>
      <c r="AG2" s="94">
        <v>4</v>
      </c>
      <c r="AH2" s="94">
        <v>0</v>
      </c>
      <c r="AI2" s="94">
        <v>0</v>
      </c>
      <c r="AJ2" s="94">
        <v>1</v>
      </c>
      <c r="AK2" s="94">
        <v>1</v>
      </c>
      <c r="AL2" s="94">
        <v>0</v>
      </c>
      <c r="AM2" s="94">
        <v>10</v>
      </c>
      <c r="AN2" s="94">
        <v>10</v>
      </c>
      <c r="AO2" s="94">
        <v>0.4</v>
      </c>
      <c r="AP2" s="94">
        <v>0.5</v>
      </c>
      <c r="AQ2" s="94">
        <v>0</v>
      </c>
      <c r="AR2" s="94">
        <v>0</v>
      </c>
      <c r="AS2" s="94">
        <v>0</v>
      </c>
      <c r="AT2" s="94">
        <v>0</v>
      </c>
      <c r="AU2" s="94">
        <v>0</v>
      </c>
      <c r="AV2" s="94">
        <v>0.5</v>
      </c>
      <c r="AW2" s="94">
        <v>0</v>
      </c>
      <c r="AX2" s="94">
        <v>0</v>
      </c>
      <c r="AY2" s="94">
        <v>0</v>
      </c>
      <c r="AZ2" s="94">
        <v>0</v>
      </c>
      <c r="BA2" s="94">
        <v>0</v>
      </c>
      <c r="BB2" s="94">
        <v>0</v>
      </c>
      <c r="BC2" s="94">
        <v>0</v>
      </c>
      <c r="BD2" s="94">
        <v>1</v>
      </c>
      <c r="BE2" s="94">
        <v>3</v>
      </c>
      <c r="BF2" s="94">
        <v>24</v>
      </c>
      <c r="BG2" s="94">
        <v>0.5</v>
      </c>
      <c r="BH2" s="94">
        <v>5</v>
      </c>
      <c r="BI2" s="94">
        <v>1</v>
      </c>
      <c r="BJ2" s="94">
        <v>0</v>
      </c>
      <c r="BK2" s="94">
        <v>0</v>
      </c>
      <c r="BL2" s="94">
        <v>0</v>
      </c>
      <c r="BM2" s="94">
        <v>400</v>
      </c>
    </row>
    <row r="3" spans="1:65" x14ac:dyDescent="0.2">
      <c r="A3" s="94" t="s">
        <v>347</v>
      </c>
      <c r="B3" s="94" t="s">
        <v>25</v>
      </c>
      <c r="C3" s="94" t="s">
        <v>57</v>
      </c>
      <c r="D3" s="94">
        <v>10</v>
      </c>
      <c r="E3" s="94">
        <v>12</v>
      </c>
      <c r="F3" s="94">
        <v>8</v>
      </c>
      <c r="G3" s="94">
        <v>12</v>
      </c>
      <c r="H3" s="94">
        <v>5</v>
      </c>
      <c r="I3" s="94">
        <v>0</v>
      </c>
      <c r="J3" s="94">
        <v>3</v>
      </c>
      <c r="K3" s="94">
        <v>2</v>
      </c>
      <c r="L3" s="94">
        <v>2</v>
      </c>
      <c r="M3" s="94">
        <v>2</v>
      </c>
      <c r="N3" s="94">
        <v>1</v>
      </c>
      <c r="O3" s="94">
        <v>1.5</v>
      </c>
      <c r="P3" s="94">
        <v>3</v>
      </c>
      <c r="Q3" s="94">
        <v>1</v>
      </c>
      <c r="R3" s="94">
        <v>0</v>
      </c>
      <c r="S3" s="94">
        <v>2</v>
      </c>
      <c r="T3" s="94">
        <v>25</v>
      </c>
      <c r="U3" s="94">
        <v>6</v>
      </c>
      <c r="V3" s="94">
        <v>6</v>
      </c>
      <c r="W3" s="94">
        <v>2</v>
      </c>
      <c r="X3" s="94">
        <v>231</v>
      </c>
      <c r="Y3" s="94">
        <v>135</v>
      </c>
      <c r="Z3" s="94">
        <v>25</v>
      </c>
      <c r="AA3" s="94">
        <v>15</v>
      </c>
      <c r="AB3" s="94">
        <v>9</v>
      </c>
      <c r="AC3" s="94">
        <v>9</v>
      </c>
      <c r="AD3" s="94">
        <v>0</v>
      </c>
      <c r="AE3" s="94">
        <v>0</v>
      </c>
      <c r="AF3" s="94">
        <v>2</v>
      </c>
      <c r="AG3" s="94">
        <v>7</v>
      </c>
      <c r="AH3" s="94">
        <v>1</v>
      </c>
      <c r="AI3" s="94">
        <v>1</v>
      </c>
      <c r="AJ3" s="94">
        <v>1</v>
      </c>
      <c r="AK3" s="94">
        <v>1</v>
      </c>
      <c r="AL3" s="94">
        <v>0.1</v>
      </c>
      <c r="AM3" s="94">
        <v>25</v>
      </c>
      <c r="AN3" s="94">
        <v>25</v>
      </c>
      <c r="AO3" s="94">
        <v>0.5</v>
      </c>
      <c r="AP3" s="94">
        <v>0.5</v>
      </c>
      <c r="AQ3" s="94">
        <v>0.5</v>
      </c>
      <c r="AR3" s="94">
        <v>1</v>
      </c>
      <c r="AS3" s="94">
        <v>0</v>
      </c>
      <c r="AT3" s="94">
        <v>0.5</v>
      </c>
      <c r="AU3" s="94">
        <v>0.3</v>
      </c>
      <c r="AV3" s="94">
        <v>0.5</v>
      </c>
      <c r="AW3" s="94">
        <v>0</v>
      </c>
      <c r="AX3" s="94">
        <v>0.5</v>
      </c>
      <c r="AY3" s="94">
        <v>0</v>
      </c>
      <c r="AZ3" s="94">
        <v>0</v>
      </c>
      <c r="BA3" s="94">
        <v>0</v>
      </c>
      <c r="BB3" s="94">
        <v>0</v>
      </c>
      <c r="BC3" s="94">
        <v>0</v>
      </c>
      <c r="BD3" s="94">
        <v>2</v>
      </c>
      <c r="BE3" s="94">
        <v>2</v>
      </c>
      <c r="BF3" s="94">
        <v>24</v>
      </c>
      <c r="BG3" s="94">
        <v>2</v>
      </c>
      <c r="BH3" s="94">
        <v>5</v>
      </c>
      <c r="BI3" s="94">
        <v>1</v>
      </c>
      <c r="BJ3" s="94">
        <v>0</v>
      </c>
      <c r="BK3" s="94">
        <v>0</v>
      </c>
      <c r="BL3" s="94">
        <v>1</v>
      </c>
      <c r="BM3" s="94">
        <v>0</v>
      </c>
    </row>
    <row r="4" spans="1:65" x14ac:dyDescent="0.2">
      <c r="A4" s="94" t="s">
        <v>363</v>
      </c>
      <c r="B4" s="94" t="s">
        <v>3</v>
      </c>
      <c r="C4" s="94" t="s">
        <v>57</v>
      </c>
      <c r="D4" s="94">
        <v>8</v>
      </c>
      <c r="E4" s="94">
        <v>5</v>
      </c>
      <c r="F4" s="94">
        <v>4</v>
      </c>
      <c r="G4" s="94">
        <v>0</v>
      </c>
      <c r="H4" s="94">
        <v>3</v>
      </c>
      <c r="I4" s="94">
        <v>0</v>
      </c>
      <c r="J4" s="94">
        <v>3</v>
      </c>
      <c r="K4" s="94">
        <v>3</v>
      </c>
      <c r="L4" s="94">
        <v>3</v>
      </c>
      <c r="M4" s="94">
        <v>2</v>
      </c>
      <c r="N4" s="94">
        <v>0</v>
      </c>
      <c r="O4" s="94">
        <v>0</v>
      </c>
      <c r="P4" s="94">
        <v>1</v>
      </c>
      <c r="Q4" s="94">
        <v>0</v>
      </c>
      <c r="R4" s="94">
        <v>1</v>
      </c>
      <c r="S4" s="94">
        <v>0</v>
      </c>
      <c r="T4" s="94">
        <v>15</v>
      </c>
      <c r="U4" s="94">
        <v>4</v>
      </c>
      <c r="V4" s="94">
        <v>5</v>
      </c>
      <c r="W4" s="94">
        <v>0</v>
      </c>
      <c r="X4" s="94">
        <v>156</v>
      </c>
      <c r="Y4" s="94">
        <v>105</v>
      </c>
      <c r="Z4" s="94">
        <v>0</v>
      </c>
      <c r="AA4" s="94">
        <v>15</v>
      </c>
      <c r="AB4" s="94">
        <v>8</v>
      </c>
      <c r="AC4" s="94">
        <v>8</v>
      </c>
      <c r="AD4" s="94">
        <v>0</v>
      </c>
      <c r="AE4" s="94">
        <v>40</v>
      </c>
      <c r="AF4" s="94">
        <v>2</v>
      </c>
      <c r="AG4" s="94">
        <v>5</v>
      </c>
      <c r="AH4" s="94">
        <v>0</v>
      </c>
      <c r="AI4" s="94">
        <v>1</v>
      </c>
      <c r="AJ4" s="94">
        <v>1</v>
      </c>
      <c r="AK4" s="94">
        <v>1</v>
      </c>
      <c r="AL4" s="94">
        <v>0.1</v>
      </c>
      <c r="AM4" s="94">
        <v>0</v>
      </c>
      <c r="AN4" s="94">
        <v>15</v>
      </c>
      <c r="AO4" s="94">
        <v>0.5</v>
      </c>
      <c r="AP4" s="94">
        <v>0.3</v>
      </c>
      <c r="AQ4" s="94">
        <v>0</v>
      </c>
      <c r="AR4" s="94">
        <v>0</v>
      </c>
      <c r="AS4" s="94">
        <v>0</v>
      </c>
      <c r="AT4" s="94">
        <v>0.3</v>
      </c>
      <c r="AU4" s="94">
        <v>0</v>
      </c>
      <c r="AV4" s="94">
        <v>0</v>
      </c>
      <c r="AW4" s="94">
        <v>0</v>
      </c>
      <c r="AX4" s="94">
        <v>0</v>
      </c>
      <c r="AY4" s="94">
        <v>0</v>
      </c>
      <c r="AZ4" s="94">
        <v>0</v>
      </c>
      <c r="BA4" s="94">
        <v>0</v>
      </c>
      <c r="BB4" s="94">
        <v>0</v>
      </c>
      <c r="BC4" s="94">
        <v>0</v>
      </c>
      <c r="BD4" s="94">
        <v>0</v>
      </c>
      <c r="BE4" s="94">
        <v>2</v>
      </c>
      <c r="BF4" s="94">
        <v>0</v>
      </c>
      <c r="BG4" s="94">
        <v>0</v>
      </c>
      <c r="BH4" s="94">
        <v>3</v>
      </c>
      <c r="BI4" s="94">
        <v>1</v>
      </c>
      <c r="BJ4" s="94">
        <v>0</v>
      </c>
      <c r="BK4" s="94">
        <v>2</v>
      </c>
      <c r="BL4" s="94">
        <v>1</v>
      </c>
      <c r="BM4" s="94">
        <v>400</v>
      </c>
    </row>
    <row r="5" spans="1:65" x14ac:dyDescent="0.2">
      <c r="A5" s="94" t="s">
        <v>335</v>
      </c>
      <c r="B5" s="94" t="s">
        <v>4</v>
      </c>
      <c r="C5" s="94" t="s">
        <v>57</v>
      </c>
      <c r="D5" s="94">
        <v>10</v>
      </c>
      <c r="E5" s="94">
        <v>7</v>
      </c>
      <c r="F5" s="94">
        <v>8</v>
      </c>
      <c r="G5" s="94">
        <v>10</v>
      </c>
      <c r="H5" s="94">
        <v>4</v>
      </c>
      <c r="I5" s="94">
        <v>3</v>
      </c>
      <c r="J5" s="94">
        <v>3</v>
      </c>
      <c r="K5" s="94">
        <v>3</v>
      </c>
      <c r="L5" s="94">
        <v>2</v>
      </c>
      <c r="M5" s="94">
        <v>2</v>
      </c>
      <c r="N5" s="94">
        <v>1</v>
      </c>
      <c r="O5" s="94">
        <v>3</v>
      </c>
      <c r="P5" s="94">
        <v>2</v>
      </c>
      <c r="Q5" s="94">
        <v>1</v>
      </c>
      <c r="R5" s="94">
        <v>0</v>
      </c>
      <c r="S5" s="94">
        <v>3</v>
      </c>
      <c r="T5" s="94">
        <v>13</v>
      </c>
      <c r="U5" s="94">
        <v>5</v>
      </c>
      <c r="V5" s="94">
        <v>5</v>
      </c>
      <c r="W5" s="94">
        <v>6</v>
      </c>
      <c r="X5" s="94">
        <v>130</v>
      </c>
      <c r="Y5" s="94">
        <v>120</v>
      </c>
      <c r="Z5" s="94">
        <v>25</v>
      </c>
      <c r="AA5" s="94">
        <v>15</v>
      </c>
      <c r="AB5" s="94">
        <v>12</v>
      </c>
      <c r="AC5" s="94">
        <v>12</v>
      </c>
      <c r="AD5" s="94">
        <v>0</v>
      </c>
      <c r="AE5" s="94">
        <v>90</v>
      </c>
      <c r="AF5" s="94">
        <v>2</v>
      </c>
      <c r="AG5" s="94">
        <v>8</v>
      </c>
      <c r="AH5" s="94">
        <v>1</v>
      </c>
      <c r="AI5" s="94">
        <v>0.2</v>
      </c>
      <c r="AJ5" s="94">
        <v>1</v>
      </c>
      <c r="AK5" s="94">
        <v>1</v>
      </c>
      <c r="AL5" s="94">
        <v>0.1</v>
      </c>
      <c r="AM5" s="94">
        <v>10</v>
      </c>
      <c r="AN5" s="94">
        <v>17</v>
      </c>
      <c r="AO5" s="94">
        <v>0.6</v>
      </c>
      <c r="AP5" s="94">
        <v>0.2</v>
      </c>
      <c r="AQ5" s="94">
        <v>0.5</v>
      </c>
      <c r="AR5" s="94">
        <v>0.3</v>
      </c>
      <c r="AS5" s="94">
        <v>0</v>
      </c>
      <c r="AT5" s="94">
        <v>0.6</v>
      </c>
      <c r="AU5" s="94">
        <v>0</v>
      </c>
      <c r="AV5" s="94">
        <v>1</v>
      </c>
      <c r="AW5" s="94">
        <v>0</v>
      </c>
      <c r="AX5" s="94">
        <v>0.3</v>
      </c>
      <c r="AY5" s="94">
        <v>0</v>
      </c>
      <c r="AZ5" s="94">
        <v>0</v>
      </c>
      <c r="BA5" s="94">
        <v>0</v>
      </c>
      <c r="BB5" s="94">
        <v>0</v>
      </c>
      <c r="BC5" s="94">
        <v>0</v>
      </c>
      <c r="BD5" s="94">
        <v>1</v>
      </c>
      <c r="BE5" s="94">
        <v>1.5</v>
      </c>
      <c r="BF5" s="94">
        <v>14</v>
      </c>
      <c r="BG5" s="94">
        <v>0</v>
      </c>
      <c r="BH5" s="94">
        <v>5</v>
      </c>
      <c r="BI5" s="94">
        <v>1</v>
      </c>
      <c r="BJ5" s="94">
        <v>0</v>
      </c>
      <c r="BK5" s="94">
        <v>2</v>
      </c>
      <c r="BL5" s="94">
        <v>0</v>
      </c>
      <c r="BM5" s="94">
        <v>400</v>
      </c>
    </row>
    <row r="6" spans="1:65" x14ac:dyDescent="0.2">
      <c r="A6" s="94" t="s">
        <v>367</v>
      </c>
      <c r="B6" s="94" t="s">
        <v>5</v>
      </c>
      <c r="C6" s="94" t="s">
        <v>57</v>
      </c>
      <c r="D6" s="94">
        <v>13</v>
      </c>
      <c r="E6" s="94">
        <v>10</v>
      </c>
      <c r="F6" s="94">
        <v>10</v>
      </c>
      <c r="G6" s="94">
        <v>12</v>
      </c>
      <c r="H6" s="94">
        <v>5</v>
      </c>
      <c r="I6" s="94">
        <v>4</v>
      </c>
      <c r="J6" s="94">
        <v>6</v>
      </c>
      <c r="K6" s="94">
        <v>4</v>
      </c>
      <c r="L6" s="94">
        <v>1</v>
      </c>
      <c r="M6" s="94">
        <v>2</v>
      </c>
      <c r="N6" s="94">
        <v>1</v>
      </c>
      <c r="O6" s="94">
        <v>2.5</v>
      </c>
      <c r="P6" s="94">
        <v>3</v>
      </c>
      <c r="Q6" s="94">
        <v>2</v>
      </c>
      <c r="R6" s="94">
        <v>1</v>
      </c>
      <c r="S6" s="94">
        <v>1</v>
      </c>
      <c r="T6" s="94">
        <v>20</v>
      </c>
      <c r="U6" s="94">
        <v>6</v>
      </c>
      <c r="V6" s="94">
        <v>4</v>
      </c>
      <c r="W6" s="94">
        <v>6</v>
      </c>
      <c r="X6" s="94">
        <v>337</v>
      </c>
      <c r="Y6" s="94">
        <v>170</v>
      </c>
      <c r="Z6" s="94">
        <v>25</v>
      </c>
      <c r="AA6" s="94">
        <v>15</v>
      </c>
      <c r="AB6" s="94">
        <v>12</v>
      </c>
      <c r="AC6" s="94">
        <v>16</v>
      </c>
      <c r="AD6" s="94">
        <v>0</v>
      </c>
      <c r="AE6" s="94">
        <v>50</v>
      </c>
      <c r="AF6" s="94">
        <v>2</v>
      </c>
      <c r="AG6" s="94">
        <v>10</v>
      </c>
      <c r="AH6" s="94">
        <v>1</v>
      </c>
      <c r="AI6" s="94">
        <v>2</v>
      </c>
      <c r="AJ6" s="94">
        <v>1</v>
      </c>
      <c r="AK6" s="94">
        <v>1</v>
      </c>
      <c r="AL6" s="94">
        <v>0.1</v>
      </c>
      <c r="AM6" s="94">
        <v>12</v>
      </c>
      <c r="AN6" s="94">
        <v>15</v>
      </c>
      <c r="AO6" s="94">
        <v>1</v>
      </c>
      <c r="AP6" s="94">
        <v>0</v>
      </c>
      <c r="AQ6" s="94">
        <v>1</v>
      </c>
      <c r="AR6" s="94">
        <v>0.4</v>
      </c>
      <c r="AS6" s="94">
        <v>0</v>
      </c>
      <c r="AT6" s="94">
        <v>0.7</v>
      </c>
      <c r="AU6" s="94">
        <v>0.2</v>
      </c>
      <c r="AV6" s="94">
        <v>1</v>
      </c>
      <c r="AW6" s="94">
        <v>0</v>
      </c>
      <c r="AX6" s="94">
        <v>0.2</v>
      </c>
      <c r="AY6" s="94">
        <v>0</v>
      </c>
      <c r="AZ6" s="94">
        <v>1</v>
      </c>
      <c r="BA6" s="94">
        <v>0.4</v>
      </c>
      <c r="BB6" s="94">
        <v>0.1</v>
      </c>
      <c r="BC6" s="94">
        <v>0</v>
      </c>
      <c r="BD6" s="94">
        <v>1</v>
      </c>
      <c r="BE6" s="94">
        <v>1.5</v>
      </c>
      <c r="BF6" s="94">
        <v>24</v>
      </c>
      <c r="BG6" s="94">
        <v>0.5</v>
      </c>
      <c r="BH6" s="94">
        <v>5</v>
      </c>
      <c r="BI6" s="94">
        <v>1</v>
      </c>
      <c r="BJ6" s="94">
        <v>0</v>
      </c>
      <c r="BK6" s="94">
        <v>2</v>
      </c>
      <c r="BL6" s="94">
        <v>0</v>
      </c>
      <c r="BM6" s="94">
        <v>0</v>
      </c>
    </row>
    <row r="7" spans="1:65" x14ac:dyDescent="0.2">
      <c r="A7" s="94" t="s">
        <v>359</v>
      </c>
      <c r="B7" s="94" t="s">
        <v>6</v>
      </c>
      <c r="C7" s="94" t="s">
        <v>57</v>
      </c>
      <c r="D7" s="94">
        <v>12</v>
      </c>
      <c r="E7" s="94">
        <v>10</v>
      </c>
      <c r="F7" s="94">
        <v>6</v>
      </c>
      <c r="G7" s="94">
        <v>9</v>
      </c>
      <c r="H7" s="94">
        <v>4</v>
      </c>
      <c r="I7" s="94">
        <v>3</v>
      </c>
      <c r="J7" s="94">
        <v>6</v>
      </c>
      <c r="K7" s="94">
        <v>4</v>
      </c>
      <c r="L7" s="94">
        <v>3</v>
      </c>
      <c r="M7" s="94">
        <v>3</v>
      </c>
      <c r="N7" s="94">
        <v>2</v>
      </c>
      <c r="O7" s="94">
        <v>3</v>
      </c>
      <c r="P7" s="94">
        <v>3</v>
      </c>
      <c r="Q7" s="94">
        <v>2</v>
      </c>
      <c r="R7" s="94">
        <v>0</v>
      </c>
      <c r="S7" s="94">
        <v>0</v>
      </c>
      <c r="T7" s="94">
        <v>20</v>
      </c>
      <c r="U7" s="94">
        <v>4</v>
      </c>
      <c r="V7" s="94">
        <v>5</v>
      </c>
      <c r="W7" s="94">
        <v>3</v>
      </c>
      <c r="X7" s="94">
        <v>156</v>
      </c>
      <c r="Y7" s="94">
        <v>102</v>
      </c>
      <c r="Z7" s="94">
        <v>25</v>
      </c>
      <c r="AA7" s="94">
        <v>20</v>
      </c>
      <c r="AB7" s="94">
        <v>12</v>
      </c>
      <c r="AC7" s="94">
        <v>12</v>
      </c>
      <c r="AD7" s="94">
        <v>0</v>
      </c>
      <c r="AE7" s="94">
        <v>58</v>
      </c>
      <c r="AF7" s="94">
        <v>2</v>
      </c>
      <c r="AG7" s="94">
        <v>6</v>
      </c>
      <c r="AH7" s="94">
        <v>1</v>
      </c>
      <c r="AI7" s="94">
        <v>1</v>
      </c>
      <c r="AJ7" s="94">
        <v>1</v>
      </c>
      <c r="AK7" s="94">
        <v>1</v>
      </c>
      <c r="AL7" s="94">
        <v>0.1</v>
      </c>
      <c r="AM7" s="94">
        <v>13</v>
      </c>
      <c r="AN7" s="94">
        <v>10</v>
      </c>
      <c r="AO7" s="94">
        <v>0.4</v>
      </c>
      <c r="AP7" s="94">
        <v>0</v>
      </c>
      <c r="AQ7" s="94">
        <v>1</v>
      </c>
      <c r="AR7" s="94">
        <v>0</v>
      </c>
      <c r="AS7" s="94">
        <v>0</v>
      </c>
      <c r="AT7" s="94">
        <v>1</v>
      </c>
      <c r="AU7" s="94">
        <v>0</v>
      </c>
      <c r="AV7" s="94">
        <v>0</v>
      </c>
      <c r="AW7" s="94">
        <v>0</v>
      </c>
      <c r="AX7" s="94">
        <v>0.3</v>
      </c>
      <c r="AY7" s="94">
        <v>0</v>
      </c>
      <c r="AZ7" s="94">
        <v>0</v>
      </c>
      <c r="BA7" s="94">
        <v>0</v>
      </c>
      <c r="BB7" s="94">
        <v>0</v>
      </c>
      <c r="BC7" s="94">
        <v>0</v>
      </c>
      <c r="BD7" s="94">
        <v>0</v>
      </c>
      <c r="BE7" s="94">
        <v>0</v>
      </c>
      <c r="BF7" s="94">
        <v>0</v>
      </c>
      <c r="BG7" s="94">
        <v>0</v>
      </c>
      <c r="BH7" s="94">
        <v>4</v>
      </c>
      <c r="BI7" s="94">
        <v>1</v>
      </c>
      <c r="BJ7" s="94">
        <v>0</v>
      </c>
      <c r="BK7" s="94">
        <v>2</v>
      </c>
      <c r="BL7" s="94">
        <v>1</v>
      </c>
      <c r="BM7" s="94">
        <v>0</v>
      </c>
    </row>
    <row r="8" spans="1:65" x14ac:dyDescent="0.2">
      <c r="A8" s="94" t="s">
        <v>355</v>
      </c>
      <c r="B8" s="94" t="s">
        <v>7</v>
      </c>
      <c r="C8" s="94" t="s">
        <v>57</v>
      </c>
      <c r="D8" s="94">
        <v>10</v>
      </c>
      <c r="E8" s="94">
        <v>6</v>
      </c>
      <c r="F8" s="94">
        <v>6</v>
      </c>
      <c r="G8" s="94">
        <v>8</v>
      </c>
      <c r="H8" s="94">
        <v>3</v>
      </c>
      <c r="I8" s="94">
        <v>1</v>
      </c>
      <c r="J8" s="94">
        <v>2</v>
      </c>
      <c r="K8" s="94">
        <v>3</v>
      </c>
      <c r="L8" s="94">
        <v>5</v>
      </c>
      <c r="M8" s="94">
        <v>6</v>
      </c>
      <c r="N8" s="94">
        <v>1</v>
      </c>
      <c r="O8" s="94">
        <v>2.5</v>
      </c>
      <c r="P8" s="94">
        <v>3</v>
      </c>
      <c r="Q8" s="94">
        <v>3</v>
      </c>
      <c r="R8" s="94">
        <v>1</v>
      </c>
      <c r="S8" s="94">
        <v>0</v>
      </c>
      <c r="T8" s="94">
        <v>15</v>
      </c>
      <c r="U8" s="94">
        <v>7</v>
      </c>
      <c r="V8" s="94">
        <v>5</v>
      </c>
      <c r="W8" s="94">
        <v>3</v>
      </c>
      <c r="X8" s="94">
        <v>294</v>
      </c>
      <c r="Y8" s="94">
        <v>138</v>
      </c>
      <c r="Z8" s="94">
        <v>25</v>
      </c>
      <c r="AA8" s="94">
        <v>28</v>
      </c>
      <c r="AB8" s="94">
        <v>12</v>
      </c>
      <c r="AC8" s="94">
        <v>16</v>
      </c>
      <c r="AD8" s="94">
        <v>0</v>
      </c>
      <c r="AE8" s="94">
        <v>59</v>
      </c>
      <c r="AF8" s="94">
        <v>2</v>
      </c>
      <c r="AG8" s="94">
        <v>6</v>
      </c>
      <c r="AH8" s="94">
        <v>1.5</v>
      </c>
      <c r="AI8" s="94">
        <v>0.5</v>
      </c>
      <c r="AJ8" s="94">
        <v>2</v>
      </c>
      <c r="AK8" s="94">
        <v>2</v>
      </c>
      <c r="AL8" s="94">
        <v>0.30000000000000004</v>
      </c>
      <c r="AM8" s="94">
        <v>10</v>
      </c>
      <c r="AN8" s="94">
        <v>22</v>
      </c>
      <c r="AO8" s="94">
        <v>0.5</v>
      </c>
      <c r="AP8" s="94">
        <v>0.5</v>
      </c>
      <c r="AQ8" s="94">
        <v>0.6</v>
      </c>
      <c r="AR8" s="94">
        <v>0.3</v>
      </c>
      <c r="AS8" s="94">
        <v>0</v>
      </c>
      <c r="AT8" s="94">
        <v>1</v>
      </c>
      <c r="AU8" s="94">
        <v>0.2</v>
      </c>
      <c r="AV8" s="94">
        <v>0</v>
      </c>
      <c r="AW8" s="94">
        <v>0</v>
      </c>
      <c r="AX8" s="94">
        <v>0.6</v>
      </c>
      <c r="AY8" s="94">
        <v>0</v>
      </c>
      <c r="AZ8" s="94">
        <v>0</v>
      </c>
      <c r="BA8" s="94">
        <v>0</v>
      </c>
      <c r="BB8" s="94">
        <v>0</v>
      </c>
      <c r="BC8" s="94">
        <v>0</v>
      </c>
      <c r="BD8" s="94">
        <v>0</v>
      </c>
      <c r="BE8" s="94">
        <v>0</v>
      </c>
      <c r="BF8" s="94">
        <v>0</v>
      </c>
      <c r="BG8" s="94">
        <v>0</v>
      </c>
      <c r="BH8" s="94">
        <v>4</v>
      </c>
      <c r="BI8" s="94">
        <v>2</v>
      </c>
      <c r="BJ8" s="94">
        <v>0</v>
      </c>
      <c r="BK8" s="94">
        <v>3</v>
      </c>
      <c r="BL8" s="94">
        <v>0</v>
      </c>
      <c r="BM8" s="94">
        <v>0</v>
      </c>
    </row>
    <row r="9" spans="1:65" x14ac:dyDescent="0.2">
      <c r="A9" s="94" t="s">
        <v>339</v>
      </c>
      <c r="B9" s="94" t="s">
        <v>331</v>
      </c>
      <c r="C9" s="94" t="s">
        <v>57</v>
      </c>
      <c r="D9" s="94">
        <v>12</v>
      </c>
      <c r="E9" s="94">
        <v>8</v>
      </c>
      <c r="F9" s="94">
        <v>6</v>
      </c>
      <c r="G9" s="94">
        <v>9</v>
      </c>
      <c r="H9" s="94">
        <v>2</v>
      </c>
      <c r="I9" s="94">
        <v>2</v>
      </c>
      <c r="J9" s="94">
        <v>0</v>
      </c>
      <c r="K9" s="94">
        <v>3</v>
      </c>
      <c r="L9" s="94">
        <v>9</v>
      </c>
      <c r="M9" s="94">
        <v>9</v>
      </c>
      <c r="N9" s="94">
        <v>3</v>
      </c>
      <c r="O9" s="94">
        <v>2.5</v>
      </c>
      <c r="P9" s="94">
        <v>7</v>
      </c>
      <c r="Q9" s="94">
        <v>4</v>
      </c>
      <c r="R9" s="94">
        <v>1</v>
      </c>
      <c r="S9" s="94">
        <v>2.2000000000000002</v>
      </c>
      <c r="T9" s="94">
        <v>17</v>
      </c>
      <c r="U9" s="94">
        <v>11</v>
      </c>
      <c r="V9" s="94">
        <v>5</v>
      </c>
      <c r="W9" s="94">
        <v>10</v>
      </c>
      <c r="X9" s="94">
        <v>592</v>
      </c>
      <c r="Y9" s="94">
        <v>320</v>
      </c>
      <c r="Z9" s="94">
        <v>0</v>
      </c>
      <c r="AA9" s="94">
        <v>0</v>
      </c>
      <c r="AB9" s="94">
        <v>0</v>
      </c>
      <c r="AC9" s="94">
        <v>0</v>
      </c>
      <c r="AD9" s="94">
        <v>0</v>
      </c>
      <c r="AE9" s="94">
        <v>50</v>
      </c>
      <c r="AF9" s="94">
        <v>2</v>
      </c>
      <c r="AG9" s="94">
        <v>10.1</v>
      </c>
      <c r="AH9" s="94">
        <v>2</v>
      </c>
      <c r="AI9" s="94">
        <v>1.6</v>
      </c>
      <c r="AJ9" s="94">
        <v>1</v>
      </c>
      <c r="AK9" s="94">
        <v>1</v>
      </c>
      <c r="AL9" s="94">
        <v>0.1</v>
      </c>
      <c r="AM9" s="94">
        <v>15</v>
      </c>
      <c r="AN9" s="94">
        <v>30</v>
      </c>
      <c r="AO9" s="94">
        <v>1.5</v>
      </c>
      <c r="AP9" s="94">
        <v>0.5</v>
      </c>
      <c r="AQ9" s="94">
        <v>1</v>
      </c>
      <c r="AR9" s="94">
        <v>1</v>
      </c>
      <c r="AS9" s="94">
        <v>0</v>
      </c>
      <c r="AT9" s="94">
        <v>0.5</v>
      </c>
      <c r="AU9" s="94">
        <v>0.5</v>
      </c>
      <c r="AV9" s="94">
        <v>3</v>
      </c>
      <c r="AW9" s="94">
        <v>0</v>
      </c>
      <c r="AX9" s="94">
        <v>1.2</v>
      </c>
      <c r="AY9" s="94">
        <v>0</v>
      </c>
      <c r="AZ9" s="94">
        <v>0.5</v>
      </c>
      <c r="BA9" s="94">
        <v>0</v>
      </c>
      <c r="BB9" s="94">
        <v>0</v>
      </c>
      <c r="BC9" s="94">
        <v>0</v>
      </c>
      <c r="BD9" s="94">
        <v>2</v>
      </c>
      <c r="BE9" s="94">
        <v>2</v>
      </c>
      <c r="BF9" s="94">
        <v>24</v>
      </c>
      <c r="BG9" s="94">
        <v>0.5</v>
      </c>
      <c r="BH9" s="94">
        <v>5</v>
      </c>
      <c r="BI9" s="94">
        <v>1</v>
      </c>
      <c r="BJ9" s="94">
        <v>1</v>
      </c>
      <c r="BK9" s="94">
        <v>3</v>
      </c>
      <c r="BL9" s="94">
        <v>1</v>
      </c>
      <c r="BM9" s="94">
        <v>200</v>
      </c>
    </row>
    <row r="10" spans="1:65" x14ac:dyDescent="0.2">
      <c r="A10" s="94" t="s">
        <v>379</v>
      </c>
      <c r="B10" s="94" t="s">
        <v>9</v>
      </c>
      <c r="C10" s="94" t="s">
        <v>57</v>
      </c>
      <c r="D10" s="94">
        <v>12</v>
      </c>
      <c r="E10" s="94">
        <v>8</v>
      </c>
      <c r="F10" s="94">
        <v>6</v>
      </c>
      <c r="G10" s="94">
        <v>9</v>
      </c>
      <c r="H10" s="94">
        <v>1</v>
      </c>
      <c r="I10" s="94">
        <v>2</v>
      </c>
      <c r="J10" s="94">
        <v>0</v>
      </c>
      <c r="K10" s="94">
        <v>4</v>
      </c>
      <c r="L10" s="94">
        <v>3</v>
      </c>
      <c r="M10" s="94">
        <v>3</v>
      </c>
      <c r="N10" s="94">
        <v>2</v>
      </c>
      <c r="O10" s="94">
        <v>2.5</v>
      </c>
      <c r="P10" s="94">
        <v>0</v>
      </c>
      <c r="Q10" s="94">
        <v>0</v>
      </c>
      <c r="R10" s="94">
        <v>0</v>
      </c>
      <c r="S10" s="94">
        <v>1</v>
      </c>
      <c r="T10" s="94">
        <v>20</v>
      </c>
      <c r="U10" s="94">
        <v>5</v>
      </c>
      <c r="V10" s="94">
        <v>7</v>
      </c>
      <c r="W10" s="94">
        <v>7</v>
      </c>
      <c r="X10" s="94">
        <v>360</v>
      </c>
      <c r="Y10" s="94">
        <v>112</v>
      </c>
      <c r="Z10" s="94">
        <v>0</v>
      </c>
      <c r="AA10" s="94">
        <v>0</v>
      </c>
      <c r="AB10" s="94">
        <v>10</v>
      </c>
      <c r="AC10" s="94">
        <v>14</v>
      </c>
      <c r="AD10" s="94">
        <v>0</v>
      </c>
      <c r="AE10" s="94">
        <v>50</v>
      </c>
      <c r="AF10" s="94">
        <v>2</v>
      </c>
      <c r="AG10" s="94">
        <v>10</v>
      </c>
      <c r="AH10" s="94">
        <v>2</v>
      </c>
      <c r="AI10" s="94">
        <v>1</v>
      </c>
      <c r="AJ10" s="94">
        <v>1</v>
      </c>
      <c r="AK10" s="94">
        <v>1</v>
      </c>
      <c r="AL10" s="94">
        <v>0.1</v>
      </c>
      <c r="AM10" s="94">
        <v>15</v>
      </c>
      <c r="AN10" s="94">
        <v>30</v>
      </c>
      <c r="AO10" s="94">
        <v>0</v>
      </c>
      <c r="AP10" s="94">
        <v>0</v>
      </c>
      <c r="AQ10" s="94">
        <v>0.5</v>
      </c>
      <c r="AR10" s="94">
        <v>0.5</v>
      </c>
      <c r="AS10" s="94">
        <v>0</v>
      </c>
      <c r="AT10" s="94">
        <v>1</v>
      </c>
      <c r="AU10" s="94">
        <v>0</v>
      </c>
      <c r="AV10" s="94">
        <v>0</v>
      </c>
      <c r="AW10" s="94">
        <v>0</v>
      </c>
      <c r="AX10" s="94">
        <v>1</v>
      </c>
      <c r="AY10" s="94">
        <v>0</v>
      </c>
      <c r="AZ10" s="94">
        <v>0</v>
      </c>
      <c r="BA10" s="94">
        <v>0</v>
      </c>
      <c r="BB10" s="94">
        <v>0</v>
      </c>
      <c r="BC10" s="94">
        <v>0</v>
      </c>
      <c r="BD10" s="94">
        <v>0</v>
      </c>
      <c r="BE10" s="94">
        <v>0</v>
      </c>
      <c r="BF10" s="94">
        <v>0</v>
      </c>
      <c r="BG10" s="94">
        <v>0</v>
      </c>
      <c r="BH10" s="94">
        <v>3</v>
      </c>
      <c r="BI10" s="94">
        <v>1</v>
      </c>
      <c r="BJ10" s="94">
        <v>0</v>
      </c>
      <c r="BK10" s="94">
        <v>3</v>
      </c>
      <c r="BL10" s="94">
        <v>1</v>
      </c>
      <c r="BM10" s="94">
        <v>0</v>
      </c>
    </row>
    <row r="11" spans="1:65" x14ac:dyDescent="0.2">
      <c r="A11" s="94" t="s">
        <v>375</v>
      </c>
      <c r="B11" s="94" t="s">
        <v>10</v>
      </c>
      <c r="C11" s="94" t="s">
        <v>57</v>
      </c>
      <c r="D11" s="94">
        <v>8</v>
      </c>
      <c r="E11" s="94">
        <v>6</v>
      </c>
      <c r="F11" s="94">
        <v>7</v>
      </c>
      <c r="G11" s="94">
        <v>6</v>
      </c>
      <c r="H11" s="94">
        <v>3</v>
      </c>
      <c r="I11" s="94">
        <v>2</v>
      </c>
      <c r="J11" s="94">
        <v>0</v>
      </c>
      <c r="K11" s="94">
        <v>5</v>
      </c>
      <c r="L11" s="94">
        <v>10</v>
      </c>
      <c r="M11" s="94">
        <v>10</v>
      </c>
      <c r="N11" s="94">
        <v>0</v>
      </c>
      <c r="O11" s="94">
        <v>2</v>
      </c>
      <c r="P11" s="94">
        <v>2</v>
      </c>
      <c r="Q11" s="94">
        <v>2</v>
      </c>
      <c r="R11" s="94">
        <v>0</v>
      </c>
      <c r="S11" s="94">
        <v>1</v>
      </c>
      <c r="T11" s="94">
        <v>15</v>
      </c>
      <c r="U11" s="94">
        <v>5</v>
      </c>
      <c r="V11" s="94">
        <v>5</v>
      </c>
      <c r="W11" s="94">
        <v>6</v>
      </c>
      <c r="X11" s="94">
        <v>300</v>
      </c>
      <c r="Y11" s="94">
        <v>180</v>
      </c>
      <c r="Z11" s="94">
        <v>25</v>
      </c>
      <c r="AA11" s="94">
        <v>5</v>
      </c>
      <c r="AB11" s="94">
        <v>17</v>
      </c>
      <c r="AC11" s="94">
        <v>10</v>
      </c>
      <c r="AD11" s="94">
        <v>0</v>
      </c>
      <c r="AE11" s="94">
        <v>50</v>
      </c>
      <c r="AF11" s="94">
        <v>2</v>
      </c>
      <c r="AG11" s="94">
        <v>10</v>
      </c>
      <c r="AH11" s="94">
        <v>0</v>
      </c>
      <c r="AI11" s="94">
        <v>0</v>
      </c>
      <c r="AJ11" s="94">
        <v>1</v>
      </c>
      <c r="AK11" s="94">
        <v>1</v>
      </c>
      <c r="AL11" s="94">
        <v>0.1</v>
      </c>
      <c r="AM11" s="94">
        <v>0</v>
      </c>
      <c r="AN11" s="94">
        <v>15</v>
      </c>
      <c r="AO11" s="94">
        <v>0.5</v>
      </c>
      <c r="AP11" s="94">
        <v>0</v>
      </c>
      <c r="AQ11" s="94">
        <v>0</v>
      </c>
      <c r="AR11" s="94">
        <v>0.4</v>
      </c>
      <c r="AS11" s="94">
        <v>0</v>
      </c>
      <c r="AT11" s="94">
        <v>1</v>
      </c>
      <c r="AU11" s="94">
        <v>0</v>
      </c>
      <c r="AV11" s="94">
        <v>0</v>
      </c>
      <c r="AW11" s="94">
        <v>0</v>
      </c>
      <c r="AX11" s="94">
        <v>0</v>
      </c>
      <c r="AY11" s="94">
        <v>0</v>
      </c>
      <c r="AZ11" s="94">
        <v>0</v>
      </c>
      <c r="BA11" s="94">
        <v>0</v>
      </c>
      <c r="BB11" s="94">
        <v>0</v>
      </c>
      <c r="BC11" s="94">
        <v>0</v>
      </c>
      <c r="BD11" s="94">
        <v>0</v>
      </c>
      <c r="BE11" s="94">
        <v>0</v>
      </c>
      <c r="BF11" s="94">
        <v>0</v>
      </c>
      <c r="BG11" s="94">
        <v>0</v>
      </c>
      <c r="BH11" s="94">
        <v>0</v>
      </c>
      <c r="BI11" s="94">
        <v>0</v>
      </c>
      <c r="BJ11" s="94">
        <v>0</v>
      </c>
      <c r="BK11" s="94">
        <v>3</v>
      </c>
      <c r="BL11" s="94">
        <v>0</v>
      </c>
      <c r="BM11" s="94">
        <v>600</v>
      </c>
    </row>
    <row r="12" spans="1:65" x14ac:dyDescent="0.2">
      <c r="A12" s="94" t="s">
        <v>371</v>
      </c>
      <c r="B12" s="94" t="s">
        <v>11</v>
      </c>
      <c r="C12" s="94" t="s">
        <v>57</v>
      </c>
      <c r="D12" s="94">
        <v>12</v>
      </c>
      <c r="E12" s="94">
        <v>6</v>
      </c>
      <c r="F12" s="94">
        <v>0</v>
      </c>
      <c r="G12" s="94">
        <v>12</v>
      </c>
      <c r="H12" s="94">
        <v>5</v>
      </c>
      <c r="I12" s="94">
        <v>0</v>
      </c>
      <c r="J12" s="94">
        <v>0</v>
      </c>
      <c r="K12" s="94">
        <v>5</v>
      </c>
      <c r="L12" s="94">
        <v>6</v>
      </c>
      <c r="M12" s="94">
        <v>6</v>
      </c>
      <c r="N12" s="94">
        <v>0</v>
      </c>
      <c r="O12" s="94">
        <v>3</v>
      </c>
      <c r="P12" s="94">
        <v>3</v>
      </c>
      <c r="Q12" s="94">
        <v>3</v>
      </c>
      <c r="R12" s="94">
        <v>0</v>
      </c>
      <c r="S12" s="94">
        <v>1</v>
      </c>
      <c r="T12" s="94">
        <v>15</v>
      </c>
      <c r="U12" s="94">
        <v>3</v>
      </c>
      <c r="V12" s="94">
        <v>2</v>
      </c>
      <c r="W12" s="94">
        <v>6</v>
      </c>
      <c r="X12" s="94">
        <v>60</v>
      </c>
      <c r="Y12" s="94">
        <v>32</v>
      </c>
      <c r="Z12" s="94">
        <v>15</v>
      </c>
      <c r="AA12" s="94">
        <v>5</v>
      </c>
      <c r="AB12" s="94">
        <v>0</v>
      </c>
      <c r="AC12" s="94">
        <v>0</v>
      </c>
      <c r="AD12" s="94">
        <v>0</v>
      </c>
      <c r="AE12" s="94">
        <v>0</v>
      </c>
      <c r="AF12" s="94">
        <v>0</v>
      </c>
      <c r="AG12" s="94">
        <v>2</v>
      </c>
      <c r="AH12" s="94">
        <v>0</v>
      </c>
      <c r="AI12" s="94">
        <v>0</v>
      </c>
      <c r="AJ12" s="94">
        <v>1</v>
      </c>
      <c r="AK12" s="94">
        <v>1</v>
      </c>
      <c r="AL12" s="94">
        <v>0.1</v>
      </c>
      <c r="AM12" s="94">
        <v>10</v>
      </c>
      <c r="AN12" s="94">
        <v>15</v>
      </c>
      <c r="AO12" s="94">
        <v>0.5</v>
      </c>
      <c r="AP12" s="94">
        <v>0</v>
      </c>
      <c r="AQ12" s="94">
        <v>0.5</v>
      </c>
      <c r="AR12" s="94">
        <v>0</v>
      </c>
      <c r="AS12" s="94">
        <v>0</v>
      </c>
      <c r="AT12" s="94">
        <v>0.5</v>
      </c>
      <c r="AU12" s="94">
        <v>0</v>
      </c>
      <c r="AV12" s="94">
        <v>0</v>
      </c>
      <c r="AW12" s="94">
        <v>0</v>
      </c>
      <c r="AX12" s="94">
        <v>0</v>
      </c>
      <c r="AY12" s="94">
        <v>0</v>
      </c>
      <c r="AZ12" s="94">
        <v>0</v>
      </c>
      <c r="BA12" s="94">
        <v>0</v>
      </c>
      <c r="BB12" s="94">
        <v>0</v>
      </c>
      <c r="BC12" s="94">
        <v>0</v>
      </c>
      <c r="BD12" s="94">
        <v>0</v>
      </c>
      <c r="BE12" s="94">
        <v>0</v>
      </c>
      <c r="BF12" s="94">
        <v>0</v>
      </c>
      <c r="BG12" s="94">
        <v>0</v>
      </c>
      <c r="BH12" s="94">
        <v>2</v>
      </c>
      <c r="BI12" s="94">
        <v>1</v>
      </c>
      <c r="BJ12" s="94">
        <v>0</v>
      </c>
      <c r="BK12" s="94">
        <v>2</v>
      </c>
      <c r="BL12" s="94">
        <v>0</v>
      </c>
      <c r="BM12" s="94">
        <v>600</v>
      </c>
    </row>
    <row r="13" spans="1:65" x14ac:dyDescent="0.2">
      <c r="A13" s="94" t="s">
        <v>343</v>
      </c>
      <c r="B13" s="94" t="s">
        <v>12</v>
      </c>
      <c r="C13" s="94" t="s">
        <v>57</v>
      </c>
      <c r="D13" s="94">
        <v>11</v>
      </c>
      <c r="E13" s="94">
        <v>2</v>
      </c>
      <c r="F13" s="94">
        <v>4</v>
      </c>
      <c r="G13" s="94">
        <v>8</v>
      </c>
      <c r="H13" s="94">
        <v>2</v>
      </c>
      <c r="I13" s="94">
        <v>2</v>
      </c>
      <c r="J13" s="94">
        <v>0</v>
      </c>
      <c r="K13" s="94">
        <v>0</v>
      </c>
      <c r="L13" s="94">
        <v>5</v>
      </c>
      <c r="M13" s="94">
        <v>5</v>
      </c>
      <c r="N13" s="94">
        <v>0</v>
      </c>
      <c r="O13" s="94">
        <v>2</v>
      </c>
      <c r="P13" s="94">
        <v>2</v>
      </c>
      <c r="Q13" s="94">
        <v>2</v>
      </c>
      <c r="R13" s="94">
        <v>0</v>
      </c>
      <c r="S13" s="94">
        <v>0</v>
      </c>
      <c r="T13" s="94">
        <v>15</v>
      </c>
      <c r="U13" s="94">
        <v>3</v>
      </c>
      <c r="V13" s="94">
        <v>0</v>
      </c>
      <c r="W13" s="94">
        <v>0</v>
      </c>
      <c r="X13" s="94">
        <v>180</v>
      </c>
      <c r="Y13" s="94">
        <v>128</v>
      </c>
      <c r="Z13" s="94">
        <v>10</v>
      </c>
      <c r="AA13" s="94">
        <v>3</v>
      </c>
      <c r="AB13" s="94">
        <v>0</v>
      </c>
      <c r="AC13" s="94">
        <v>0</v>
      </c>
      <c r="AD13" s="94">
        <v>0</v>
      </c>
      <c r="AE13" s="94">
        <v>50</v>
      </c>
      <c r="AF13" s="94">
        <v>2</v>
      </c>
      <c r="AG13" s="94">
        <v>10</v>
      </c>
      <c r="AH13" s="94">
        <v>0</v>
      </c>
      <c r="AI13" s="94">
        <v>0</v>
      </c>
      <c r="AJ13" s="94">
        <v>1</v>
      </c>
      <c r="AK13" s="94">
        <v>1</v>
      </c>
      <c r="AL13" s="94">
        <v>0.1</v>
      </c>
      <c r="AM13" s="94">
        <v>8</v>
      </c>
      <c r="AN13" s="94">
        <v>15</v>
      </c>
      <c r="AO13" s="94">
        <v>0.5</v>
      </c>
      <c r="AP13" s="94">
        <v>0.25</v>
      </c>
      <c r="AQ13" s="94">
        <v>0.5</v>
      </c>
      <c r="AR13" s="94">
        <v>0.2</v>
      </c>
      <c r="AS13" s="94">
        <v>0</v>
      </c>
      <c r="AT13" s="94">
        <v>1</v>
      </c>
      <c r="AU13" s="94">
        <v>0.2</v>
      </c>
      <c r="AV13" s="94">
        <v>0</v>
      </c>
      <c r="AW13" s="94">
        <v>0</v>
      </c>
      <c r="AX13" s="94">
        <v>0.3</v>
      </c>
      <c r="AY13" s="94">
        <v>0</v>
      </c>
      <c r="AZ13" s="94">
        <v>0</v>
      </c>
      <c r="BA13" s="94">
        <v>0</v>
      </c>
      <c r="BB13" s="94">
        <v>0</v>
      </c>
      <c r="BC13" s="94">
        <v>0</v>
      </c>
      <c r="BD13" s="94">
        <v>0</v>
      </c>
      <c r="BE13" s="94">
        <v>0</v>
      </c>
      <c r="BF13" s="94">
        <v>0</v>
      </c>
      <c r="BG13" s="94">
        <v>0</v>
      </c>
      <c r="BH13" s="94">
        <v>3</v>
      </c>
      <c r="BI13" s="94">
        <v>1</v>
      </c>
      <c r="BJ13" s="94">
        <v>0</v>
      </c>
      <c r="BK13" s="94">
        <v>2</v>
      </c>
      <c r="BL13" s="94">
        <v>0</v>
      </c>
      <c r="BM13" s="94">
        <v>0</v>
      </c>
    </row>
    <row r="14" spans="1:65" x14ac:dyDescent="0.2">
      <c r="A14" s="94" t="s">
        <v>349</v>
      </c>
      <c r="B14" s="94" t="s">
        <v>1</v>
      </c>
      <c r="C14" s="94" t="s">
        <v>60</v>
      </c>
      <c r="D14" s="94">
        <v>1</v>
      </c>
      <c r="E14" s="94">
        <v>1</v>
      </c>
      <c r="F14" s="94">
        <v>2</v>
      </c>
      <c r="G14" s="94">
        <v>1</v>
      </c>
      <c r="H14" s="94">
        <v>1</v>
      </c>
      <c r="I14" s="94">
        <v>6</v>
      </c>
      <c r="J14" s="94">
        <v>3</v>
      </c>
      <c r="K14" s="94">
        <v>2</v>
      </c>
      <c r="L14" s="94">
        <v>1</v>
      </c>
      <c r="M14" s="94">
        <v>1</v>
      </c>
      <c r="N14" s="94">
        <v>2</v>
      </c>
      <c r="O14" s="94">
        <v>1.5</v>
      </c>
      <c r="P14" s="94">
        <v>0.4</v>
      </c>
      <c r="Q14" s="94">
        <v>2</v>
      </c>
      <c r="R14" s="94">
        <v>1</v>
      </c>
      <c r="S14" s="94">
        <v>1</v>
      </c>
      <c r="T14" s="94">
        <v>0</v>
      </c>
      <c r="U14" s="94">
        <v>0</v>
      </c>
      <c r="V14" s="94">
        <v>2</v>
      </c>
      <c r="W14" s="94">
        <v>4</v>
      </c>
      <c r="X14" s="94">
        <v>95</v>
      </c>
      <c r="Y14" s="94">
        <v>6</v>
      </c>
      <c r="Z14" s="94">
        <v>25</v>
      </c>
      <c r="AA14" s="94">
        <v>5</v>
      </c>
      <c r="AB14" s="94">
        <v>7</v>
      </c>
      <c r="AC14" s="94">
        <v>1</v>
      </c>
      <c r="AD14" s="94">
        <v>0</v>
      </c>
      <c r="AE14" s="94">
        <v>43</v>
      </c>
      <c r="AF14" s="94">
        <v>0</v>
      </c>
      <c r="AG14" s="94">
        <v>0</v>
      </c>
      <c r="AH14" s="94">
        <v>1</v>
      </c>
      <c r="AI14" s="94">
        <v>0.5</v>
      </c>
      <c r="AJ14" s="94">
        <v>0</v>
      </c>
      <c r="AK14" s="94">
        <v>0</v>
      </c>
      <c r="AL14" s="94">
        <v>0</v>
      </c>
      <c r="AM14" s="94">
        <v>3</v>
      </c>
      <c r="AN14" s="94">
        <v>0</v>
      </c>
      <c r="AO14" s="94">
        <v>0.35</v>
      </c>
      <c r="AP14" s="94">
        <v>0.8</v>
      </c>
      <c r="AQ14" s="94">
        <v>0.4</v>
      </c>
      <c r="AR14" s="94">
        <v>0.1</v>
      </c>
      <c r="AS14" s="94">
        <v>0</v>
      </c>
      <c r="AT14" s="94">
        <v>0.6</v>
      </c>
      <c r="AU14" s="94">
        <v>0.15</v>
      </c>
      <c r="AV14" s="94">
        <v>0.5</v>
      </c>
      <c r="AW14" s="94">
        <v>1.3</v>
      </c>
      <c r="AX14" s="94">
        <v>0.6</v>
      </c>
      <c r="AY14" s="94">
        <v>0.6</v>
      </c>
      <c r="AZ14" s="94">
        <v>0.4</v>
      </c>
      <c r="BA14" s="94">
        <v>0</v>
      </c>
      <c r="BB14" s="94">
        <v>0.1</v>
      </c>
      <c r="BC14" s="94">
        <v>0.2</v>
      </c>
      <c r="BD14" s="94">
        <v>1</v>
      </c>
      <c r="BE14" s="94">
        <v>0.8</v>
      </c>
      <c r="BF14" s="94">
        <v>15</v>
      </c>
      <c r="BG14" s="94">
        <v>1.3</v>
      </c>
      <c r="BH14" s="94">
        <v>0.8</v>
      </c>
      <c r="BI14" s="94">
        <v>0</v>
      </c>
      <c r="BJ14" s="94">
        <v>0</v>
      </c>
      <c r="BK14" s="94">
        <v>0</v>
      </c>
      <c r="BL14" s="94">
        <v>0</v>
      </c>
      <c r="BM14" s="94">
        <v>0</v>
      </c>
    </row>
    <row r="15" spans="1:65" x14ac:dyDescent="0.2">
      <c r="A15" s="94" t="s">
        <v>345</v>
      </c>
      <c r="B15" s="94" t="s">
        <v>25</v>
      </c>
      <c r="C15" s="94" t="s">
        <v>60</v>
      </c>
      <c r="D15" s="94">
        <v>3</v>
      </c>
      <c r="E15" s="94">
        <v>5</v>
      </c>
      <c r="F15" s="94">
        <v>4</v>
      </c>
      <c r="G15" s="94">
        <v>8</v>
      </c>
      <c r="H15" s="94">
        <v>2</v>
      </c>
      <c r="I15" s="94">
        <v>4</v>
      </c>
      <c r="J15" s="94">
        <v>2</v>
      </c>
      <c r="K15" s="94">
        <v>1</v>
      </c>
      <c r="L15" s="94">
        <v>0</v>
      </c>
      <c r="M15" s="94">
        <v>1</v>
      </c>
      <c r="N15" s="94">
        <v>2</v>
      </c>
      <c r="O15" s="94">
        <v>2</v>
      </c>
      <c r="P15" s="94">
        <v>2</v>
      </c>
      <c r="Q15" s="94">
        <v>2</v>
      </c>
      <c r="R15" s="94">
        <v>0</v>
      </c>
      <c r="S15" s="94">
        <v>3</v>
      </c>
      <c r="T15" s="94">
        <v>11</v>
      </c>
      <c r="U15" s="94">
        <v>2</v>
      </c>
      <c r="V15" s="94">
        <v>3</v>
      </c>
      <c r="W15" s="94">
        <v>6</v>
      </c>
      <c r="X15" s="94">
        <v>166</v>
      </c>
      <c r="Y15" s="94">
        <v>38</v>
      </c>
      <c r="Z15" s="94">
        <v>22</v>
      </c>
      <c r="AA15" s="94">
        <v>8</v>
      </c>
      <c r="AB15" s="94">
        <v>0</v>
      </c>
      <c r="AC15" s="94">
        <v>0</v>
      </c>
      <c r="AD15" s="94">
        <v>0</v>
      </c>
      <c r="AE15" s="94">
        <v>0</v>
      </c>
      <c r="AF15" s="94">
        <v>0</v>
      </c>
      <c r="AG15" s="94">
        <v>2</v>
      </c>
      <c r="AH15" s="94">
        <v>1.5</v>
      </c>
      <c r="AI15" s="94">
        <v>0.7</v>
      </c>
      <c r="AJ15" s="94">
        <v>0</v>
      </c>
      <c r="AK15" s="94">
        <v>0</v>
      </c>
      <c r="AL15" s="94">
        <v>0</v>
      </c>
      <c r="AM15" s="94">
        <v>20</v>
      </c>
      <c r="AN15" s="94">
        <v>12</v>
      </c>
      <c r="AO15" s="94">
        <v>0.4</v>
      </c>
      <c r="AP15" s="94">
        <v>1</v>
      </c>
      <c r="AQ15" s="94">
        <v>7</v>
      </c>
      <c r="AR15" s="94">
        <v>0.8</v>
      </c>
      <c r="AS15" s="94">
        <v>0</v>
      </c>
      <c r="AT15" s="94">
        <v>0.6</v>
      </c>
      <c r="AU15" s="94">
        <v>0.4</v>
      </c>
      <c r="AV15" s="94">
        <v>0.8</v>
      </c>
      <c r="AW15" s="94">
        <v>0</v>
      </c>
      <c r="AX15" s="94">
        <v>0.7</v>
      </c>
      <c r="AY15" s="94">
        <v>0.6</v>
      </c>
      <c r="AZ15" s="94">
        <v>0.3</v>
      </c>
      <c r="BA15" s="94">
        <v>0</v>
      </c>
      <c r="BB15" s="94">
        <v>0.1</v>
      </c>
      <c r="BC15" s="94">
        <v>0.2</v>
      </c>
      <c r="BD15" s="94">
        <v>2</v>
      </c>
      <c r="BE15" s="94">
        <v>0.8</v>
      </c>
      <c r="BF15" s="94">
        <v>24</v>
      </c>
      <c r="BG15" s="94">
        <v>1.5</v>
      </c>
      <c r="BH15" s="94">
        <v>2.5</v>
      </c>
      <c r="BI15" s="94">
        <v>0</v>
      </c>
      <c r="BJ15" s="94">
        <v>0</v>
      </c>
      <c r="BK15" s="94">
        <v>0</v>
      </c>
      <c r="BL15" s="94">
        <v>0</v>
      </c>
      <c r="BM15" s="94">
        <v>0</v>
      </c>
    </row>
    <row r="16" spans="1:65" x14ac:dyDescent="0.2">
      <c r="A16" s="94" t="s">
        <v>361</v>
      </c>
      <c r="B16" s="94" t="s">
        <v>3</v>
      </c>
      <c r="C16" s="94" t="s">
        <v>60</v>
      </c>
      <c r="D16" s="94">
        <v>0</v>
      </c>
      <c r="E16" s="94">
        <v>0</v>
      </c>
      <c r="F16" s="94">
        <v>0</v>
      </c>
      <c r="G16" s="94">
        <v>0</v>
      </c>
      <c r="H16" s="94">
        <v>0</v>
      </c>
      <c r="I16" s="94">
        <v>0</v>
      </c>
      <c r="J16" s="94">
        <v>0</v>
      </c>
      <c r="K16" s="94">
        <v>0</v>
      </c>
      <c r="L16" s="94">
        <v>0</v>
      </c>
      <c r="M16" s="94">
        <v>0</v>
      </c>
      <c r="N16" s="94">
        <v>0</v>
      </c>
      <c r="O16" s="94">
        <v>0</v>
      </c>
      <c r="P16" s="94">
        <v>0</v>
      </c>
      <c r="Q16" s="94">
        <v>0</v>
      </c>
      <c r="R16" s="94">
        <v>0</v>
      </c>
      <c r="S16" s="94">
        <v>0</v>
      </c>
      <c r="T16" s="94">
        <v>0</v>
      </c>
      <c r="U16" s="94">
        <v>0</v>
      </c>
      <c r="V16" s="94">
        <v>0</v>
      </c>
      <c r="W16" s="94">
        <v>0</v>
      </c>
      <c r="X16" s="94">
        <v>0</v>
      </c>
      <c r="Y16" s="94">
        <v>0</v>
      </c>
      <c r="Z16" s="94">
        <v>0</v>
      </c>
      <c r="AA16" s="94">
        <v>0</v>
      </c>
      <c r="AB16" s="94">
        <v>0</v>
      </c>
      <c r="AC16" s="94">
        <v>0</v>
      </c>
      <c r="AD16" s="94">
        <v>0</v>
      </c>
      <c r="AE16" s="94">
        <v>0</v>
      </c>
      <c r="AF16" s="94">
        <v>0</v>
      </c>
      <c r="AG16" s="94">
        <v>0</v>
      </c>
      <c r="AH16" s="94">
        <v>0</v>
      </c>
      <c r="AI16" s="94">
        <v>0</v>
      </c>
      <c r="AJ16" s="94">
        <v>0</v>
      </c>
      <c r="AK16" s="94">
        <v>0</v>
      </c>
      <c r="AL16" s="94">
        <v>0</v>
      </c>
      <c r="AM16" s="94">
        <v>0</v>
      </c>
      <c r="AN16" s="94">
        <v>0</v>
      </c>
      <c r="AO16" s="94">
        <v>0</v>
      </c>
      <c r="AP16" s="94">
        <v>0</v>
      </c>
      <c r="AQ16" s="94">
        <v>0</v>
      </c>
      <c r="AR16" s="94">
        <v>0</v>
      </c>
      <c r="AS16" s="94">
        <v>0</v>
      </c>
      <c r="AT16" s="94">
        <v>0</v>
      </c>
      <c r="AU16" s="94">
        <v>0</v>
      </c>
      <c r="AV16" s="94">
        <v>0</v>
      </c>
      <c r="AW16" s="94">
        <v>0</v>
      </c>
      <c r="AX16" s="94">
        <v>0</v>
      </c>
      <c r="AY16" s="94">
        <v>0</v>
      </c>
      <c r="AZ16" s="94">
        <v>0</v>
      </c>
      <c r="BA16" s="94">
        <v>0</v>
      </c>
      <c r="BB16" s="94">
        <v>0</v>
      </c>
      <c r="BC16" s="94">
        <v>0</v>
      </c>
      <c r="BD16" s="94">
        <v>0</v>
      </c>
      <c r="BE16" s="94">
        <v>0</v>
      </c>
      <c r="BF16" s="94">
        <v>0</v>
      </c>
      <c r="BG16" s="94">
        <v>0</v>
      </c>
      <c r="BH16" s="94">
        <v>0</v>
      </c>
      <c r="BI16" s="94">
        <v>0</v>
      </c>
      <c r="BJ16" s="94">
        <v>0</v>
      </c>
      <c r="BK16" s="94">
        <v>0</v>
      </c>
      <c r="BL16" s="94">
        <v>0</v>
      </c>
      <c r="BM16" s="94">
        <v>0</v>
      </c>
    </row>
    <row r="17" spans="1:65" x14ac:dyDescent="0.2">
      <c r="A17" s="94" t="s">
        <v>333</v>
      </c>
      <c r="B17" s="94" t="s">
        <v>4</v>
      </c>
      <c r="C17" s="94" t="s">
        <v>60</v>
      </c>
      <c r="D17" s="94">
        <v>0</v>
      </c>
      <c r="E17" s="94">
        <v>1</v>
      </c>
      <c r="F17" s="94">
        <v>2</v>
      </c>
      <c r="G17" s="94">
        <v>1</v>
      </c>
      <c r="H17" s="94">
        <v>0</v>
      </c>
      <c r="I17" s="94">
        <v>1</v>
      </c>
      <c r="J17" s="94">
        <v>2</v>
      </c>
      <c r="K17" s="94">
        <v>1</v>
      </c>
      <c r="L17" s="94">
        <v>2</v>
      </c>
      <c r="M17" s="94">
        <v>1</v>
      </c>
      <c r="N17" s="94">
        <v>1</v>
      </c>
      <c r="O17" s="94">
        <v>0.5</v>
      </c>
      <c r="P17" s="94">
        <v>1</v>
      </c>
      <c r="Q17" s="94">
        <v>0</v>
      </c>
      <c r="R17" s="94">
        <v>1</v>
      </c>
      <c r="S17" s="94">
        <v>2</v>
      </c>
      <c r="T17" s="94">
        <v>6</v>
      </c>
      <c r="U17" s="94">
        <v>0</v>
      </c>
      <c r="V17" s="94">
        <v>4</v>
      </c>
      <c r="W17" s="94">
        <v>0</v>
      </c>
      <c r="X17" s="94">
        <v>26</v>
      </c>
      <c r="Y17" s="94">
        <v>5</v>
      </c>
      <c r="Z17" s="94">
        <v>0</v>
      </c>
      <c r="AA17" s="94">
        <v>5</v>
      </c>
      <c r="AB17" s="94">
        <v>0</v>
      </c>
      <c r="AC17" s="94">
        <v>0</v>
      </c>
      <c r="AD17" s="94">
        <v>0</v>
      </c>
      <c r="AE17" s="94">
        <v>0</v>
      </c>
      <c r="AF17" s="94">
        <v>0</v>
      </c>
      <c r="AG17" s="94">
        <v>0</v>
      </c>
      <c r="AH17" s="94">
        <v>0.5</v>
      </c>
      <c r="AI17" s="94">
        <v>0</v>
      </c>
      <c r="AJ17" s="94">
        <v>0</v>
      </c>
      <c r="AK17" s="94">
        <v>0</v>
      </c>
      <c r="AL17" s="94">
        <v>0</v>
      </c>
      <c r="AM17" s="94">
        <v>9</v>
      </c>
      <c r="AN17" s="94">
        <v>10</v>
      </c>
      <c r="AO17" s="94">
        <v>0</v>
      </c>
      <c r="AP17" s="94">
        <v>0</v>
      </c>
      <c r="AQ17" s="94">
        <v>0</v>
      </c>
      <c r="AR17" s="94">
        <v>0</v>
      </c>
      <c r="AS17" s="94">
        <v>0</v>
      </c>
      <c r="AT17" s="94">
        <v>0</v>
      </c>
      <c r="AU17" s="94">
        <v>0</v>
      </c>
      <c r="AV17" s="94">
        <v>1</v>
      </c>
      <c r="AW17" s="94">
        <v>0</v>
      </c>
      <c r="AX17" s="94">
        <v>0</v>
      </c>
      <c r="AY17" s="94">
        <v>0</v>
      </c>
      <c r="AZ17" s="94">
        <v>0</v>
      </c>
      <c r="BA17" s="94">
        <v>0</v>
      </c>
      <c r="BB17" s="94">
        <v>0</v>
      </c>
      <c r="BC17" s="94">
        <v>0</v>
      </c>
      <c r="BD17" s="94">
        <v>0</v>
      </c>
      <c r="BE17" s="94">
        <v>0</v>
      </c>
      <c r="BF17" s="94">
        <v>0</v>
      </c>
      <c r="BG17" s="94">
        <v>0</v>
      </c>
      <c r="BH17" s="94">
        <v>0</v>
      </c>
      <c r="BI17" s="94">
        <v>0</v>
      </c>
      <c r="BJ17" s="94">
        <v>0</v>
      </c>
      <c r="BK17" s="94">
        <v>0</v>
      </c>
      <c r="BL17" s="94">
        <v>0</v>
      </c>
      <c r="BM17" s="94">
        <v>0</v>
      </c>
    </row>
    <row r="18" spans="1:65" x14ac:dyDescent="0.2">
      <c r="A18" s="94" t="s">
        <v>365</v>
      </c>
      <c r="B18" s="94" t="s">
        <v>5</v>
      </c>
      <c r="C18" s="94" t="s">
        <v>60</v>
      </c>
      <c r="D18" s="94">
        <v>1</v>
      </c>
      <c r="E18" s="94">
        <v>1</v>
      </c>
      <c r="F18" s="94">
        <v>6</v>
      </c>
      <c r="G18" s="94">
        <v>2</v>
      </c>
      <c r="H18" s="94">
        <v>1</v>
      </c>
      <c r="I18" s="94">
        <v>2</v>
      </c>
      <c r="J18" s="94">
        <v>2</v>
      </c>
      <c r="K18" s="94">
        <v>1</v>
      </c>
      <c r="L18" s="94">
        <v>0</v>
      </c>
      <c r="M18" s="94">
        <v>0</v>
      </c>
      <c r="N18" s="94">
        <v>0</v>
      </c>
      <c r="O18" s="94">
        <v>0.5</v>
      </c>
      <c r="P18" s="94">
        <v>0</v>
      </c>
      <c r="Q18" s="94">
        <v>0</v>
      </c>
      <c r="R18" s="94">
        <v>2</v>
      </c>
      <c r="S18" s="94">
        <v>1</v>
      </c>
      <c r="T18" s="94">
        <v>5</v>
      </c>
      <c r="U18" s="94">
        <v>0</v>
      </c>
      <c r="V18" s="94">
        <v>3</v>
      </c>
      <c r="W18" s="94">
        <v>3</v>
      </c>
      <c r="X18" s="94">
        <v>96</v>
      </c>
      <c r="Y18" s="94">
        <v>4</v>
      </c>
      <c r="Z18" s="94">
        <v>0</v>
      </c>
      <c r="AA18" s="94">
        <v>8</v>
      </c>
      <c r="AB18" s="94">
        <v>0</v>
      </c>
      <c r="AC18" s="94">
        <v>0</v>
      </c>
      <c r="AD18" s="94">
        <v>0</v>
      </c>
      <c r="AE18" s="94">
        <v>0</v>
      </c>
      <c r="AF18" s="94">
        <v>0</v>
      </c>
      <c r="AG18" s="94">
        <v>0</v>
      </c>
      <c r="AH18" s="94">
        <v>0.5</v>
      </c>
      <c r="AI18" s="94">
        <v>0.4</v>
      </c>
      <c r="AJ18" s="94">
        <v>0</v>
      </c>
      <c r="AK18" s="94">
        <v>0</v>
      </c>
      <c r="AL18" s="94">
        <v>0</v>
      </c>
      <c r="AM18" s="94">
        <v>8</v>
      </c>
      <c r="AN18" s="94">
        <v>4</v>
      </c>
      <c r="AO18" s="94">
        <v>0.4</v>
      </c>
      <c r="AP18" s="94">
        <v>0.7</v>
      </c>
      <c r="AQ18" s="94">
        <v>0.1</v>
      </c>
      <c r="AR18" s="94">
        <v>0.4</v>
      </c>
      <c r="AS18" s="94">
        <v>0</v>
      </c>
      <c r="AT18" s="94">
        <v>0</v>
      </c>
      <c r="AU18" s="94">
        <v>0.4</v>
      </c>
      <c r="AV18" s="94">
        <v>2</v>
      </c>
      <c r="AW18" s="94">
        <v>0.6</v>
      </c>
      <c r="AX18" s="94">
        <v>0.32</v>
      </c>
      <c r="AY18" s="94">
        <v>0</v>
      </c>
      <c r="AZ18" s="94">
        <v>0</v>
      </c>
      <c r="BA18" s="94">
        <v>0</v>
      </c>
      <c r="BB18" s="94">
        <v>0</v>
      </c>
      <c r="BC18" s="94">
        <v>0</v>
      </c>
      <c r="BD18" s="94">
        <v>0</v>
      </c>
      <c r="BE18" s="94">
        <v>0</v>
      </c>
      <c r="BF18" s="94">
        <v>0</v>
      </c>
      <c r="BG18" s="94">
        <v>0</v>
      </c>
      <c r="BH18" s="94">
        <v>0</v>
      </c>
      <c r="BI18" s="94">
        <v>0</v>
      </c>
      <c r="BJ18" s="94">
        <v>0</v>
      </c>
      <c r="BK18" s="94">
        <v>0</v>
      </c>
      <c r="BL18" s="94">
        <v>0</v>
      </c>
      <c r="BM18" s="94">
        <v>0</v>
      </c>
    </row>
    <row r="19" spans="1:65" x14ac:dyDescent="0.2">
      <c r="A19" s="94" t="s">
        <v>357</v>
      </c>
      <c r="B19" s="94" t="s">
        <v>6</v>
      </c>
      <c r="C19" s="94" t="s">
        <v>60</v>
      </c>
      <c r="D19" s="94">
        <v>2</v>
      </c>
      <c r="E19" s="94">
        <v>5</v>
      </c>
      <c r="F19" s="94">
        <v>6</v>
      </c>
      <c r="G19" s="94">
        <v>3</v>
      </c>
      <c r="H19" s="94">
        <v>2</v>
      </c>
      <c r="I19" s="94">
        <v>4</v>
      </c>
      <c r="J19" s="94">
        <v>6</v>
      </c>
      <c r="K19" s="94">
        <v>2</v>
      </c>
      <c r="L19" s="94">
        <v>1</v>
      </c>
      <c r="M19" s="94">
        <v>0</v>
      </c>
      <c r="N19" s="94">
        <v>1</v>
      </c>
      <c r="O19" s="94">
        <v>1</v>
      </c>
      <c r="P19" s="94">
        <v>1</v>
      </c>
      <c r="Q19" s="94">
        <v>0</v>
      </c>
      <c r="R19" s="94">
        <v>1</v>
      </c>
      <c r="S19" s="94">
        <v>2</v>
      </c>
      <c r="T19" s="94">
        <v>10</v>
      </c>
      <c r="U19" s="94">
        <v>0</v>
      </c>
      <c r="V19" s="94">
        <v>3</v>
      </c>
      <c r="W19" s="94">
        <v>3</v>
      </c>
      <c r="X19" s="94">
        <v>70</v>
      </c>
      <c r="Y19" s="94">
        <v>15</v>
      </c>
      <c r="Z19" s="94">
        <v>0</v>
      </c>
      <c r="AA19" s="94">
        <v>7</v>
      </c>
      <c r="AB19" s="94">
        <v>0</v>
      </c>
      <c r="AC19" s="94">
        <v>0</v>
      </c>
      <c r="AD19" s="94">
        <v>0</v>
      </c>
      <c r="AE19" s="94">
        <v>0</v>
      </c>
      <c r="AF19" s="94">
        <v>0</v>
      </c>
      <c r="AG19" s="94">
        <v>0.5</v>
      </c>
      <c r="AH19" s="94">
        <v>0</v>
      </c>
      <c r="AI19" s="94">
        <v>1</v>
      </c>
      <c r="AJ19" s="94">
        <v>0</v>
      </c>
      <c r="AK19" s="94">
        <v>0</v>
      </c>
      <c r="AL19" s="94">
        <v>0</v>
      </c>
      <c r="AM19" s="94">
        <v>12</v>
      </c>
      <c r="AN19" s="94">
        <v>2</v>
      </c>
      <c r="AO19" s="94">
        <v>0.26</v>
      </c>
      <c r="AP19" s="94">
        <v>0.5</v>
      </c>
      <c r="AQ19" s="94">
        <v>0.37</v>
      </c>
      <c r="AR19" s="94">
        <v>0.1</v>
      </c>
      <c r="AS19" s="94">
        <v>0</v>
      </c>
      <c r="AT19" s="94">
        <v>0</v>
      </c>
      <c r="AU19" s="94">
        <v>0.2</v>
      </c>
      <c r="AV19" s="94">
        <v>2</v>
      </c>
      <c r="AW19" s="94">
        <v>0</v>
      </c>
      <c r="AX19" s="94">
        <v>0</v>
      </c>
      <c r="AY19" s="94">
        <v>0</v>
      </c>
      <c r="AZ19" s="94">
        <v>0</v>
      </c>
      <c r="BA19" s="94">
        <v>0</v>
      </c>
      <c r="BB19" s="94">
        <v>0</v>
      </c>
      <c r="BC19" s="94">
        <v>0</v>
      </c>
      <c r="BD19" s="94">
        <v>0</v>
      </c>
      <c r="BE19" s="94">
        <v>0</v>
      </c>
      <c r="BF19" s="94">
        <v>0</v>
      </c>
      <c r="BG19" s="94">
        <v>0</v>
      </c>
      <c r="BH19" s="94">
        <v>1</v>
      </c>
      <c r="BI19" s="94">
        <v>0</v>
      </c>
      <c r="BJ19" s="94">
        <v>0</v>
      </c>
      <c r="BK19" s="94">
        <v>0</v>
      </c>
      <c r="BL19" s="94">
        <v>1</v>
      </c>
      <c r="BM19" s="94">
        <v>0</v>
      </c>
    </row>
    <row r="20" spans="1:65" x14ac:dyDescent="0.2">
      <c r="A20" s="94" t="s">
        <v>353</v>
      </c>
      <c r="B20" s="94" t="s">
        <v>7</v>
      </c>
      <c r="C20" s="94" t="s">
        <v>60</v>
      </c>
      <c r="D20" s="94">
        <v>2</v>
      </c>
      <c r="E20" s="94">
        <v>3</v>
      </c>
      <c r="F20" s="94">
        <v>6</v>
      </c>
      <c r="G20" s="94">
        <v>2</v>
      </c>
      <c r="H20" s="94">
        <v>3</v>
      </c>
      <c r="I20" s="94">
        <v>3</v>
      </c>
      <c r="J20" s="94">
        <v>8</v>
      </c>
      <c r="K20" s="94">
        <v>2</v>
      </c>
      <c r="L20" s="94">
        <v>0</v>
      </c>
      <c r="M20" s="94">
        <v>0</v>
      </c>
      <c r="N20" s="94">
        <v>0</v>
      </c>
      <c r="O20" s="94">
        <v>1</v>
      </c>
      <c r="P20" s="94">
        <v>0.5</v>
      </c>
      <c r="Q20" s="94">
        <v>0</v>
      </c>
      <c r="R20" s="94">
        <v>2</v>
      </c>
      <c r="S20" s="94">
        <v>0</v>
      </c>
      <c r="T20" s="94">
        <v>8</v>
      </c>
      <c r="U20" s="94">
        <v>0</v>
      </c>
      <c r="V20" s="94">
        <v>4</v>
      </c>
      <c r="W20" s="94">
        <v>0</v>
      </c>
      <c r="X20" s="94">
        <v>199</v>
      </c>
      <c r="Y20" s="94">
        <v>0</v>
      </c>
      <c r="Z20" s="94">
        <v>2</v>
      </c>
      <c r="AA20" s="94">
        <v>25</v>
      </c>
      <c r="AB20" s="94">
        <v>0</v>
      </c>
      <c r="AC20" s="94">
        <v>0</v>
      </c>
      <c r="AD20" s="94">
        <v>0</v>
      </c>
      <c r="AE20" s="94">
        <v>0</v>
      </c>
      <c r="AF20" s="94">
        <v>0</v>
      </c>
      <c r="AG20" s="94">
        <v>0</v>
      </c>
      <c r="AH20" s="94">
        <v>0</v>
      </c>
      <c r="AI20" s="94">
        <v>0.4</v>
      </c>
      <c r="AJ20" s="94">
        <v>0</v>
      </c>
      <c r="AK20" s="94">
        <v>0</v>
      </c>
      <c r="AL20" s="94">
        <v>0</v>
      </c>
      <c r="AM20" s="94">
        <v>10</v>
      </c>
      <c r="AN20" s="94">
        <v>2</v>
      </c>
      <c r="AO20" s="94">
        <v>0.2</v>
      </c>
      <c r="AP20" s="94">
        <v>0.5</v>
      </c>
      <c r="AQ20" s="94">
        <v>0.3</v>
      </c>
      <c r="AR20" s="94">
        <v>0.15</v>
      </c>
      <c r="AS20" s="94">
        <v>0</v>
      </c>
      <c r="AT20" s="94">
        <v>0.5</v>
      </c>
      <c r="AU20" s="94">
        <v>0.2</v>
      </c>
      <c r="AV20" s="94">
        <v>0</v>
      </c>
      <c r="AW20" s="94">
        <v>0</v>
      </c>
      <c r="AX20" s="94">
        <v>0.1</v>
      </c>
      <c r="AY20" s="94">
        <v>0.25</v>
      </c>
      <c r="AZ20" s="94">
        <v>0</v>
      </c>
      <c r="BA20" s="94">
        <v>0</v>
      </c>
      <c r="BB20" s="94">
        <v>0</v>
      </c>
      <c r="BC20" s="94">
        <v>0</v>
      </c>
      <c r="BD20" s="94">
        <v>0</v>
      </c>
      <c r="BE20" s="94">
        <v>0</v>
      </c>
      <c r="BF20" s="94">
        <v>0</v>
      </c>
      <c r="BG20" s="94">
        <v>0</v>
      </c>
      <c r="BH20" s="94">
        <v>1</v>
      </c>
      <c r="BI20" s="94">
        <v>0</v>
      </c>
      <c r="BJ20" s="94">
        <v>0</v>
      </c>
      <c r="BK20" s="94">
        <v>0</v>
      </c>
      <c r="BL20" s="94">
        <v>0</v>
      </c>
      <c r="BM20" s="94">
        <v>0</v>
      </c>
    </row>
    <row r="21" spans="1:65" x14ac:dyDescent="0.2">
      <c r="A21" s="94" t="s">
        <v>337</v>
      </c>
      <c r="B21" s="94" t="s">
        <v>331</v>
      </c>
      <c r="C21" s="94" t="s">
        <v>60</v>
      </c>
      <c r="D21" s="94">
        <v>1</v>
      </c>
      <c r="E21" s="94">
        <v>3</v>
      </c>
      <c r="F21" s="94">
        <v>6</v>
      </c>
      <c r="G21" s="94">
        <v>2</v>
      </c>
      <c r="H21" s="94">
        <v>4</v>
      </c>
      <c r="I21" s="94">
        <v>3</v>
      </c>
      <c r="J21" s="94">
        <v>6</v>
      </c>
      <c r="K21" s="94">
        <v>1</v>
      </c>
      <c r="L21" s="94">
        <v>3</v>
      </c>
      <c r="M21" s="94">
        <v>3</v>
      </c>
      <c r="N21" s="94">
        <v>1</v>
      </c>
      <c r="O21" s="94">
        <v>1</v>
      </c>
      <c r="P21" s="94">
        <v>2</v>
      </c>
      <c r="Q21" s="94">
        <v>2</v>
      </c>
      <c r="R21" s="94">
        <v>2</v>
      </c>
      <c r="S21" s="94">
        <v>0</v>
      </c>
      <c r="T21" s="94">
        <v>5</v>
      </c>
      <c r="U21" s="94">
        <v>0</v>
      </c>
      <c r="V21" s="94">
        <v>3</v>
      </c>
      <c r="W21" s="94">
        <v>3</v>
      </c>
      <c r="X21" s="94">
        <v>0</v>
      </c>
      <c r="Y21" s="94">
        <v>16</v>
      </c>
      <c r="Z21" s="94">
        <v>0</v>
      </c>
      <c r="AA21" s="94">
        <v>10</v>
      </c>
      <c r="AB21" s="94">
        <v>0</v>
      </c>
      <c r="AC21" s="94">
        <v>0</v>
      </c>
      <c r="AD21" s="94">
        <v>0</v>
      </c>
      <c r="AE21" s="94">
        <v>0</v>
      </c>
      <c r="AF21" s="94">
        <v>0</v>
      </c>
      <c r="AG21" s="94">
        <v>0</v>
      </c>
      <c r="AH21" s="94">
        <v>0</v>
      </c>
      <c r="AI21" s="94">
        <v>0.9</v>
      </c>
      <c r="AJ21" s="94">
        <v>0</v>
      </c>
      <c r="AK21" s="94">
        <v>0</v>
      </c>
      <c r="AL21" s="94">
        <v>0</v>
      </c>
      <c r="AM21" s="94">
        <v>10</v>
      </c>
      <c r="AN21" s="94">
        <v>2</v>
      </c>
      <c r="AO21" s="94">
        <v>0.9</v>
      </c>
      <c r="AP21" s="94">
        <v>0.5</v>
      </c>
      <c r="AQ21" s="94">
        <v>0.4</v>
      </c>
      <c r="AR21" s="94">
        <v>0.5</v>
      </c>
      <c r="AS21" s="94">
        <v>0</v>
      </c>
      <c r="AT21" s="94">
        <v>0</v>
      </c>
      <c r="AU21" s="94">
        <v>0.6</v>
      </c>
      <c r="AV21" s="94">
        <v>2</v>
      </c>
      <c r="AW21" s="94">
        <v>0</v>
      </c>
      <c r="AX21" s="94">
        <v>0.35</v>
      </c>
      <c r="AY21" s="94">
        <v>0</v>
      </c>
      <c r="AZ21" s="94">
        <v>0.3</v>
      </c>
      <c r="BA21" s="94">
        <v>0</v>
      </c>
      <c r="BB21" s="94">
        <v>0</v>
      </c>
      <c r="BC21" s="94">
        <v>0</v>
      </c>
      <c r="BD21" s="94">
        <v>0</v>
      </c>
      <c r="BE21" s="94">
        <v>0.8</v>
      </c>
      <c r="BF21" s="94">
        <v>0</v>
      </c>
      <c r="BG21" s="94">
        <v>0</v>
      </c>
      <c r="BH21" s="94">
        <v>0</v>
      </c>
      <c r="BI21" s="94">
        <v>0</v>
      </c>
      <c r="BJ21" s="94">
        <v>0</v>
      </c>
      <c r="BK21" s="94">
        <v>0</v>
      </c>
      <c r="BL21" s="94">
        <v>0</v>
      </c>
      <c r="BM21" s="94">
        <v>0</v>
      </c>
    </row>
    <row r="22" spans="1:65" x14ac:dyDescent="0.2">
      <c r="A22" s="94" t="s">
        <v>377</v>
      </c>
      <c r="B22" s="94" t="s">
        <v>9</v>
      </c>
      <c r="C22" s="94" t="s">
        <v>60</v>
      </c>
      <c r="D22" s="94">
        <v>4</v>
      </c>
      <c r="E22" s="94">
        <v>6</v>
      </c>
      <c r="F22" s="94">
        <v>5</v>
      </c>
      <c r="G22" s="94">
        <v>6</v>
      </c>
      <c r="H22" s="94">
        <v>2</v>
      </c>
      <c r="I22" s="94">
        <v>4</v>
      </c>
      <c r="J22" s="94">
        <v>5</v>
      </c>
      <c r="K22" s="94">
        <v>0</v>
      </c>
      <c r="L22" s="94">
        <v>4</v>
      </c>
      <c r="M22" s="94">
        <v>4</v>
      </c>
      <c r="N22" s="94">
        <v>4.4000000000000004</v>
      </c>
      <c r="O22" s="94">
        <v>2</v>
      </c>
      <c r="P22" s="94">
        <v>1</v>
      </c>
      <c r="Q22" s="94">
        <v>0</v>
      </c>
      <c r="R22" s="94">
        <v>3</v>
      </c>
      <c r="S22" s="94">
        <v>0</v>
      </c>
      <c r="T22" s="94">
        <v>13</v>
      </c>
      <c r="U22" s="94">
        <v>1</v>
      </c>
      <c r="V22" s="94">
        <v>5</v>
      </c>
      <c r="W22" s="94">
        <v>6</v>
      </c>
      <c r="X22" s="94">
        <v>90</v>
      </c>
      <c r="Y22" s="94">
        <v>18</v>
      </c>
      <c r="Z22" s="94">
        <v>3</v>
      </c>
      <c r="AA22" s="94">
        <v>7</v>
      </c>
      <c r="AB22" s="94">
        <v>0</v>
      </c>
      <c r="AC22" s="94">
        <v>0</v>
      </c>
      <c r="AD22" s="94">
        <v>0</v>
      </c>
      <c r="AE22" s="94">
        <v>0</v>
      </c>
      <c r="AF22" s="94">
        <v>0</v>
      </c>
      <c r="AG22" s="94">
        <v>3</v>
      </c>
      <c r="AH22" s="94">
        <v>2</v>
      </c>
      <c r="AI22" s="94">
        <v>1</v>
      </c>
      <c r="AJ22" s="94">
        <v>0</v>
      </c>
      <c r="AK22" s="94">
        <v>0</v>
      </c>
      <c r="AL22" s="94">
        <v>0</v>
      </c>
      <c r="AM22" s="94">
        <v>18</v>
      </c>
      <c r="AN22" s="94">
        <v>13</v>
      </c>
      <c r="AO22" s="94">
        <v>0.75</v>
      </c>
      <c r="AP22" s="94">
        <v>0.65</v>
      </c>
      <c r="AQ22" s="94">
        <v>1.4</v>
      </c>
      <c r="AR22" s="94">
        <v>1.3</v>
      </c>
      <c r="AS22" s="94">
        <v>0</v>
      </c>
      <c r="AT22" s="94">
        <v>0.6</v>
      </c>
      <c r="AU22" s="94">
        <v>0.5</v>
      </c>
      <c r="AV22" s="94">
        <v>0</v>
      </c>
      <c r="AW22" s="94">
        <v>0</v>
      </c>
      <c r="AX22" s="94">
        <v>2</v>
      </c>
      <c r="AY22" s="94">
        <v>0</v>
      </c>
      <c r="AZ22" s="94">
        <v>0</v>
      </c>
      <c r="BA22" s="94">
        <v>0</v>
      </c>
      <c r="BB22" s="94">
        <v>0</v>
      </c>
      <c r="BC22" s="94">
        <v>0</v>
      </c>
      <c r="BD22" s="94">
        <v>0</v>
      </c>
      <c r="BE22" s="94">
        <v>0</v>
      </c>
      <c r="BF22" s="94">
        <v>0</v>
      </c>
      <c r="BG22" s="94">
        <v>0</v>
      </c>
      <c r="BH22" s="94">
        <v>1</v>
      </c>
      <c r="BI22" s="94">
        <v>0</v>
      </c>
      <c r="BJ22" s="94">
        <v>0</v>
      </c>
      <c r="BK22" s="94">
        <v>0</v>
      </c>
      <c r="BL22" s="94">
        <v>0</v>
      </c>
      <c r="BM22" s="94">
        <v>0</v>
      </c>
    </row>
    <row r="23" spans="1:65" x14ac:dyDescent="0.2">
      <c r="A23" s="94" t="s">
        <v>373</v>
      </c>
      <c r="B23" s="94" t="s">
        <v>10</v>
      </c>
      <c r="C23" s="94" t="s">
        <v>60</v>
      </c>
      <c r="D23" s="94">
        <v>1</v>
      </c>
      <c r="E23" s="94">
        <v>6</v>
      </c>
      <c r="F23" s="94">
        <v>10</v>
      </c>
      <c r="G23" s="94">
        <v>1</v>
      </c>
      <c r="H23" s="94">
        <v>0</v>
      </c>
      <c r="I23" s="94">
        <v>5</v>
      </c>
      <c r="J23" s="94">
        <v>3</v>
      </c>
      <c r="K23" s="94">
        <v>1</v>
      </c>
      <c r="L23" s="94">
        <v>3</v>
      </c>
      <c r="M23" s="94">
        <v>3</v>
      </c>
      <c r="N23" s="94">
        <v>2</v>
      </c>
      <c r="O23" s="94">
        <v>0.5</v>
      </c>
      <c r="P23" s="94">
        <v>0</v>
      </c>
      <c r="Q23" s="94">
        <v>0</v>
      </c>
      <c r="R23" s="94">
        <v>1</v>
      </c>
      <c r="S23" s="94">
        <v>0</v>
      </c>
      <c r="T23" s="94">
        <v>10</v>
      </c>
      <c r="U23" s="94">
        <v>0</v>
      </c>
      <c r="V23" s="94">
        <v>4</v>
      </c>
      <c r="W23" s="94">
        <v>4</v>
      </c>
      <c r="X23" s="94">
        <v>115</v>
      </c>
      <c r="Y23" s="94">
        <v>45</v>
      </c>
      <c r="Z23" s="94">
        <v>10</v>
      </c>
      <c r="AA23" s="94">
        <v>0</v>
      </c>
      <c r="AB23" s="94">
        <v>0</v>
      </c>
      <c r="AC23" s="94">
        <v>0</v>
      </c>
      <c r="AD23" s="94">
        <v>0</v>
      </c>
      <c r="AE23" s="94">
        <v>0</v>
      </c>
      <c r="AF23" s="94">
        <v>0</v>
      </c>
      <c r="AG23" s="94">
        <v>7.5</v>
      </c>
      <c r="AH23" s="94">
        <v>1</v>
      </c>
      <c r="AI23" s="94">
        <v>1.1000000000000001</v>
      </c>
      <c r="AJ23" s="94">
        <v>0</v>
      </c>
      <c r="AK23" s="94">
        <v>0</v>
      </c>
      <c r="AL23" s="94">
        <v>0</v>
      </c>
      <c r="AM23" s="94">
        <v>8</v>
      </c>
      <c r="AN23" s="94">
        <v>12</v>
      </c>
      <c r="AO23" s="94">
        <v>0.45</v>
      </c>
      <c r="AP23" s="94">
        <v>0.5</v>
      </c>
      <c r="AQ23" s="94">
        <v>0.8</v>
      </c>
      <c r="AR23" s="94">
        <v>1</v>
      </c>
      <c r="AS23" s="94">
        <v>0</v>
      </c>
      <c r="AT23" s="94">
        <v>1</v>
      </c>
      <c r="AU23" s="94">
        <v>0.5</v>
      </c>
      <c r="AV23" s="94">
        <v>1.5</v>
      </c>
      <c r="AW23" s="94">
        <v>0</v>
      </c>
      <c r="AX23" s="94">
        <v>1.1000000000000001</v>
      </c>
      <c r="AY23" s="94">
        <v>0</v>
      </c>
      <c r="AZ23" s="94">
        <v>0</v>
      </c>
      <c r="BA23" s="94">
        <v>0</v>
      </c>
      <c r="BB23" s="94">
        <v>0</v>
      </c>
      <c r="BC23" s="94">
        <v>0</v>
      </c>
      <c r="BD23" s="94">
        <v>0</v>
      </c>
      <c r="BE23" s="94">
        <v>0</v>
      </c>
      <c r="BF23" s="94">
        <v>0</v>
      </c>
      <c r="BG23" s="94">
        <v>0</v>
      </c>
      <c r="BH23" s="94">
        <v>1</v>
      </c>
      <c r="BI23" s="94">
        <v>0</v>
      </c>
      <c r="BJ23" s="94">
        <v>0</v>
      </c>
      <c r="BK23" s="94">
        <v>0</v>
      </c>
      <c r="BL23" s="94">
        <v>0</v>
      </c>
      <c r="BM23" s="94">
        <v>0</v>
      </c>
    </row>
    <row r="24" spans="1:65" x14ac:dyDescent="0.2">
      <c r="A24" s="94" t="s">
        <v>369</v>
      </c>
      <c r="B24" s="94" t="s">
        <v>11</v>
      </c>
      <c r="C24" s="94" t="s">
        <v>60</v>
      </c>
      <c r="D24" s="94">
        <v>1</v>
      </c>
      <c r="E24" s="94">
        <v>10</v>
      </c>
      <c r="F24" s="94">
        <v>6</v>
      </c>
      <c r="G24" s="94">
        <v>5</v>
      </c>
      <c r="H24" s="94">
        <v>3</v>
      </c>
      <c r="I24" s="94">
        <v>3</v>
      </c>
      <c r="J24" s="94">
        <v>4</v>
      </c>
      <c r="K24" s="94">
        <v>3</v>
      </c>
      <c r="L24" s="94">
        <v>4</v>
      </c>
      <c r="M24" s="94">
        <v>4</v>
      </c>
      <c r="N24" s="94">
        <v>2</v>
      </c>
      <c r="O24" s="94">
        <v>2</v>
      </c>
      <c r="P24" s="94">
        <v>1</v>
      </c>
      <c r="Q24" s="94">
        <v>1</v>
      </c>
      <c r="R24" s="94">
        <v>2</v>
      </c>
      <c r="S24" s="94">
        <v>1</v>
      </c>
      <c r="T24" s="94">
        <v>10</v>
      </c>
      <c r="U24" s="94">
        <v>0</v>
      </c>
      <c r="V24" s="94">
        <v>8</v>
      </c>
      <c r="W24" s="94">
        <v>8</v>
      </c>
      <c r="X24" s="94">
        <v>0</v>
      </c>
      <c r="Y24" s="94">
        <v>0</v>
      </c>
      <c r="Z24" s="94">
        <v>7</v>
      </c>
      <c r="AA24" s="94">
        <v>0</v>
      </c>
      <c r="AB24" s="94">
        <v>0</v>
      </c>
      <c r="AC24" s="94">
        <v>0</v>
      </c>
      <c r="AD24" s="94">
        <v>0</v>
      </c>
      <c r="AE24" s="94">
        <v>0</v>
      </c>
      <c r="AF24" s="94">
        <v>0</v>
      </c>
      <c r="AG24" s="94">
        <v>0.5</v>
      </c>
      <c r="AH24" s="94">
        <v>1</v>
      </c>
      <c r="AI24" s="94">
        <v>1</v>
      </c>
      <c r="AJ24" s="94">
        <v>0</v>
      </c>
      <c r="AK24" s="94">
        <v>0</v>
      </c>
      <c r="AL24" s="94">
        <v>0</v>
      </c>
      <c r="AM24" s="94">
        <v>10</v>
      </c>
      <c r="AN24" s="94">
        <v>12</v>
      </c>
      <c r="AO24" s="94">
        <v>0.4</v>
      </c>
      <c r="AP24" s="94">
        <v>0.36</v>
      </c>
      <c r="AQ24" s="94">
        <v>0.6</v>
      </c>
      <c r="AR24" s="94">
        <v>0.8</v>
      </c>
      <c r="AS24" s="94">
        <v>0</v>
      </c>
      <c r="AT24" s="94">
        <v>0.5</v>
      </c>
      <c r="AU24" s="94">
        <v>0.2</v>
      </c>
      <c r="AV24" s="94">
        <v>1</v>
      </c>
      <c r="AW24" s="94">
        <v>0</v>
      </c>
      <c r="AX24" s="94">
        <v>0.8</v>
      </c>
      <c r="AY24" s="94">
        <v>0</v>
      </c>
      <c r="AZ24" s="94">
        <v>0</v>
      </c>
      <c r="BA24" s="94">
        <v>0</v>
      </c>
      <c r="BB24" s="94">
        <v>0</v>
      </c>
      <c r="BC24" s="94">
        <v>0</v>
      </c>
      <c r="BD24" s="94">
        <v>0</v>
      </c>
      <c r="BE24" s="94">
        <v>0</v>
      </c>
      <c r="BF24" s="94">
        <v>0</v>
      </c>
      <c r="BG24" s="94">
        <v>0</v>
      </c>
      <c r="BH24" s="94">
        <v>0</v>
      </c>
      <c r="BI24" s="94">
        <v>0</v>
      </c>
      <c r="BJ24" s="94">
        <v>0</v>
      </c>
      <c r="BK24" s="94">
        <v>0.5</v>
      </c>
      <c r="BL24" s="94">
        <v>0</v>
      </c>
      <c r="BM24" s="94">
        <v>0</v>
      </c>
    </row>
    <row r="25" spans="1:65" x14ac:dyDescent="0.2">
      <c r="A25" s="94" t="s">
        <v>341</v>
      </c>
      <c r="B25" s="94" t="s">
        <v>12</v>
      </c>
      <c r="C25" s="94" t="s">
        <v>60</v>
      </c>
      <c r="D25" s="94">
        <v>1</v>
      </c>
      <c r="E25" s="94">
        <v>12</v>
      </c>
      <c r="F25" s="94">
        <v>4</v>
      </c>
      <c r="G25" s="94">
        <v>4</v>
      </c>
      <c r="H25" s="94">
        <v>2</v>
      </c>
      <c r="I25" s="94">
        <v>4</v>
      </c>
      <c r="J25" s="94">
        <v>2</v>
      </c>
      <c r="K25" s="94">
        <v>2</v>
      </c>
      <c r="L25" s="94">
        <v>3</v>
      </c>
      <c r="M25" s="94">
        <v>3</v>
      </c>
      <c r="N25" s="94">
        <v>1</v>
      </c>
      <c r="O25" s="94">
        <v>0.5</v>
      </c>
      <c r="P25" s="94">
        <v>0</v>
      </c>
      <c r="Q25" s="94">
        <v>1</v>
      </c>
      <c r="R25" s="94">
        <v>1</v>
      </c>
      <c r="S25" s="94">
        <v>1</v>
      </c>
      <c r="T25" s="94">
        <v>14</v>
      </c>
      <c r="U25" s="94">
        <v>0</v>
      </c>
      <c r="V25" s="94">
        <v>5</v>
      </c>
      <c r="W25" s="94">
        <v>1</v>
      </c>
      <c r="X25" s="94">
        <v>0</v>
      </c>
      <c r="Y25" s="94">
        <v>14</v>
      </c>
      <c r="Z25" s="94">
        <v>5</v>
      </c>
      <c r="AA25" s="94">
        <v>0.5</v>
      </c>
      <c r="AB25" s="94">
        <v>0</v>
      </c>
      <c r="AC25" s="94">
        <v>0</v>
      </c>
      <c r="AD25" s="94">
        <v>0</v>
      </c>
      <c r="AE25" s="94">
        <v>0</v>
      </c>
      <c r="AF25" s="94">
        <v>0</v>
      </c>
      <c r="AG25" s="94">
        <v>8</v>
      </c>
      <c r="AH25" s="94">
        <v>0.5</v>
      </c>
      <c r="AI25" s="94">
        <v>0.9</v>
      </c>
      <c r="AJ25" s="94">
        <v>0</v>
      </c>
      <c r="AK25" s="94">
        <v>0</v>
      </c>
      <c r="AL25" s="94">
        <v>0</v>
      </c>
      <c r="AM25" s="94">
        <v>15</v>
      </c>
      <c r="AN25" s="94">
        <v>10</v>
      </c>
      <c r="AO25" s="94">
        <v>0.8</v>
      </c>
      <c r="AP25" s="94">
        <v>0.6</v>
      </c>
      <c r="AQ25" s="94">
        <v>0.9</v>
      </c>
      <c r="AR25" s="94">
        <v>1.4</v>
      </c>
      <c r="AS25" s="94">
        <v>0</v>
      </c>
      <c r="AT25" s="94">
        <v>1.9</v>
      </c>
      <c r="AU25" s="94">
        <v>0.6</v>
      </c>
      <c r="AV25" s="94">
        <v>0.5</v>
      </c>
      <c r="AW25" s="94">
        <v>0</v>
      </c>
      <c r="AX25" s="94">
        <v>0.7</v>
      </c>
      <c r="AY25" s="94">
        <v>0</v>
      </c>
      <c r="AZ25" s="94">
        <v>0</v>
      </c>
      <c r="BA25" s="94">
        <v>0</v>
      </c>
      <c r="BB25" s="94">
        <v>0</v>
      </c>
      <c r="BC25" s="94">
        <v>0</v>
      </c>
      <c r="BD25" s="94">
        <v>0</v>
      </c>
      <c r="BE25" s="94">
        <v>0</v>
      </c>
      <c r="BF25" s="94">
        <v>0</v>
      </c>
      <c r="BG25" s="94">
        <v>0</v>
      </c>
      <c r="BH25" s="94">
        <v>0.25</v>
      </c>
      <c r="BI25" s="94">
        <v>0</v>
      </c>
      <c r="BJ25" s="94">
        <v>0</v>
      </c>
      <c r="BK25" s="94">
        <v>1</v>
      </c>
      <c r="BL25" s="94">
        <v>0</v>
      </c>
      <c r="BM25" s="94">
        <v>0</v>
      </c>
    </row>
    <row r="26" spans="1:65" x14ac:dyDescent="0.2">
      <c r="A26" s="94" t="s">
        <v>350</v>
      </c>
      <c r="B26" s="94" t="s">
        <v>1</v>
      </c>
      <c r="C26" s="94" t="s">
        <v>58</v>
      </c>
      <c r="D26" s="94">
        <v>288</v>
      </c>
      <c r="E26" s="94">
        <v>200</v>
      </c>
      <c r="F26" s="94">
        <v>0</v>
      </c>
      <c r="G26" s="94">
        <v>480</v>
      </c>
      <c r="H26" s="94">
        <v>110</v>
      </c>
      <c r="I26" s="94">
        <v>0</v>
      </c>
      <c r="J26" s="94">
        <v>0</v>
      </c>
      <c r="K26" s="94">
        <v>180</v>
      </c>
      <c r="L26" s="94">
        <v>70</v>
      </c>
      <c r="M26" s="94">
        <v>70</v>
      </c>
      <c r="N26" s="94">
        <v>0</v>
      </c>
      <c r="O26" s="94">
        <v>130</v>
      </c>
      <c r="P26" s="94">
        <v>1300</v>
      </c>
      <c r="Q26" s="94">
        <v>650</v>
      </c>
      <c r="R26" s="94">
        <v>0</v>
      </c>
      <c r="S26" s="94">
        <v>550</v>
      </c>
      <c r="T26" s="94">
        <v>588</v>
      </c>
      <c r="U26" s="94">
        <v>900</v>
      </c>
      <c r="V26" s="94">
        <v>0</v>
      </c>
      <c r="W26" s="94">
        <v>300</v>
      </c>
      <c r="X26" s="94">
        <v>35660</v>
      </c>
      <c r="Y26" s="94">
        <v>18550</v>
      </c>
      <c r="Z26" s="94">
        <v>1985</v>
      </c>
      <c r="AA26" s="94">
        <v>820</v>
      </c>
      <c r="AB26" s="94">
        <v>7275</v>
      </c>
      <c r="AC26" s="94">
        <v>1182</v>
      </c>
      <c r="AD26" s="94">
        <v>0</v>
      </c>
      <c r="AE26" s="94">
        <v>13200</v>
      </c>
      <c r="AF26" s="94">
        <v>640</v>
      </c>
      <c r="AG26" s="94">
        <v>3080</v>
      </c>
      <c r="AH26" s="94">
        <v>0</v>
      </c>
      <c r="AI26" s="94">
        <v>0</v>
      </c>
      <c r="AJ26" s="94">
        <v>190</v>
      </c>
      <c r="AK26" s="94">
        <v>650</v>
      </c>
      <c r="AL26" s="94">
        <v>0</v>
      </c>
      <c r="AM26" s="94">
        <v>100</v>
      </c>
      <c r="AN26" s="94">
        <v>130</v>
      </c>
      <c r="AO26" s="94">
        <v>1400</v>
      </c>
      <c r="AP26" s="94">
        <v>145</v>
      </c>
      <c r="AQ26" s="94">
        <v>0</v>
      </c>
      <c r="AR26" s="94">
        <v>0</v>
      </c>
      <c r="AS26" s="94">
        <v>0</v>
      </c>
      <c r="AT26" s="94">
        <v>0</v>
      </c>
      <c r="AU26" s="94">
        <v>0</v>
      </c>
      <c r="AV26" s="94">
        <v>200</v>
      </c>
      <c r="AW26" s="94">
        <v>0</v>
      </c>
      <c r="AX26" s="94">
        <v>0</v>
      </c>
      <c r="AY26" s="94">
        <v>0</v>
      </c>
      <c r="AZ26" s="94">
        <v>0</v>
      </c>
      <c r="BA26" s="94">
        <v>0</v>
      </c>
      <c r="BB26" s="94">
        <v>0</v>
      </c>
      <c r="BC26" s="94">
        <v>0</v>
      </c>
      <c r="BD26" s="94">
        <v>150</v>
      </c>
      <c r="BE26" s="94">
        <v>780</v>
      </c>
      <c r="BF26" s="94">
        <v>470</v>
      </c>
      <c r="BG26" s="94">
        <v>80</v>
      </c>
      <c r="BH26" s="94">
        <v>205</v>
      </c>
      <c r="BI26" s="94">
        <v>0</v>
      </c>
      <c r="BJ26" s="94">
        <v>0</v>
      </c>
      <c r="BK26" s="94">
        <v>0</v>
      </c>
      <c r="BL26" s="94">
        <v>0</v>
      </c>
      <c r="BM26" s="94">
        <v>2560</v>
      </c>
    </row>
    <row r="27" spans="1:65" x14ac:dyDescent="0.2">
      <c r="A27" s="94" t="s">
        <v>346</v>
      </c>
      <c r="B27" s="94" t="s">
        <v>25</v>
      </c>
      <c r="C27" s="94" t="s">
        <v>58</v>
      </c>
      <c r="D27" s="94">
        <v>360</v>
      </c>
      <c r="E27" s="94">
        <v>480</v>
      </c>
      <c r="F27" s="94">
        <v>320</v>
      </c>
      <c r="G27" s="94">
        <v>900</v>
      </c>
      <c r="H27" s="94">
        <v>275</v>
      </c>
      <c r="I27" s="94">
        <v>0</v>
      </c>
      <c r="J27" s="94">
        <v>75</v>
      </c>
      <c r="K27" s="94">
        <v>180</v>
      </c>
      <c r="L27" s="94">
        <v>140</v>
      </c>
      <c r="M27" s="94">
        <v>140</v>
      </c>
      <c r="N27" s="94">
        <v>250</v>
      </c>
      <c r="O27" s="94">
        <v>105</v>
      </c>
      <c r="P27" s="94">
        <v>1950</v>
      </c>
      <c r="Q27" s="94">
        <v>650</v>
      </c>
      <c r="R27" s="94">
        <v>0</v>
      </c>
      <c r="S27" s="94">
        <v>1100</v>
      </c>
      <c r="T27" s="94">
        <v>1225</v>
      </c>
      <c r="U27" s="94">
        <v>1020</v>
      </c>
      <c r="V27" s="94">
        <v>360</v>
      </c>
      <c r="W27" s="94">
        <v>120</v>
      </c>
      <c r="X27" s="94">
        <v>18720</v>
      </c>
      <c r="Y27" s="94">
        <v>16650</v>
      </c>
      <c r="Z27" s="94">
        <v>1050</v>
      </c>
      <c r="AA27" s="94">
        <v>630</v>
      </c>
      <c r="AB27" s="94">
        <v>4365</v>
      </c>
      <c r="AC27" s="94">
        <v>1773</v>
      </c>
      <c r="AD27" s="94">
        <v>0</v>
      </c>
      <c r="AE27" s="94">
        <v>0</v>
      </c>
      <c r="AF27" s="94">
        <v>600</v>
      </c>
      <c r="AG27" s="94">
        <v>4970</v>
      </c>
      <c r="AH27" s="94">
        <v>250</v>
      </c>
      <c r="AI27" s="94">
        <v>330</v>
      </c>
      <c r="AJ27" s="94">
        <v>250</v>
      </c>
      <c r="AK27" s="94">
        <v>630</v>
      </c>
      <c r="AL27" s="94">
        <v>130</v>
      </c>
      <c r="AM27" s="94">
        <v>350</v>
      </c>
      <c r="AN27" s="94">
        <v>350</v>
      </c>
      <c r="AO27" s="94">
        <v>1800</v>
      </c>
      <c r="AP27" s="94">
        <v>450</v>
      </c>
      <c r="AQ27" s="94">
        <v>180</v>
      </c>
      <c r="AR27" s="94">
        <v>550</v>
      </c>
      <c r="AS27" s="94">
        <v>0</v>
      </c>
      <c r="AT27" s="94">
        <v>165</v>
      </c>
      <c r="AU27" s="94">
        <v>50</v>
      </c>
      <c r="AV27" s="94">
        <v>350</v>
      </c>
      <c r="AW27" s="94">
        <v>0</v>
      </c>
      <c r="AX27" s="94">
        <v>1100</v>
      </c>
      <c r="AY27" s="94">
        <v>0</v>
      </c>
      <c r="AZ27" s="94">
        <v>0</v>
      </c>
      <c r="BA27" s="94">
        <v>0</v>
      </c>
      <c r="BB27" s="94">
        <v>0</v>
      </c>
      <c r="BC27" s="94">
        <v>0</v>
      </c>
      <c r="BD27" s="94">
        <v>300</v>
      </c>
      <c r="BE27" s="94">
        <v>560</v>
      </c>
      <c r="BF27" s="94">
        <v>500</v>
      </c>
      <c r="BG27" s="94">
        <v>300</v>
      </c>
      <c r="BH27" s="94">
        <v>210</v>
      </c>
      <c r="BI27" s="94">
        <v>140</v>
      </c>
      <c r="BJ27" s="94">
        <v>0</v>
      </c>
      <c r="BK27" s="94">
        <v>0</v>
      </c>
      <c r="BL27" s="94">
        <v>200</v>
      </c>
      <c r="BM27" s="94">
        <v>0</v>
      </c>
    </row>
    <row r="28" spans="1:65" x14ac:dyDescent="0.2">
      <c r="A28" s="94" t="s">
        <v>362</v>
      </c>
      <c r="B28" s="94" t="s">
        <v>3</v>
      </c>
      <c r="C28" s="94" t="s">
        <v>58</v>
      </c>
      <c r="D28" s="94">
        <v>288</v>
      </c>
      <c r="E28" s="94">
        <v>200</v>
      </c>
      <c r="F28" s="94">
        <v>160</v>
      </c>
      <c r="G28" s="94">
        <v>0</v>
      </c>
      <c r="H28" s="94">
        <v>165</v>
      </c>
      <c r="I28" s="94">
        <v>0</v>
      </c>
      <c r="J28" s="94">
        <v>75</v>
      </c>
      <c r="K28" s="94">
        <v>270</v>
      </c>
      <c r="L28" s="94">
        <v>210</v>
      </c>
      <c r="M28" s="94">
        <v>140</v>
      </c>
      <c r="N28" s="94">
        <v>0</v>
      </c>
      <c r="O28" s="94">
        <v>0</v>
      </c>
      <c r="P28" s="94">
        <v>630</v>
      </c>
      <c r="Q28" s="94">
        <v>0</v>
      </c>
      <c r="R28" s="94">
        <v>630</v>
      </c>
      <c r="S28" s="94">
        <v>0</v>
      </c>
      <c r="T28" s="94">
        <v>720</v>
      </c>
      <c r="U28" s="94">
        <v>680</v>
      </c>
      <c r="V28" s="94">
        <v>300</v>
      </c>
      <c r="W28" s="94">
        <v>0</v>
      </c>
      <c r="X28" s="94">
        <v>14040</v>
      </c>
      <c r="Y28" s="94">
        <v>12600</v>
      </c>
      <c r="Z28" s="94">
        <v>0</v>
      </c>
      <c r="AA28" s="94">
        <v>615</v>
      </c>
      <c r="AB28" s="94">
        <v>3880</v>
      </c>
      <c r="AC28" s="94">
        <v>1576</v>
      </c>
      <c r="AD28" s="94">
        <v>0</v>
      </c>
      <c r="AE28" s="94">
        <v>5280</v>
      </c>
      <c r="AF28" s="94">
        <v>600</v>
      </c>
      <c r="AG28" s="94">
        <v>3750</v>
      </c>
      <c r="AH28" s="94">
        <v>0</v>
      </c>
      <c r="AI28" s="94">
        <v>280</v>
      </c>
      <c r="AJ28" s="94">
        <v>280</v>
      </c>
      <c r="AK28" s="94">
        <v>630</v>
      </c>
      <c r="AL28" s="94">
        <v>130</v>
      </c>
      <c r="AM28" s="94">
        <v>0</v>
      </c>
      <c r="AN28" s="94">
        <v>210</v>
      </c>
      <c r="AO28" s="94">
        <v>1770</v>
      </c>
      <c r="AP28" s="94">
        <v>300</v>
      </c>
      <c r="AQ28" s="94">
        <v>0</v>
      </c>
      <c r="AR28" s="94">
        <v>0</v>
      </c>
      <c r="AS28" s="94">
        <v>0</v>
      </c>
      <c r="AT28" s="94">
        <v>85</v>
      </c>
      <c r="AU28" s="94">
        <v>0</v>
      </c>
      <c r="AV28" s="94">
        <v>0</v>
      </c>
      <c r="AW28" s="94">
        <v>0</v>
      </c>
      <c r="AX28" s="94">
        <v>0</v>
      </c>
      <c r="AY28" s="94">
        <v>0</v>
      </c>
      <c r="AZ28" s="94">
        <v>0</v>
      </c>
      <c r="BA28" s="94">
        <v>0</v>
      </c>
      <c r="BB28" s="94">
        <v>0</v>
      </c>
      <c r="BC28" s="94">
        <v>0</v>
      </c>
      <c r="BD28" s="94">
        <v>0</v>
      </c>
      <c r="BE28" s="94">
        <v>520</v>
      </c>
      <c r="BF28" s="94">
        <v>0</v>
      </c>
      <c r="BG28" s="94">
        <v>0</v>
      </c>
      <c r="BH28" s="94">
        <v>129</v>
      </c>
      <c r="BI28" s="94">
        <v>140</v>
      </c>
      <c r="BJ28" s="94">
        <v>0</v>
      </c>
      <c r="BK28" s="94">
        <v>320</v>
      </c>
      <c r="BL28" s="94">
        <v>180</v>
      </c>
      <c r="BM28" s="94">
        <v>2300</v>
      </c>
    </row>
    <row r="29" spans="1:65" x14ac:dyDescent="0.2">
      <c r="A29" s="94" t="s">
        <v>334</v>
      </c>
      <c r="B29" s="94" t="s">
        <v>4</v>
      </c>
      <c r="C29" s="94" t="s">
        <v>58</v>
      </c>
      <c r="D29" s="94">
        <v>360</v>
      </c>
      <c r="E29" s="94">
        <v>280</v>
      </c>
      <c r="F29" s="94">
        <v>320</v>
      </c>
      <c r="G29" s="94">
        <v>800</v>
      </c>
      <c r="H29" s="94">
        <v>220</v>
      </c>
      <c r="I29" s="94">
        <v>114</v>
      </c>
      <c r="J29" s="94">
        <v>75</v>
      </c>
      <c r="K29" s="94">
        <v>270</v>
      </c>
      <c r="L29" s="94">
        <v>140</v>
      </c>
      <c r="M29" s="94">
        <v>140</v>
      </c>
      <c r="N29" s="94">
        <v>250</v>
      </c>
      <c r="O29" s="94">
        <v>390</v>
      </c>
      <c r="P29" s="94">
        <v>1260</v>
      </c>
      <c r="Q29" s="94">
        <v>630</v>
      </c>
      <c r="R29" s="94">
        <v>0</v>
      </c>
      <c r="S29" s="94">
        <v>1650</v>
      </c>
      <c r="T29" s="94">
        <v>611</v>
      </c>
      <c r="U29" s="94">
        <v>850</v>
      </c>
      <c r="V29" s="94">
        <v>300</v>
      </c>
      <c r="W29" s="94">
        <v>360</v>
      </c>
      <c r="X29" s="94">
        <v>11700</v>
      </c>
      <c r="Y29" s="94">
        <v>13600</v>
      </c>
      <c r="Z29" s="94">
        <v>1050</v>
      </c>
      <c r="AA29" s="94">
        <v>630</v>
      </c>
      <c r="AB29" s="94">
        <v>5820</v>
      </c>
      <c r="AC29" s="94">
        <v>2364</v>
      </c>
      <c r="AD29" s="94">
        <v>0</v>
      </c>
      <c r="AE29" s="94">
        <v>11880</v>
      </c>
      <c r="AF29" s="94">
        <v>0</v>
      </c>
      <c r="AG29" s="94">
        <v>5920</v>
      </c>
      <c r="AH29" s="94">
        <v>250</v>
      </c>
      <c r="AI29" s="94">
        <v>75</v>
      </c>
      <c r="AJ29" s="94">
        <v>240</v>
      </c>
      <c r="AK29" s="94">
        <v>630</v>
      </c>
      <c r="AL29" s="94">
        <v>150</v>
      </c>
      <c r="AM29" s="94">
        <v>150</v>
      </c>
      <c r="AN29" s="94">
        <v>238</v>
      </c>
      <c r="AO29" s="94">
        <v>1440</v>
      </c>
      <c r="AP29" s="94">
        <v>200</v>
      </c>
      <c r="AQ29" s="94">
        <v>150</v>
      </c>
      <c r="AR29" s="94">
        <v>255</v>
      </c>
      <c r="AS29" s="94">
        <v>0</v>
      </c>
      <c r="AT29" s="94">
        <v>215</v>
      </c>
      <c r="AU29" s="94">
        <v>0</v>
      </c>
      <c r="AV29" s="94">
        <v>350</v>
      </c>
      <c r="AW29" s="94">
        <v>0</v>
      </c>
      <c r="AX29" s="94">
        <v>765</v>
      </c>
      <c r="AY29" s="94">
        <v>0</v>
      </c>
      <c r="AZ29" s="94">
        <v>0</v>
      </c>
      <c r="BA29" s="94">
        <v>0</v>
      </c>
      <c r="BB29" s="94">
        <v>0</v>
      </c>
      <c r="BC29" s="94">
        <v>0</v>
      </c>
      <c r="BD29" s="94">
        <v>140</v>
      </c>
      <c r="BE29" s="94">
        <v>480</v>
      </c>
      <c r="BF29" s="94">
        <v>0</v>
      </c>
      <c r="BG29" s="94">
        <v>0</v>
      </c>
      <c r="BH29" s="94">
        <v>220</v>
      </c>
      <c r="BI29" s="94">
        <v>150</v>
      </c>
      <c r="BJ29" s="94">
        <v>0</v>
      </c>
      <c r="BK29" s="94">
        <v>300</v>
      </c>
      <c r="BL29" s="94">
        <v>0</v>
      </c>
      <c r="BM29" s="94">
        <v>2300</v>
      </c>
    </row>
    <row r="30" spans="1:65" x14ac:dyDescent="0.2">
      <c r="A30" s="94" t="s">
        <v>366</v>
      </c>
      <c r="B30" s="94" t="s">
        <v>5</v>
      </c>
      <c r="C30" s="94" t="s">
        <v>58</v>
      </c>
      <c r="D30" s="94">
        <v>468</v>
      </c>
      <c r="E30" s="94">
        <v>400</v>
      </c>
      <c r="F30" s="94">
        <v>400</v>
      </c>
      <c r="G30" s="94">
        <v>960</v>
      </c>
      <c r="H30" s="94">
        <v>275</v>
      </c>
      <c r="I30" s="94">
        <v>152</v>
      </c>
      <c r="J30" s="94">
        <v>150</v>
      </c>
      <c r="K30" s="94">
        <v>360</v>
      </c>
      <c r="L30" s="94">
        <v>70</v>
      </c>
      <c r="M30" s="94">
        <v>140</v>
      </c>
      <c r="N30" s="94">
        <v>250</v>
      </c>
      <c r="O30" s="94">
        <v>325</v>
      </c>
      <c r="P30" s="94">
        <v>1890</v>
      </c>
      <c r="Q30" s="94">
        <v>1260</v>
      </c>
      <c r="R30" s="94">
        <v>650</v>
      </c>
      <c r="S30" s="94">
        <v>550</v>
      </c>
      <c r="T30" s="94">
        <v>940</v>
      </c>
      <c r="U30" s="94">
        <v>1020</v>
      </c>
      <c r="V30" s="94">
        <v>240</v>
      </c>
      <c r="W30" s="94">
        <v>360</v>
      </c>
      <c r="X30" s="94">
        <v>29680</v>
      </c>
      <c r="Y30" s="94">
        <v>19150</v>
      </c>
      <c r="Z30" s="94">
        <v>1050</v>
      </c>
      <c r="AA30" s="94">
        <v>585</v>
      </c>
      <c r="AB30" s="94">
        <v>5820</v>
      </c>
      <c r="AC30" s="94">
        <v>3152</v>
      </c>
      <c r="AD30" s="94">
        <v>0</v>
      </c>
      <c r="AE30" s="94">
        <v>6600</v>
      </c>
      <c r="AF30" s="94">
        <v>0</v>
      </c>
      <c r="AG30" s="94">
        <v>7500</v>
      </c>
      <c r="AH30" s="94">
        <v>240</v>
      </c>
      <c r="AI30" s="94">
        <v>700</v>
      </c>
      <c r="AJ30" s="94">
        <v>210</v>
      </c>
      <c r="AK30" s="94">
        <v>660</v>
      </c>
      <c r="AL30" s="94">
        <v>145</v>
      </c>
      <c r="AM30" s="94">
        <v>170</v>
      </c>
      <c r="AN30" s="94">
        <v>210</v>
      </c>
      <c r="AO30" s="94">
        <v>3300</v>
      </c>
      <c r="AP30" s="94">
        <v>0</v>
      </c>
      <c r="AQ30" s="94">
        <v>350</v>
      </c>
      <c r="AR30" s="94">
        <v>340</v>
      </c>
      <c r="AS30" s="94">
        <v>0</v>
      </c>
      <c r="AT30" s="94">
        <v>240</v>
      </c>
      <c r="AU30" s="94">
        <v>35</v>
      </c>
      <c r="AV30" s="94">
        <v>720</v>
      </c>
      <c r="AW30" s="94">
        <v>0</v>
      </c>
      <c r="AX30" s="94">
        <v>450</v>
      </c>
      <c r="AY30" s="94">
        <v>0</v>
      </c>
      <c r="AZ30" s="94">
        <v>880</v>
      </c>
      <c r="BA30" s="94">
        <v>880</v>
      </c>
      <c r="BB30" s="94">
        <v>60</v>
      </c>
      <c r="BC30" s="94">
        <v>0</v>
      </c>
      <c r="BD30" s="94">
        <v>150</v>
      </c>
      <c r="BE30" s="94">
        <v>490</v>
      </c>
      <c r="BF30" s="94">
        <v>480</v>
      </c>
      <c r="BG30" s="94">
        <v>60</v>
      </c>
      <c r="BH30" s="94">
        <v>220</v>
      </c>
      <c r="BI30" s="94">
        <v>140</v>
      </c>
      <c r="BJ30" s="94">
        <v>0</v>
      </c>
      <c r="BK30" s="94">
        <v>300</v>
      </c>
      <c r="BL30" s="94">
        <v>0</v>
      </c>
      <c r="BM30" s="94">
        <v>0</v>
      </c>
    </row>
    <row r="31" spans="1:65" x14ac:dyDescent="0.2">
      <c r="A31" s="94" t="s">
        <v>358</v>
      </c>
      <c r="B31" s="94" t="s">
        <v>6</v>
      </c>
      <c r="C31" s="94" t="s">
        <v>58</v>
      </c>
      <c r="D31" s="94">
        <v>432</v>
      </c>
      <c r="E31" s="94">
        <v>400</v>
      </c>
      <c r="F31" s="94">
        <v>240</v>
      </c>
      <c r="G31" s="94">
        <v>720</v>
      </c>
      <c r="H31" s="94">
        <v>220</v>
      </c>
      <c r="I31" s="94">
        <v>120</v>
      </c>
      <c r="J31" s="94">
        <v>90</v>
      </c>
      <c r="K31" s="94">
        <v>360</v>
      </c>
      <c r="L31" s="94">
        <v>210</v>
      </c>
      <c r="M31" s="94">
        <v>210</v>
      </c>
      <c r="N31" s="94">
        <v>500</v>
      </c>
      <c r="O31" s="94">
        <v>210</v>
      </c>
      <c r="P31" s="94">
        <v>1950</v>
      </c>
      <c r="Q31" s="94">
        <v>1300</v>
      </c>
      <c r="R31" s="94">
        <v>0</v>
      </c>
      <c r="S31" s="94">
        <v>0</v>
      </c>
      <c r="T31" s="94">
        <v>940</v>
      </c>
      <c r="U31" s="94">
        <v>720</v>
      </c>
      <c r="V31" s="94">
        <v>300</v>
      </c>
      <c r="W31" s="94">
        <v>180</v>
      </c>
      <c r="X31" s="94">
        <v>14040</v>
      </c>
      <c r="Y31" s="94">
        <v>11220</v>
      </c>
      <c r="Z31" s="94">
        <v>1000</v>
      </c>
      <c r="AA31" s="94">
        <v>760</v>
      </c>
      <c r="AB31" s="94">
        <v>0</v>
      </c>
      <c r="AC31" s="94">
        <v>0</v>
      </c>
      <c r="AD31" s="94">
        <v>0</v>
      </c>
      <c r="AE31" s="94">
        <v>7560</v>
      </c>
      <c r="AF31" s="94">
        <v>600</v>
      </c>
      <c r="AG31" s="94">
        <v>4475</v>
      </c>
      <c r="AH31" s="94">
        <v>220</v>
      </c>
      <c r="AI31" s="94">
        <v>320</v>
      </c>
      <c r="AJ31" s="94">
        <v>200</v>
      </c>
      <c r="AK31" s="94">
        <v>770</v>
      </c>
      <c r="AL31" s="94">
        <v>160</v>
      </c>
      <c r="AM31" s="94">
        <v>195</v>
      </c>
      <c r="AN31" s="94">
        <v>140</v>
      </c>
      <c r="AO31" s="94">
        <v>1320</v>
      </c>
      <c r="AP31" s="94">
        <v>0</v>
      </c>
      <c r="AQ31" s="94">
        <v>350</v>
      </c>
      <c r="AR31" s="94">
        <v>0</v>
      </c>
      <c r="AS31" s="94">
        <v>0</v>
      </c>
      <c r="AT31" s="94">
        <v>350</v>
      </c>
      <c r="AU31" s="94">
        <v>0</v>
      </c>
      <c r="AV31" s="94">
        <v>0</v>
      </c>
      <c r="AW31" s="94">
        <v>0</v>
      </c>
      <c r="AX31" s="94">
        <v>700</v>
      </c>
      <c r="AY31" s="94">
        <v>0</v>
      </c>
      <c r="AZ31" s="94">
        <v>0</v>
      </c>
      <c r="BA31" s="94">
        <v>0</v>
      </c>
      <c r="BB31" s="94">
        <v>0</v>
      </c>
      <c r="BC31" s="94">
        <v>0</v>
      </c>
      <c r="BD31" s="94">
        <v>0</v>
      </c>
      <c r="BE31" s="94">
        <v>0</v>
      </c>
      <c r="BF31" s="94">
        <v>0</v>
      </c>
      <c r="BG31" s="94">
        <v>0</v>
      </c>
      <c r="BH31" s="94">
        <v>176</v>
      </c>
      <c r="BI31" s="94">
        <v>200</v>
      </c>
      <c r="BJ31" s="94">
        <v>0</v>
      </c>
      <c r="BK31" s="94">
        <v>320</v>
      </c>
      <c r="BL31" s="94">
        <v>150</v>
      </c>
      <c r="BM31" s="94">
        <v>0</v>
      </c>
    </row>
    <row r="32" spans="1:65" x14ac:dyDescent="0.2">
      <c r="A32" s="94" t="s">
        <v>354</v>
      </c>
      <c r="B32" s="94" t="s">
        <v>7</v>
      </c>
      <c r="C32" s="94" t="s">
        <v>58</v>
      </c>
      <c r="D32" s="94">
        <v>370</v>
      </c>
      <c r="E32" s="94">
        <v>240</v>
      </c>
      <c r="F32" s="94">
        <v>240</v>
      </c>
      <c r="G32" s="94">
        <v>640</v>
      </c>
      <c r="H32" s="94">
        <v>165</v>
      </c>
      <c r="I32" s="94">
        <v>38</v>
      </c>
      <c r="J32" s="94">
        <v>50</v>
      </c>
      <c r="K32" s="94">
        <v>270</v>
      </c>
      <c r="L32" s="94">
        <v>350</v>
      </c>
      <c r="M32" s="94">
        <v>420</v>
      </c>
      <c r="N32" s="94">
        <v>250</v>
      </c>
      <c r="O32" s="94">
        <v>325</v>
      </c>
      <c r="P32" s="94">
        <v>1950</v>
      </c>
      <c r="Q32" s="94">
        <v>1950</v>
      </c>
      <c r="R32" s="94">
        <v>650</v>
      </c>
      <c r="S32" s="94">
        <v>0</v>
      </c>
      <c r="T32" s="94">
        <v>705</v>
      </c>
      <c r="U32" s="94">
        <v>1190</v>
      </c>
      <c r="V32" s="94">
        <v>300</v>
      </c>
      <c r="W32" s="94">
        <v>180</v>
      </c>
      <c r="X32" s="94">
        <v>26460</v>
      </c>
      <c r="Y32" s="94">
        <v>16170</v>
      </c>
      <c r="Z32" s="94">
        <v>1000</v>
      </c>
      <c r="AA32" s="94">
        <v>1064</v>
      </c>
      <c r="AB32" s="94">
        <v>5820</v>
      </c>
      <c r="AC32" s="94">
        <v>3152</v>
      </c>
      <c r="AD32" s="94">
        <v>0</v>
      </c>
      <c r="AE32" s="94">
        <v>7788</v>
      </c>
      <c r="AF32" s="94">
        <v>620</v>
      </c>
      <c r="AG32" s="94">
        <v>4320</v>
      </c>
      <c r="AH32" s="94">
        <v>360</v>
      </c>
      <c r="AI32" s="94">
        <v>180</v>
      </c>
      <c r="AJ32" s="94">
        <v>410</v>
      </c>
      <c r="AK32" s="94">
        <v>1422</v>
      </c>
      <c r="AL32" s="94">
        <v>550</v>
      </c>
      <c r="AM32" s="94">
        <v>150</v>
      </c>
      <c r="AN32" s="94">
        <v>300</v>
      </c>
      <c r="AO32" s="94">
        <v>1700</v>
      </c>
      <c r="AP32" s="94">
        <v>475</v>
      </c>
      <c r="AQ32" s="94">
        <v>240</v>
      </c>
      <c r="AR32" s="94">
        <v>255</v>
      </c>
      <c r="AS32" s="94">
        <v>0</v>
      </c>
      <c r="AT32" s="94">
        <v>380</v>
      </c>
      <c r="AU32" s="94">
        <v>50</v>
      </c>
      <c r="AV32" s="94">
        <v>0</v>
      </c>
      <c r="AW32" s="94">
        <v>0</v>
      </c>
      <c r="AX32" s="94">
        <v>1380</v>
      </c>
      <c r="AY32" s="94">
        <v>0</v>
      </c>
      <c r="AZ32" s="94">
        <v>0</v>
      </c>
      <c r="BA32" s="94">
        <v>0</v>
      </c>
      <c r="BB32" s="94">
        <v>0</v>
      </c>
      <c r="BC32" s="94">
        <v>0</v>
      </c>
      <c r="BD32" s="94">
        <v>0</v>
      </c>
      <c r="BE32" s="94">
        <v>0</v>
      </c>
      <c r="BF32" s="94">
        <v>0</v>
      </c>
      <c r="BG32" s="94">
        <v>0</v>
      </c>
      <c r="BH32" s="94">
        <v>176</v>
      </c>
      <c r="BI32" s="94">
        <v>300</v>
      </c>
      <c r="BJ32" s="94">
        <v>0</v>
      </c>
      <c r="BK32" s="94">
        <v>480</v>
      </c>
      <c r="BL32" s="94">
        <v>0</v>
      </c>
      <c r="BM32" s="94">
        <v>0</v>
      </c>
    </row>
    <row r="33" spans="1:65" x14ac:dyDescent="0.2">
      <c r="A33" s="94" t="s">
        <v>338</v>
      </c>
      <c r="B33" s="94" t="s">
        <v>331</v>
      </c>
      <c r="C33" s="94" t="s">
        <v>58</v>
      </c>
      <c r="D33" s="94">
        <v>444</v>
      </c>
      <c r="E33" s="94">
        <v>320</v>
      </c>
      <c r="F33" s="94">
        <v>240</v>
      </c>
      <c r="G33" s="94">
        <v>720</v>
      </c>
      <c r="H33" s="94">
        <v>110</v>
      </c>
      <c r="I33" s="94">
        <v>76</v>
      </c>
      <c r="J33" s="94">
        <v>0</v>
      </c>
      <c r="K33" s="94">
        <v>270</v>
      </c>
      <c r="L33" s="94">
        <v>630</v>
      </c>
      <c r="M33" s="94">
        <v>630</v>
      </c>
      <c r="N33" s="94">
        <v>780</v>
      </c>
      <c r="O33" s="94">
        <v>325</v>
      </c>
      <c r="P33" s="94">
        <v>4200</v>
      </c>
      <c r="Q33" s="94">
        <v>2520</v>
      </c>
      <c r="R33" s="94">
        <v>650</v>
      </c>
      <c r="S33" s="94">
        <v>1250</v>
      </c>
      <c r="T33" s="94">
        <v>799</v>
      </c>
      <c r="U33" s="94">
        <v>1860</v>
      </c>
      <c r="V33" s="94">
        <v>300</v>
      </c>
      <c r="W33" s="94">
        <v>600</v>
      </c>
      <c r="X33" s="94">
        <v>50660</v>
      </c>
      <c r="Y33" s="94">
        <v>28400</v>
      </c>
      <c r="Z33" s="94">
        <v>0</v>
      </c>
      <c r="AA33" s="94">
        <v>0</v>
      </c>
      <c r="AB33" s="94">
        <v>0</v>
      </c>
      <c r="AC33" s="94">
        <v>0</v>
      </c>
      <c r="AD33" s="94">
        <v>0</v>
      </c>
      <c r="AE33" s="94">
        <v>6600</v>
      </c>
      <c r="AF33" s="94">
        <v>660</v>
      </c>
      <c r="AG33" s="94">
        <v>7190</v>
      </c>
      <c r="AH33" s="94">
        <v>450</v>
      </c>
      <c r="AI33" s="94">
        <v>450</v>
      </c>
      <c r="AJ33" s="94">
        <v>225</v>
      </c>
      <c r="AK33" s="94">
        <v>760</v>
      </c>
      <c r="AL33" s="94">
        <v>220</v>
      </c>
      <c r="AM33" s="94">
        <v>0</v>
      </c>
      <c r="AN33" s="94">
        <v>330</v>
      </c>
      <c r="AO33" s="94">
        <v>3250</v>
      </c>
      <c r="AP33" s="94">
        <v>450</v>
      </c>
      <c r="AQ33" s="94">
        <v>320</v>
      </c>
      <c r="AR33" s="94">
        <v>620</v>
      </c>
      <c r="AS33" s="94">
        <v>0</v>
      </c>
      <c r="AT33" s="94">
        <v>160</v>
      </c>
      <c r="AU33" s="94">
        <v>90</v>
      </c>
      <c r="AV33" s="94">
        <v>2100</v>
      </c>
      <c r="AW33" s="94">
        <v>0</v>
      </c>
      <c r="AX33" s="94">
        <v>2760</v>
      </c>
      <c r="AY33" s="94">
        <v>0</v>
      </c>
      <c r="AZ33" s="94">
        <v>410</v>
      </c>
      <c r="BA33" s="94">
        <v>0</v>
      </c>
      <c r="BB33" s="94">
        <v>0</v>
      </c>
      <c r="BC33" s="94">
        <v>0</v>
      </c>
      <c r="BD33" s="94">
        <v>280</v>
      </c>
      <c r="BE33" s="94">
        <v>960</v>
      </c>
      <c r="BF33" s="94">
        <v>420</v>
      </c>
      <c r="BG33" s="94">
        <v>60</v>
      </c>
      <c r="BH33" s="94">
        <v>220</v>
      </c>
      <c r="BI33" s="94">
        <v>150</v>
      </c>
      <c r="BJ33" s="94">
        <v>0</v>
      </c>
      <c r="BK33" s="94">
        <v>510</v>
      </c>
      <c r="BL33" s="94">
        <v>220</v>
      </c>
      <c r="BM33" s="94">
        <v>1400</v>
      </c>
    </row>
    <row r="34" spans="1:65" x14ac:dyDescent="0.2">
      <c r="A34" s="94" t="s">
        <v>378</v>
      </c>
      <c r="B34" s="94" t="s">
        <v>9</v>
      </c>
      <c r="C34" s="94" t="s">
        <v>58</v>
      </c>
      <c r="D34" s="94">
        <v>444</v>
      </c>
      <c r="E34" s="94">
        <v>320</v>
      </c>
      <c r="F34" s="94">
        <v>240</v>
      </c>
      <c r="G34" s="94">
        <v>810</v>
      </c>
      <c r="H34" s="94">
        <v>55</v>
      </c>
      <c r="I34" s="94">
        <v>76</v>
      </c>
      <c r="J34" s="94">
        <v>0</v>
      </c>
      <c r="K34" s="94">
        <v>150</v>
      </c>
      <c r="L34" s="94">
        <v>210</v>
      </c>
      <c r="M34" s="94">
        <v>210</v>
      </c>
      <c r="N34" s="94">
        <v>500</v>
      </c>
      <c r="O34" s="94">
        <v>325</v>
      </c>
      <c r="P34" s="94">
        <v>0</v>
      </c>
      <c r="Q34" s="94">
        <v>0</v>
      </c>
      <c r="R34" s="94">
        <v>0</v>
      </c>
      <c r="S34" s="94">
        <v>550</v>
      </c>
      <c r="T34" s="94">
        <v>920</v>
      </c>
      <c r="U34" s="94">
        <v>850</v>
      </c>
      <c r="V34" s="94">
        <v>420</v>
      </c>
      <c r="W34" s="94">
        <v>420</v>
      </c>
      <c r="X34" s="94">
        <v>33480</v>
      </c>
      <c r="Y34" s="94">
        <v>12890</v>
      </c>
      <c r="Z34" s="94">
        <v>0</v>
      </c>
      <c r="AA34" s="94">
        <v>0</v>
      </c>
      <c r="AB34" s="94">
        <v>4860</v>
      </c>
      <c r="AC34" s="94">
        <v>2772</v>
      </c>
      <c r="AD34" s="94">
        <v>0</v>
      </c>
      <c r="AE34" s="94">
        <v>6600</v>
      </c>
      <c r="AF34" s="94">
        <v>640</v>
      </c>
      <c r="AG34" s="94">
        <v>7100</v>
      </c>
      <c r="AH34" s="94">
        <v>460</v>
      </c>
      <c r="AI34" s="94">
        <v>380</v>
      </c>
      <c r="AJ34" s="94">
        <v>200</v>
      </c>
      <c r="AK34" s="94">
        <v>750</v>
      </c>
      <c r="AL34" s="94">
        <v>200</v>
      </c>
      <c r="AM34" s="94">
        <v>210</v>
      </c>
      <c r="AN34" s="94">
        <v>390</v>
      </c>
      <c r="AO34" s="94">
        <v>0</v>
      </c>
      <c r="AP34" s="94">
        <v>0</v>
      </c>
      <c r="AQ34" s="94">
        <v>155</v>
      </c>
      <c r="AR34" s="94">
        <v>350</v>
      </c>
      <c r="AS34" s="94">
        <v>0</v>
      </c>
      <c r="AT34" s="94">
        <v>350</v>
      </c>
      <c r="AU34" s="94">
        <v>0</v>
      </c>
      <c r="AV34" s="94">
        <v>0</v>
      </c>
      <c r="AW34" s="94">
        <v>0</v>
      </c>
      <c r="AX34" s="94">
        <v>2250</v>
      </c>
      <c r="AY34" s="94">
        <v>0</v>
      </c>
      <c r="AZ34" s="94">
        <v>0</v>
      </c>
      <c r="BA34" s="94">
        <v>0</v>
      </c>
      <c r="BB34" s="94">
        <v>0</v>
      </c>
      <c r="BC34" s="94">
        <v>0</v>
      </c>
      <c r="BD34" s="94">
        <v>0</v>
      </c>
      <c r="BE34" s="94">
        <v>0</v>
      </c>
      <c r="BF34" s="94">
        <v>0</v>
      </c>
      <c r="BG34" s="94">
        <v>0</v>
      </c>
      <c r="BH34" s="94">
        <v>0</v>
      </c>
      <c r="BI34" s="94">
        <v>150</v>
      </c>
      <c r="BJ34" s="94">
        <v>0</v>
      </c>
      <c r="BK34" s="94">
        <v>480</v>
      </c>
      <c r="BL34" s="94">
        <v>0</v>
      </c>
      <c r="BM34" s="94">
        <v>0</v>
      </c>
    </row>
    <row r="35" spans="1:65" x14ac:dyDescent="0.2">
      <c r="A35" s="94" t="s">
        <v>374</v>
      </c>
      <c r="B35" s="94" t="s">
        <v>10</v>
      </c>
      <c r="C35" s="94" t="s">
        <v>58</v>
      </c>
      <c r="D35" s="94">
        <v>296</v>
      </c>
      <c r="E35" s="94">
        <v>240</v>
      </c>
      <c r="F35" s="94">
        <v>280</v>
      </c>
      <c r="G35" s="94">
        <v>480</v>
      </c>
      <c r="H35" s="94">
        <v>165</v>
      </c>
      <c r="I35" s="94">
        <v>76</v>
      </c>
      <c r="J35" s="94">
        <v>0</v>
      </c>
      <c r="K35" s="94">
        <v>450</v>
      </c>
      <c r="L35" s="94">
        <v>700</v>
      </c>
      <c r="M35" s="94">
        <v>700</v>
      </c>
      <c r="N35" s="94">
        <v>0</v>
      </c>
      <c r="O35" s="94">
        <v>260</v>
      </c>
      <c r="P35" s="94">
        <v>1300</v>
      </c>
      <c r="Q35" s="94">
        <v>1300</v>
      </c>
      <c r="R35" s="94">
        <v>0</v>
      </c>
      <c r="S35" s="94">
        <v>550</v>
      </c>
      <c r="T35" s="94">
        <v>690</v>
      </c>
      <c r="U35" s="94">
        <v>850</v>
      </c>
      <c r="V35" s="94">
        <v>300</v>
      </c>
      <c r="W35" s="94">
        <v>360</v>
      </c>
      <c r="X35" s="94">
        <v>29340</v>
      </c>
      <c r="Y35" s="94">
        <v>20880</v>
      </c>
      <c r="Z35" s="94">
        <v>1000</v>
      </c>
      <c r="AA35" s="94">
        <v>200</v>
      </c>
      <c r="AB35" s="94">
        <v>8245</v>
      </c>
      <c r="AC35" s="94">
        <v>1970</v>
      </c>
      <c r="AD35" s="94">
        <v>0</v>
      </c>
      <c r="AE35" s="94">
        <v>6600</v>
      </c>
      <c r="AF35" s="94">
        <v>680</v>
      </c>
      <c r="AG35" s="94">
        <v>7100</v>
      </c>
      <c r="AH35" s="94">
        <v>0</v>
      </c>
      <c r="AI35" s="94">
        <v>0</v>
      </c>
      <c r="AJ35" s="94">
        <v>220</v>
      </c>
      <c r="AK35" s="94">
        <v>790</v>
      </c>
      <c r="AL35" s="94">
        <v>160</v>
      </c>
      <c r="AM35" s="94">
        <v>0</v>
      </c>
      <c r="AN35" s="94">
        <v>210</v>
      </c>
      <c r="AO35" s="94">
        <v>0</v>
      </c>
      <c r="AP35" s="94">
        <v>0</v>
      </c>
      <c r="AQ35" s="94">
        <v>0</v>
      </c>
      <c r="AR35" s="94">
        <v>280</v>
      </c>
      <c r="AS35" s="94">
        <v>0</v>
      </c>
      <c r="AT35" s="94">
        <v>390</v>
      </c>
      <c r="AU35" s="94">
        <v>0</v>
      </c>
      <c r="AV35" s="94">
        <v>0</v>
      </c>
      <c r="AW35" s="94">
        <v>0</v>
      </c>
      <c r="AX35" s="94">
        <v>0</v>
      </c>
      <c r="AY35" s="94">
        <v>0</v>
      </c>
      <c r="AZ35" s="94">
        <v>0</v>
      </c>
      <c r="BA35" s="94">
        <v>0</v>
      </c>
      <c r="BB35" s="94">
        <v>0</v>
      </c>
      <c r="BC35" s="94">
        <v>0</v>
      </c>
      <c r="BD35" s="94">
        <v>0</v>
      </c>
      <c r="BE35" s="94">
        <v>0</v>
      </c>
      <c r="BF35" s="94">
        <v>0</v>
      </c>
      <c r="BG35" s="94">
        <v>0</v>
      </c>
      <c r="BH35" s="94">
        <v>0</v>
      </c>
      <c r="BI35" s="94">
        <v>0</v>
      </c>
      <c r="BJ35" s="94">
        <v>0</v>
      </c>
      <c r="BK35" s="94">
        <v>480</v>
      </c>
      <c r="BL35" s="94">
        <v>0</v>
      </c>
      <c r="BM35" s="94">
        <v>3057</v>
      </c>
    </row>
    <row r="36" spans="1:65" x14ac:dyDescent="0.2">
      <c r="A36" s="94" t="s">
        <v>370</v>
      </c>
      <c r="B36" s="94" t="s">
        <v>11</v>
      </c>
      <c r="C36" s="94" t="s">
        <v>58</v>
      </c>
      <c r="D36" s="94">
        <v>444</v>
      </c>
      <c r="E36" s="94">
        <v>240</v>
      </c>
      <c r="F36" s="94">
        <v>0</v>
      </c>
      <c r="G36" s="94">
        <v>900</v>
      </c>
      <c r="H36" s="94">
        <v>275</v>
      </c>
      <c r="I36" s="94">
        <v>0</v>
      </c>
      <c r="J36" s="94">
        <v>0</v>
      </c>
      <c r="K36" s="94">
        <v>750</v>
      </c>
      <c r="L36" s="94">
        <v>420</v>
      </c>
      <c r="M36" s="94">
        <v>420</v>
      </c>
      <c r="N36" s="94">
        <v>0</v>
      </c>
      <c r="O36" s="94">
        <v>210</v>
      </c>
      <c r="P36" s="94">
        <v>1950</v>
      </c>
      <c r="Q36" s="94">
        <v>1950</v>
      </c>
      <c r="R36" s="94">
        <v>0</v>
      </c>
      <c r="S36" s="94">
        <v>550</v>
      </c>
      <c r="T36" s="94">
        <v>675</v>
      </c>
      <c r="U36" s="94">
        <v>510</v>
      </c>
      <c r="V36" s="94">
        <v>120</v>
      </c>
      <c r="W36" s="94">
        <v>360</v>
      </c>
      <c r="X36" s="94">
        <v>5520</v>
      </c>
      <c r="Y36" s="94">
        <v>3600</v>
      </c>
      <c r="Z36" s="94">
        <v>660</v>
      </c>
      <c r="AA36" s="94">
        <v>0</v>
      </c>
      <c r="AB36" s="94">
        <v>0</v>
      </c>
      <c r="AC36" s="94">
        <v>0</v>
      </c>
      <c r="AD36" s="94">
        <v>0</v>
      </c>
      <c r="AE36" s="94">
        <v>0</v>
      </c>
      <c r="AF36" s="94">
        <v>0</v>
      </c>
      <c r="AG36" s="94">
        <v>0</v>
      </c>
      <c r="AH36" s="94">
        <v>0</v>
      </c>
      <c r="AI36" s="94">
        <v>0</v>
      </c>
      <c r="AJ36" s="94">
        <v>230</v>
      </c>
      <c r="AK36" s="94">
        <v>680</v>
      </c>
      <c r="AL36" s="94">
        <v>200</v>
      </c>
      <c r="AM36" s="94">
        <v>225</v>
      </c>
      <c r="AN36" s="94">
        <v>225</v>
      </c>
      <c r="AO36" s="94">
        <v>1700</v>
      </c>
      <c r="AP36" s="94">
        <v>0</v>
      </c>
      <c r="AQ36" s="94">
        <v>220</v>
      </c>
      <c r="AR36" s="94">
        <v>0</v>
      </c>
      <c r="AS36" s="94">
        <v>0</v>
      </c>
      <c r="AT36" s="94">
        <v>190</v>
      </c>
      <c r="AU36" s="94">
        <v>0</v>
      </c>
      <c r="AV36" s="94">
        <v>0</v>
      </c>
      <c r="AW36" s="94">
        <v>0</v>
      </c>
      <c r="AX36" s="94">
        <v>0</v>
      </c>
      <c r="AY36" s="94">
        <v>0</v>
      </c>
      <c r="AZ36" s="94">
        <v>0</v>
      </c>
      <c r="BA36" s="94">
        <v>0</v>
      </c>
      <c r="BB36" s="94">
        <v>0</v>
      </c>
      <c r="BC36" s="94">
        <v>0</v>
      </c>
      <c r="BD36" s="94">
        <v>0</v>
      </c>
      <c r="BE36" s="94">
        <v>0</v>
      </c>
      <c r="BF36" s="94">
        <v>0</v>
      </c>
      <c r="BG36" s="94">
        <v>0</v>
      </c>
      <c r="BH36" s="94">
        <v>180</v>
      </c>
      <c r="BI36" s="94">
        <v>0</v>
      </c>
      <c r="BJ36" s="94">
        <v>0</v>
      </c>
      <c r="BK36" s="94">
        <v>220</v>
      </c>
      <c r="BL36" s="94">
        <v>0</v>
      </c>
      <c r="BM36" s="94">
        <v>3450</v>
      </c>
    </row>
    <row r="37" spans="1:65" x14ac:dyDescent="0.2">
      <c r="A37" s="94" t="s">
        <v>342</v>
      </c>
      <c r="B37" s="94" t="s">
        <v>12</v>
      </c>
      <c r="C37" s="94" t="s">
        <v>58</v>
      </c>
      <c r="D37" s="94">
        <v>407</v>
      </c>
      <c r="E37" s="94">
        <v>80</v>
      </c>
      <c r="F37" s="94">
        <v>160</v>
      </c>
      <c r="G37" s="94">
        <v>640</v>
      </c>
      <c r="H37" s="94">
        <v>110</v>
      </c>
      <c r="I37" s="94">
        <v>76</v>
      </c>
      <c r="J37" s="94">
        <v>0</v>
      </c>
      <c r="K37" s="94">
        <v>0</v>
      </c>
      <c r="L37" s="94">
        <v>350</v>
      </c>
      <c r="M37" s="94">
        <v>350</v>
      </c>
      <c r="N37" s="94">
        <v>0</v>
      </c>
      <c r="O37" s="94">
        <v>140</v>
      </c>
      <c r="P37" s="94">
        <v>1300</v>
      </c>
      <c r="Q37" s="94">
        <v>1300</v>
      </c>
      <c r="R37" s="94">
        <v>0</v>
      </c>
      <c r="S37" s="94">
        <v>0</v>
      </c>
      <c r="T37" s="94">
        <v>645</v>
      </c>
      <c r="U37" s="94">
        <v>510</v>
      </c>
      <c r="V37" s="94">
        <v>0</v>
      </c>
      <c r="W37" s="94">
        <v>0</v>
      </c>
      <c r="X37" s="94">
        <v>16560</v>
      </c>
      <c r="Y37" s="94">
        <v>14400</v>
      </c>
      <c r="Z37" s="94">
        <v>400</v>
      </c>
      <c r="AA37" s="94">
        <v>120</v>
      </c>
      <c r="AB37" s="94">
        <v>0</v>
      </c>
      <c r="AC37" s="94">
        <v>0</v>
      </c>
      <c r="AD37" s="94">
        <v>0</v>
      </c>
      <c r="AE37" s="94">
        <v>6600</v>
      </c>
      <c r="AF37" s="94">
        <v>0</v>
      </c>
      <c r="AG37" s="94">
        <v>7100</v>
      </c>
      <c r="AH37" s="94">
        <v>0</v>
      </c>
      <c r="AI37" s="94">
        <v>0</v>
      </c>
      <c r="AJ37" s="94">
        <v>200</v>
      </c>
      <c r="AK37" s="94">
        <v>750</v>
      </c>
      <c r="AL37" s="94">
        <v>165</v>
      </c>
      <c r="AM37" s="94">
        <v>112</v>
      </c>
      <c r="AN37" s="94">
        <v>210</v>
      </c>
      <c r="AO37" s="94">
        <v>1700</v>
      </c>
      <c r="AP37" s="94">
        <v>250</v>
      </c>
      <c r="AQ37" s="94">
        <v>200</v>
      </c>
      <c r="AR37" s="94">
        <v>150</v>
      </c>
      <c r="AS37" s="94">
        <v>0</v>
      </c>
      <c r="AT37" s="94">
        <v>330</v>
      </c>
      <c r="AU37" s="94">
        <v>400</v>
      </c>
      <c r="AV37" s="94">
        <v>0</v>
      </c>
      <c r="AW37" s="94">
        <v>0</v>
      </c>
      <c r="AX37" s="94">
        <v>780</v>
      </c>
      <c r="AY37" s="94">
        <v>0</v>
      </c>
      <c r="AZ37" s="94">
        <v>0</v>
      </c>
      <c r="BA37" s="94">
        <v>0</v>
      </c>
      <c r="BB37" s="94">
        <v>0</v>
      </c>
      <c r="BC37" s="94">
        <v>0</v>
      </c>
      <c r="BD37" s="94">
        <v>0</v>
      </c>
      <c r="BE37" s="94">
        <v>0</v>
      </c>
      <c r="BF37" s="94">
        <v>0</v>
      </c>
      <c r="BG37" s="94">
        <v>0</v>
      </c>
      <c r="BH37" s="94">
        <v>135</v>
      </c>
      <c r="BI37" s="94">
        <v>330</v>
      </c>
      <c r="BJ37" s="94">
        <v>0</v>
      </c>
      <c r="BK37" s="94">
        <v>140</v>
      </c>
      <c r="BL37" s="94">
        <v>0</v>
      </c>
      <c r="BM37" s="94">
        <v>3080</v>
      </c>
    </row>
    <row r="38" spans="1:65" x14ac:dyDescent="0.2">
      <c r="A38" s="94" t="s">
        <v>352</v>
      </c>
      <c r="B38" s="94" t="s">
        <v>1</v>
      </c>
      <c r="C38" s="94" t="s">
        <v>59</v>
      </c>
      <c r="D38" s="94">
        <v>36</v>
      </c>
      <c r="E38" s="94">
        <v>40</v>
      </c>
      <c r="F38" s="94">
        <v>0</v>
      </c>
      <c r="G38" s="94">
        <v>80</v>
      </c>
      <c r="H38" s="94">
        <v>55</v>
      </c>
      <c r="I38" s="94">
        <v>0</v>
      </c>
      <c r="J38" s="94">
        <v>0</v>
      </c>
      <c r="K38" s="94">
        <v>90</v>
      </c>
      <c r="L38" s="94">
        <v>70</v>
      </c>
      <c r="M38" s="94">
        <v>70</v>
      </c>
      <c r="N38" s="94">
        <v>0</v>
      </c>
      <c r="O38" s="94">
        <v>130</v>
      </c>
      <c r="P38" s="94">
        <v>650</v>
      </c>
      <c r="Q38" s="94">
        <v>650</v>
      </c>
      <c r="R38" s="94">
        <v>0</v>
      </c>
      <c r="S38" s="94">
        <v>550</v>
      </c>
      <c r="T38" s="94">
        <v>49</v>
      </c>
      <c r="U38" s="94">
        <v>180</v>
      </c>
      <c r="V38" s="94">
        <v>0</v>
      </c>
      <c r="W38" s="94">
        <v>60</v>
      </c>
      <c r="X38" s="94">
        <v>81.415525114155244</v>
      </c>
      <c r="Y38" s="94">
        <v>123.66666666666667</v>
      </c>
      <c r="Z38" s="94">
        <v>66.166666666666671</v>
      </c>
      <c r="AA38" s="94">
        <v>54.666666666666664</v>
      </c>
      <c r="AB38" s="94">
        <v>485</v>
      </c>
      <c r="AC38" s="94">
        <v>197</v>
      </c>
      <c r="AD38" s="94">
        <v>0</v>
      </c>
      <c r="AE38" s="94">
        <v>132</v>
      </c>
      <c r="AF38" s="94">
        <v>320</v>
      </c>
      <c r="AG38" s="94">
        <v>770</v>
      </c>
      <c r="AH38" s="94">
        <v>0</v>
      </c>
      <c r="AI38" s="94">
        <v>0</v>
      </c>
      <c r="AJ38" s="94">
        <v>190</v>
      </c>
      <c r="AK38" s="94">
        <v>650</v>
      </c>
      <c r="AL38" s="94">
        <v>0</v>
      </c>
      <c r="AM38" s="94">
        <v>10</v>
      </c>
      <c r="AN38" s="94">
        <v>13</v>
      </c>
      <c r="AO38" s="94">
        <v>3500</v>
      </c>
      <c r="AP38" s="94">
        <v>290</v>
      </c>
      <c r="AQ38" s="94">
        <v>0</v>
      </c>
      <c r="AR38" s="94">
        <v>0</v>
      </c>
      <c r="AS38" s="94">
        <v>0</v>
      </c>
      <c r="AT38" s="94">
        <v>0</v>
      </c>
      <c r="AU38" s="94">
        <v>0</v>
      </c>
      <c r="AV38" s="94">
        <v>400</v>
      </c>
      <c r="AW38" s="94">
        <v>0</v>
      </c>
      <c r="AX38" s="94">
        <v>0</v>
      </c>
      <c r="AY38" s="94">
        <v>0</v>
      </c>
      <c r="AZ38" s="94">
        <v>0</v>
      </c>
      <c r="BA38" s="94">
        <v>0</v>
      </c>
      <c r="BB38" s="94">
        <v>0</v>
      </c>
      <c r="BC38" s="94">
        <v>0</v>
      </c>
      <c r="BD38" s="94">
        <v>150</v>
      </c>
      <c r="BE38" s="94">
        <v>260</v>
      </c>
      <c r="BF38" s="94">
        <v>19.583333333333332</v>
      </c>
      <c r="BG38" s="94">
        <v>160</v>
      </c>
      <c r="BH38" s="94">
        <v>41</v>
      </c>
      <c r="BI38" s="94">
        <v>0</v>
      </c>
      <c r="BJ38" s="94">
        <v>0</v>
      </c>
      <c r="BK38" s="94">
        <v>0</v>
      </c>
      <c r="BL38" s="94">
        <v>0</v>
      </c>
      <c r="BM38" s="94">
        <v>6.4</v>
      </c>
    </row>
    <row r="39" spans="1:65" x14ac:dyDescent="0.2">
      <c r="A39" s="94" t="s">
        <v>348</v>
      </c>
      <c r="B39" s="94" t="s">
        <v>25</v>
      </c>
      <c r="C39" s="94" t="s">
        <v>59</v>
      </c>
      <c r="D39" s="94">
        <v>36</v>
      </c>
      <c r="E39" s="94">
        <v>40</v>
      </c>
      <c r="F39" s="94">
        <v>40</v>
      </c>
      <c r="G39" s="94">
        <v>75</v>
      </c>
      <c r="H39" s="94">
        <v>55</v>
      </c>
      <c r="I39" s="94">
        <v>0</v>
      </c>
      <c r="J39" s="94">
        <v>25</v>
      </c>
      <c r="K39" s="94">
        <v>90</v>
      </c>
      <c r="L39" s="94">
        <v>70</v>
      </c>
      <c r="M39" s="94">
        <v>70</v>
      </c>
      <c r="N39" s="94">
        <v>250</v>
      </c>
      <c r="O39" s="94">
        <v>70</v>
      </c>
      <c r="P39" s="94">
        <v>650</v>
      </c>
      <c r="Q39" s="94">
        <v>650</v>
      </c>
      <c r="R39" s="94">
        <v>0</v>
      </c>
      <c r="S39" s="94">
        <v>550</v>
      </c>
      <c r="T39" s="94">
        <v>49</v>
      </c>
      <c r="U39" s="94">
        <v>170</v>
      </c>
      <c r="V39" s="94">
        <v>60</v>
      </c>
      <c r="W39" s="94">
        <v>60</v>
      </c>
      <c r="X39" s="94">
        <v>81.038961038961034</v>
      </c>
      <c r="Y39" s="94">
        <v>123.33333333333333</v>
      </c>
      <c r="Z39" s="94">
        <v>42</v>
      </c>
      <c r="AA39" s="94">
        <v>42</v>
      </c>
      <c r="AB39" s="94">
        <v>485</v>
      </c>
      <c r="AC39" s="94">
        <v>197</v>
      </c>
      <c r="AD39" s="94">
        <v>0</v>
      </c>
      <c r="AE39" s="94">
        <v>0</v>
      </c>
      <c r="AF39" s="94">
        <v>300</v>
      </c>
      <c r="AG39" s="94">
        <v>710</v>
      </c>
      <c r="AH39" s="94">
        <v>250</v>
      </c>
      <c r="AI39" s="94">
        <v>330</v>
      </c>
      <c r="AJ39" s="94">
        <v>250</v>
      </c>
      <c r="AK39" s="94">
        <v>630</v>
      </c>
      <c r="AL39" s="94">
        <v>1300</v>
      </c>
      <c r="AM39" s="94">
        <v>14</v>
      </c>
      <c r="AN39" s="94">
        <v>14</v>
      </c>
      <c r="AO39" s="94">
        <v>3600</v>
      </c>
      <c r="AP39" s="94">
        <v>900</v>
      </c>
      <c r="AQ39" s="94">
        <v>360</v>
      </c>
      <c r="AR39" s="94">
        <v>550</v>
      </c>
      <c r="AS39" s="94">
        <v>0</v>
      </c>
      <c r="AT39" s="94">
        <v>330</v>
      </c>
      <c r="AU39" s="94">
        <v>166.66666666666669</v>
      </c>
      <c r="AV39" s="94">
        <v>700</v>
      </c>
      <c r="AW39" s="94">
        <v>0</v>
      </c>
      <c r="AX39" s="94">
        <v>2200</v>
      </c>
      <c r="AY39" s="94">
        <v>0</v>
      </c>
      <c r="AZ39" s="94">
        <v>0</v>
      </c>
      <c r="BA39" s="94">
        <v>0</v>
      </c>
      <c r="BB39" s="94">
        <v>0</v>
      </c>
      <c r="BC39" s="94">
        <v>0</v>
      </c>
      <c r="BD39" s="94">
        <v>150</v>
      </c>
      <c r="BE39" s="94">
        <v>280</v>
      </c>
      <c r="BF39" s="94">
        <v>20.833333333333332</v>
      </c>
      <c r="BG39" s="94">
        <v>150</v>
      </c>
      <c r="BH39" s="94">
        <v>42</v>
      </c>
      <c r="BI39" s="94">
        <v>140</v>
      </c>
      <c r="BJ39" s="94">
        <v>0</v>
      </c>
      <c r="BK39" s="94">
        <v>0</v>
      </c>
      <c r="BL39" s="94">
        <v>200</v>
      </c>
      <c r="BM39" s="94">
        <v>0</v>
      </c>
    </row>
    <row r="40" spans="1:65" x14ac:dyDescent="0.2">
      <c r="A40" s="94" t="s">
        <v>364</v>
      </c>
      <c r="B40" s="94" t="s">
        <v>3</v>
      </c>
      <c r="C40" s="94" t="s">
        <v>59</v>
      </c>
      <c r="D40" s="94">
        <v>36</v>
      </c>
      <c r="E40" s="94">
        <v>40</v>
      </c>
      <c r="F40" s="94">
        <v>40</v>
      </c>
      <c r="G40" s="94">
        <v>0</v>
      </c>
      <c r="H40" s="94">
        <v>55</v>
      </c>
      <c r="I40" s="94">
        <v>0</v>
      </c>
      <c r="J40" s="94">
        <v>25</v>
      </c>
      <c r="K40" s="94">
        <v>90</v>
      </c>
      <c r="L40" s="94">
        <v>70</v>
      </c>
      <c r="M40" s="94">
        <v>70</v>
      </c>
      <c r="N40" s="94">
        <v>0</v>
      </c>
      <c r="O40" s="94">
        <v>0</v>
      </c>
      <c r="P40" s="94">
        <v>630</v>
      </c>
      <c r="Q40" s="94">
        <v>0</v>
      </c>
      <c r="R40" s="94">
        <v>630</v>
      </c>
      <c r="S40" s="94">
        <v>0</v>
      </c>
      <c r="T40" s="94">
        <v>48</v>
      </c>
      <c r="U40" s="94">
        <v>170</v>
      </c>
      <c r="V40" s="94">
        <v>60</v>
      </c>
      <c r="W40" s="94">
        <v>0</v>
      </c>
      <c r="X40" s="94">
        <v>90</v>
      </c>
      <c r="Y40" s="94">
        <v>120</v>
      </c>
      <c r="Z40" s="94">
        <v>0</v>
      </c>
      <c r="AA40" s="94">
        <v>41</v>
      </c>
      <c r="AB40" s="94">
        <v>485</v>
      </c>
      <c r="AC40" s="94">
        <v>197</v>
      </c>
      <c r="AD40" s="94">
        <v>0</v>
      </c>
      <c r="AE40" s="94">
        <v>132</v>
      </c>
      <c r="AF40" s="94">
        <v>300</v>
      </c>
      <c r="AG40" s="94">
        <v>750</v>
      </c>
      <c r="AH40" s="94">
        <v>0</v>
      </c>
      <c r="AI40" s="94">
        <v>280</v>
      </c>
      <c r="AJ40" s="94">
        <v>280</v>
      </c>
      <c r="AK40" s="94">
        <v>630</v>
      </c>
      <c r="AL40" s="94">
        <v>1300</v>
      </c>
      <c r="AM40" s="94">
        <v>0</v>
      </c>
      <c r="AN40" s="94">
        <v>14</v>
      </c>
      <c r="AO40" s="94">
        <v>3540</v>
      </c>
      <c r="AP40" s="94">
        <v>1000</v>
      </c>
      <c r="AQ40" s="94">
        <v>0</v>
      </c>
      <c r="AR40" s="94">
        <v>0</v>
      </c>
      <c r="AS40" s="94">
        <v>0</v>
      </c>
      <c r="AT40" s="94">
        <v>283.33333333333337</v>
      </c>
      <c r="AU40" s="94">
        <v>0</v>
      </c>
      <c r="AV40" s="94">
        <v>0</v>
      </c>
      <c r="AW40" s="94">
        <v>0</v>
      </c>
      <c r="AX40" s="94">
        <v>0</v>
      </c>
      <c r="AY40" s="94">
        <v>0</v>
      </c>
      <c r="AZ40" s="94">
        <v>0</v>
      </c>
      <c r="BA40" s="94">
        <v>0</v>
      </c>
      <c r="BB40" s="94">
        <v>0</v>
      </c>
      <c r="BC40" s="94">
        <v>0</v>
      </c>
      <c r="BD40" s="94">
        <v>0</v>
      </c>
      <c r="BE40" s="94">
        <v>260</v>
      </c>
      <c r="BF40" s="94">
        <v>0</v>
      </c>
      <c r="BG40" s="94">
        <v>0</v>
      </c>
      <c r="BH40" s="94">
        <v>43</v>
      </c>
      <c r="BI40" s="94">
        <v>140</v>
      </c>
      <c r="BJ40" s="94">
        <v>0</v>
      </c>
      <c r="BK40" s="94">
        <v>160</v>
      </c>
      <c r="BL40" s="94">
        <v>180</v>
      </c>
      <c r="BM40" s="94">
        <v>5.75</v>
      </c>
    </row>
    <row r="41" spans="1:65" x14ac:dyDescent="0.2">
      <c r="A41" s="94" t="s">
        <v>336</v>
      </c>
      <c r="B41" s="94" t="s">
        <v>4</v>
      </c>
      <c r="C41" s="94" t="s">
        <v>59</v>
      </c>
      <c r="D41" s="94">
        <v>36</v>
      </c>
      <c r="E41" s="94">
        <v>40</v>
      </c>
      <c r="F41" s="94">
        <v>40</v>
      </c>
      <c r="G41" s="94">
        <v>80</v>
      </c>
      <c r="H41" s="94">
        <v>55</v>
      </c>
      <c r="I41" s="94">
        <v>38</v>
      </c>
      <c r="J41" s="94">
        <v>25</v>
      </c>
      <c r="K41" s="94">
        <v>90</v>
      </c>
      <c r="L41" s="94">
        <v>70</v>
      </c>
      <c r="M41" s="94">
        <v>70</v>
      </c>
      <c r="N41" s="94">
        <v>250</v>
      </c>
      <c r="O41" s="94">
        <v>130</v>
      </c>
      <c r="P41" s="94">
        <v>630</v>
      </c>
      <c r="Q41" s="94">
        <v>630</v>
      </c>
      <c r="R41" s="94">
        <v>0</v>
      </c>
      <c r="S41" s="94">
        <v>550</v>
      </c>
      <c r="T41" s="94">
        <v>47</v>
      </c>
      <c r="U41" s="94">
        <v>170</v>
      </c>
      <c r="V41" s="94">
        <v>60</v>
      </c>
      <c r="W41" s="94">
        <v>60</v>
      </c>
      <c r="X41" s="94">
        <v>90</v>
      </c>
      <c r="Y41" s="94">
        <v>113.33333333333333</v>
      </c>
      <c r="Z41" s="94">
        <v>42</v>
      </c>
      <c r="AA41" s="94">
        <v>42</v>
      </c>
      <c r="AB41" s="94">
        <v>485</v>
      </c>
      <c r="AC41" s="94">
        <v>197</v>
      </c>
      <c r="AD41" s="94">
        <v>0</v>
      </c>
      <c r="AE41" s="94">
        <v>132</v>
      </c>
      <c r="AF41" s="94">
        <v>0</v>
      </c>
      <c r="AG41" s="94">
        <v>740</v>
      </c>
      <c r="AH41" s="94">
        <v>250</v>
      </c>
      <c r="AI41" s="94">
        <v>375</v>
      </c>
      <c r="AJ41" s="94">
        <v>240</v>
      </c>
      <c r="AK41" s="94">
        <v>630</v>
      </c>
      <c r="AL41" s="94">
        <v>1500</v>
      </c>
      <c r="AM41" s="94">
        <v>15</v>
      </c>
      <c r="AN41" s="94">
        <v>14</v>
      </c>
      <c r="AO41" s="94">
        <v>2400</v>
      </c>
      <c r="AP41" s="94">
        <v>1000</v>
      </c>
      <c r="AQ41" s="94">
        <v>300</v>
      </c>
      <c r="AR41" s="94">
        <v>850</v>
      </c>
      <c r="AS41" s="94">
        <v>0</v>
      </c>
      <c r="AT41" s="94">
        <v>358.33333333333337</v>
      </c>
      <c r="AU41" s="94">
        <v>0</v>
      </c>
      <c r="AV41" s="94">
        <v>350</v>
      </c>
      <c r="AW41" s="94">
        <v>0</v>
      </c>
      <c r="AX41" s="94">
        <v>2550</v>
      </c>
      <c r="AY41" s="94">
        <v>0</v>
      </c>
      <c r="AZ41" s="94">
        <v>0</v>
      </c>
      <c r="BA41" s="94">
        <v>0</v>
      </c>
      <c r="BB41" s="94">
        <v>0</v>
      </c>
      <c r="BC41" s="94">
        <v>0</v>
      </c>
      <c r="BD41" s="94">
        <v>140</v>
      </c>
      <c r="BE41" s="94">
        <v>320</v>
      </c>
      <c r="BF41" s="94">
        <v>0</v>
      </c>
      <c r="BG41" s="94">
        <v>0</v>
      </c>
      <c r="BH41" s="94">
        <v>44</v>
      </c>
      <c r="BI41" s="94">
        <v>150</v>
      </c>
      <c r="BJ41" s="94">
        <v>0</v>
      </c>
      <c r="BK41" s="94">
        <v>150</v>
      </c>
      <c r="BL41" s="94">
        <v>0</v>
      </c>
      <c r="BM41" s="94">
        <v>5.75</v>
      </c>
    </row>
    <row r="42" spans="1:65" x14ac:dyDescent="0.2">
      <c r="A42" s="94" t="s">
        <v>368</v>
      </c>
      <c r="B42" s="94" t="s">
        <v>5</v>
      </c>
      <c r="C42" s="94" t="s">
        <v>59</v>
      </c>
      <c r="D42" s="94">
        <v>36</v>
      </c>
      <c r="E42" s="94">
        <v>40</v>
      </c>
      <c r="F42" s="94">
        <v>40</v>
      </c>
      <c r="G42" s="94">
        <v>80</v>
      </c>
      <c r="H42" s="94">
        <v>55</v>
      </c>
      <c r="I42" s="94">
        <v>38</v>
      </c>
      <c r="J42" s="94">
        <v>25</v>
      </c>
      <c r="K42" s="94">
        <v>90</v>
      </c>
      <c r="L42" s="94">
        <v>70</v>
      </c>
      <c r="M42" s="94">
        <v>70</v>
      </c>
      <c r="N42" s="94">
        <v>250</v>
      </c>
      <c r="O42" s="94">
        <v>130</v>
      </c>
      <c r="P42" s="94">
        <v>630</v>
      </c>
      <c r="Q42" s="94">
        <v>630</v>
      </c>
      <c r="R42" s="94">
        <v>650</v>
      </c>
      <c r="S42" s="94">
        <v>550</v>
      </c>
      <c r="T42" s="94">
        <v>47</v>
      </c>
      <c r="U42" s="94">
        <v>170</v>
      </c>
      <c r="V42" s="94">
        <v>60</v>
      </c>
      <c r="W42" s="94">
        <v>60</v>
      </c>
      <c r="X42" s="94">
        <v>88.071216617210681</v>
      </c>
      <c r="Y42" s="94">
        <v>112.64705882352941</v>
      </c>
      <c r="Z42" s="94">
        <v>42</v>
      </c>
      <c r="AA42" s="94">
        <v>39</v>
      </c>
      <c r="AB42" s="94">
        <v>485</v>
      </c>
      <c r="AC42" s="94">
        <v>197</v>
      </c>
      <c r="AD42" s="94">
        <v>0</v>
      </c>
      <c r="AE42" s="94">
        <v>132</v>
      </c>
      <c r="AF42" s="94">
        <v>0</v>
      </c>
      <c r="AG42" s="94">
        <v>750</v>
      </c>
      <c r="AH42" s="94">
        <v>240</v>
      </c>
      <c r="AI42" s="94">
        <v>350</v>
      </c>
      <c r="AJ42" s="94">
        <v>210</v>
      </c>
      <c r="AK42" s="94">
        <v>660</v>
      </c>
      <c r="AL42" s="94">
        <v>1450</v>
      </c>
      <c r="AM42" s="94">
        <v>14.166666666666666</v>
      </c>
      <c r="AN42" s="94">
        <v>14</v>
      </c>
      <c r="AO42" s="94">
        <v>3300</v>
      </c>
      <c r="AP42" s="94">
        <v>0</v>
      </c>
      <c r="AQ42" s="94">
        <v>350</v>
      </c>
      <c r="AR42" s="94">
        <v>850</v>
      </c>
      <c r="AS42" s="94">
        <v>0</v>
      </c>
      <c r="AT42" s="94">
        <v>342.85714285714289</v>
      </c>
      <c r="AU42" s="94">
        <v>175</v>
      </c>
      <c r="AV42" s="94">
        <v>720</v>
      </c>
      <c r="AW42" s="94">
        <v>0</v>
      </c>
      <c r="AX42" s="94">
        <v>2250</v>
      </c>
      <c r="AY42" s="94">
        <v>0</v>
      </c>
      <c r="AZ42" s="94">
        <v>880</v>
      </c>
      <c r="BA42" s="94">
        <v>2200</v>
      </c>
      <c r="BB42" s="94">
        <v>600</v>
      </c>
      <c r="BC42" s="94">
        <v>0</v>
      </c>
      <c r="BD42" s="94">
        <v>150</v>
      </c>
      <c r="BE42" s="94">
        <v>326.66666666666669</v>
      </c>
      <c r="BF42" s="94">
        <v>20</v>
      </c>
      <c r="BG42" s="94">
        <v>120</v>
      </c>
      <c r="BH42" s="94">
        <v>44</v>
      </c>
      <c r="BI42" s="94">
        <v>140</v>
      </c>
      <c r="BJ42" s="94">
        <v>0</v>
      </c>
      <c r="BK42" s="94">
        <v>150</v>
      </c>
      <c r="BL42" s="94">
        <v>0</v>
      </c>
      <c r="BM42" s="94">
        <v>0</v>
      </c>
    </row>
    <row r="43" spans="1:65" x14ac:dyDescent="0.2">
      <c r="A43" s="94" t="s">
        <v>360</v>
      </c>
      <c r="B43" s="94" t="s">
        <v>6</v>
      </c>
      <c r="C43" s="94" t="s">
        <v>59</v>
      </c>
      <c r="D43" s="94">
        <v>36</v>
      </c>
      <c r="E43" s="94">
        <v>40</v>
      </c>
      <c r="F43" s="94">
        <v>40</v>
      </c>
      <c r="G43" s="94">
        <v>80</v>
      </c>
      <c r="H43" s="94">
        <v>55</v>
      </c>
      <c r="I43" s="94">
        <v>40</v>
      </c>
      <c r="J43" s="94">
        <v>15</v>
      </c>
      <c r="K43" s="94">
        <v>90</v>
      </c>
      <c r="L43" s="94">
        <v>70</v>
      </c>
      <c r="M43" s="94">
        <v>70</v>
      </c>
      <c r="N43" s="94">
        <v>250</v>
      </c>
      <c r="O43" s="94">
        <v>70</v>
      </c>
      <c r="P43" s="94">
        <v>650</v>
      </c>
      <c r="Q43" s="94">
        <v>650</v>
      </c>
      <c r="R43" s="94">
        <v>0</v>
      </c>
      <c r="S43" s="94">
        <v>0</v>
      </c>
      <c r="T43" s="94">
        <v>47</v>
      </c>
      <c r="U43" s="94">
        <v>180</v>
      </c>
      <c r="V43" s="94">
        <v>60</v>
      </c>
      <c r="W43" s="94">
        <v>60</v>
      </c>
      <c r="X43" s="94">
        <v>90</v>
      </c>
      <c r="Y43" s="94">
        <v>110</v>
      </c>
      <c r="Z43" s="94">
        <v>40</v>
      </c>
      <c r="AA43" s="94">
        <v>38</v>
      </c>
      <c r="AB43" s="94">
        <v>0</v>
      </c>
      <c r="AC43" s="94">
        <v>0</v>
      </c>
      <c r="AD43" s="94">
        <v>0</v>
      </c>
      <c r="AE43" s="94">
        <v>130.34482758620689</v>
      </c>
      <c r="AF43" s="94">
        <v>300</v>
      </c>
      <c r="AG43" s="94">
        <v>745.83333333333337</v>
      </c>
      <c r="AH43" s="94">
        <v>220</v>
      </c>
      <c r="AI43" s="94">
        <v>320</v>
      </c>
      <c r="AJ43" s="94">
        <v>200</v>
      </c>
      <c r="AK43" s="94">
        <v>770</v>
      </c>
      <c r="AL43" s="94">
        <v>1600</v>
      </c>
      <c r="AM43" s="94">
        <v>15</v>
      </c>
      <c r="AN43" s="94">
        <v>14</v>
      </c>
      <c r="AO43" s="94">
        <v>3300</v>
      </c>
      <c r="AP43" s="94">
        <v>0</v>
      </c>
      <c r="AQ43" s="94">
        <v>350</v>
      </c>
      <c r="AR43" s="94">
        <v>0</v>
      </c>
      <c r="AS43" s="94">
        <v>0</v>
      </c>
      <c r="AT43" s="94">
        <v>350</v>
      </c>
      <c r="AU43" s="94">
        <v>0</v>
      </c>
      <c r="AV43" s="94">
        <v>0</v>
      </c>
      <c r="AW43" s="94">
        <v>0</v>
      </c>
      <c r="AX43" s="94">
        <v>2333.3333333333335</v>
      </c>
      <c r="AY43" s="94">
        <v>0</v>
      </c>
      <c r="AZ43" s="94">
        <v>0</v>
      </c>
      <c r="BA43" s="94">
        <v>0</v>
      </c>
      <c r="BB43" s="94">
        <v>0</v>
      </c>
      <c r="BC43" s="94">
        <v>0</v>
      </c>
      <c r="BD43" s="94">
        <v>0</v>
      </c>
      <c r="BE43" s="94">
        <v>0</v>
      </c>
      <c r="BF43" s="94">
        <v>0</v>
      </c>
      <c r="BG43" s="94">
        <v>0</v>
      </c>
      <c r="BH43" s="94">
        <v>44</v>
      </c>
      <c r="BI43" s="94">
        <v>200</v>
      </c>
      <c r="BJ43" s="94">
        <v>0</v>
      </c>
      <c r="BK43" s="94">
        <v>160</v>
      </c>
      <c r="BL43" s="94">
        <v>150</v>
      </c>
      <c r="BM43" s="94">
        <v>0</v>
      </c>
    </row>
    <row r="44" spans="1:65" x14ac:dyDescent="0.2">
      <c r="A44" s="94" t="s">
        <v>356</v>
      </c>
      <c r="B44" s="94" t="s">
        <v>7</v>
      </c>
      <c r="C44" s="94" t="s">
        <v>59</v>
      </c>
      <c r="D44" s="94">
        <v>37</v>
      </c>
      <c r="E44" s="94">
        <v>40</v>
      </c>
      <c r="F44" s="94">
        <v>40</v>
      </c>
      <c r="G44" s="94">
        <v>80</v>
      </c>
      <c r="H44" s="94">
        <v>55</v>
      </c>
      <c r="I44" s="94">
        <v>38</v>
      </c>
      <c r="J44" s="94">
        <v>25</v>
      </c>
      <c r="K44" s="94">
        <v>90</v>
      </c>
      <c r="L44" s="94">
        <v>70</v>
      </c>
      <c r="M44" s="94">
        <v>70</v>
      </c>
      <c r="N44" s="94">
        <v>250</v>
      </c>
      <c r="O44" s="94">
        <v>130</v>
      </c>
      <c r="P44" s="94">
        <v>650</v>
      </c>
      <c r="Q44" s="94">
        <v>650</v>
      </c>
      <c r="R44" s="94">
        <v>650</v>
      </c>
      <c r="S44" s="94">
        <v>0</v>
      </c>
      <c r="T44" s="94">
        <v>47</v>
      </c>
      <c r="U44" s="94">
        <v>170</v>
      </c>
      <c r="V44" s="94">
        <v>60</v>
      </c>
      <c r="W44" s="94">
        <v>60</v>
      </c>
      <c r="X44" s="94">
        <v>90</v>
      </c>
      <c r="Y44" s="94">
        <v>117.17391304347827</v>
      </c>
      <c r="Z44" s="94">
        <v>40</v>
      </c>
      <c r="AA44" s="94">
        <v>38</v>
      </c>
      <c r="AB44" s="94">
        <v>485</v>
      </c>
      <c r="AC44" s="94">
        <v>197</v>
      </c>
      <c r="AD44" s="94">
        <v>0</v>
      </c>
      <c r="AE44" s="94">
        <v>132</v>
      </c>
      <c r="AF44" s="94">
        <v>310</v>
      </c>
      <c r="AG44" s="94">
        <v>720</v>
      </c>
      <c r="AH44" s="94">
        <v>240</v>
      </c>
      <c r="AI44" s="94">
        <v>360</v>
      </c>
      <c r="AJ44" s="94">
        <v>205</v>
      </c>
      <c r="AK44" s="94">
        <v>711</v>
      </c>
      <c r="AL44" s="94">
        <v>1833.333333333333</v>
      </c>
      <c r="AM44" s="94">
        <v>15</v>
      </c>
      <c r="AN44" s="94">
        <v>13.636363636363637</v>
      </c>
      <c r="AO44" s="94">
        <v>3400</v>
      </c>
      <c r="AP44" s="94">
        <v>950</v>
      </c>
      <c r="AQ44" s="94">
        <v>400</v>
      </c>
      <c r="AR44" s="94">
        <v>850</v>
      </c>
      <c r="AS44" s="94">
        <v>0</v>
      </c>
      <c r="AT44" s="94">
        <v>380</v>
      </c>
      <c r="AU44" s="94">
        <v>250</v>
      </c>
      <c r="AV44" s="94">
        <v>0</v>
      </c>
      <c r="AW44" s="94">
        <v>0</v>
      </c>
      <c r="AX44" s="94">
        <v>2300</v>
      </c>
      <c r="AY44" s="94">
        <v>0</v>
      </c>
      <c r="AZ44" s="94">
        <v>0</v>
      </c>
      <c r="BA44" s="94">
        <v>0</v>
      </c>
      <c r="BB44" s="94">
        <v>0</v>
      </c>
      <c r="BC44" s="94">
        <v>0</v>
      </c>
      <c r="BD44" s="94">
        <v>0</v>
      </c>
      <c r="BE44" s="94">
        <v>0</v>
      </c>
      <c r="BF44" s="94">
        <v>0</v>
      </c>
      <c r="BG44" s="94">
        <v>0</v>
      </c>
      <c r="BH44" s="94">
        <v>44</v>
      </c>
      <c r="BI44" s="94">
        <v>150</v>
      </c>
      <c r="BJ44" s="94">
        <v>0</v>
      </c>
      <c r="BK44" s="94">
        <v>160</v>
      </c>
      <c r="BL44" s="94">
        <v>0</v>
      </c>
      <c r="BM44" s="94">
        <v>0</v>
      </c>
    </row>
    <row r="45" spans="1:65" x14ac:dyDescent="0.2">
      <c r="A45" s="94" t="s">
        <v>340</v>
      </c>
      <c r="B45" s="94" t="s">
        <v>331</v>
      </c>
      <c r="C45" s="94" t="s">
        <v>59</v>
      </c>
      <c r="D45" s="94">
        <v>37</v>
      </c>
      <c r="E45" s="94">
        <v>40</v>
      </c>
      <c r="F45" s="94">
        <v>40</v>
      </c>
      <c r="G45" s="94">
        <v>80</v>
      </c>
      <c r="H45" s="94">
        <v>55</v>
      </c>
      <c r="I45" s="94">
        <v>38</v>
      </c>
      <c r="J45" s="94">
        <v>0</v>
      </c>
      <c r="K45" s="94">
        <v>90</v>
      </c>
      <c r="L45" s="94">
        <v>70</v>
      </c>
      <c r="M45" s="94">
        <v>70</v>
      </c>
      <c r="N45" s="94">
        <v>260</v>
      </c>
      <c r="O45" s="94">
        <v>130</v>
      </c>
      <c r="P45" s="94">
        <v>600</v>
      </c>
      <c r="Q45" s="94">
        <v>630</v>
      </c>
      <c r="R45" s="94">
        <v>650</v>
      </c>
      <c r="S45" s="94">
        <v>568.18181818181813</v>
      </c>
      <c r="T45" s="94">
        <v>47</v>
      </c>
      <c r="U45" s="94">
        <v>169.09090909090909</v>
      </c>
      <c r="V45" s="94">
        <v>60</v>
      </c>
      <c r="W45" s="94">
        <v>60</v>
      </c>
      <c r="X45" s="94">
        <v>85.574324324324323</v>
      </c>
      <c r="Y45" s="94">
        <v>88.75</v>
      </c>
      <c r="Z45" s="94">
        <v>0</v>
      </c>
      <c r="AA45" s="94">
        <v>0</v>
      </c>
      <c r="AB45" s="94">
        <v>0</v>
      </c>
      <c r="AC45" s="94">
        <v>0</v>
      </c>
      <c r="AD45" s="94">
        <v>0</v>
      </c>
      <c r="AE45" s="94">
        <v>132</v>
      </c>
      <c r="AF45" s="94">
        <v>330</v>
      </c>
      <c r="AG45" s="94">
        <v>711.88118811881191</v>
      </c>
      <c r="AH45" s="94">
        <v>225</v>
      </c>
      <c r="AI45" s="94">
        <v>281.25</v>
      </c>
      <c r="AJ45" s="94">
        <v>225</v>
      </c>
      <c r="AK45" s="94">
        <v>760</v>
      </c>
      <c r="AL45" s="94">
        <v>2200</v>
      </c>
      <c r="AM45" s="94">
        <v>0</v>
      </c>
      <c r="AN45" s="94">
        <v>11</v>
      </c>
      <c r="AO45" s="94">
        <v>2166.6666666666665</v>
      </c>
      <c r="AP45" s="94">
        <v>900</v>
      </c>
      <c r="AQ45" s="94">
        <v>320</v>
      </c>
      <c r="AR45" s="94">
        <v>620</v>
      </c>
      <c r="AS45" s="94">
        <v>0</v>
      </c>
      <c r="AT45" s="94">
        <v>320</v>
      </c>
      <c r="AU45" s="94">
        <v>180</v>
      </c>
      <c r="AV45" s="94">
        <v>700</v>
      </c>
      <c r="AW45" s="94">
        <v>0</v>
      </c>
      <c r="AX45" s="94">
        <v>2300</v>
      </c>
      <c r="AY45" s="94">
        <v>0</v>
      </c>
      <c r="AZ45" s="94">
        <v>820</v>
      </c>
      <c r="BA45" s="94">
        <v>0</v>
      </c>
      <c r="BB45" s="94">
        <v>0</v>
      </c>
      <c r="BC45" s="94">
        <v>0</v>
      </c>
      <c r="BD45" s="94">
        <v>140</v>
      </c>
      <c r="BE45" s="94">
        <v>480</v>
      </c>
      <c r="BF45" s="94">
        <v>17.5</v>
      </c>
      <c r="BG45" s="94">
        <v>120</v>
      </c>
      <c r="BH45" s="94">
        <v>44</v>
      </c>
      <c r="BI45" s="94">
        <v>150</v>
      </c>
      <c r="BJ45" s="94">
        <v>0</v>
      </c>
      <c r="BK45" s="94">
        <v>170</v>
      </c>
      <c r="BL45" s="94">
        <v>220</v>
      </c>
      <c r="BM45" s="94">
        <v>7</v>
      </c>
    </row>
    <row r="46" spans="1:65" x14ac:dyDescent="0.2">
      <c r="A46" s="94" t="s">
        <v>380</v>
      </c>
      <c r="B46" s="94" t="s">
        <v>9</v>
      </c>
      <c r="C46" s="94" t="s">
        <v>59</v>
      </c>
      <c r="D46" s="94">
        <v>37</v>
      </c>
      <c r="E46" s="94">
        <v>40</v>
      </c>
      <c r="F46" s="94">
        <v>40</v>
      </c>
      <c r="G46" s="94">
        <v>90</v>
      </c>
      <c r="H46" s="94">
        <v>55</v>
      </c>
      <c r="I46" s="94">
        <v>38</v>
      </c>
      <c r="J46" s="94">
        <v>0</v>
      </c>
      <c r="K46" s="94">
        <v>37.5</v>
      </c>
      <c r="L46" s="94">
        <v>70</v>
      </c>
      <c r="M46" s="94">
        <v>70</v>
      </c>
      <c r="N46" s="94">
        <v>250</v>
      </c>
      <c r="O46" s="94">
        <v>130</v>
      </c>
      <c r="P46" s="94">
        <v>0</v>
      </c>
      <c r="Q46" s="94">
        <v>0</v>
      </c>
      <c r="R46" s="94">
        <v>0</v>
      </c>
      <c r="S46" s="94">
        <v>550</v>
      </c>
      <c r="T46" s="94">
        <v>46</v>
      </c>
      <c r="U46" s="94">
        <v>170</v>
      </c>
      <c r="V46" s="94">
        <v>60</v>
      </c>
      <c r="W46" s="94">
        <v>60</v>
      </c>
      <c r="X46" s="94">
        <v>93</v>
      </c>
      <c r="Y46" s="94">
        <v>115.08928571428571</v>
      </c>
      <c r="Z46" s="94">
        <v>0</v>
      </c>
      <c r="AA46" s="94">
        <v>0</v>
      </c>
      <c r="AB46" s="94">
        <v>486</v>
      </c>
      <c r="AC46" s="94">
        <v>198</v>
      </c>
      <c r="AD46" s="94">
        <v>0</v>
      </c>
      <c r="AE46" s="94">
        <v>132</v>
      </c>
      <c r="AF46" s="94">
        <v>320</v>
      </c>
      <c r="AG46" s="94">
        <v>710</v>
      </c>
      <c r="AH46" s="94">
        <v>230</v>
      </c>
      <c r="AI46" s="94">
        <v>380</v>
      </c>
      <c r="AJ46" s="94">
        <v>200</v>
      </c>
      <c r="AK46" s="94">
        <v>750</v>
      </c>
      <c r="AL46" s="94">
        <v>2000</v>
      </c>
      <c r="AM46" s="94">
        <v>14</v>
      </c>
      <c r="AN46" s="94">
        <v>13</v>
      </c>
      <c r="AO46" s="94">
        <v>0</v>
      </c>
      <c r="AP46" s="94">
        <v>0</v>
      </c>
      <c r="AQ46" s="94">
        <v>310</v>
      </c>
      <c r="AR46" s="94">
        <v>700</v>
      </c>
      <c r="AS46" s="94">
        <v>0</v>
      </c>
      <c r="AT46" s="94">
        <v>350</v>
      </c>
      <c r="AU46" s="94">
        <v>0</v>
      </c>
      <c r="AV46" s="94">
        <v>0</v>
      </c>
      <c r="AW46" s="94">
        <v>0</v>
      </c>
      <c r="AX46" s="94">
        <v>2250</v>
      </c>
      <c r="AY46" s="94">
        <v>0</v>
      </c>
      <c r="AZ46" s="94">
        <v>0</v>
      </c>
      <c r="BA46" s="94">
        <v>0</v>
      </c>
      <c r="BB46" s="94">
        <v>0</v>
      </c>
      <c r="BC46" s="94">
        <v>0</v>
      </c>
      <c r="BD46" s="94">
        <v>0</v>
      </c>
      <c r="BE46" s="94">
        <v>0</v>
      </c>
      <c r="BF46" s="94">
        <v>0</v>
      </c>
      <c r="BG46" s="94">
        <v>0</v>
      </c>
      <c r="BH46" s="94">
        <v>0</v>
      </c>
      <c r="BI46" s="94">
        <v>150</v>
      </c>
      <c r="BJ46" s="94">
        <v>0</v>
      </c>
      <c r="BK46" s="94">
        <v>160</v>
      </c>
      <c r="BL46" s="94">
        <v>0</v>
      </c>
      <c r="BM46" s="94">
        <v>0</v>
      </c>
    </row>
    <row r="47" spans="1:65" x14ac:dyDescent="0.2">
      <c r="A47" s="94" t="s">
        <v>376</v>
      </c>
      <c r="B47" s="94" t="s">
        <v>10</v>
      </c>
      <c r="C47" s="94" t="s">
        <v>59</v>
      </c>
      <c r="D47" s="94">
        <v>37</v>
      </c>
      <c r="E47" s="94">
        <v>40</v>
      </c>
      <c r="F47" s="94">
        <v>40</v>
      </c>
      <c r="G47" s="94">
        <v>80</v>
      </c>
      <c r="H47" s="94">
        <v>55</v>
      </c>
      <c r="I47" s="94">
        <v>38</v>
      </c>
      <c r="J47" s="94">
        <v>0</v>
      </c>
      <c r="K47" s="94">
        <v>90</v>
      </c>
      <c r="L47" s="94">
        <v>70</v>
      </c>
      <c r="M47" s="94">
        <v>70</v>
      </c>
      <c r="N47" s="94">
        <v>0</v>
      </c>
      <c r="O47" s="94">
        <v>130</v>
      </c>
      <c r="P47" s="94">
        <v>650</v>
      </c>
      <c r="Q47" s="94">
        <v>650</v>
      </c>
      <c r="R47" s="94">
        <v>0</v>
      </c>
      <c r="S47" s="94">
        <v>550</v>
      </c>
      <c r="T47" s="94">
        <v>46</v>
      </c>
      <c r="U47" s="94">
        <v>170</v>
      </c>
      <c r="V47" s="94">
        <v>60</v>
      </c>
      <c r="W47" s="94">
        <v>60</v>
      </c>
      <c r="X47" s="94">
        <v>97.8</v>
      </c>
      <c r="Y47" s="94">
        <v>116</v>
      </c>
      <c r="Z47" s="94">
        <v>40</v>
      </c>
      <c r="AA47" s="94">
        <v>40</v>
      </c>
      <c r="AB47" s="94">
        <v>485</v>
      </c>
      <c r="AC47" s="94">
        <v>197</v>
      </c>
      <c r="AD47" s="94">
        <v>0</v>
      </c>
      <c r="AE47" s="94">
        <v>132</v>
      </c>
      <c r="AF47" s="94">
        <v>340</v>
      </c>
      <c r="AG47" s="94">
        <v>710</v>
      </c>
      <c r="AH47" s="94">
        <v>0</v>
      </c>
      <c r="AI47" s="94">
        <v>0</v>
      </c>
      <c r="AJ47" s="94">
        <v>220</v>
      </c>
      <c r="AK47" s="94">
        <v>790</v>
      </c>
      <c r="AL47" s="94">
        <v>1600</v>
      </c>
      <c r="AM47" s="94">
        <v>0</v>
      </c>
      <c r="AN47" s="94">
        <v>14</v>
      </c>
      <c r="AO47" s="94">
        <v>0</v>
      </c>
      <c r="AP47" s="94">
        <v>0</v>
      </c>
      <c r="AQ47" s="94">
        <v>0</v>
      </c>
      <c r="AR47" s="94">
        <v>700</v>
      </c>
      <c r="AS47" s="94">
        <v>0</v>
      </c>
      <c r="AT47" s="94">
        <v>390</v>
      </c>
      <c r="AU47" s="94">
        <v>0</v>
      </c>
      <c r="AV47" s="94">
        <v>0</v>
      </c>
      <c r="AW47" s="94">
        <v>0</v>
      </c>
      <c r="AX47" s="94">
        <v>0</v>
      </c>
      <c r="AY47" s="94">
        <v>0</v>
      </c>
      <c r="AZ47" s="94">
        <v>0</v>
      </c>
      <c r="BA47" s="94">
        <v>0</v>
      </c>
      <c r="BB47" s="94">
        <v>0</v>
      </c>
      <c r="BC47" s="94">
        <v>0</v>
      </c>
      <c r="BD47" s="94">
        <v>0</v>
      </c>
      <c r="BE47" s="94">
        <v>0</v>
      </c>
      <c r="BF47" s="94">
        <v>0</v>
      </c>
      <c r="BG47" s="94">
        <v>0</v>
      </c>
      <c r="BH47" s="94">
        <v>0</v>
      </c>
      <c r="BI47" s="94">
        <v>0</v>
      </c>
      <c r="BJ47" s="94">
        <v>0</v>
      </c>
      <c r="BK47" s="94">
        <v>160</v>
      </c>
      <c r="BL47" s="94">
        <v>0</v>
      </c>
      <c r="BM47" s="94">
        <v>5.0949999999999998</v>
      </c>
    </row>
    <row r="48" spans="1:65" x14ac:dyDescent="0.2">
      <c r="A48" s="94" t="s">
        <v>372</v>
      </c>
      <c r="B48" s="94" t="s">
        <v>11</v>
      </c>
      <c r="C48" s="94" t="s">
        <v>59</v>
      </c>
      <c r="D48" s="94">
        <v>37</v>
      </c>
      <c r="E48" s="94">
        <v>40</v>
      </c>
      <c r="F48" s="94">
        <v>0</v>
      </c>
      <c r="G48" s="94">
        <v>75</v>
      </c>
      <c r="H48" s="94">
        <v>55</v>
      </c>
      <c r="I48" s="94">
        <v>0</v>
      </c>
      <c r="J48" s="94">
        <v>0</v>
      </c>
      <c r="K48" s="94">
        <v>150</v>
      </c>
      <c r="L48" s="94">
        <v>70</v>
      </c>
      <c r="M48" s="94">
        <v>70</v>
      </c>
      <c r="N48" s="94">
        <v>0</v>
      </c>
      <c r="O48" s="94">
        <v>70</v>
      </c>
      <c r="P48" s="94">
        <v>650</v>
      </c>
      <c r="Q48" s="94">
        <v>650</v>
      </c>
      <c r="R48" s="94">
        <v>0</v>
      </c>
      <c r="S48" s="94">
        <v>550</v>
      </c>
      <c r="T48" s="94">
        <v>45</v>
      </c>
      <c r="U48" s="94">
        <v>170</v>
      </c>
      <c r="V48" s="94">
        <v>60</v>
      </c>
      <c r="W48" s="94">
        <v>60</v>
      </c>
      <c r="X48" s="94">
        <v>92</v>
      </c>
      <c r="Y48" s="94">
        <v>112.5</v>
      </c>
      <c r="Z48" s="94">
        <v>44</v>
      </c>
      <c r="AA48" s="94">
        <v>0</v>
      </c>
      <c r="AB48" s="94">
        <v>0</v>
      </c>
      <c r="AC48" s="94">
        <v>0</v>
      </c>
      <c r="AD48" s="94">
        <v>0</v>
      </c>
      <c r="AE48" s="94">
        <v>0</v>
      </c>
      <c r="AF48" s="94">
        <v>0</v>
      </c>
      <c r="AG48" s="94">
        <v>0</v>
      </c>
      <c r="AH48" s="94">
        <v>0</v>
      </c>
      <c r="AI48" s="94">
        <v>0</v>
      </c>
      <c r="AJ48" s="94">
        <v>230</v>
      </c>
      <c r="AK48" s="94">
        <v>680</v>
      </c>
      <c r="AL48" s="94">
        <v>2000</v>
      </c>
      <c r="AM48" s="94">
        <v>22.5</v>
      </c>
      <c r="AN48" s="94">
        <v>15</v>
      </c>
      <c r="AO48" s="94">
        <v>3400</v>
      </c>
      <c r="AP48" s="94">
        <v>0</v>
      </c>
      <c r="AQ48" s="94">
        <v>440</v>
      </c>
      <c r="AR48" s="94">
        <v>0</v>
      </c>
      <c r="AS48" s="94">
        <v>0</v>
      </c>
      <c r="AT48" s="94">
        <v>380</v>
      </c>
      <c r="AU48" s="94">
        <v>0</v>
      </c>
      <c r="AV48" s="94">
        <v>0</v>
      </c>
      <c r="AW48" s="94">
        <v>0</v>
      </c>
      <c r="AX48" s="94">
        <v>0</v>
      </c>
      <c r="AY48" s="94">
        <v>0</v>
      </c>
      <c r="AZ48" s="94">
        <v>0</v>
      </c>
      <c r="BA48" s="94">
        <v>0</v>
      </c>
      <c r="BB48" s="94">
        <v>0</v>
      </c>
      <c r="BC48" s="94">
        <v>0</v>
      </c>
      <c r="BD48" s="94">
        <v>0</v>
      </c>
      <c r="BE48" s="94">
        <v>0</v>
      </c>
      <c r="BF48" s="94">
        <v>0</v>
      </c>
      <c r="BG48" s="94">
        <v>0</v>
      </c>
      <c r="BH48" s="94">
        <v>90</v>
      </c>
      <c r="BI48" s="94">
        <v>0</v>
      </c>
      <c r="BJ48" s="94">
        <v>0</v>
      </c>
      <c r="BK48" s="94">
        <v>110</v>
      </c>
      <c r="BL48" s="94">
        <v>0</v>
      </c>
      <c r="BM48" s="94">
        <v>5.75</v>
      </c>
    </row>
    <row r="49" spans="1:65" x14ac:dyDescent="0.2">
      <c r="A49" s="94" t="s">
        <v>344</v>
      </c>
      <c r="B49" s="94" t="s">
        <v>12</v>
      </c>
      <c r="C49" s="94" t="s">
        <v>59</v>
      </c>
      <c r="D49" s="94">
        <v>37</v>
      </c>
      <c r="E49" s="94">
        <v>40</v>
      </c>
      <c r="F49" s="94">
        <v>40</v>
      </c>
      <c r="G49" s="94">
        <v>80</v>
      </c>
      <c r="H49" s="94">
        <v>55</v>
      </c>
      <c r="I49" s="94">
        <v>38</v>
      </c>
      <c r="J49" s="94">
        <v>0</v>
      </c>
      <c r="K49" s="94">
        <v>0</v>
      </c>
      <c r="L49" s="94">
        <v>70</v>
      </c>
      <c r="M49" s="94">
        <v>70</v>
      </c>
      <c r="N49" s="94">
        <v>0</v>
      </c>
      <c r="O49" s="94">
        <v>70</v>
      </c>
      <c r="P49" s="94">
        <v>650</v>
      </c>
      <c r="Q49" s="94">
        <v>650</v>
      </c>
      <c r="R49" s="94">
        <v>0</v>
      </c>
      <c r="S49" s="94">
        <v>0</v>
      </c>
      <c r="T49" s="94">
        <v>43</v>
      </c>
      <c r="U49" s="94">
        <v>170</v>
      </c>
      <c r="V49" s="94">
        <v>0</v>
      </c>
      <c r="W49" s="94">
        <v>0</v>
      </c>
      <c r="X49" s="94">
        <v>92</v>
      </c>
      <c r="Y49" s="94">
        <v>112.5</v>
      </c>
      <c r="Z49" s="94">
        <v>40</v>
      </c>
      <c r="AA49" s="94">
        <v>40</v>
      </c>
      <c r="AB49" s="94">
        <v>0</v>
      </c>
      <c r="AC49" s="94">
        <v>0</v>
      </c>
      <c r="AD49" s="94">
        <v>0</v>
      </c>
      <c r="AE49" s="94">
        <v>132</v>
      </c>
      <c r="AF49" s="94">
        <v>0</v>
      </c>
      <c r="AG49" s="94">
        <v>710</v>
      </c>
      <c r="AH49" s="94">
        <v>0</v>
      </c>
      <c r="AI49" s="94">
        <v>0</v>
      </c>
      <c r="AJ49" s="94">
        <v>200</v>
      </c>
      <c r="AK49" s="94">
        <v>750</v>
      </c>
      <c r="AL49" s="94">
        <v>1650</v>
      </c>
      <c r="AM49" s="94">
        <v>14</v>
      </c>
      <c r="AN49" s="94">
        <v>14</v>
      </c>
      <c r="AO49" s="94">
        <v>3400</v>
      </c>
      <c r="AP49" s="94">
        <v>1000</v>
      </c>
      <c r="AQ49" s="94">
        <v>400</v>
      </c>
      <c r="AR49" s="94">
        <v>750</v>
      </c>
      <c r="AS49" s="94">
        <v>0</v>
      </c>
      <c r="AT49" s="94">
        <v>330</v>
      </c>
      <c r="AU49" s="94">
        <v>2000</v>
      </c>
      <c r="AV49" s="94">
        <v>0</v>
      </c>
      <c r="AW49" s="94">
        <v>0</v>
      </c>
      <c r="AX49" s="94">
        <v>2600</v>
      </c>
      <c r="AY49" s="94">
        <v>0</v>
      </c>
      <c r="AZ49" s="94">
        <v>0</v>
      </c>
      <c r="BA49" s="94">
        <v>0</v>
      </c>
      <c r="BB49" s="94">
        <v>0</v>
      </c>
      <c r="BC49" s="94">
        <v>0</v>
      </c>
      <c r="BD49" s="94">
        <v>0</v>
      </c>
      <c r="BE49" s="94">
        <v>0</v>
      </c>
      <c r="BF49" s="94">
        <v>0</v>
      </c>
      <c r="BG49" s="94">
        <v>0</v>
      </c>
      <c r="BH49" s="94">
        <v>45</v>
      </c>
      <c r="BI49" s="94">
        <v>330</v>
      </c>
      <c r="BJ49" s="94">
        <v>0</v>
      </c>
      <c r="BK49" s="94">
        <v>70</v>
      </c>
      <c r="BL49" s="94">
        <v>0</v>
      </c>
      <c r="BM49" s="94">
        <v>0</v>
      </c>
    </row>
  </sheetData>
  <phoneticPr fontId="7" type="noConversion"/>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outlinePr summaryBelow="0" summaryRight="0"/>
  </sheetPr>
  <dimension ref="A1:AH302"/>
  <sheetViews>
    <sheetView workbookViewId="0">
      <pane xSplit="1" ySplit="2" topLeftCell="B64" activePane="bottomRight" state="frozen"/>
      <selection pane="topRight" activeCell="B1" sqref="B1"/>
      <selection pane="bottomLeft" activeCell="A3" sqref="A3"/>
      <selection pane="bottomRight" activeCell="G95" sqref="G95"/>
    </sheetView>
  </sheetViews>
  <sheetFormatPr baseColWidth="10" defaultColWidth="12.796875" defaultRowHeight="15.75" customHeight="1" x14ac:dyDescent="0.2"/>
  <cols>
    <col min="1" max="1" width="11.59765625" customWidth="1"/>
    <col min="2" max="3" width="15.59765625" customWidth="1"/>
    <col min="4" max="4" width="15" customWidth="1"/>
    <col min="5" max="5" width="11" customWidth="1"/>
    <col min="6" max="7" width="16.59765625" customWidth="1"/>
    <col min="8" max="8" width="16" customWidth="1"/>
    <col min="9" max="9" width="11" customWidth="1"/>
    <col min="10" max="10" width="13" customWidth="1"/>
    <col min="11" max="11" width="10.59765625" customWidth="1"/>
    <col min="12" max="12" width="9.3984375" customWidth="1"/>
    <col min="13" max="13" width="8.59765625" customWidth="1"/>
    <col min="14" max="14" width="16" customWidth="1"/>
    <col min="15" max="15" width="16.59765625" customWidth="1"/>
    <col min="16" max="16" width="12.3984375" customWidth="1"/>
    <col min="17" max="17" width="8.59765625" customWidth="1"/>
    <col min="18" max="18" width="18" customWidth="1"/>
    <col min="19" max="19" width="17.59765625" customWidth="1"/>
    <col min="20" max="20" width="14.3984375" customWidth="1"/>
    <col min="21" max="21" width="9.59765625" customWidth="1"/>
    <col min="22" max="22" width="14.796875" customWidth="1"/>
    <col min="23" max="23" width="11.19921875" customWidth="1"/>
    <col min="24" max="24" width="14.59765625" customWidth="1"/>
    <col min="25" max="25" width="9.59765625" customWidth="1"/>
    <col min="26" max="26" width="16.796875" customWidth="1"/>
    <col min="27" max="27" width="13.19921875" customWidth="1"/>
    <col min="28" max="28" width="10.796875" customWidth="1"/>
    <col min="29" max="29" width="16.59765625" customWidth="1"/>
    <col min="30" max="30" width="9.59765625" customWidth="1"/>
    <col min="31" max="31" width="14.59765625" customWidth="1"/>
    <col min="32" max="34" width="9" customWidth="1"/>
  </cols>
  <sheetData>
    <row r="1" spans="1:34" ht="15.75" customHeight="1" x14ac:dyDescent="0.2">
      <c r="A1" s="37" t="s">
        <v>127</v>
      </c>
      <c r="B1" s="101" t="s">
        <v>128</v>
      </c>
      <c r="C1" s="102"/>
      <c r="D1" s="103"/>
      <c r="F1" s="101" t="s">
        <v>129</v>
      </c>
      <c r="G1" s="102"/>
      <c r="H1" s="103"/>
      <c r="J1" s="101" t="s">
        <v>130</v>
      </c>
      <c r="K1" s="102"/>
      <c r="L1" s="103"/>
      <c r="M1" s="38"/>
      <c r="N1" s="101" t="s">
        <v>131</v>
      </c>
      <c r="O1" s="102"/>
      <c r="P1" s="103"/>
      <c r="Q1" s="38"/>
      <c r="R1" s="101" t="s">
        <v>132</v>
      </c>
      <c r="S1" s="102"/>
      <c r="T1" s="103"/>
      <c r="U1" s="39"/>
      <c r="V1" s="101" t="s">
        <v>133</v>
      </c>
      <c r="W1" s="102"/>
      <c r="X1" s="103"/>
      <c r="Y1" s="39"/>
      <c r="Z1" s="101" t="s">
        <v>134</v>
      </c>
      <c r="AA1" s="102"/>
      <c r="AB1" s="102"/>
      <c r="AC1" s="103"/>
      <c r="AD1" s="39"/>
      <c r="AE1" s="40" t="s">
        <v>135</v>
      </c>
      <c r="AF1" s="39"/>
      <c r="AG1" s="39"/>
      <c r="AH1" s="39"/>
    </row>
    <row r="2" spans="1:34" ht="15.75" customHeight="1" x14ac:dyDescent="0.2">
      <c r="A2" s="41" t="s">
        <v>312</v>
      </c>
      <c r="B2" s="42" t="s">
        <v>136</v>
      </c>
      <c r="C2" s="43" t="s">
        <v>137</v>
      </c>
      <c r="D2" s="43" t="s">
        <v>138</v>
      </c>
      <c r="E2" t="s">
        <v>313</v>
      </c>
      <c r="F2" s="42" t="s">
        <v>321</v>
      </c>
      <c r="G2" s="43" t="s">
        <v>322</v>
      </c>
      <c r="H2" s="43" t="s">
        <v>323</v>
      </c>
      <c r="I2" t="s">
        <v>314</v>
      </c>
      <c r="J2" s="42" t="s">
        <v>139</v>
      </c>
      <c r="K2" s="43" t="s">
        <v>140</v>
      </c>
      <c r="L2" s="43" t="s">
        <v>141</v>
      </c>
      <c r="M2" s="21" t="s">
        <v>315</v>
      </c>
      <c r="N2" s="42" t="s">
        <v>142</v>
      </c>
      <c r="O2" s="43" t="s">
        <v>324</v>
      </c>
      <c r="P2" s="43" t="s">
        <v>143</v>
      </c>
      <c r="Q2" s="21" t="s">
        <v>316</v>
      </c>
      <c r="R2" s="42" t="s">
        <v>325</v>
      </c>
      <c r="S2" s="43" t="s">
        <v>326</v>
      </c>
      <c r="T2" s="43" t="s">
        <v>327</v>
      </c>
      <c r="U2" s="21" t="s">
        <v>317</v>
      </c>
      <c r="V2" s="42" t="s">
        <v>144</v>
      </c>
      <c r="W2" s="43" t="s">
        <v>145</v>
      </c>
      <c r="X2" s="43" t="s">
        <v>146</v>
      </c>
      <c r="Y2" s="21" t="s">
        <v>318</v>
      </c>
      <c r="Z2" s="42" t="s">
        <v>328</v>
      </c>
      <c r="AA2" s="43" t="s">
        <v>329</v>
      </c>
      <c r="AB2" s="43" t="s">
        <v>147</v>
      </c>
      <c r="AC2" s="43" t="s">
        <v>330</v>
      </c>
      <c r="AD2" s="21" t="s">
        <v>319</v>
      </c>
      <c r="AE2" s="42" t="s">
        <v>320</v>
      </c>
      <c r="AF2" s="21"/>
      <c r="AG2" s="21"/>
      <c r="AH2" s="21"/>
    </row>
    <row r="3" spans="1:34" ht="15.75" customHeight="1" x14ac:dyDescent="0.2">
      <c r="A3" s="44">
        <v>45901</v>
      </c>
      <c r="B3" s="45">
        <v>6</v>
      </c>
      <c r="C3" s="45">
        <f>16+23</f>
        <v>39</v>
      </c>
      <c r="D3" s="45">
        <v>0</v>
      </c>
      <c r="E3" s="19"/>
      <c r="F3" s="45">
        <v>0</v>
      </c>
      <c r="G3" s="45">
        <v>0</v>
      </c>
      <c r="H3" s="45">
        <v>0</v>
      </c>
      <c r="I3" s="19"/>
      <c r="J3" s="31">
        <v>9</v>
      </c>
      <c r="K3" s="46">
        <f>J3-L3</f>
        <v>7.5</v>
      </c>
      <c r="L3" s="45">
        <v>1.5</v>
      </c>
      <c r="M3" s="19"/>
      <c r="N3" s="31">
        <v>1.8</v>
      </c>
      <c r="O3" s="31">
        <v>0</v>
      </c>
      <c r="P3" s="31">
        <v>1.8</v>
      </c>
      <c r="Q3" s="19"/>
      <c r="R3" s="31">
        <v>2.7</v>
      </c>
      <c r="S3" s="31">
        <v>5</v>
      </c>
      <c r="T3" s="31">
        <v>1.4</v>
      </c>
      <c r="U3" s="19"/>
      <c r="V3" s="31">
        <f t="shared" ref="V3:V4" si="0">(28*0)+0</f>
        <v>0</v>
      </c>
      <c r="W3" s="31">
        <f t="shared" ref="W3:X3" si="1">(28*1)+32</f>
        <v>60</v>
      </c>
      <c r="X3" s="31">
        <f t="shared" si="1"/>
        <v>60</v>
      </c>
      <c r="Y3" s="19"/>
      <c r="Z3" s="31">
        <f t="shared" ref="Z3:AA3" si="2">(24*0)+0</f>
        <v>0</v>
      </c>
      <c r="AA3" s="31">
        <f t="shared" si="2"/>
        <v>0</v>
      </c>
      <c r="AB3" s="31">
        <v>0</v>
      </c>
      <c r="AC3" s="31">
        <v>0</v>
      </c>
      <c r="AD3" s="19"/>
      <c r="AE3" s="31">
        <f>(12*18)+36</f>
        <v>252</v>
      </c>
      <c r="AF3" s="19"/>
      <c r="AG3" s="19"/>
      <c r="AH3" s="19"/>
    </row>
    <row r="4" spans="1:34" ht="15.75" customHeight="1" x14ac:dyDescent="0.2">
      <c r="A4" s="44">
        <v>45902</v>
      </c>
      <c r="B4" s="45">
        <v>8.5</v>
      </c>
      <c r="C4" s="45">
        <f>15+34</f>
        <v>49</v>
      </c>
      <c r="D4" s="45">
        <v>0</v>
      </c>
      <c r="E4" s="19"/>
      <c r="F4" s="45">
        <v>0</v>
      </c>
      <c r="G4" s="45">
        <v>0</v>
      </c>
      <c r="H4" s="45">
        <v>0</v>
      </c>
      <c r="I4" s="19"/>
      <c r="J4" s="31">
        <v>9.8000000000000007</v>
      </c>
      <c r="K4" s="31">
        <f t="shared" ref="K4:K32" si="3">J4+L3-L4</f>
        <v>8.3000000000000007</v>
      </c>
      <c r="L4" s="31">
        <v>3</v>
      </c>
      <c r="M4" s="19"/>
      <c r="N4" s="31">
        <v>0</v>
      </c>
      <c r="O4" s="31">
        <v>2</v>
      </c>
      <c r="P4" s="31">
        <v>2</v>
      </c>
      <c r="Q4" s="19"/>
      <c r="R4" s="31">
        <v>1</v>
      </c>
      <c r="S4" s="31">
        <v>6</v>
      </c>
      <c r="T4" s="31">
        <v>2</v>
      </c>
      <c r="U4" s="19"/>
      <c r="V4" s="31">
        <f t="shared" si="0"/>
        <v>0</v>
      </c>
      <c r="W4" s="31">
        <f>(28*1)+33</f>
        <v>61</v>
      </c>
      <c r="X4" s="31">
        <f>(28*1)+29</f>
        <v>57</v>
      </c>
      <c r="Y4" s="19"/>
      <c r="Z4" s="31">
        <f t="shared" ref="Z4:AC4" si="4">(24*0)+0</f>
        <v>0</v>
      </c>
      <c r="AA4" s="31">
        <f t="shared" si="4"/>
        <v>0</v>
      </c>
      <c r="AB4" s="31">
        <f t="shared" si="4"/>
        <v>0</v>
      </c>
      <c r="AC4" s="31">
        <f t="shared" si="4"/>
        <v>0</v>
      </c>
      <c r="AD4" s="19"/>
      <c r="AE4" s="31">
        <f>(12*18)+25</f>
        <v>241</v>
      </c>
      <c r="AF4" s="19"/>
      <c r="AG4" s="19"/>
      <c r="AH4" s="19"/>
    </row>
    <row r="5" spans="1:34" ht="15.75" customHeight="1" x14ac:dyDescent="0.2">
      <c r="A5" s="44">
        <v>45903</v>
      </c>
      <c r="B5" s="45">
        <v>7.5</v>
      </c>
      <c r="C5" s="45">
        <f>14+34</f>
        <v>48</v>
      </c>
      <c r="D5" s="45">
        <v>0</v>
      </c>
      <c r="E5" s="19"/>
      <c r="F5" s="45">
        <v>0</v>
      </c>
      <c r="G5" s="45">
        <v>0</v>
      </c>
      <c r="H5" s="45">
        <v>0</v>
      </c>
      <c r="I5" s="19"/>
      <c r="J5" s="31">
        <v>13.3</v>
      </c>
      <c r="K5" s="31">
        <f t="shared" si="3"/>
        <v>10.4</v>
      </c>
      <c r="L5" s="31">
        <v>5.9</v>
      </c>
      <c r="M5" s="19"/>
      <c r="N5" s="31">
        <v>0</v>
      </c>
      <c r="O5" s="31">
        <v>2</v>
      </c>
      <c r="P5" s="31">
        <v>1.2</v>
      </c>
      <c r="Q5" s="19"/>
      <c r="R5" s="31">
        <v>0</v>
      </c>
      <c r="S5" s="31">
        <v>14</v>
      </c>
      <c r="T5" s="31">
        <v>0.5</v>
      </c>
      <c r="U5" s="19"/>
      <c r="V5" s="31">
        <v>0</v>
      </c>
      <c r="W5" s="31">
        <v>0</v>
      </c>
      <c r="X5" s="31">
        <v>0</v>
      </c>
      <c r="Y5" s="19"/>
      <c r="Z5" s="31">
        <v>0</v>
      </c>
      <c r="AA5" s="31">
        <v>0</v>
      </c>
      <c r="AB5" s="31">
        <v>0</v>
      </c>
      <c r="AC5" s="31">
        <v>0</v>
      </c>
      <c r="AD5" s="19"/>
      <c r="AE5" s="31">
        <v>0</v>
      </c>
      <c r="AF5" s="19"/>
      <c r="AG5" s="19"/>
      <c r="AH5" s="19"/>
    </row>
    <row r="6" spans="1:34" ht="15.75" customHeight="1" x14ac:dyDescent="0.2">
      <c r="A6" s="44">
        <v>45904</v>
      </c>
      <c r="B6" s="45">
        <v>7</v>
      </c>
      <c r="C6" s="45">
        <f>13+31</f>
        <v>44</v>
      </c>
      <c r="D6" s="45">
        <v>6</v>
      </c>
      <c r="E6" s="19"/>
      <c r="F6" s="45">
        <v>0</v>
      </c>
      <c r="G6" s="45">
        <v>0</v>
      </c>
      <c r="H6" s="45">
        <v>0</v>
      </c>
      <c r="I6" s="19"/>
      <c r="J6" s="31">
        <v>17.399999999999999</v>
      </c>
      <c r="K6" s="31">
        <f t="shared" si="3"/>
        <v>11.899999999999997</v>
      </c>
      <c r="L6" s="31">
        <v>11.4</v>
      </c>
      <c r="M6" s="19"/>
      <c r="N6" s="31">
        <v>0</v>
      </c>
      <c r="O6" s="31">
        <v>6</v>
      </c>
      <c r="P6" s="31">
        <v>0</v>
      </c>
      <c r="Q6" s="19"/>
      <c r="R6" s="31">
        <v>1.8</v>
      </c>
      <c r="S6" s="31">
        <v>11</v>
      </c>
      <c r="T6" s="31">
        <v>2</v>
      </c>
      <c r="U6" s="19"/>
      <c r="V6" s="31">
        <f t="shared" ref="V6:V7" si="5">(28*3)+25</f>
        <v>109</v>
      </c>
      <c r="W6" s="31">
        <f>(28*5)+31</f>
        <v>171</v>
      </c>
      <c r="X6" s="31">
        <f t="shared" ref="X6:X7" si="6">(28*3)+28</f>
        <v>112</v>
      </c>
      <c r="Y6" s="19"/>
      <c r="Z6" s="31">
        <f t="shared" ref="Z6:AA6" si="7">(24*5)+24</f>
        <v>144</v>
      </c>
      <c r="AA6" s="31">
        <f t="shared" si="7"/>
        <v>144</v>
      </c>
      <c r="AB6" s="31">
        <f t="shared" ref="AB6:AB11" si="8">(24*0)+0</f>
        <v>0</v>
      </c>
      <c r="AC6" s="31">
        <f>(24*1)+24</f>
        <v>48</v>
      </c>
      <c r="AD6" s="19"/>
      <c r="AE6" s="31">
        <f>(12*16)+24</f>
        <v>216</v>
      </c>
      <c r="AF6" s="19"/>
      <c r="AG6" s="19"/>
      <c r="AH6" s="19"/>
    </row>
    <row r="7" spans="1:34" ht="15.75" customHeight="1" x14ac:dyDescent="0.2">
      <c r="A7" s="44">
        <v>45905</v>
      </c>
      <c r="B7" s="45">
        <v>7</v>
      </c>
      <c r="C7" s="45">
        <v>36</v>
      </c>
      <c r="D7" s="45">
        <v>6</v>
      </c>
      <c r="E7" s="19"/>
      <c r="F7" s="45">
        <v>0</v>
      </c>
      <c r="G7" s="45">
        <v>0</v>
      </c>
      <c r="H7" s="45">
        <v>0</v>
      </c>
      <c r="I7" s="19"/>
      <c r="J7" s="31">
        <v>5</v>
      </c>
      <c r="K7" s="31">
        <f t="shared" si="3"/>
        <v>8.1999999999999993</v>
      </c>
      <c r="L7" s="31">
        <v>8.1999999999999993</v>
      </c>
      <c r="M7" s="19"/>
      <c r="N7" s="31">
        <v>0</v>
      </c>
      <c r="O7" s="31">
        <v>0</v>
      </c>
      <c r="P7" s="31">
        <v>0</v>
      </c>
      <c r="Q7" s="19"/>
      <c r="R7" s="31">
        <v>0</v>
      </c>
      <c r="S7" s="31">
        <v>24</v>
      </c>
      <c r="T7" s="31">
        <v>0</v>
      </c>
      <c r="U7" s="19"/>
      <c r="V7" s="31">
        <f t="shared" si="5"/>
        <v>109</v>
      </c>
      <c r="W7" s="31">
        <f>(28*5)+27</f>
        <v>167</v>
      </c>
      <c r="X7" s="31">
        <f t="shared" si="6"/>
        <v>112</v>
      </c>
      <c r="Y7" s="19"/>
      <c r="Z7" s="31">
        <f t="shared" ref="Z7:Z8" si="9">(24*5)+14</f>
        <v>134</v>
      </c>
      <c r="AA7" s="31">
        <f>(24*5)+19</f>
        <v>139</v>
      </c>
      <c r="AB7" s="31">
        <f t="shared" si="8"/>
        <v>0</v>
      </c>
      <c r="AC7" s="31">
        <f>(24*1)+21</f>
        <v>45</v>
      </c>
      <c r="AD7" s="19"/>
      <c r="AE7" s="31">
        <f>(12*16)+6</f>
        <v>198</v>
      </c>
      <c r="AF7" s="19"/>
      <c r="AG7" s="19"/>
      <c r="AH7" s="19"/>
    </row>
    <row r="8" spans="1:34" ht="15.75" customHeight="1" x14ac:dyDescent="0.2">
      <c r="A8" s="44">
        <v>45906</v>
      </c>
      <c r="B8" s="45">
        <v>7</v>
      </c>
      <c r="C8" s="45">
        <v>35</v>
      </c>
      <c r="D8" s="45">
        <v>7</v>
      </c>
      <c r="E8" s="19"/>
      <c r="F8" s="45">
        <v>0</v>
      </c>
      <c r="G8" s="45">
        <v>0</v>
      </c>
      <c r="H8" s="45">
        <v>0</v>
      </c>
      <c r="I8" s="19"/>
      <c r="J8" s="31">
        <v>6.6</v>
      </c>
      <c r="K8" s="31">
        <f t="shared" si="3"/>
        <v>3.7999999999999989</v>
      </c>
      <c r="L8" s="31">
        <v>11</v>
      </c>
      <c r="M8" s="19"/>
      <c r="N8" s="31">
        <v>1.2</v>
      </c>
      <c r="O8" s="31">
        <v>3.4</v>
      </c>
      <c r="P8" s="31">
        <v>0</v>
      </c>
      <c r="Q8" s="19"/>
      <c r="R8" s="31">
        <v>3</v>
      </c>
      <c r="S8" s="31">
        <v>10</v>
      </c>
      <c r="T8" s="31">
        <v>1</v>
      </c>
      <c r="U8" s="19"/>
      <c r="V8" s="31">
        <f>(28*3)+21</f>
        <v>105</v>
      </c>
      <c r="W8" s="31">
        <f>(28*5)+16</f>
        <v>156</v>
      </c>
      <c r="X8" s="31">
        <f>(28*3)+26</f>
        <v>110</v>
      </c>
      <c r="Y8" s="19"/>
      <c r="Z8" s="31">
        <f t="shared" si="9"/>
        <v>134</v>
      </c>
      <c r="AA8" s="31">
        <f>(24*5)+18</f>
        <v>138</v>
      </c>
      <c r="AB8" s="31">
        <f t="shared" si="8"/>
        <v>0</v>
      </c>
      <c r="AC8" s="31">
        <f>(24*1)+20</f>
        <v>44</v>
      </c>
      <c r="AD8" s="19"/>
      <c r="AE8" s="31">
        <f>(12*12)+32</f>
        <v>176</v>
      </c>
      <c r="AF8" s="19"/>
      <c r="AG8" s="19"/>
      <c r="AH8" s="19"/>
    </row>
    <row r="9" spans="1:34" ht="15.75" customHeight="1" x14ac:dyDescent="0.2">
      <c r="A9" s="44">
        <v>45907</v>
      </c>
      <c r="B9" s="45">
        <v>9</v>
      </c>
      <c r="C9" s="45">
        <v>51</v>
      </c>
      <c r="D9" s="45">
        <v>0</v>
      </c>
      <c r="E9" s="19"/>
      <c r="F9" s="45">
        <v>0</v>
      </c>
      <c r="G9" s="45">
        <v>0</v>
      </c>
      <c r="H9" s="45">
        <v>0</v>
      </c>
      <c r="I9" s="19"/>
      <c r="J9" s="31">
        <v>5.9</v>
      </c>
      <c r="K9" s="31">
        <f t="shared" si="3"/>
        <v>6.8999999999999986</v>
      </c>
      <c r="L9" s="31">
        <v>10</v>
      </c>
      <c r="M9" s="19"/>
      <c r="N9" s="31">
        <v>2.1</v>
      </c>
      <c r="O9" s="31">
        <v>6.1</v>
      </c>
      <c r="P9" s="31">
        <v>0</v>
      </c>
      <c r="Q9" s="19"/>
      <c r="R9" s="31">
        <v>2.6</v>
      </c>
      <c r="S9" s="31">
        <v>29</v>
      </c>
      <c r="T9" s="31">
        <v>0</v>
      </c>
      <c r="U9" s="19"/>
      <c r="V9" s="31">
        <f>(28*3)+16</f>
        <v>100</v>
      </c>
      <c r="W9" s="31">
        <f>(28*5)+14</f>
        <v>154</v>
      </c>
      <c r="X9" s="31">
        <f>(28*3)+21</f>
        <v>105</v>
      </c>
      <c r="Y9" s="19"/>
      <c r="Z9" s="31">
        <f t="shared" ref="Z9:Z10" si="10">(24*5)+13</f>
        <v>133</v>
      </c>
      <c r="AA9" s="31">
        <f>(24*5)+17</f>
        <v>137</v>
      </c>
      <c r="AB9" s="31">
        <f t="shared" si="8"/>
        <v>0</v>
      </c>
      <c r="AC9" s="31">
        <f>(24*1)+16</f>
        <v>40</v>
      </c>
      <c r="AD9" s="19"/>
      <c r="AE9" s="31">
        <f>(12*10)+20</f>
        <v>140</v>
      </c>
      <c r="AF9" s="19"/>
      <c r="AG9" s="19"/>
      <c r="AH9" s="19"/>
    </row>
    <row r="10" spans="1:34" ht="15.75" customHeight="1" x14ac:dyDescent="0.2">
      <c r="A10" s="44">
        <v>45908</v>
      </c>
      <c r="B10" s="45">
        <v>6</v>
      </c>
      <c r="C10" s="45">
        <v>29</v>
      </c>
      <c r="D10" s="45">
        <v>0</v>
      </c>
      <c r="E10" s="19"/>
      <c r="F10" s="45">
        <v>0</v>
      </c>
      <c r="G10" s="45">
        <v>0</v>
      </c>
      <c r="H10" s="45">
        <v>0</v>
      </c>
      <c r="I10" s="19"/>
      <c r="J10" s="31">
        <v>0</v>
      </c>
      <c r="K10" s="31">
        <f t="shared" si="3"/>
        <v>4.5999999999999996</v>
      </c>
      <c r="L10" s="31">
        <v>5.4</v>
      </c>
      <c r="M10" s="19"/>
      <c r="N10" s="31">
        <v>0</v>
      </c>
      <c r="O10" s="31">
        <v>0</v>
      </c>
      <c r="P10" s="31">
        <v>0</v>
      </c>
      <c r="Q10" s="19"/>
      <c r="R10" s="31">
        <v>3</v>
      </c>
      <c r="S10" s="31">
        <v>20</v>
      </c>
      <c r="T10" s="31">
        <v>0</v>
      </c>
      <c r="U10" s="19"/>
      <c r="V10" s="31">
        <f>(28*3)+9</f>
        <v>93</v>
      </c>
      <c r="W10" s="31">
        <f>(28*5)+11</f>
        <v>151</v>
      </c>
      <c r="X10" s="31">
        <f t="shared" ref="X10:X11" si="11">(28*3)+19</f>
        <v>103</v>
      </c>
      <c r="Y10" s="19"/>
      <c r="Z10" s="31">
        <f t="shared" si="10"/>
        <v>133</v>
      </c>
      <c r="AA10" s="31">
        <f>(24*5)+15</f>
        <v>135</v>
      </c>
      <c r="AB10" s="31">
        <f t="shared" si="8"/>
        <v>0</v>
      </c>
      <c r="AC10" s="31">
        <f>(24*1)+14</f>
        <v>38</v>
      </c>
      <c r="AD10" s="19"/>
      <c r="AE10" s="31">
        <f>(12*10)+26</f>
        <v>146</v>
      </c>
      <c r="AF10" s="19"/>
      <c r="AG10" s="19"/>
      <c r="AH10" s="19"/>
    </row>
    <row r="11" spans="1:34" ht="15.75" customHeight="1" x14ac:dyDescent="0.2">
      <c r="A11" s="44">
        <v>45909</v>
      </c>
      <c r="B11" s="45">
        <v>5</v>
      </c>
      <c r="C11" s="45">
        <v>21</v>
      </c>
      <c r="D11" s="45">
        <v>9</v>
      </c>
      <c r="E11" s="19"/>
      <c r="F11" s="45">
        <v>0</v>
      </c>
      <c r="G11" s="45">
        <v>0</v>
      </c>
      <c r="H11" s="45">
        <v>0</v>
      </c>
      <c r="I11" s="19"/>
      <c r="J11" s="31">
        <v>9.8000000000000007</v>
      </c>
      <c r="K11" s="31">
        <f t="shared" si="3"/>
        <v>3.2000000000000011</v>
      </c>
      <c r="L11" s="31">
        <v>12</v>
      </c>
      <c r="M11" s="19"/>
      <c r="N11" s="31">
        <v>1</v>
      </c>
      <c r="O11" s="31">
        <v>4</v>
      </c>
      <c r="P11" s="31">
        <v>0</v>
      </c>
      <c r="Q11" s="19"/>
      <c r="R11" s="31">
        <v>2</v>
      </c>
      <c r="S11" s="31">
        <v>7</v>
      </c>
      <c r="T11" s="31">
        <v>0.4</v>
      </c>
      <c r="U11" s="19"/>
      <c r="V11" s="31">
        <f>(28*2)+37</f>
        <v>93</v>
      </c>
      <c r="W11" s="31">
        <f>(28*4)+38</f>
        <v>150</v>
      </c>
      <c r="X11" s="31">
        <f t="shared" si="11"/>
        <v>103</v>
      </c>
      <c r="Y11" s="19"/>
      <c r="Z11" s="31">
        <f t="shared" ref="Z11:AA11" si="12">(24*4)+32</f>
        <v>128</v>
      </c>
      <c r="AA11" s="31">
        <f t="shared" si="12"/>
        <v>128</v>
      </c>
      <c r="AB11" s="31">
        <f t="shared" si="8"/>
        <v>0</v>
      </c>
      <c r="AC11" s="31">
        <f>(24*1)+13</f>
        <v>37</v>
      </c>
      <c r="AD11" s="19"/>
      <c r="AE11" s="31">
        <f>(12*4)+21</f>
        <v>69</v>
      </c>
      <c r="AF11" s="19"/>
      <c r="AG11" s="19"/>
      <c r="AH11" s="19"/>
    </row>
    <row r="12" spans="1:34" ht="15.75" customHeight="1" x14ac:dyDescent="0.2">
      <c r="A12" s="44">
        <v>45910</v>
      </c>
      <c r="B12" s="45">
        <v>6</v>
      </c>
      <c r="C12" s="45">
        <v>29</v>
      </c>
      <c r="D12" s="45">
        <v>6</v>
      </c>
      <c r="E12" s="19"/>
      <c r="F12" s="45">
        <v>0</v>
      </c>
      <c r="G12" s="45">
        <v>0</v>
      </c>
      <c r="H12" s="45">
        <v>0</v>
      </c>
      <c r="I12" s="19"/>
      <c r="J12" s="31">
        <v>6.5</v>
      </c>
      <c r="K12" s="31">
        <f t="shared" si="3"/>
        <v>4.8000000000000007</v>
      </c>
      <c r="L12" s="31">
        <v>13.7</v>
      </c>
      <c r="M12" s="19"/>
      <c r="N12" s="31">
        <v>1</v>
      </c>
      <c r="O12" s="31">
        <v>4.4000000000000004</v>
      </c>
      <c r="P12" s="31">
        <v>0</v>
      </c>
      <c r="Q12" s="19"/>
      <c r="R12" s="31">
        <v>2</v>
      </c>
      <c r="S12" s="31">
        <v>9</v>
      </c>
      <c r="T12" s="31">
        <v>1.3</v>
      </c>
      <c r="U12" s="19"/>
      <c r="V12" s="31">
        <v>0</v>
      </c>
      <c r="W12" s="31">
        <v>0</v>
      </c>
      <c r="X12" s="31">
        <v>0</v>
      </c>
      <c r="Y12" s="19"/>
      <c r="Z12" s="31">
        <v>0</v>
      </c>
      <c r="AA12" s="31">
        <v>0</v>
      </c>
      <c r="AB12" s="31">
        <v>0</v>
      </c>
      <c r="AC12" s="31">
        <v>0</v>
      </c>
      <c r="AD12" s="19"/>
      <c r="AE12" s="31">
        <v>0</v>
      </c>
      <c r="AF12" s="19"/>
      <c r="AG12" s="19"/>
      <c r="AH12" s="19"/>
    </row>
    <row r="13" spans="1:34" ht="15.75" customHeight="1" x14ac:dyDescent="0.2">
      <c r="A13" s="44">
        <v>45911</v>
      </c>
      <c r="B13" s="45">
        <v>5</v>
      </c>
      <c r="C13" s="45">
        <v>26</v>
      </c>
      <c r="D13" s="45">
        <v>4</v>
      </c>
      <c r="E13" s="19"/>
      <c r="F13" s="45">
        <v>1.2</v>
      </c>
      <c r="G13" s="45">
        <v>3</v>
      </c>
      <c r="H13" s="45">
        <v>5</v>
      </c>
      <c r="I13" s="19"/>
      <c r="J13" s="31">
        <v>5.2</v>
      </c>
      <c r="K13" s="31">
        <f t="shared" si="3"/>
        <v>6.6999999999999993</v>
      </c>
      <c r="L13" s="31">
        <v>12.2</v>
      </c>
      <c r="M13" s="19"/>
      <c r="N13" s="31">
        <v>1.5</v>
      </c>
      <c r="O13" s="31">
        <v>4</v>
      </c>
      <c r="P13" s="31">
        <v>0</v>
      </c>
      <c r="Q13" s="19"/>
      <c r="R13" s="31">
        <v>3</v>
      </c>
      <c r="S13" s="31">
        <v>5</v>
      </c>
      <c r="T13" s="31">
        <v>4</v>
      </c>
      <c r="U13" s="19"/>
      <c r="V13" s="31">
        <v>0</v>
      </c>
      <c r="W13" s="31">
        <v>0</v>
      </c>
      <c r="X13" s="31">
        <v>0</v>
      </c>
      <c r="Y13" s="19"/>
      <c r="Z13" s="31">
        <v>0</v>
      </c>
      <c r="AA13" s="31">
        <v>0</v>
      </c>
      <c r="AB13" s="31">
        <v>0</v>
      </c>
      <c r="AC13" s="31">
        <v>0</v>
      </c>
      <c r="AD13" s="19"/>
      <c r="AE13" s="31">
        <v>0</v>
      </c>
      <c r="AF13" s="19"/>
      <c r="AG13" s="19"/>
      <c r="AH13" s="19"/>
    </row>
    <row r="14" spans="1:34" ht="15.75" customHeight="1" x14ac:dyDescent="0.2">
      <c r="A14" s="44">
        <v>45912</v>
      </c>
      <c r="B14" s="45">
        <v>5</v>
      </c>
      <c r="C14" s="45">
        <v>20</v>
      </c>
      <c r="D14" s="45">
        <v>10</v>
      </c>
      <c r="E14" s="19"/>
      <c r="F14" s="45">
        <v>1</v>
      </c>
      <c r="G14" s="45">
        <v>1</v>
      </c>
      <c r="H14" s="45">
        <v>5</v>
      </c>
      <c r="I14" s="19"/>
      <c r="J14" s="31">
        <v>0</v>
      </c>
      <c r="K14" s="31">
        <f t="shared" si="3"/>
        <v>4.1999999999999993</v>
      </c>
      <c r="L14" s="31">
        <v>8</v>
      </c>
      <c r="M14" s="19"/>
      <c r="N14" s="31">
        <v>2.2000000000000002</v>
      </c>
      <c r="O14" s="31">
        <v>2.2999999999999998</v>
      </c>
      <c r="P14" s="31">
        <v>0.8</v>
      </c>
      <c r="Q14" s="19"/>
      <c r="R14" s="31">
        <v>0</v>
      </c>
      <c r="S14" s="31">
        <v>4</v>
      </c>
      <c r="T14" s="31">
        <v>3.3</v>
      </c>
      <c r="U14" s="19"/>
      <c r="V14" s="31">
        <v>0</v>
      </c>
      <c r="W14" s="31">
        <v>0</v>
      </c>
      <c r="X14" s="31">
        <v>0</v>
      </c>
      <c r="Y14" s="19"/>
      <c r="Z14" s="31">
        <v>0</v>
      </c>
      <c r="AA14" s="31">
        <v>0</v>
      </c>
      <c r="AB14" s="31">
        <v>0</v>
      </c>
      <c r="AC14" s="31">
        <v>0</v>
      </c>
      <c r="AD14" s="19"/>
      <c r="AE14" s="31">
        <v>0</v>
      </c>
      <c r="AF14" s="19"/>
      <c r="AG14" s="19"/>
      <c r="AH14" s="19"/>
    </row>
    <row r="15" spans="1:34" ht="15.75" customHeight="1" x14ac:dyDescent="0.2">
      <c r="A15" s="44">
        <v>45913</v>
      </c>
      <c r="B15" s="45">
        <v>6</v>
      </c>
      <c r="C15" s="45">
        <v>24</v>
      </c>
      <c r="D15" s="45">
        <v>12</v>
      </c>
      <c r="E15" s="19"/>
      <c r="F15" s="45">
        <v>2</v>
      </c>
      <c r="G15" s="45">
        <v>11</v>
      </c>
      <c r="H15" s="45">
        <v>1</v>
      </c>
      <c r="I15" s="19"/>
      <c r="J15" s="31">
        <v>7.2</v>
      </c>
      <c r="K15" s="31">
        <f t="shared" si="3"/>
        <v>5.6999999999999993</v>
      </c>
      <c r="L15" s="31">
        <v>9.5</v>
      </c>
      <c r="M15" s="19"/>
      <c r="N15" s="31">
        <v>0</v>
      </c>
      <c r="O15" s="31">
        <v>0</v>
      </c>
      <c r="P15" s="31">
        <v>1.2</v>
      </c>
      <c r="Q15" s="19"/>
      <c r="R15" s="31">
        <v>0</v>
      </c>
      <c r="S15" s="31">
        <v>9</v>
      </c>
      <c r="T15" s="31">
        <v>2.4</v>
      </c>
      <c r="U15" s="19"/>
      <c r="V15" s="31">
        <v>0</v>
      </c>
      <c r="W15" s="31">
        <v>0</v>
      </c>
      <c r="X15" s="31">
        <v>0</v>
      </c>
      <c r="Y15" s="19"/>
      <c r="Z15" s="31">
        <v>0</v>
      </c>
      <c r="AA15" s="31">
        <v>0</v>
      </c>
      <c r="AB15" s="31">
        <v>0</v>
      </c>
      <c r="AC15" s="31">
        <v>0</v>
      </c>
      <c r="AD15" s="19"/>
      <c r="AE15" s="31">
        <v>0</v>
      </c>
      <c r="AF15" s="19"/>
      <c r="AG15" s="19"/>
      <c r="AH15" s="19"/>
    </row>
    <row r="16" spans="1:34" ht="15.75" customHeight="1" x14ac:dyDescent="0.2">
      <c r="A16" s="44">
        <v>45914</v>
      </c>
      <c r="B16" s="45">
        <v>7</v>
      </c>
      <c r="C16" s="45">
        <v>31</v>
      </c>
      <c r="D16" s="45">
        <v>0</v>
      </c>
      <c r="E16" s="19"/>
      <c r="F16" s="45">
        <v>2</v>
      </c>
      <c r="G16" s="45">
        <v>12</v>
      </c>
      <c r="H16" s="45">
        <v>0</v>
      </c>
      <c r="I16" s="19"/>
      <c r="J16" s="31">
        <v>0</v>
      </c>
      <c r="K16" s="31">
        <f t="shared" si="3"/>
        <v>5.6</v>
      </c>
      <c r="L16" s="31">
        <v>3.9</v>
      </c>
      <c r="M16" s="19"/>
      <c r="N16" s="31">
        <v>0</v>
      </c>
      <c r="O16" s="31">
        <v>8.3000000000000007</v>
      </c>
      <c r="P16" s="31">
        <v>0.8</v>
      </c>
      <c r="Q16" s="19"/>
      <c r="R16" s="31">
        <v>0</v>
      </c>
      <c r="S16" s="31">
        <v>12</v>
      </c>
      <c r="T16" s="31">
        <v>2.2999999999999998</v>
      </c>
      <c r="U16" s="19"/>
      <c r="V16" s="31">
        <v>0</v>
      </c>
      <c r="W16" s="31">
        <v>0</v>
      </c>
      <c r="X16" s="31">
        <v>0</v>
      </c>
      <c r="Y16" s="19"/>
      <c r="Z16" s="31">
        <v>0</v>
      </c>
      <c r="AA16" s="31">
        <v>0</v>
      </c>
      <c r="AB16" s="31">
        <v>0</v>
      </c>
      <c r="AC16" s="31">
        <v>0</v>
      </c>
      <c r="AD16" s="19"/>
      <c r="AE16" s="31">
        <v>0</v>
      </c>
      <c r="AF16" s="19"/>
      <c r="AG16" s="19"/>
      <c r="AH16" s="19"/>
    </row>
    <row r="17" spans="1:34" ht="15.75" customHeight="1" x14ac:dyDescent="0.2">
      <c r="A17" s="44">
        <v>45915</v>
      </c>
      <c r="B17" s="45">
        <v>5</v>
      </c>
      <c r="C17" s="45">
        <v>19</v>
      </c>
      <c r="D17" s="45">
        <v>11</v>
      </c>
      <c r="E17" s="19"/>
      <c r="F17" s="45">
        <v>0</v>
      </c>
      <c r="G17" s="45">
        <v>0</v>
      </c>
      <c r="H17" s="45">
        <v>0</v>
      </c>
      <c r="I17" s="19"/>
      <c r="J17" s="31">
        <v>6.8</v>
      </c>
      <c r="K17" s="31">
        <f t="shared" si="3"/>
        <v>4.6999999999999993</v>
      </c>
      <c r="L17" s="31">
        <v>6</v>
      </c>
      <c r="M17" s="19"/>
      <c r="N17" s="31">
        <v>2.1</v>
      </c>
      <c r="O17" s="31">
        <v>1</v>
      </c>
      <c r="P17" s="31">
        <v>2.5</v>
      </c>
      <c r="Q17" s="19"/>
      <c r="R17" s="31">
        <v>0</v>
      </c>
      <c r="S17" s="31">
        <v>7</v>
      </c>
      <c r="T17" s="31">
        <v>1.7</v>
      </c>
      <c r="U17" s="19"/>
      <c r="V17" s="31">
        <f>(28*2)+37</f>
        <v>93</v>
      </c>
      <c r="W17" s="31">
        <f>(28*4)+38</f>
        <v>150</v>
      </c>
      <c r="X17" s="31">
        <f>(28*3)+19</f>
        <v>103</v>
      </c>
      <c r="Y17" s="19"/>
      <c r="Z17" s="31">
        <f t="shared" ref="Z17:AA17" si="13">(24*4)+32</f>
        <v>128</v>
      </c>
      <c r="AA17" s="31">
        <f t="shared" si="13"/>
        <v>128</v>
      </c>
      <c r="AB17" s="31">
        <f t="shared" ref="AB17:AB18" si="14">(24*0)+0</f>
        <v>0</v>
      </c>
      <c r="AC17" s="31">
        <f t="shared" ref="AC17:AC18" si="15">(24*1)+13</f>
        <v>37</v>
      </c>
      <c r="AD17" s="19"/>
      <c r="AE17" s="31">
        <f>(12*4)+21</f>
        <v>69</v>
      </c>
      <c r="AF17" s="19"/>
      <c r="AG17" s="19"/>
      <c r="AH17" s="19"/>
    </row>
    <row r="18" spans="1:34" ht="15.75" customHeight="1" x14ac:dyDescent="0.2">
      <c r="A18" s="44">
        <v>45916</v>
      </c>
      <c r="B18" s="45">
        <v>5</v>
      </c>
      <c r="C18" s="45">
        <v>35</v>
      </c>
      <c r="D18" s="45">
        <v>0</v>
      </c>
      <c r="E18" s="19"/>
      <c r="F18" s="45">
        <v>1</v>
      </c>
      <c r="G18" s="45">
        <v>6</v>
      </c>
      <c r="H18" s="45">
        <v>0</v>
      </c>
      <c r="I18" s="19"/>
      <c r="J18" s="31">
        <v>6.3</v>
      </c>
      <c r="K18" s="31">
        <f t="shared" si="3"/>
        <v>4.8000000000000007</v>
      </c>
      <c r="L18" s="31">
        <v>7.5</v>
      </c>
      <c r="M18" s="19"/>
      <c r="N18" s="31">
        <v>0</v>
      </c>
      <c r="O18" s="31">
        <v>2.2000000000000002</v>
      </c>
      <c r="P18" s="31">
        <v>2</v>
      </c>
      <c r="Q18" s="19"/>
      <c r="R18" s="31">
        <v>1</v>
      </c>
      <c r="S18" s="31">
        <v>18</v>
      </c>
      <c r="T18" s="31">
        <v>1</v>
      </c>
      <c r="U18" s="19"/>
      <c r="V18" s="31">
        <f>(28*2)+17</f>
        <v>73</v>
      </c>
      <c r="W18" s="31">
        <f>(28*4)+27</f>
        <v>139</v>
      </c>
      <c r="X18" s="31">
        <f>(28*3)+12</f>
        <v>96</v>
      </c>
      <c r="Y18" s="19"/>
      <c r="Z18" s="31">
        <f>(24*4)+23</f>
        <v>119</v>
      </c>
      <c r="AA18" s="31">
        <f>(24*4)+24</f>
        <v>120</v>
      </c>
      <c r="AB18" s="31">
        <f t="shared" si="14"/>
        <v>0</v>
      </c>
      <c r="AC18" s="31">
        <f t="shared" si="15"/>
        <v>37</v>
      </c>
      <c r="AD18" s="19"/>
      <c r="AE18" s="31">
        <f>(12*48)+11</f>
        <v>587</v>
      </c>
      <c r="AF18" s="19"/>
      <c r="AG18" s="19"/>
      <c r="AH18" s="19"/>
    </row>
    <row r="19" spans="1:34" ht="15.75" customHeight="1" x14ac:dyDescent="0.2">
      <c r="A19" s="44">
        <v>45917</v>
      </c>
      <c r="B19" s="45">
        <v>5</v>
      </c>
      <c r="C19" s="45">
        <v>26</v>
      </c>
      <c r="D19" s="45">
        <v>4</v>
      </c>
      <c r="E19" s="19"/>
      <c r="F19" s="45">
        <v>1.5</v>
      </c>
      <c r="G19" s="45">
        <v>0</v>
      </c>
      <c r="H19" s="45">
        <v>9</v>
      </c>
      <c r="I19" s="19"/>
      <c r="J19" s="31">
        <v>11.5</v>
      </c>
      <c r="K19" s="31">
        <f t="shared" si="3"/>
        <v>4.4000000000000004</v>
      </c>
      <c r="L19" s="31">
        <v>14.6</v>
      </c>
      <c r="M19" s="19"/>
      <c r="N19" s="31">
        <v>2.4</v>
      </c>
      <c r="O19" s="31">
        <v>6.2</v>
      </c>
      <c r="P19" s="31">
        <v>2.9</v>
      </c>
      <c r="Q19" s="19"/>
      <c r="R19" s="31">
        <v>3</v>
      </c>
      <c r="S19" s="31">
        <v>10</v>
      </c>
      <c r="T19" s="31">
        <v>2.5</v>
      </c>
      <c r="U19" s="19"/>
      <c r="V19" s="31">
        <v>0</v>
      </c>
      <c r="W19" s="31">
        <v>0</v>
      </c>
      <c r="X19" s="31">
        <v>0</v>
      </c>
      <c r="Y19" s="19"/>
      <c r="Z19" s="31">
        <v>0</v>
      </c>
      <c r="AA19" s="31">
        <v>0</v>
      </c>
      <c r="AB19" s="31">
        <v>0</v>
      </c>
      <c r="AC19" s="31">
        <v>0</v>
      </c>
      <c r="AD19" s="19"/>
      <c r="AE19" s="31">
        <v>0</v>
      </c>
      <c r="AF19" s="19"/>
      <c r="AG19" s="19"/>
      <c r="AH19" s="19"/>
    </row>
    <row r="20" spans="1:34" ht="15.75" customHeight="1" x14ac:dyDescent="0.2">
      <c r="A20" s="44">
        <v>45918</v>
      </c>
      <c r="B20" s="45">
        <v>5</v>
      </c>
      <c r="C20" s="45">
        <v>18</v>
      </c>
      <c r="D20" s="45">
        <v>12</v>
      </c>
      <c r="E20" s="19"/>
      <c r="F20" s="45">
        <v>0</v>
      </c>
      <c r="G20" s="45">
        <v>0</v>
      </c>
      <c r="H20" s="45">
        <v>0</v>
      </c>
      <c r="I20" s="19"/>
      <c r="J20" s="31">
        <v>0</v>
      </c>
      <c r="K20" s="31">
        <f t="shared" si="3"/>
        <v>4.2999999999999989</v>
      </c>
      <c r="L20" s="31">
        <v>10.3</v>
      </c>
      <c r="M20" s="19"/>
      <c r="N20" s="31">
        <v>0</v>
      </c>
      <c r="O20" s="31">
        <v>6.4</v>
      </c>
      <c r="P20" s="31">
        <v>0.4</v>
      </c>
      <c r="Q20" s="19"/>
      <c r="R20" s="31">
        <v>0</v>
      </c>
      <c r="S20" s="31">
        <v>14</v>
      </c>
      <c r="T20" s="31">
        <v>0.8</v>
      </c>
      <c r="U20" s="19"/>
      <c r="V20" s="31">
        <v>0</v>
      </c>
      <c r="W20" s="31">
        <v>0</v>
      </c>
      <c r="X20" s="31">
        <v>0</v>
      </c>
      <c r="Y20" s="19"/>
      <c r="Z20" s="31">
        <v>0</v>
      </c>
      <c r="AA20" s="31">
        <v>0</v>
      </c>
      <c r="AB20" s="31">
        <v>0</v>
      </c>
      <c r="AC20" s="31">
        <v>0</v>
      </c>
      <c r="AD20" s="19"/>
      <c r="AE20" s="31">
        <v>0</v>
      </c>
      <c r="AF20" s="19"/>
      <c r="AG20" s="19"/>
      <c r="AH20" s="19"/>
    </row>
    <row r="21" spans="1:34" ht="15.75" customHeight="1" x14ac:dyDescent="0.2">
      <c r="A21" s="44">
        <v>45919</v>
      </c>
      <c r="B21" s="45">
        <v>4</v>
      </c>
      <c r="C21" s="45">
        <v>22</v>
      </c>
      <c r="D21" s="45">
        <v>2</v>
      </c>
      <c r="E21" s="19"/>
      <c r="F21" s="45">
        <v>0</v>
      </c>
      <c r="G21" s="45">
        <v>0</v>
      </c>
      <c r="H21" s="45">
        <v>0</v>
      </c>
      <c r="I21" s="19"/>
      <c r="J21" s="31">
        <v>0</v>
      </c>
      <c r="K21" s="31">
        <f t="shared" si="3"/>
        <v>2.5000000000000009</v>
      </c>
      <c r="L21" s="31">
        <v>7.8</v>
      </c>
      <c r="M21" s="19"/>
      <c r="N21" s="31">
        <v>2.2000000000000002</v>
      </c>
      <c r="O21" s="31">
        <v>3</v>
      </c>
      <c r="P21" s="31">
        <v>1.5</v>
      </c>
      <c r="Q21" s="19"/>
      <c r="R21" s="31">
        <v>2.6</v>
      </c>
      <c r="S21" s="31">
        <v>5</v>
      </c>
      <c r="T21" s="31">
        <v>2.4</v>
      </c>
      <c r="U21" s="19"/>
      <c r="V21" s="31">
        <v>0</v>
      </c>
      <c r="W21" s="31">
        <v>0</v>
      </c>
      <c r="X21" s="31">
        <v>0</v>
      </c>
      <c r="Y21" s="19"/>
      <c r="Z21" s="31">
        <v>0</v>
      </c>
      <c r="AA21" s="31">
        <v>0</v>
      </c>
      <c r="AB21" s="31">
        <v>0</v>
      </c>
      <c r="AC21" s="31">
        <v>0</v>
      </c>
      <c r="AD21" s="19"/>
      <c r="AE21" s="31">
        <v>0</v>
      </c>
      <c r="AF21" s="19"/>
      <c r="AG21" s="19"/>
      <c r="AH21" s="19"/>
    </row>
    <row r="22" spans="1:34" ht="15.75" customHeight="1" x14ac:dyDescent="0.2">
      <c r="A22" s="44">
        <v>45920</v>
      </c>
      <c r="B22" s="45">
        <v>5</v>
      </c>
      <c r="C22" s="45">
        <v>23</v>
      </c>
      <c r="D22" s="45">
        <v>7</v>
      </c>
      <c r="E22" s="19"/>
      <c r="F22" s="45">
        <v>0</v>
      </c>
      <c r="G22" s="45">
        <v>0</v>
      </c>
      <c r="H22" s="45">
        <v>0</v>
      </c>
      <c r="I22" s="19"/>
      <c r="J22" s="31">
        <v>8</v>
      </c>
      <c r="K22" s="31">
        <f t="shared" si="3"/>
        <v>3.8000000000000007</v>
      </c>
      <c r="L22" s="31">
        <v>12</v>
      </c>
      <c r="M22" s="19"/>
      <c r="N22" s="31">
        <v>0</v>
      </c>
      <c r="O22" s="31">
        <v>2.2999999999999998</v>
      </c>
      <c r="P22" s="31">
        <v>1.2</v>
      </c>
      <c r="Q22" s="19"/>
      <c r="R22" s="31">
        <v>1.5</v>
      </c>
      <c r="S22" s="31">
        <v>10</v>
      </c>
      <c r="T22" s="31">
        <v>2.8</v>
      </c>
      <c r="U22" s="19"/>
      <c r="V22" s="31">
        <v>0</v>
      </c>
      <c r="W22" s="31">
        <v>0</v>
      </c>
      <c r="X22" s="31">
        <v>0</v>
      </c>
      <c r="Y22" s="19"/>
      <c r="Z22" s="31">
        <v>0</v>
      </c>
      <c r="AA22" s="31">
        <v>0</v>
      </c>
      <c r="AB22" s="31">
        <v>0</v>
      </c>
      <c r="AC22" s="31">
        <v>0</v>
      </c>
      <c r="AD22" s="19"/>
      <c r="AE22" s="31">
        <v>0</v>
      </c>
      <c r="AF22" s="19"/>
      <c r="AG22" s="19"/>
      <c r="AH22" s="19"/>
    </row>
    <row r="23" spans="1:34" ht="15.75" customHeight="1" x14ac:dyDescent="0.2">
      <c r="A23" s="44">
        <v>45921</v>
      </c>
      <c r="B23" s="45">
        <v>7</v>
      </c>
      <c r="C23" s="45">
        <v>49</v>
      </c>
      <c r="D23" s="45">
        <v>0</v>
      </c>
      <c r="E23" s="19"/>
      <c r="F23" s="45">
        <v>0</v>
      </c>
      <c r="G23" s="45">
        <v>0</v>
      </c>
      <c r="H23" s="45">
        <v>0</v>
      </c>
      <c r="I23" s="19"/>
      <c r="J23" s="31">
        <v>4.9000000000000004</v>
      </c>
      <c r="K23" s="31">
        <f t="shared" si="3"/>
        <v>6.4999999999999982</v>
      </c>
      <c r="L23" s="31">
        <v>10.4</v>
      </c>
      <c r="M23" s="19"/>
      <c r="N23" s="31">
        <v>1.6</v>
      </c>
      <c r="O23" s="31">
        <v>0</v>
      </c>
      <c r="P23" s="31">
        <v>2.4</v>
      </c>
      <c r="Q23" s="19"/>
      <c r="R23" s="31">
        <v>0</v>
      </c>
      <c r="S23" s="31">
        <v>18</v>
      </c>
      <c r="T23" s="31">
        <v>0.4</v>
      </c>
      <c r="U23" s="19"/>
      <c r="V23" s="31">
        <v>0</v>
      </c>
      <c r="W23" s="31">
        <v>0</v>
      </c>
      <c r="X23" s="31">
        <v>0</v>
      </c>
      <c r="Y23" s="19"/>
      <c r="Z23" s="31">
        <v>0</v>
      </c>
      <c r="AA23" s="31">
        <v>0</v>
      </c>
      <c r="AB23" s="31">
        <v>0</v>
      </c>
      <c r="AC23" s="31">
        <v>0</v>
      </c>
      <c r="AD23" s="19"/>
      <c r="AE23" s="31">
        <v>0</v>
      </c>
      <c r="AF23" s="19"/>
      <c r="AG23" s="19"/>
      <c r="AH23" s="19"/>
    </row>
    <row r="24" spans="1:34" ht="15.75" customHeight="1" x14ac:dyDescent="0.2">
      <c r="A24" s="44">
        <v>45922</v>
      </c>
      <c r="B24" s="45">
        <v>0</v>
      </c>
      <c r="C24" s="45">
        <v>0</v>
      </c>
      <c r="D24" s="45">
        <v>0</v>
      </c>
      <c r="E24" s="19"/>
      <c r="F24" s="45">
        <v>0</v>
      </c>
      <c r="G24" s="45">
        <v>0</v>
      </c>
      <c r="H24" s="45">
        <v>0</v>
      </c>
      <c r="I24" s="19"/>
      <c r="J24" s="31">
        <v>0</v>
      </c>
      <c r="K24" s="31">
        <f t="shared" si="3"/>
        <v>0</v>
      </c>
      <c r="L24" s="31">
        <v>10.4</v>
      </c>
      <c r="M24" s="19"/>
      <c r="N24" s="31">
        <v>0</v>
      </c>
      <c r="O24" s="31">
        <v>0</v>
      </c>
      <c r="P24" s="31">
        <v>2.4</v>
      </c>
      <c r="Q24" s="19"/>
      <c r="R24" s="31">
        <v>0</v>
      </c>
      <c r="S24" s="31">
        <v>0</v>
      </c>
      <c r="T24" s="31">
        <v>0</v>
      </c>
      <c r="U24" s="19"/>
      <c r="V24" s="31">
        <v>0</v>
      </c>
      <c r="W24" s="31">
        <v>0</v>
      </c>
      <c r="X24" s="31">
        <v>0</v>
      </c>
      <c r="Y24" s="19"/>
      <c r="Z24" s="31">
        <v>0</v>
      </c>
      <c r="AA24" s="31">
        <v>0</v>
      </c>
      <c r="AB24" s="31">
        <v>0</v>
      </c>
      <c r="AC24" s="31">
        <v>0</v>
      </c>
      <c r="AD24" s="19"/>
      <c r="AE24" s="31">
        <v>0</v>
      </c>
      <c r="AF24" s="19"/>
      <c r="AG24" s="19"/>
      <c r="AH24" s="19"/>
    </row>
    <row r="25" spans="1:34" ht="15.75" customHeight="1" x14ac:dyDescent="0.2">
      <c r="A25" s="44">
        <v>45923</v>
      </c>
      <c r="B25" s="45">
        <v>9</v>
      </c>
      <c r="C25" s="45">
        <v>52</v>
      </c>
      <c r="D25" s="45">
        <v>2</v>
      </c>
      <c r="E25" s="19"/>
      <c r="F25" s="45">
        <v>0</v>
      </c>
      <c r="G25" s="45">
        <v>0</v>
      </c>
      <c r="H25" s="45">
        <v>0</v>
      </c>
      <c r="I25" s="19"/>
      <c r="J25" s="31">
        <v>5.2</v>
      </c>
      <c r="K25" s="31">
        <f t="shared" si="3"/>
        <v>10.3</v>
      </c>
      <c r="L25" s="31">
        <v>5.3</v>
      </c>
      <c r="M25" s="19"/>
      <c r="N25" s="31">
        <v>1</v>
      </c>
      <c r="O25" s="31">
        <v>7</v>
      </c>
      <c r="P25" s="31">
        <v>2.2000000000000002</v>
      </c>
      <c r="Q25" s="19"/>
      <c r="R25" s="31">
        <v>2</v>
      </c>
      <c r="S25" s="31">
        <v>22</v>
      </c>
      <c r="T25" s="31">
        <v>0</v>
      </c>
      <c r="U25" s="19"/>
      <c r="V25" s="31">
        <v>0</v>
      </c>
      <c r="W25" s="31">
        <v>0</v>
      </c>
      <c r="X25" s="31">
        <v>0</v>
      </c>
      <c r="Y25" s="19"/>
      <c r="Z25" s="31">
        <v>0</v>
      </c>
      <c r="AA25" s="31">
        <v>0</v>
      </c>
      <c r="AB25" s="31">
        <v>0</v>
      </c>
      <c r="AC25" s="31">
        <v>0</v>
      </c>
      <c r="AD25" s="19"/>
      <c r="AE25" s="31">
        <v>0</v>
      </c>
      <c r="AF25" s="19"/>
      <c r="AG25" s="19"/>
      <c r="AH25" s="19"/>
    </row>
    <row r="26" spans="1:34" ht="15.75" customHeight="1" x14ac:dyDescent="0.2">
      <c r="A26" s="44">
        <v>45924</v>
      </c>
      <c r="B26" s="45">
        <v>10</v>
      </c>
      <c r="C26" s="45">
        <v>46</v>
      </c>
      <c r="D26" s="45">
        <v>14</v>
      </c>
      <c r="E26" s="19"/>
      <c r="F26" s="45">
        <v>0</v>
      </c>
      <c r="G26" s="45">
        <v>0</v>
      </c>
      <c r="H26" s="45">
        <v>0</v>
      </c>
      <c r="I26" s="19"/>
      <c r="J26" s="31">
        <v>7.8</v>
      </c>
      <c r="K26" s="31">
        <f t="shared" si="3"/>
        <v>6.6999999999999993</v>
      </c>
      <c r="L26" s="31">
        <v>6.4</v>
      </c>
      <c r="M26" s="19"/>
      <c r="N26" s="31">
        <v>0</v>
      </c>
      <c r="O26" s="31">
        <v>6.1</v>
      </c>
      <c r="P26" s="31">
        <v>0</v>
      </c>
      <c r="Q26" s="19"/>
      <c r="R26" s="31">
        <v>2</v>
      </c>
      <c r="S26" s="31">
        <v>10</v>
      </c>
      <c r="T26" s="31">
        <v>1.6</v>
      </c>
      <c r="U26" s="19"/>
      <c r="V26" s="31">
        <v>0</v>
      </c>
      <c r="W26" s="31">
        <v>0</v>
      </c>
      <c r="X26" s="31">
        <v>0</v>
      </c>
      <c r="Y26" s="19"/>
      <c r="Z26" s="31">
        <v>0</v>
      </c>
      <c r="AA26" s="31">
        <v>0</v>
      </c>
      <c r="AB26" s="31">
        <v>0</v>
      </c>
      <c r="AC26" s="31">
        <v>0</v>
      </c>
      <c r="AD26" s="19"/>
      <c r="AE26" s="31">
        <v>0</v>
      </c>
      <c r="AF26" s="19"/>
      <c r="AG26" s="19"/>
      <c r="AH26" s="19"/>
    </row>
    <row r="27" spans="1:34" ht="15.75" customHeight="1" x14ac:dyDescent="0.2">
      <c r="A27" s="44">
        <v>45925</v>
      </c>
      <c r="B27" s="45">
        <v>5</v>
      </c>
      <c r="C27" s="45">
        <v>21</v>
      </c>
      <c r="D27" s="45">
        <v>9</v>
      </c>
      <c r="E27" s="19"/>
      <c r="F27" s="45">
        <v>0</v>
      </c>
      <c r="G27" s="45">
        <v>0</v>
      </c>
      <c r="H27" s="45">
        <v>0</v>
      </c>
      <c r="I27" s="19"/>
      <c r="J27" s="31">
        <v>6.3</v>
      </c>
      <c r="K27" s="31">
        <f t="shared" si="3"/>
        <v>6.2999999999999989</v>
      </c>
      <c r="L27" s="31">
        <v>6.4</v>
      </c>
      <c r="M27" s="19"/>
      <c r="N27" s="31">
        <v>0</v>
      </c>
      <c r="O27" s="31">
        <v>1</v>
      </c>
      <c r="P27" s="31">
        <v>0.6</v>
      </c>
      <c r="Q27" s="19"/>
      <c r="R27" s="31">
        <v>1</v>
      </c>
      <c r="S27" s="31">
        <v>6</v>
      </c>
      <c r="T27" s="31">
        <v>2.8</v>
      </c>
      <c r="U27" s="19"/>
      <c r="V27" s="31">
        <v>0</v>
      </c>
      <c r="W27" s="31">
        <v>0</v>
      </c>
      <c r="X27" s="31">
        <v>0</v>
      </c>
      <c r="Y27" s="19"/>
      <c r="Z27" s="31">
        <v>0</v>
      </c>
      <c r="AA27" s="31">
        <v>0</v>
      </c>
      <c r="AB27" s="31">
        <v>0</v>
      </c>
      <c r="AC27" s="31">
        <v>0</v>
      </c>
      <c r="AD27" s="19"/>
      <c r="AE27" s="31">
        <v>0</v>
      </c>
      <c r="AF27" s="19"/>
      <c r="AG27" s="19"/>
      <c r="AH27" s="19"/>
    </row>
    <row r="28" spans="1:34" ht="15.75" customHeight="1" x14ac:dyDescent="0.2">
      <c r="A28" s="44">
        <v>45926</v>
      </c>
      <c r="B28" s="45">
        <v>7</v>
      </c>
      <c r="C28" s="45">
        <v>43</v>
      </c>
      <c r="D28" s="45">
        <v>0</v>
      </c>
      <c r="E28" s="19"/>
      <c r="F28" s="45">
        <v>0</v>
      </c>
      <c r="G28" s="45">
        <v>0</v>
      </c>
      <c r="H28" s="45">
        <v>0</v>
      </c>
      <c r="I28" s="19"/>
      <c r="J28" s="31">
        <v>7.1</v>
      </c>
      <c r="K28" s="31">
        <f t="shared" si="3"/>
        <v>4.5</v>
      </c>
      <c r="L28" s="31">
        <v>9</v>
      </c>
      <c r="M28" s="19"/>
      <c r="N28" s="31">
        <v>1</v>
      </c>
      <c r="O28" s="31">
        <v>2.2000000000000002</v>
      </c>
      <c r="P28" s="31">
        <v>1</v>
      </c>
      <c r="Q28" s="19"/>
      <c r="R28" s="31">
        <v>0</v>
      </c>
      <c r="S28" s="31">
        <v>13</v>
      </c>
      <c r="T28" s="31">
        <v>0.8</v>
      </c>
      <c r="U28" s="19"/>
      <c r="V28" s="31">
        <v>0</v>
      </c>
      <c r="W28" s="31">
        <v>0</v>
      </c>
      <c r="X28" s="31">
        <v>0</v>
      </c>
      <c r="Y28" s="19"/>
      <c r="Z28" s="31">
        <v>0</v>
      </c>
      <c r="AA28" s="31">
        <v>0</v>
      </c>
      <c r="AB28" s="31">
        <v>0</v>
      </c>
      <c r="AC28" s="31">
        <v>0</v>
      </c>
      <c r="AD28" s="19"/>
      <c r="AE28" s="31">
        <v>0</v>
      </c>
      <c r="AF28" s="19"/>
      <c r="AG28" s="19"/>
      <c r="AH28" s="19"/>
    </row>
    <row r="29" spans="1:34" ht="15.75" customHeight="1" x14ac:dyDescent="0.2">
      <c r="A29" s="44">
        <v>45927</v>
      </c>
      <c r="B29" s="45">
        <v>8</v>
      </c>
      <c r="C29" s="45">
        <v>48</v>
      </c>
      <c r="D29" s="45">
        <v>0</v>
      </c>
      <c r="E29" s="19"/>
      <c r="F29" s="45">
        <v>0</v>
      </c>
      <c r="G29" s="45">
        <v>0</v>
      </c>
      <c r="H29" s="45">
        <v>0</v>
      </c>
      <c r="I29" s="19"/>
      <c r="J29" s="31">
        <v>6.9</v>
      </c>
      <c r="K29" s="31">
        <f t="shared" si="3"/>
        <v>8.9</v>
      </c>
      <c r="L29" s="31">
        <v>7</v>
      </c>
      <c r="M29" s="19"/>
      <c r="N29" s="31">
        <v>0</v>
      </c>
      <c r="O29" s="31">
        <v>1</v>
      </c>
      <c r="P29" s="31">
        <v>1.2</v>
      </c>
      <c r="Q29" s="19"/>
      <c r="R29" s="31">
        <v>2</v>
      </c>
      <c r="S29" s="31">
        <v>12</v>
      </c>
      <c r="T29" s="31">
        <v>2.5</v>
      </c>
      <c r="U29" s="19"/>
      <c r="V29" s="31">
        <v>0</v>
      </c>
      <c r="W29" s="31">
        <v>0</v>
      </c>
      <c r="X29" s="31">
        <v>0</v>
      </c>
      <c r="Y29" s="19"/>
      <c r="Z29" s="31">
        <v>0</v>
      </c>
      <c r="AA29" s="31">
        <v>0</v>
      </c>
      <c r="AB29" s="31">
        <v>0</v>
      </c>
      <c r="AC29" s="31">
        <v>0</v>
      </c>
      <c r="AD29" s="19"/>
      <c r="AE29" s="31">
        <v>0</v>
      </c>
      <c r="AF29" s="19"/>
      <c r="AG29" s="19"/>
      <c r="AH29" s="19"/>
    </row>
    <row r="30" spans="1:34" ht="15.75" customHeight="1" x14ac:dyDescent="0.2">
      <c r="A30" s="44">
        <v>45928</v>
      </c>
      <c r="B30" s="45">
        <v>9</v>
      </c>
      <c r="C30" s="45">
        <v>53</v>
      </c>
      <c r="D30" s="45">
        <v>1</v>
      </c>
      <c r="E30" s="19"/>
      <c r="F30" s="45">
        <v>0</v>
      </c>
      <c r="G30" s="45">
        <v>0</v>
      </c>
      <c r="H30" s="45">
        <v>0</v>
      </c>
      <c r="I30" s="19"/>
      <c r="J30" s="31">
        <v>8.4</v>
      </c>
      <c r="K30" s="31">
        <f t="shared" si="3"/>
        <v>10.100000000000001</v>
      </c>
      <c r="L30" s="31">
        <v>5.3</v>
      </c>
      <c r="M30" s="19"/>
      <c r="N30" s="31">
        <v>2.5</v>
      </c>
      <c r="O30" s="31">
        <v>3.2</v>
      </c>
      <c r="P30" s="31">
        <v>3</v>
      </c>
      <c r="Q30" s="19"/>
      <c r="R30" s="31">
        <v>0</v>
      </c>
      <c r="S30" s="31">
        <v>15</v>
      </c>
      <c r="T30" s="31">
        <v>0</v>
      </c>
      <c r="U30" s="19"/>
      <c r="V30" s="31">
        <v>0</v>
      </c>
      <c r="W30" s="31">
        <v>0</v>
      </c>
      <c r="X30" s="31">
        <v>0</v>
      </c>
      <c r="Y30" s="19"/>
      <c r="Z30" s="31">
        <v>0</v>
      </c>
      <c r="AA30" s="31">
        <v>0</v>
      </c>
      <c r="AB30" s="31">
        <v>0</v>
      </c>
      <c r="AC30" s="31">
        <v>0</v>
      </c>
      <c r="AD30" s="19"/>
      <c r="AE30" s="31">
        <v>0</v>
      </c>
      <c r="AF30" s="19"/>
      <c r="AG30" s="19"/>
      <c r="AH30" s="19"/>
    </row>
    <row r="31" spans="1:34" ht="15.75" customHeight="1" x14ac:dyDescent="0.2">
      <c r="A31" s="44">
        <v>45929</v>
      </c>
      <c r="B31" s="45">
        <v>6</v>
      </c>
      <c r="C31" s="45">
        <v>35</v>
      </c>
      <c r="D31" s="45">
        <v>1</v>
      </c>
      <c r="E31" s="19"/>
      <c r="F31" s="45">
        <v>0</v>
      </c>
      <c r="G31" s="45">
        <v>0</v>
      </c>
      <c r="H31" s="45">
        <v>0</v>
      </c>
      <c r="I31" s="19"/>
      <c r="J31" s="31">
        <v>6.3</v>
      </c>
      <c r="K31" s="31">
        <f t="shared" si="3"/>
        <v>5.3</v>
      </c>
      <c r="L31" s="31">
        <v>6.3</v>
      </c>
      <c r="M31" s="19"/>
      <c r="N31" s="31">
        <v>0</v>
      </c>
      <c r="O31" s="31">
        <v>10</v>
      </c>
      <c r="P31" s="31">
        <v>0</v>
      </c>
      <c r="Q31" s="19"/>
      <c r="R31" s="31">
        <v>1.6</v>
      </c>
      <c r="S31" s="31">
        <v>14</v>
      </c>
      <c r="T31" s="31">
        <v>1.3</v>
      </c>
      <c r="U31" s="19"/>
      <c r="V31" s="31">
        <f>(28*1)+32</f>
        <v>60</v>
      </c>
      <c r="W31" s="31">
        <f>(28*3)+36</f>
        <v>120</v>
      </c>
      <c r="X31" s="31">
        <f>(28*3)+25</f>
        <v>109</v>
      </c>
      <c r="Y31" s="19"/>
      <c r="Z31" s="31">
        <f>(24*3)+30</f>
        <v>102</v>
      </c>
      <c r="AA31" s="31">
        <f>(24*4)+16</f>
        <v>112</v>
      </c>
      <c r="AB31" s="31">
        <f>(24*0)+0</f>
        <v>0</v>
      </c>
      <c r="AC31" s="31">
        <f>(24*1)+7</f>
        <v>31</v>
      </c>
      <c r="AD31" s="19"/>
      <c r="AE31" s="31">
        <f>(12*32)+21</f>
        <v>405</v>
      </c>
      <c r="AF31" s="19"/>
      <c r="AG31" s="19"/>
      <c r="AH31" s="19"/>
    </row>
    <row r="32" spans="1:34" ht="15.75" customHeight="1" x14ac:dyDescent="0.2">
      <c r="A32" s="44">
        <v>45930</v>
      </c>
      <c r="B32" s="45">
        <v>11</v>
      </c>
      <c r="C32" s="45">
        <v>47</v>
      </c>
      <c r="D32" s="45">
        <v>0</v>
      </c>
      <c r="E32" s="19"/>
      <c r="F32" s="45">
        <v>0</v>
      </c>
      <c r="G32" s="45">
        <v>0</v>
      </c>
      <c r="H32" s="45">
        <v>0</v>
      </c>
      <c r="I32" s="19"/>
      <c r="J32" s="31">
        <v>11.1</v>
      </c>
      <c r="K32" s="31">
        <f t="shared" si="3"/>
        <v>9.0999999999999979</v>
      </c>
      <c r="L32" s="31">
        <v>8.3000000000000007</v>
      </c>
      <c r="M32" s="19"/>
      <c r="N32" s="31">
        <v>0</v>
      </c>
      <c r="O32" s="31">
        <v>0.3</v>
      </c>
      <c r="P32" s="31">
        <v>0</v>
      </c>
      <c r="Q32" s="19"/>
      <c r="R32" s="31">
        <v>1</v>
      </c>
      <c r="S32" s="31">
        <v>26</v>
      </c>
      <c r="T32" s="31">
        <v>0</v>
      </c>
      <c r="U32" s="19"/>
      <c r="V32" s="31">
        <v>0</v>
      </c>
      <c r="W32" s="31">
        <v>0</v>
      </c>
      <c r="X32" s="31">
        <v>0</v>
      </c>
      <c r="Y32" s="19"/>
      <c r="Z32" s="31">
        <v>0</v>
      </c>
      <c r="AA32" s="31">
        <v>0</v>
      </c>
      <c r="AB32" s="31">
        <v>0</v>
      </c>
      <c r="AC32" s="31">
        <v>0</v>
      </c>
      <c r="AD32" s="19"/>
      <c r="AE32" s="31">
        <v>0</v>
      </c>
      <c r="AF32" s="19"/>
      <c r="AG32" s="19"/>
      <c r="AH32" s="19"/>
    </row>
    <row r="33" spans="1:34" ht="15.75" customHeight="1" x14ac:dyDescent="0.2">
      <c r="A33" s="47" t="s">
        <v>0</v>
      </c>
      <c r="B33" s="48">
        <f t="shared" ref="B33:D33" si="16">SUM(B3:B32)</f>
        <v>193</v>
      </c>
      <c r="C33" s="48">
        <f t="shared" si="16"/>
        <v>1019</v>
      </c>
      <c r="D33" s="48">
        <f t="shared" si="16"/>
        <v>123</v>
      </c>
      <c r="E33" s="19"/>
      <c r="F33" s="48">
        <f t="shared" ref="F33:H33" si="17">SUM(F3:F32)</f>
        <v>8.6999999999999993</v>
      </c>
      <c r="G33" s="48">
        <f t="shared" si="17"/>
        <v>33</v>
      </c>
      <c r="H33" s="48">
        <f t="shared" si="17"/>
        <v>20</v>
      </c>
      <c r="I33" s="19"/>
      <c r="J33" s="48">
        <f t="shared" ref="J33:K33" si="18">SUM(J3:J32)</f>
        <v>192.30000000000004</v>
      </c>
      <c r="K33" s="48">
        <f t="shared" si="18"/>
        <v>184</v>
      </c>
      <c r="L33" s="33"/>
      <c r="M33" s="19"/>
      <c r="N33" s="48">
        <f t="shared" ref="N33:O33" si="19">SUM(N3:N32)</f>
        <v>23.6</v>
      </c>
      <c r="O33" s="48">
        <f t="shared" si="19"/>
        <v>94.399999999999991</v>
      </c>
      <c r="P33" s="33"/>
      <c r="Q33" s="19"/>
      <c r="R33" s="48">
        <f t="shared" ref="R33:S33" si="20">SUM(R3:R32)</f>
        <v>38.800000000000004</v>
      </c>
      <c r="S33" s="48">
        <f t="shared" si="20"/>
        <v>365</v>
      </c>
      <c r="T33" s="33"/>
      <c r="U33" s="19"/>
      <c r="V33" s="19"/>
      <c r="W33" s="19"/>
      <c r="X33" s="19"/>
      <c r="Y33" s="19"/>
      <c r="Z33" s="19"/>
      <c r="AA33" s="19"/>
      <c r="AB33" s="19"/>
      <c r="AC33" s="19"/>
      <c r="AD33" s="19"/>
      <c r="AE33" s="19"/>
      <c r="AF33" s="19"/>
      <c r="AG33" s="19"/>
      <c r="AH33" s="19"/>
    </row>
    <row r="34" spans="1:34" ht="15.75" customHeight="1" x14ac:dyDescent="0.2">
      <c r="A34" s="44"/>
      <c r="B34" s="45"/>
      <c r="C34" s="45"/>
      <c r="D34" s="45"/>
      <c r="E34" s="19"/>
      <c r="F34" s="31"/>
      <c r="G34" s="45"/>
      <c r="H34" s="45"/>
      <c r="I34" s="19"/>
      <c r="J34" s="31"/>
      <c r="K34" s="45"/>
      <c r="L34" s="45"/>
      <c r="M34" s="19"/>
      <c r="N34" s="31"/>
      <c r="O34" s="45"/>
      <c r="P34" s="45"/>
      <c r="Q34" s="19"/>
      <c r="R34" s="31"/>
      <c r="S34" s="45"/>
      <c r="T34" s="45"/>
      <c r="U34" s="19"/>
      <c r="V34" s="31"/>
      <c r="W34" s="45"/>
      <c r="X34" s="45"/>
      <c r="Y34" s="19"/>
      <c r="Z34" s="31"/>
      <c r="AA34" s="45"/>
      <c r="AB34" s="45"/>
      <c r="AC34" s="45"/>
      <c r="AD34" s="19"/>
      <c r="AE34" s="31"/>
      <c r="AF34" s="19"/>
      <c r="AG34" s="19"/>
      <c r="AH34" s="19"/>
    </row>
    <row r="35" spans="1:34" ht="15.75" customHeight="1" x14ac:dyDescent="0.2">
      <c r="A35" s="44"/>
      <c r="B35" s="45"/>
      <c r="C35" s="45"/>
      <c r="D35" s="45"/>
      <c r="E35" s="19"/>
      <c r="F35" s="31"/>
      <c r="G35" s="45"/>
      <c r="H35" s="45"/>
      <c r="I35" s="19"/>
      <c r="J35" s="31"/>
      <c r="K35" s="45"/>
      <c r="L35" s="45"/>
      <c r="M35" s="19"/>
      <c r="N35" s="31"/>
      <c r="O35" s="45"/>
      <c r="P35" s="45"/>
      <c r="Q35" s="19"/>
      <c r="R35" s="31"/>
      <c r="S35" s="45"/>
      <c r="T35" s="45"/>
      <c r="U35" s="19"/>
      <c r="V35" s="31"/>
      <c r="W35" s="45"/>
      <c r="X35" s="45"/>
      <c r="Y35" s="19"/>
      <c r="Z35" s="31"/>
      <c r="AA35" s="45"/>
      <c r="AB35" s="45"/>
      <c r="AC35" s="45"/>
      <c r="AD35" s="19"/>
      <c r="AE35" s="31"/>
      <c r="AF35" s="19"/>
      <c r="AG35" s="19"/>
      <c r="AH35" s="19"/>
    </row>
    <row r="36" spans="1:34" ht="15.75" customHeight="1" x14ac:dyDescent="0.2">
      <c r="A36" s="44">
        <v>45870</v>
      </c>
      <c r="B36" s="45">
        <v>3</v>
      </c>
      <c r="C36" s="45">
        <v>13</v>
      </c>
      <c r="D36" s="45">
        <v>0</v>
      </c>
      <c r="E36" s="19"/>
      <c r="F36" s="31">
        <v>27</v>
      </c>
      <c r="G36" s="45">
        <f>11+178</f>
        <v>189</v>
      </c>
      <c r="H36" s="45">
        <v>0</v>
      </c>
      <c r="I36" s="19"/>
      <c r="J36" s="31">
        <v>33.5</v>
      </c>
      <c r="K36" s="46">
        <f>J36-L36</f>
        <v>29.5</v>
      </c>
      <c r="L36" s="45">
        <v>4</v>
      </c>
      <c r="M36" s="19"/>
      <c r="N36" s="31">
        <v>0</v>
      </c>
      <c r="O36" s="31">
        <v>0</v>
      </c>
      <c r="P36" s="31">
        <v>2</v>
      </c>
      <c r="Q36" s="19"/>
      <c r="R36" s="31">
        <v>0</v>
      </c>
      <c r="S36" s="31">
        <v>0</v>
      </c>
      <c r="T36" s="31">
        <v>0</v>
      </c>
      <c r="U36" s="19"/>
      <c r="V36" s="31">
        <f>(28*3)+26</f>
        <v>110</v>
      </c>
      <c r="W36" s="31">
        <f>(28*5)+21</f>
        <v>161</v>
      </c>
      <c r="X36" s="31">
        <f>(28*4)+17</f>
        <v>129</v>
      </c>
      <c r="Y36" s="19"/>
      <c r="Z36" s="31">
        <f>(24*1)+8</f>
        <v>32</v>
      </c>
      <c r="AA36" s="31">
        <f>(24*0)+21</f>
        <v>21</v>
      </c>
      <c r="AB36" s="31">
        <f>(24*0)+20</f>
        <v>20</v>
      </c>
      <c r="AC36" s="31">
        <f>(24*1)+15</f>
        <v>39</v>
      </c>
      <c r="AD36" s="19"/>
      <c r="AE36" s="31">
        <f>(12*17)+36</f>
        <v>240</v>
      </c>
      <c r="AF36" s="19"/>
      <c r="AG36" s="19"/>
      <c r="AH36" s="19"/>
    </row>
    <row r="37" spans="1:34" ht="15.75" customHeight="1" x14ac:dyDescent="0.2">
      <c r="A37" s="44">
        <v>45871</v>
      </c>
      <c r="B37" s="45">
        <v>8</v>
      </c>
      <c r="C37" s="45">
        <v>39</v>
      </c>
      <c r="D37" s="45">
        <v>9</v>
      </c>
      <c r="E37" s="19"/>
      <c r="F37" s="31">
        <v>43</v>
      </c>
      <c r="G37" s="45">
        <f>17+308</f>
        <v>325</v>
      </c>
      <c r="H37" s="45">
        <v>0</v>
      </c>
      <c r="I37" s="19"/>
      <c r="J37" s="31">
        <v>72.599999999999994</v>
      </c>
      <c r="K37" s="31">
        <f t="shared" ref="K37:K66" si="21">J37+L36-L37</f>
        <v>72.399999999999991</v>
      </c>
      <c r="L37" s="31">
        <v>4.2</v>
      </c>
      <c r="M37" s="19"/>
      <c r="N37" s="31">
        <v>0</v>
      </c>
      <c r="O37" s="31">
        <v>0</v>
      </c>
      <c r="P37" s="31">
        <v>0</v>
      </c>
      <c r="Q37" s="19"/>
      <c r="R37" s="31">
        <v>0</v>
      </c>
      <c r="S37" s="31">
        <v>0</v>
      </c>
      <c r="T37" s="31">
        <v>0</v>
      </c>
      <c r="U37" s="19"/>
      <c r="V37" s="31">
        <v>0</v>
      </c>
      <c r="W37" s="31">
        <v>0</v>
      </c>
      <c r="X37" s="31">
        <v>0</v>
      </c>
      <c r="Y37" s="19"/>
      <c r="Z37" s="31">
        <v>0</v>
      </c>
      <c r="AA37" s="31">
        <v>0</v>
      </c>
      <c r="AB37" s="31">
        <v>0</v>
      </c>
      <c r="AC37" s="31">
        <v>0</v>
      </c>
      <c r="AD37" s="19"/>
      <c r="AE37" s="31">
        <v>0</v>
      </c>
      <c r="AF37" s="19"/>
      <c r="AG37" s="19"/>
      <c r="AH37" s="19"/>
    </row>
    <row r="38" spans="1:34" ht="15.75" customHeight="1" x14ac:dyDescent="0.2">
      <c r="A38" s="44">
        <v>45872</v>
      </c>
      <c r="B38" s="45">
        <v>12</v>
      </c>
      <c r="C38" s="45">
        <v>61</v>
      </c>
      <c r="D38" s="45">
        <v>13</v>
      </c>
      <c r="E38" s="19"/>
      <c r="F38" s="31">
        <v>44</v>
      </c>
      <c r="G38" s="45">
        <v>340</v>
      </c>
      <c r="H38" s="45">
        <v>0</v>
      </c>
      <c r="I38" s="19"/>
      <c r="J38" s="31">
        <v>62.2</v>
      </c>
      <c r="K38" s="31">
        <f t="shared" si="21"/>
        <v>66.400000000000006</v>
      </c>
      <c r="L38" s="31">
        <v>0</v>
      </c>
      <c r="M38" s="19"/>
      <c r="N38" s="31">
        <v>1.3</v>
      </c>
      <c r="O38" s="31">
        <v>9</v>
      </c>
      <c r="P38" s="31">
        <v>0</v>
      </c>
      <c r="Q38" s="19"/>
      <c r="R38" s="31">
        <v>3</v>
      </c>
      <c r="S38" s="31">
        <v>21</v>
      </c>
      <c r="T38" s="31">
        <v>0</v>
      </c>
      <c r="U38" s="19"/>
      <c r="V38" s="31">
        <v>0</v>
      </c>
      <c r="W38" s="31">
        <v>0</v>
      </c>
      <c r="X38" s="31">
        <v>0</v>
      </c>
      <c r="Y38" s="19"/>
      <c r="Z38" s="31">
        <v>0</v>
      </c>
      <c r="AA38" s="31">
        <v>0</v>
      </c>
      <c r="AB38" s="31">
        <v>0</v>
      </c>
      <c r="AC38" s="31">
        <v>0</v>
      </c>
      <c r="AD38" s="19"/>
      <c r="AE38" s="31">
        <v>0</v>
      </c>
      <c r="AF38" s="19"/>
      <c r="AG38" s="19"/>
      <c r="AH38" s="19"/>
    </row>
    <row r="39" spans="1:34" ht="15.75" customHeight="1" x14ac:dyDescent="0.2">
      <c r="A39" s="44">
        <v>45873</v>
      </c>
      <c r="B39" s="45">
        <v>0</v>
      </c>
      <c r="C39" s="45">
        <v>0</v>
      </c>
      <c r="D39" s="45">
        <v>0</v>
      </c>
      <c r="E39" s="19"/>
      <c r="F39" s="31">
        <v>22</v>
      </c>
      <c r="G39" s="45">
        <f>18+157</f>
        <v>175</v>
      </c>
      <c r="H39" s="45">
        <v>0</v>
      </c>
      <c r="I39" s="19"/>
      <c r="J39" s="31">
        <v>40.299999999999997</v>
      </c>
      <c r="K39" s="31">
        <f t="shared" si="21"/>
        <v>26.799999999999997</v>
      </c>
      <c r="L39" s="31">
        <v>13.5</v>
      </c>
      <c r="M39" s="19"/>
      <c r="N39" s="31">
        <v>0</v>
      </c>
      <c r="O39" s="31">
        <v>0</v>
      </c>
      <c r="P39" s="31">
        <v>0</v>
      </c>
      <c r="Q39" s="19"/>
      <c r="R39" s="31">
        <v>0</v>
      </c>
      <c r="S39" s="31">
        <v>0</v>
      </c>
      <c r="T39" s="31">
        <v>0</v>
      </c>
      <c r="U39" s="19"/>
      <c r="V39" s="31">
        <v>0</v>
      </c>
      <c r="W39" s="31">
        <v>0</v>
      </c>
      <c r="X39" s="31">
        <v>0</v>
      </c>
      <c r="Y39" s="19"/>
      <c r="Z39" s="31">
        <v>0</v>
      </c>
      <c r="AA39" s="31">
        <v>0</v>
      </c>
      <c r="AB39" s="31">
        <v>0</v>
      </c>
      <c r="AC39" s="31">
        <v>0</v>
      </c>
      <c r="AD39" s="19"/>
      <c r="AE39" s="31">
        <v>0</v>
      </c>
      <c r="AF39" s="19"/>
      <c r="AG39" s="19"/>
      <c r="AH39" s="19"/>
    </row>
    <row r="40" spans="1:34" ht="15.75" customHeight="1" x14ac:dyDescent="0.2">
      <c r="A40" s="44">
        <v>45874</v>
      </c>
      <c r="B40" s="45">
        <v>4</v>
      </c>
      <c r="C40" s="45">
        <v>26</v>
      </c>
      <c r="D40" s="45">
        <v>0</v>
      </c>
      <c r="E40" s="19"/>
      <c r="F40" s="31">
        <v>27</v>
      </c>
      <c r="G40" s="45">
        <f>8+200</f>
        <v>208</v>
      </c>
      <c r="H40" s="45">
        <v>8</v>
      </c>
      <c r="I40" s="19"/>
      <c r="J40" s="31">
        <v>39.200000000000003</v>
      </c>
      <c r="K40" s="31">
        <f t="shared" si="21"/>
        <v>46.7</v>
      </c>
      <c r="L40" s="31">
        <v>6</v>
      </c>
      <c r="M40" s="19"/>
      <c r="N40" s="31">
        <v>2.4</v>
      </c>
      <c r="O40" s="31">
        <v>5.3</v>
      </c>
      <c r="P40" s="31">
        <v>1.5</v>
      </c>
      <c r="Q40" s="19"/>
      <c r="R40" s="31">
        <v>2</v>
      </c>
      <c r="S40" s="31">
        <v>16</v>
      </c>
      <c r="T40" s="31">
        <v>1.3</v>
      </c>
      <c r="U40" s="19"/>
      <c r="V40" s="31">
        <f>(28*3)+10</f>
        <v>94</v>
      </c>
      <c r="W40" s="31">
        <f>(28*5)+2</f>
        <v>142</v>
      </c>
      <c r="X40" s="31">
        <f>(28*4)+13</f>
        <v>125</v>
      </c>
      <c r="Y40" s="19"/>
      <c r="Z40" s="31">
        <f>(24*1)+1</f>
        <v>25</v>
      </c>
      <c r="AA40" s="31">
        <f t="shared" ref="AA40:AB40" si="22">(24*0)+6</f>
        <v>6</v>
      </c>
      <c r="AB40" s="31">
        <f t="shared" si="22"/>
        <v>6</v>
      </c>
      <c r="AC40" s="31">
        <f>(24*1)+12</f>
        <v>36</v>
      </c>
      <c r="AD40" s="19"/>
      <c r="AE40" s="31">
        <f>(12*8)+27</f>
        <v>123</v>
      </c>
      <c r="AF40" s="19"/>
      <c r="AG40" s="19"/>
      <c r="AH40" s="19"/>
    </row>
    <row r="41" spans="1:34" ht="15.75" customHeight="1" x14ac:dyDescent="0.2">
      <c r="A41" s="44">
        <v>45875</v>
      </c>
      <c r="B41" s="45">
        <v>5</v>
      </c>
      <c r="C41" s="45">
        <v>21</v>
      </c>
      <c r="D41" s="45">
        <v>0</v>
      </c>
      <c r="E41" s="19"/>
      <c r="F41" s="31">
        <v>19</v>
      </c>
      <c r="G41" s="45">
        <v>178</v>
      </c>
      <c r="H41" s="45">
        <v>0</v>
      </c>
      <c r="I41" s="19"/>
      <c r="J41" s="31">
        <v>38.700000000000003</v>
      </c>
      <c r="K41" s="31">
        <f t="shared" si="21"/>
        <v>40.200000000000003</v>
      </c>
      <c r="L41" s="31">
        <v>4.5</v>
      </c>
      <c r="M41" s="19"/>
      <c r="N41" s="31">
        <v>0</v>
      </c>
      <c r="O41" s="31">
        <v>4</v>
      </c>
      <c r="P41" s="31">
        <v>0</v>
      </c>
      <c r="Q41" s="19"/>
      <c r="R41" s="31">
        <v>2</v>
      </c>
      <c r="S41" s="31">
        <v>9</v>
      </c>
      <c r="T41" s="31">
        <v>0</v>
      </c>
      <c r="U41" s="19"/>
      <c r="V41" s="31">
        <v>0</v>
      </c>
      <c r="W41" s="31">
        <v>0</v>
      </c>
      <c r="X41" s="31">
        <v>0</v>
      </c>
      <c r="Y41" s="19"/>
      <c r="Z41" s="31">
        <v>0</v>
      </c>
      <c r="AA41" s="31">
        <v>0</v>
      </c>
      <c r="AB41" s="31">
        <v>0</v>
      </c>
      <c r="AC41" s="31">
        <v>0</v>
      </c>
      <c r="AD41" s="19"/>
      <c r="AE41" s="31">
        <v>0</v>
      </c>
      <c r="AF41" s="19"/>
      <c r="AG41" s="19"/>
      <c r="AH41" s="19"/>
    </row>
    <row r="42" spans="1:34" ht="15.75" customHeight="1" x14ac:dyDescent="0.2">
      <c r="A42" s="44">
        <v>45876</v>
      </c>
      <c r="B42" s="45">
        <v>5</v>
      </c>
      <c r="C42" s="45">
        <v>31</v>
      </c>
      <c r="D42" s="45">
        <v>5</v>
      </c>
      <c r="E42" s="19"/>
      <c r="F42" s="31">
        <v>17</v>
      </c>
      <c r="G42" s="45">
        <f>11+122</f>
        <v>133</v>
      </c>
      <c r="H42" s="45">
        <v>0</v>
      </c>
      <c r="I42" s="19"/>
      <c r="J42" s="31">
        <v>35.5</v>
      </c>
      <c r="K42" s="31">
        <f t="shared" si="21"/>
        <v>34.5</v>
      </c>
      <c r="L42" s="31">
        <v>5.5</v>
      </c>
      <c r="M42" s="19"/>
      <c r="N42" s="31">
        <v>1.2</v>
      </c>
      <c r="O42" s="31">
        <v>4.3</v>
      </c>
      <c r="P42" s="31">
        <v>0</v>
      </c>
      <c r="Q42" s="19"/>
      <c r="R42" s="31">
        <v>0</v>
      </c>
      <c r="S42" s="31">
        <v>13</v>
      </c>
      <c r="T42" s="31">
        <v>1.1000000000000001</v>
      </c>
      <c r="U42" s="19"/>
      <c r="V42" s="31">
        <v>0</v>
      </c>
      <c r="W42" s="31">
        <v>0</v>
      </c>
      <c r="X42" s="31">
        <v>0</v>
      </c>
      <c r="Y42" s="19"/>
      <c r="Z42" s="31">
        <v>0</v>
      </c>
      <c r="AA42" s="31">
        <v>0</v>
      </c>
      <c r="AB42" s="31">
        <v>0</v>
      </c>
      <c r="AC42" s="31">
        <v>0</v>
      </c>
      <c r="AD42" s="19"/>
      <c r="AE42" s="31">
        <v>0</v>
      </c>
      <c r="AF42" s="19"/>
      <c r="AG42" s="19"/>
      <c r="AH42" s="19"/>
    </row>
    <row r="43" spans="1:34" ht="15.75" customHeight="1" x14ac:dyDescent="0.2">
      <c r="A43" s="44">
        <v>45877</v>
      </c>
      <c r="B43" s="45">
        <v>5</v>
      </c>
      <c r="C43" s="45">
        <v>17</v>
      </c>
      <c r="D43" s="45">
        <v>12</v>
      </c>
      <c r="E43" s="19"/>
      <c r="F43" s="31">
        <v>2</v>
      </c>
      <c r="G43" s="45">
        <v>12</v>
      </c>
      <c r="H43" s="45">
        <v>0</v>
      </c>
      <c r="I43" s="19"/>
      <c r="J43" s="31">
        <v>10.1</v>
      </c>
      <c r="K43" s="31">
        <f t="shared" si="21"/>
        <v>5.6</v>
      </c>
      <c r="L43" s="31">
        <v>10</v>
      </c>
      <c r="M43" s="19"/>
      <c r="N43" s="31">
        <v>0</v>
      </c>
      <c r="O43" s="31">
        <v>1.2</v>
      </c>
      <c r="P43" s="31">
        <v>0.6</v>
      </c>
      <c r="Q43" s="19"/>
      <c r="R43" s="31">
        <v>1</v>
      </c>
      <c r="S43" s="31">
        <v>3</v>
      </c>
      <c r="T43" s="31">
        <v>2.5</v>
      </c>
      <c r="U43" s="19"/>
      <c r="V43" s="31">
        <v>0</v>
      </c>
      <c r="W43" s="31">
        <v>0</v>
      </c>
      <c r="X43" s="31">
        <v>0</v>
      </c>
      <c r="Y43" s="19"/>
      <c r="Z43" s="31">
        <v>0</v>
      </c>
      <c r="AA43" s="31">
        <v>0</v>
      </c>
      <c r="AB43" s="31">
        <v>0</v>
      </c>
      <c r="AC43" s="31">
        <v>0</v>
      </c>
      <c r="AD43" s="19"/>
      <c r="AE43" s="31">
        <v>0</v>
      </c>
      <c r="AF43" s="19"/>
      <c r="AG43" s="19"/>
      <c r="AH43" s="19"/>
    </row>
    <row r="44" spans="1:34" ht="15.75" customHeight="1" x14ac:dyDescent="0.2">
      <c r="A44" s="44">
        <v>45878</v>
      </c>
      <c r="B44" s="45">
        <v>6</v>
      </c>
      <c r="C44" s="45">
        <v>42</v>
      </c>
      <c r="D44" s="45">
        <v>0</v>
      </c>
      <c r="E44" s="19"/>
      <c r="F44" s="31">
        <v>2.5</v>
      </c>
      <c r="G44" s="45">
        <v>10</v>
      </c>
      <c r="H44" s="45">
        <v>0</v>
      </c>
      <c r="I44" s="19"/>
      <c r="J44" s="31">
        <v>9.1999999999999993</v>
      </c>
      <c r="K44" s="31">
        <f t="shared" si="21"/>
        <v>8.7999999999999989</v>
      </c>
      <c r="L44" s="31">
        <v>10.4</v>
      </c>
      <c r="M44" s="19"/>
      <c r="N44" s="31">
        <v>0</v>
      </c>
      <c r="O44" s="31">
        <v>4.2</v>
      </c>
      <c r="P44" s="31">
        <v>0</v>
      </c>
      <c r="Q44" s="19"/>
      <c r="R44" s="31">
        <v>0</v>
      </c>
      <c r="S44" s="31">
        <v>20</v>
      </c>
      <c r="T44" s="31">
        <v>0</v>
      </c>
      <c r="U44" s="19"/>
      <c r="V44" s="31">
        <f>(28*2)+11</f>
        <v>67</v>
      </c>
      <c r="W44" s="31">
        <f>(28*4)+19</f>
        <v>131</v>
      </c>
      <c r="X44" s="31">
        <f>(28*4)+10</f>
        <v>122</v>
      </c>
      <c r="Y44" s="19"/>
      <c r="Z44" s="31">
        <f>(24*0)+14</f>
        <v>14</v>
      </c>
      <c r="AA44" s="31">
        <f>(24*0)+0</f>
        <v>0</v>
      </c>
      <c r="AB44" s="31">
        <f>(24*0)+4</f>
        <v>4</v>
      </c>
      <c r="AC44" s="31">
        <f>(24*0)+31</f>
        <v>31</v>
      </c>
      <c r="AD44" s="19"/>
      <c r="AE44" s="31">
        <f>(54*8)+4</f>
        <v>436</v>
      </c>
      <c r="AF44" s="19"/>
      <c r="AG44" s="19"/>
      <c r="AH44" s="19"/>
    </row>
    <row r="45" spans="1:34" ht="15.75" customHeight="1" x14ac:dyDescent="0.2">
      <c r="A45" s="44">
        <v>45879</v>
      </c>
      <c r="B45" s="45">
        <v>9.5</v>
      </c>
      <c r="C45" s="45">
        <v>59</v>
      </c>
      <c r="D45" s="45">
        <v>0</v>
      </c>
      <c r="E45" s="19"/>
      <c r="F45" s="31">
        <v>5</v>
      </c>
      <c r="G45" s="45">
        <v>33</v>
      </c>
      <c r="H45" s="45">
        <v>0</v>
      </c>
      <c r="I45" s="19"/>
      <c r="J45" s="31">
        <v>13.7</v>
      </c>
      <c r="K45" s="31">
        <f t="shared" si="21"/>
        <v>18</v>
      </c>
      <c r="L45" s="31">
        <v>6.1</v>
      </c>
      <c r="M45" s="19"/>
      <c r="N45" s="31">
        <v>3</v>
      </c>
      <c r="O45" s="31">
        <v>9.3000000000000007</v>
      </c>
      <c r="P45" s="31">
        <v>0.2</v>
      </c>
      <c r="Q45" s="19"/>
      <c r="R45" s="31">
        <v>4</v>
      </c>
      <c r="S45" s="31">
        <v>30</v>
      </c>
      <c r="T45" s="31">
        <v>0.3</v>
      </c>
      <c r="U45" s="19"/>
      <c r="V45" s="31">
        <v>0</v>
      </c>
      <c r="W45" s="31">
        <v>0</v>
      </c>
      <c r="X45" s="31">
        <v>0</v>
      </c>
      <c r="Y45" s="19"/>
      <c r="Z45" s="31">
        <v>0</v>
      </c>
      <c r="AA45" s="31">
        <v>0</v>
      </c>
      <c r="AB45" s="31">
        <v>0</v>
      </c>
      <c r="AC45" s="31">
        <v>0</v>
      </c>
      <c r="AD45" s="19"/>
      <c r="AE45" s="31">
        <v>0</v>
      </c>
      <c r="AF45" s="19"/>
      <c r="AG45" s="19"/>
      <c r="AH45" s="19"/>
    </row>
    <row r="46" spans="1:34" ht="15.75" customHeight="1" x14ac:dyDescent="0.2">
      <c r="A46" s="44">
        <v>45880</v>
      </c>
      <c r="B46" s="45">
        <v>4.5</v>
      </c>
      <c r="C46" s="45">
        <v>22</v>
      </c>
      <c r="D46" s="45">
        <v>5</v>
      </c>
      <c r="E46" s="19"/>
      <c r="F46" s="31">
        <v>4</v>
      </c>
      <c r="G46" s="45">
        <v>21</v>
      </c>
      <c r="H46" s="45">
        <v>3</v>
      </c>
      <c r="I46" s="19"/>
      <c r="J46" s="31">
        <v>12.4</v>
      </c>
      <c r="K46" s="31">
        <f t="shared" si="21"/>
        <v>2.1999999999999993</v>
      </c>
      <c r="L46" s="31">
        <v>16.3</v>
      </c>
      <c r="M46" s="19"/>
      <c r="N46" s="31">
        <v>2</v>
      </c>
      <c r="O46" s="31">
        <v>1</v>
      </c>
      <c r="P46" s="31">
        <v>1.8</v>
      </c>
      <c r="Q46" s="19"/>
      <c r="R46" s="31">
        <v>2</v>
      </c>
      <c r="S46" s="31">
        <v>13</v>
      </c>
      <c r="T46" s="31">
        <v>0</v>
      </c>
      <c r="U46" s="19"/>
      <c r="V46" s="31">
        <f>(28*1)+27</f>
        <v>55</v>
      </c>
      <c r="W46" s="31">
        <f>(28*4)+4</f>
        <v>116</v>
      </c>
      <c r="X46" s="31">
        <f t="shared" ref="X46:X50" si="23">(28*4)+8</f>
        <v>120</v>
      </c>
      <c r="Y46" s="19"/>
      <c r="Z46" s="31">
        <f>(24*0)+10</f>
        <v>10</v>
      </c>
      <c r="AA46" s="31">
        <f t="shared" ref="AA46:AA48" si="24">(24*0)+0</f>
        <v>0</v>
      </c>
      <c r="AB46" s="31">
        <f t="shared" ref="AB46:AB47" si="25">(24*0)+3</f>
        <v>3</v>
      </c>
      <c r="AC46" s="31">
        <f t="shared" ref="AC46:AC50" si="26">(24*0)+28</f>
        <v>28</v>
      </c>
      <c r="AD46" s="19"/>
      <c r="AE46" s="31">
        <f>(48*12)+33</f>
        <v>609</v>
      </c>
      <c r="AF46" s="19"/>
      <c r="AG46" s="19"/>
      <c r="AH46" s="19"/>
    </row>
    <row r="47" spans="1:34" ht="15.75" customHeight="1" x14ac:dyDescent="0.2">
      <c r="A47" s="44">
        <v>45881</v>
      </c>
      <c r="B47" s="45">
        <v>3.5</v>
      </c>
      <c r="C47" s="45">
        <v>23</v>
      </c>
      <c r="D47" s="45">
        <v>0</v>
      </c>
      <c r="E47" s="19"/>
      <c r="F47" s="31">
        <v>2.5</v>
      </c>
      <c r="G47" s="45">
        <v>5</v>
      </c>
      <c r="H47" s="45">
        <v>10</v>
      </c>
      <c r="I47" s="19"/>
      <c r="J47" s="31">
        <v>13.1</v>
      </c>
      <c r="K47" s="31">
        <f t="shared" si="21"/>
        <v>12.7</v>
      </c>
      <c r="L47" s="31">
        <f>9.5+7.2</f>
        <v>16.7</v>
      </c>
      <c r="M47" s="19"/>
      <c r="N47" s="31">
        <v>2</v>
      </c>
      <c r="O47" s="31">
        <v>5.2</v>
      </c>
      <c r="P47" s="31">
        <v>1.8</v>
      </c>
      <c r="Q47" s="19"/>
      <c r="R47" s="31">
        <v>1</v>
      </c>
      <c r="S47" s="31">
        <v>9</v>
      </c>
      <c r="T47" s="31">
        <v>0.2</v>
      </c>
      <c r="U47" s="19"/>
      <c r="V47" s="31">
        <f>(28*1)+23</f>
        <v>51</v>
      </c>
      <c r="W47" s="31">
        <f>(28*3)+29</f>
        <v>113</v>
      </c>
      <c r="X47" s="31">
        <f t="shared" si="23"/>
        <v>120</v>
      </c>
      <c r="Y47" s="19"/>
      <c r="Z47" s="31">
        <f>(24*0)+5</f>
        <v>5</v>
      </c>
      <c r="AA47" s="31">
        <f t="shared" si="24"/>
        <v>0</v>
      </c>
      <c r="AB47" s="31">
        <f t="shared" si="25"/>
        <v>3</v>
      </c>
      <c r="AC47" s="31">
        <f t="shared" si="26"/>
        <v>28</v>
      </c>
      <c r="AD47" s="19"/>
      <c r="AE47" s="31">
        <f>(42*12)+41</f>
        <v>545</v>
      </c>
      <c r="AF47" s="19"/>
      <c r="AG47" s="19"/>
      <c r="AH47" s="19"/>
    </row>
    <row r="48" spans="1:34" ht="15.75" customHeight="1" x14ac:dyDescent="0.2">
      <c r="A48" s="44">
        <v>45882</v>
      </c>
      <c r="B48" s="45">
        <v>5</v>
      </c>
      <c r="C48" s="45">
        <v>20</v>
      </c>
      <c r="D48" s="45">
        <v>10</v>
      </c>
      <c r="E48" s="19"/>
      <c r="F48" s="31">
        <v>2</v>
      </c>
      <c r="G48" s="45">
        <v>10</v>
      </c>
      <c r="H48" s="45">
        <v>2</v>
      </c>
      <c r="I48" s="19"/>
      <c r="J48" s="31">
        <v>8.6999999999999993</v>
      </c>
      <c r="K48" s="31">
        <f t="shared" si="21"/>
        <v>5</v>
      </c>
      <c r="L48" s="31">
        <f>7.6+7.5+5.3</f>
        <v>20.399999999999999</v>
      </c>
      <c r="M48" s="19"/>
      <c r="N48" s="31">
        <v>1</v>
      </c>
      <c r="O48" s="31">
        <v>4.4000000000000004</v>
      </c>
      <c r="P48" s="31">
        <v>1.7</v>
      </c>
      <c r="Q48" s="19"/>
      <c r="R48" s="31">
        <v>2</v>
      </c>
      <c r="S48" s="31">
        <v>20</v>
      </c>
      <c r="T48" s="31">
        <v>0</v>
      </c>
      <c r="U48" s="19"/>
      <c r="V48" s="31">
        <f>(28*1)+21</f>
        <v>49</v>
      </c>
      <c r="W48" s="31">
        <f>(28*3)+23</f>
        <v>107</v>
      </c>
      <c r="X48" s="31">
        <f t="shared" si="23"/>
        <v>120</v>
      </c>
      <c r="Y48" s="19"/>
      <c r="Z48" s="31">
        <f>(24*0)+2</f>
        <v>2</v>
      </c>
      <c r="AA48" s="31">
        <f t="shared" si="24"/>
        <v>0</v>
      </c>
      <c r="AB48" s="31">
        <f>(24*0)+2</f>
        <v>2</v>
      </c>
      <c r="AC48" s="31">
        <f t="shared" si="26"/>
        <v>28</v>
      </c>
      <c r="AD48" s="19"/>
      <c r="AE48" s="31">
        <f>(42*12)+27</f>
        <v>531</v>
      </c>
      <c r="AF48" s="19"/>
      <c r="AG48" s="19"/>
      <c r="AH48" s="19"/>
    </row>
    <row r="49" spans="1:34" ht="15.75" customHeight="1" x14ac:dyDescent="0.2">
      <c r="A49" s="44">
        <v>45883</v>
      </c>
      <c r="B49" s="45">
        <v>4.5</v>
      </c>
      <c r="C49" s="45">
        <v>16</v>
      </c>
      <c r="D49" s="45">
        <v>11</v>
      </c>
      <c r="E49" s="19"/>
      <c r="F49" s="31">
        <v>2</v>
      </c>
      <c r="G49" s="45">
        <v>6</v>
      </c>
      <c r="H49" s="45">
        <v>6</v>
      </c>
      <c r="I49" s="19"/>
      <c r="J49" s="31">
        <v>0</v>
      </c>
      <c r="K49" s="31">
        <f t="shared" si="21"/>
        <v>5.7999999999999989</v>
      </c>
      <c r="L49" s="31">
        <f>12+2.6</f>
        <v>14.6</v>
      </c>
      <c r="M49" s="19"/>
      <c r="N49" s="31">
        <v>0</v>
      </c>
      <c r="O49" s="31">
        <v>6.2</v>
      </c>
      <c r="P49" s="31">
        <v>0</v>
      </c>
      <c r="Q49" s="19"/>
      <c r="R49" s="31">
        <v>2.5</v>
      </c>
      <c r="S49" s="31">
        <v>12</v>
      </c>
      <c r="T49" s="31">
        <v>0</v>
      </c>
      <c r="U49" s="19"/>
      <c r="V49" s="31">
        <f>(28*1)+15</f>
        <v>43</v>
      </c>
      <c r="W49" s="31">
        <f>(28*3)+22</f>
        <v>106</v>
      </c>
      <c r="X49" s="31">
        <f t="shared" si="23"/>
        <v>120</v>
      </c>
      <c r="Y49" s="19"/>
      <c r="Z49" s="31">
        <f>(24*0)+1</f>
        <v>1</v>
      </c>
      <c r="AA49" s="31">
        <v>0</v>
      </c>
      <c r="AB49" s="31">
        <f>(24*0)+0</f>
        <v>0</v>
      </c>
      <c r="AC49" s="31">
        <f t="shared" si="26"/>
        <v>28</v>
      </c>
      <c r="AD49" s="19"/>
      <c r="AE49" s="31">
        <f>(41*12)+27</f>
        <v>519</v>
      </c>
      <c r="AF49" s="19"/>
      <c r="AG49" s="19"/>
      <c r="AH49" s="19"/>
    </row>
    <row r="50" spans="1:34" ht="15.75" customHeight="1" x14ac:dyDescent="0.2">
      <c r="A50" s="44">
        <v>45884</v>
      </c>
      <c r="B50" s="45">
        <v>9</v>
      </c>
      <c r="C50" s="45">
        <v>51</v>
      </c>
      <c r="D50" s="45">
        <v>0</v>
      </c>
      <c r="E50" s="19"/>
      <c r="F50" s="31">
        <v>7</v>
      </c>
      <c r="G50" s="45">
        <v>34</v>
      </c>
      <c r="H50" s="45">
        <v>8</v>
      </c>
      <c r="I50" s="19"/>
      <c r="J50" s="31">
        <v>13.5</v>
      </c>
      <c r="K50" s="31">
        <f t="shared" si="21"/>
        <v>20.3</v>
      </c>
      <c r="L50" s="31">
        <v>7.8</v>
      </c>
      <c r="M50" s="19"/>
      <c r="N50" s="31">
        <v>2.5</v>
      </c>
      <c r="O50" s="31">
        <v>6.3</v>
      </c>
      <c r="P50" s="31">
        <v>0</v>
      </c>
      <c r="Q50" s="19"/>
      <c r="R50" s="31">
        <v>2</v>
      </c>
      <c r="S50" s="31">
        <v>29</v>
      </c>
      <c r="T50" s="31">
        <v>0</v>
      </c>
      <c r="U50" s="19"/>
      <c r="V50" s="31">
        <f>(28*1)+21</f>
        <v>49</v>
      </c>
      <c r="W50" s="31">
        <f>(28*3)+23</f>
        <v>107</v>
      </c>
      <c r="X50" s="31">
        <f t="shared" si="23"/>
        <v>120</v>
      </c>
      <c r="Y50" s="19"/>
      <c r="Z50" s="31">
        <f>(24*0)+2</f>
        <v>2</v>
      </c>
      <c r="AA50" s="31">
        <v>0</v>
      </c>
      <c r="AB50" s="31">
        <f>(24*0)+2</f>
        <v>2</v>
      </c>
      <c r="AC50" s="31">
        <f t="shared" si="26"/>
        <v>28</v>
      </c>
      <c r="AD50" s="19"/>
      <c r="AE50" s="31">
        <f>(42*12)+27</f>
        <v>531</v>
      </c>
      <c r="AF50" s="19"/>
      <c r="AG50" s="19"/>
      <c r="AH50" s="19"/>
    </row>
    <row r="51" spans="1:34" ht="15.75" customHeight="1" x14ac:dyDescent="0.2">
      <c r="A51" s="44">
        <v>45885</v>
      </c>
      <c r="B51" s="45">
        <v>0</v>
      </c>
      <c r="C51" s="45">
        <v>0</v>
      </c>
      <c r="D51" s="45">
        <v>0</v>
      </c>
      <c r="E51" s="19"/>
      <c r="F51" s="31">
        <v>0</v>
      </c>
      <c r="G51" s="45">
        <v>0</v>
      </c>
      <c r="H51" s="45">
        <v>0</v>
      </c>
      <c r="I51" s="19"/>
      <c r="J51" s="31">
        <v>0</v>
      </c>
      <c r="K51" s="31">
        <f t="shared" si="21"/>
        <v>0</v>
      </c>
      <c r="L51" s="31">
        <v>7.8</v>
      </c>
      <c r="M51" s="19"/>
      <c r="N51" s="31">
        <v>0</v>
      </c>
      <c r="O51" s="31">
        <v>0</v>
      </c>
      <c r="P51" s="31">
        <v>2.5</v>
      </c>
      <c r="Q51" s="19"/>
      <c r="R51" s="31">
        <v>0</v>
      </c>
      <c r="S51" s="31">
        <v>0</v>
      </c>
      <c r="T51" s="31">
        <v>0</v>
      </c>
      <c r="U51" s="19"/>
      <c r="V51" s="31">
        <v>0</v>
      </c>
      <c r="W51" s="31">
        <v>0</v>
      </c>
      <c r="X51" s="31">
        <v>0</v>
      </c>
      <c r="Y51" s="19"/>
      <c r="Z51" s="31">
        <v>0</v>
      </c>
      <c r="AA51" s="31">
        <v>0</v>
      </c>
      <c r="AB51" s="31">
        <v>0</v>
      </c>
      <c r="AC51" s="31">
        <v>0</v>
      </c>
      <c r="AD51" s="19"/>
      <c r="AE51" s="31">
        <v>0</v>
      </c>
      <c r="AF51" s="19"/>
      <c r="AG51" s="19"/>
      <c r="AH51" s="19"/>
    </row>
    <row r="52" spans="1:34" ht="15.75" customHeight="1" x14ac:dyDescent="0.2">
      <c r="A52" s="44">
        <v>45886</v>
      </c>
      <c r="B52" s="45">
        <v>8.3000000000000007</v>
      </c>
      <c r="C52" s="45">
        <v>50</v>
      </c>
      <c r="D52" s="45">
        <v>1</v>
      </c>
      <c r="E52" s="19"/>
      <c r="F52" s="31">
        <v>3</v>
      </c>
      <c r="G52" s="45">
        <v>9</v>
      </c>
      <c r="H52" s="45">
        <v>9</v>
      </c>
      <c r="I52" s="19"/>
      <c r="J52" s="31">
        <v>15.8</v>
      </c>
      <c r="K52" s="31">
        <f t="shared" si="21"/>
        <v>12.8</v>
      </c>
      <c r="L52" s="31">
        <f>7.4+3.4</f>
        <v>10.8</v>
      </c>
      <c r="M52" s="19"/>
      <c r="N52" s="31">
        <v>3</v>
      </c>
      <c r="O52" s="31">
        <v>1.1000000000000001</v>
      </c>
      <c r="P52" s="31">
        <v>2.5</v>
      </c>
      <c r="Q52" s="19"/>
      <c r="R52" s="31">
        <v>2</v>
      </c>
      <c r="S52" s="31">
        <v>21</v>
      </c>
      <c r="T52" s="31">
        <v>0</v>
      </c>
      <c r="U52" s="19"/>
      <c r="V52" s="31">
        <v>0</v>
      </c>
      <c r="W52" s="31">
        <v>0</v>
      </c>
      <c r="X52" s="31">
        <v>0</v>
      </c>
      <c r="Y52" s="19"/>
      <c r="Z52" s="31">
        <v>0</v>
      </c>
      <c r="AA52" s="31">
        <v>0</v>
      </c>
      <c r="AB52" s="31">
        <v>0</v>
      </c>
      <c r="AC52" s="31">
        <v>0</v>
      </c>
      <c r="AD52" s="19"/>
      <c r="AE52" s="31">
        <v>0</v>
      </c>
      <c r="AF52" s="19"/>
      <c r="AG52" s="19"/>
      <c r="AH52" s="19"/>
    </row>
    <row r="53" spans="1:34" ht="15.75" customHeight="1" x14ac:dyDescent="0.2">
      <c r="A53" s="44">
        <v>45887</v>
      </c>
      <c r="B53" s="45">
        <v>5</v>
      </c>
      <c r="C53" s="45">
        <v>26</v>
      </c>
      <c r="D53" s="45">
        <v>4</v>
      </c>
      <c r="E53" s="19"/>
      <c r="F53" s="31">
        <v>2</v>
      </c>
      <c r="G53" s="45">
        <v>3</v>
      </c>
      <c r="H53" s="45">
        <v>9</v>
      </c>
      <c r="I53" s="19"/>
      <c r="J53" s="31">
        <v>8</v>
      </c>
      <c r="K53" s="31">
        <f t="shared" si="21"/>
        <v>4.1999999999999993</v>
      </c>
      <c r="L53" s="31">
        <f>11.4+3.2</f>
        <v>14.600000000000001</v>
      </c>
      <c r="M53" s="19"/>
      <c r="N53" s="31">
        <v>0</v>
      </c>
      <c r="O53" s="31">
        <v>1.2</v>
      </c>
      <c r="P53" s="31">
        <v>2.1</v>
      </c>
      <c r="Q53" s="19"/>
      <c r="R53" s="31">
        <v>2.1</v>
      </c>
      <c r="S53" s="31">
        <v>15</v>
      </c>
      <c r="T53" s="31">
        <v>0</v>
      </c>
      <c r="U53" s="19"/>
      <c r="V53" s="31">
        <v>0</v>
      </c>
      <c r="W53" s="31">
        <v>0</v>
      </c>
      <c r="X53" s="31">
        <v>0</v>
      </c>
      <c r="Y53" s="19"/>
      <c r="Z53" s="31">
        <v>0</v>
      </c>
      <c r="AA53" s="31">
        <v>0</v>
      </c>
      <c r="AB53" s="31">
        <v>0</v>
      </c>
      <c r="AC53" s="31">
        <v>0</v>
      </c>
      <c r="AD53" s="19"/>
      <c r="AE53" s="31">
        <v>0</v>
      </c>
      <c r="AF53" s="19"/>
      <c r="AG53" s="19"/>
      <c r="AH53" s="19"/>
    </row>
    <row r="54" spans="1:34" ht="15.75" customHeight="1" x14ac:dyDescent="0.2">
      <c r="A54" s="44">
        <v>45888</v>
      </c>
      <c r="B54" s="45">
        <v>4</v>
      </c>
      <c r="C54" s="45">
        <v>15</v>
      </c>
      <c r="D54" s="45">
        <v>9</v>
      </c>
      <c r="E54" s="19"/>
      <c r="F54" s="31">
        <v>2</v>
      </c>
      <c r="G54" s="45">
        <v>10</v>
      </c>
      <c r="H54" s="45">
        <v>2</v>
      </c>
      <c r="I54" s="19"/>
      <c r="J54" s="31">
        <v>6</v>
      </c>
      <c r="K54" s="31">
        <f t="shared" si="21"/>
        <v>4.1000000000000014</v>
      </c>
      <c r="L54" s="31">
        <f>7.8+8.7</f>
        <v>16.5</v>
      </c>
      <c r="M54" s="19"/>
      <c r="N54" s="31">
        <v>0</v>
      </c>
      <c r="O54" s="31">
        <v>2</v>
      </c>
      <c r="P54" s="31">
        <v>2</v>
      </c>
      <c r="Q54" s="19"/>
      <c r="R54" s="31">
        <v>2</v>
      </c>
      <c r="S54" s="31">
        <v>9</v>
      </c>
      <c r="T54" s="31">
        <v>1.7</v>
      </c>
      <c r="U54" s="19"/>
      <c r="V54" s="31">
        <f t="shared" ref="V54:V55" si="27">(28*0)+18</f>
        <v>18</v>
      </c>
      <c r="W54" s="31">
        <f t="shared" ref="W54:W55" si="28">(28*3)+8</f>
        <v>92</v>
      </c>
      <c r="X54" s="31">
        <f t="shared" ref="X54:X55" si="29">(28*3)+23</f>
        <v>107</v>
      </c>
      <c r="Y54" s="19"/>
      <c r="Z54" s="31">
        <f t="shared" ref="Z54:AB54" si="30">(24*0)+0</f>
        <v>0</v>
      </c>
      <c r="AA54" s="31">
        <f t="shared" si="30"/>
        <v>0</v>
      </c>
      <c r="AB54" s="31">
        <f t="shared" si="30"/>
        <v>0</v>
      </c>
      <c r="AC54" s="31">
        <f t="shared" ref="AC54:AC55" si="31">(24*0)+18</f>
        <v>18</v>
      </c>
      <c r="AD54" s="19"/>
      <c r="AE54" s="31">
        <f t="shared" ref="AE54:AE55" si="32">(34*12)+23</f>
        <v>431</v>
      </c>
      <c r="AF54" s="19"/>
      <c r="AG54" s="19"/>
      <c r="AH54" s="19"/>
    </row>
    <row r="55" spans="1:34" ht="15.75" customHeight="1" x14ac:dyDescent="0.2">
      <c r="A55" s="44">
        <v>45889</v>
      </c>
      <c r="B55" s="45">
        <v>4</v>
      </c>
      <c r="C55" s="45">
        <v>22</v>
      </c>
      <c r="D55" s="45">
        <v>0</v>
      </c>
      <c r="E55" s="19"/>
      <c r="F55" s="31">
        <v>2</v>
      </c>
      <c r="G55" s="45">
        <v>3</v>
      </c>
      <c r="H55" s="45">
        <v>9</v>
      </c>
      <c r="I55" s="19"/>
      <c r="J55" s="31">
        <v>8.9</v>
      </c>
      <c r="K55" s="31">
        <f t="shared" si="21"/>
        <v>5.5999999999999979</v>
      </c>
      <c r="L55" s="31">
        <f>13+6.8</f>
        <v>19.8</v>
      </c>
      <c r="M55" s="19"/>
      <c r="N55" s="31">
        <v>0</v>
      </c>
      <c r="O55" s="31">
        <v>6</v>
      </c>
      <c r="P55" s="31">
        <v>0.7</v>
      </c>
      <c r="Q55" s="19"/>
      <c r="R55" s="31">
        <v>1</v>
      </c>
      <c r="S55" s="31">
        <v>15</v>
      </c>
      <c r="T55" s="31">
        <v>0.7</v>
      </c>
      <c r="U55" s="19"/>
      <c r="V55" s="31">
        <f t="shared" si="27"/>
        <v>18</v>
      </c>
      <c r="W55" s="31">
        <f t="shared" si="28"/>
        <v>92</v>
      </c>
      <c r="X55" s="31">
        <f t="shared" si="29"/>
        <v>107</v>
      </c>
      <c r="Y55" s="19"/>
      <c r="Z55" s="31">
        <f t="shared" ref="Z55:AB55" si="33">(24*0)+0</f>
        <v>0</v>
      </c>
      <c r="AA55" s="31">
        <f t="shared" si="33"/>
        <v>0</v>
      </c>
      <c r="AB55" s="31">
        <f t="shared" si="33"/>
        <v>0</v>
      </c>
      <c r="AC55" s="31">
        <f t="shared" si="31"/>
        <v>18</v>
      </c>
      <c r="AD55" s="19"/>
      <c r="AE55" s="31">
        <f t="shared" si="32"/>
        <v>431</v>
      </c>
      <c r="AF55" s="19"/>
      <c r="AG55" s="19"/>
      <c r="AH55" s="19"/>
    </row>
    <row r="56" spans="1:34" ht="15.75" customHeight="1" x14ac:dyDescent="0.2">
      <c r="A56" s="44">
        <v>45890</v>
      </c>
      <c r="B56" s="45">
        <v>4</v>
      </c>
      <c r="C56" s="45">
        <v>13</v>
      </c>
      <c r="D56" s="45">
        <v>0</v>
      </c>
      <c r="E56" s="19"/>
      <c r="F56" s="31">
        <v>2</v>
      </c>
      <c r="G56" s="45">
        <v>6</v>
      </c>
      <c r="H56" s="45">
        <v>6</v>
      </c>
      <c r="I56" s="19"/>
      <c r="J56" s="31">
        <v>0</v>
      </c>
      <c r="K56" s="31">
        <f t="shared" si="21"/>
        <v>5.3000000000000007</v>
      </c>
      <c r="L56" s="31">
        <f>9.4+5.1</f>
        <v>14.5</v>
      </c>
      <c r="M56" s="19"/>
      <c r="N56" s="31">
        <v>2.2999999999999998</v>
      </c>
      <c r="O56" s="31">
        <v>4.2</v>
      </c>
      <c r="P56" s="31">
        <v>1.4</v>
      </c>
      <c r="Q56" s="19"/>
      <c r="R56" s="31">
        <v>2</v>
      </c>
      <c r="S56" s="31">
        <v>7</v>
      </c>
      <c r="T56" s="31">
        <v>1</v>
      </c>
      <c r="U56" s="19"/>
      <c r="V56" s="31">
        <v>0</v>
      </c>
      <c r="W56" s="31">
        <v>0</v>
      </c>
      <c r="X56" s="31">
        <v>0</v>
      </c>
      <c r="Y56" s="19"/>
      <c r="Z56" s="31">
        <v>0</v>
      </c>
      <c r="AA56" s="31">
        <v>0</v>
      </c>
      <c r="AB56" s="31">
        <v>0</v>
      </c>
      <c r="AC56" s="31">
        <v>0</v>
      </c>
      <c r="AD56" s="19"/>
      <c r="AE56" s="31">
        <v>0</v>
      </c>
      <c r="AF56" s="19"/>
      <c r="AG56" s="19"/>
      <c r="AH56" s="19"/>
    </row>
    <row r="57" spans="1:34" ht="15.75" customHeight="1" x14ac:dyDescent="0.2">
      <c r="A57" s="44">
        <v>45891</v>
      </c>
      <c r="B57" s="45">
        <v>15</v>
      </c>
      <c r="C57" s="45">
        <v>95</v>
      </c>
      <c r="D57" s="45">
        <v>10</v>
      </c>
      <c r="E57" s="19"/>
      <c r="F57" s="31">
        <v>2</v>
      </c>
      <c r="G57" s="45">
        <v>4</v>
      </c>
      <c r="H57" s="45">
        <v>8</v>
      </c>
      <c r="I57" s="19"/>
      <c r="J57" s="31">
        <v>24.7</v>
      </c>
      <c r="K57" s="31">
        <f t="shared" si="21"/>
        <v>23.1</v>
      </c>
      <c r="L57" s="31">
        <f>5+11.1</f>
        <v>16.100000000000001</v>
      </c>
      <c r="M57" s="19"/>
      <c r="N57" s="31">
        <v>0</v>
      </c>
      <c r="O57" s="31">
        <v>1.3</v>
      </c>
      <c r="P57" s="31">
        <v>2.4</v>
      </c>
      <c r="Q57" s="19"/>
      <c r="R57" s="31">
        <v>0</v>
      </c>
      <c r="S57" s="31">
        <v>7</v>
      </c>
      <c r="T57" s="31">
        <v>2</v>
      </c>
      <c r="U57" s="19"/>
      <c r="V57" s="31">
        <v>0</v>
      </c>
      <c r="W57" s="31">
        <v>0</v>
      </c>
      <c r="X57" s="31">
        <v>0</v>
      </c>
      <c r="Y57" s="19"/>
      <c r="Z57" s="31">
        <v>0</v>
      </c>
      <c r="AA57" s="31">
        <v>0</v>
      </c>
      <c r="AB57" s="31">
        <v>0</v>
      </c>
      <c r="AC57" s="31">
        <v>0</v>
      </c>
      <c r="AD57" s="19"/>
      <c r="AE57" s="31">
        <v>0</v>
      </c>
      <c r="AF57" s="19"/>
      <c r="AG57" s="19"/>
      <c r="AH57" s="19"/>
    </row>
    <row r="58" spans="1:34" ht="15.75" customHeight="1" x14ac:dyDescent="0.2">
      <c r="A58" s="44">
        <v>45892</v>
      </c>
      <c r="B58" s="45">
        <v>21</v>
      </c>
      <c r="C58" s="45">
        <f>34+101</f>
        <v>135</v>
      </c>
      <c r="D58" s="45">
        <v>0</v>
      </c>
      <c r="E58" s="19"/>
      <c r="F58" s="31">
        <v>2</v>
      </c>
      <c r="G58" s="45">
        <v>4</v>
      </c>
      <c r="H58" s="45">
        <v>8</v>
      </c>
      <c r="I58" s="19"/>
      <c r="J58" s="31">
        <v>29.2</v>
      </c>
      <c r="K58" s="31">
        <f t="shared" si="21"/>
        <v>33.799999999999997</v>
      </c>
      <c r="L58" s="31">
        <f>6.5+5</f>
        <v>11.5</v>
      </c>
      <c r="M58" s="19"/>
      <c r="N58" s="31">
        <v>0</v>
      </c>
      <c r="O58" s="31">
        <v>1.4</v>
      </c>
      <c r="P58" s="31">
        <v>3.2</v>
      </c>
      <c r="Q58" s="19"/>
      <c r="R58" s="31">
        <v>0</v>
      </c>
      <c r="S58" s="31">
        <v>4</v>
      </c>
      <c r="T58" s="31">
        <v>3</v>
      </c>
      <c r="U58" s="19"/>
      <c r="V58" s="31">
        <v>0</v>
      </c>
      <c r="W58" s="31">
        <v>0</v>
      </c>
      <c r="X58" s="31">
        <v>0</v>
      </c>
      <c r="Y58" s="19"/>
      <c r="Z58" s="31">
        <v>0</v>
      </c>
      <c r="AA58" s="31">
        <v>0</v>
      </c>
      <c r="AB58" s="31">
        <v>0</v>
      </c>
      <c r="AC58" s="31">
        <v>0</v>
      </c>
      <c r="AD58" s="19"/>
      <c r="AE58" s="31">
        <v>0</v>
      </c>
      <c r="AF58" s="19"/>
      <c r="AG58" s="19"/>
      <c r="AH58" s="19"/>
    </row>
    <row r="59" spans="1:34" ht="15.75" customHeight="1" x14ac:dyDescent="0.2">
      <c r="A59" s="44">
        <v>45893</v>
      </c>
      <c r="B59" s="45">
        <v>33</v>
      </c>
      <c r="C59" s="45">
        <f>22+206</f>
        <v>228</v>
      </c>
      <c r="D59" s="45">
        <v>0</v>
      </c>
      <c r="E59" s="19"/>
      <c r="F59" s="31">
        <v>2</v>
      </c>
      <c r="G59" s="45">
        <v>12</v>
      </c>
      <c r="H59" s="45">
        <v>0</v>
      </c>
      <c r="I59" s="19"/>
      <c r="J59" s="31">
        <v>48.6</v>
      </c>
      <c r="K59" s="31">
        <f t="shared" si="21"/>
        <v>51</v>
      </c>
      <c r="L59" s="31">
        <f>3.1+6</f>
        <v>9.1</v>
      </c>
      <c r="M59" s="19"/>
      <c r="N59" s="31">
        <v>0</v>
      </c>
      <c r="O59" s="31">
        <v>2</v>
      </c>
      <c r="P59" s="31">
        <v>3.3</v>
      </c>
      <c r="Q59" s="19"/>
      <c r="R59" s="31">
        <v>0</v>
      </c>
      <c r="S59" s="31">
        <v>7</v>
      </c>
      <c r="T59" s="31">
        <v>4</v>
      </c>
      <c r="U59" s="19"/>
      <c r="V59" s="31">
        <v>0</v>
      </c>
      <c r="W59" s="31">
        <v>0</v>
      </c>
      <c r="X59" s="31">
        <v>0</v>
      </c>
      <c r="Y59" s="19"/>
      <c r="Z59" s="31">
        <v>0</v>
      </c>
      <c r="AA59" s="31">
        <v>0</v>
      </c>
      <c r="AB59" s="31">
        <v>0</v>
      </c>
      <c r="AC59" s="31">
        <v>0</v>
      </c>
      <c r="AD59" s="19"/>
      <c r="AE59" s="31">
        <v>0</v>
      </c>
      <c r="AF59" s="19"/>
      <c r="AG59" s="19"/>
      <c r="AH59" s="19"/>
    </row>
    <row r="60" spans="1:34" ht="15.75" customHeight="1" x14ac:dyDescent="0.2">
      <c r="A60" s="44">
        <v>45894</v>
      </c>
      <c r="B60" s="45">
        <v>15</v>
      </c>
      <c r="C60" s="45">
        <f>29+50</f>
        <v>79</v>
      </c>
      <c r="D60" s="45">
        <v>0</v>
      </c>
      <c r="E60" s="19"/>
      <c r="F60" s="31">
        <v>2</v>
      </c>
      <c r="G60" s="45">
        <v>7</v>
      </c>
      <c r="H60" s="45">
        <v>5</v>
      </c>
      <c r="I60" s="19"/>
      <c r="J60" s="31">
        <v>29.2</v>
      </c>
      <c r="K60" s="31">
        <f t="shared" si="21"/>
        <v>26.699999999999996</v>
      </c>
      <c r="L60" s="31">
        <v>11.6</v>
      </c>
      <c r="M60" s="19"/>
      <c r="N60" s="31">
        <v>0</v>
      </c>
      <c r="O60" s="31">
        <v>3</v>
      </c>
      <c r="P60" s="31">
        <v>5</v>
      </c>
      <c r="Q60" s="19"/>
      <c r="R60" s="31">
        <v>0</v>
      </c>
      <c r="S60" s="31">
        <v>9</v>
      </c>
      <c r="T60" s="31">
        <v>3</v>
      </c>
      <c r="U60" s="19"/>
      <c r="V60" s="31">
        <v>0</v>
      </c>
      <c r="W60" s="31">
        <v>0</v>
      </c>
      <c r="X60" s="31">
        <v>0</v>
      </c>
      <c r="Y60" s="19"/>
      <c r="Z60" s="31">
        <v>0</v>
      </c>
      <c r="AA60" s="31">
        <v>0</v>
      </c>
      <c r="AB60" s="31">
        <v>0</v>
      </c>
      <c r="AC60" s="31">
        <v>0</v>
      </c>
      <c r="AD60" s="19"/>
      <c r="AE60" s="31">
        <v>0</v>
      </c>
      <c r="AF60" s="19"/>
      <c r="AG60" s="19"/>
      <c r="AH60" s="19"/>
    </row>
    <row r="61" spans="1:34" ht="15.75" customHeight="1" x14ac:dyDescent="0.2">
      <c r="A61" s="44">
        <v>45895</v>
      </c>
      <c r="B61" s="45">
        <v>16</v>
      </c>
      <c r="C61" s="45">
        <f>26+72</f>
        <v>98</v>
      </c>
      <c r="D61" s="45">
        <v>0</v>
      </c>
      <c r="E61" s="19"/>
      <c r="F61" s="31">
        <v>0</v>
      </c>
      <c r="G61" s="45">
        <v>0</v>
      </c>
      <c r="H61" s="45">
        <v>0</v>
      </c>
      <c r="I61" s="19"/>
      <c r="J61" s="31">
        <v>8</v>
      </c>
      <c r="K61" s="31">
        <f t="shared" si="21"/>
        <v>11.600000000000001</v>
      </c>
      <c r="L61" s="31">
        <v>8</v>
      </c>
      <c r="M61" s="19"/>
      <c r="N61" s="31">
        <v>0</v>
      </c>
      <c r="O61" s="31">
        <v>4.4000000000000004</v>
      </c>
      <c r="P61" s="31">
        <v>3.2</v>
      </c>
      <c r="Q61" s="19"/>
      <c r="R61" s="31">
        <v>0</v>
      </c>
      <c r="S61" s="31">
        <v>12</v>
      </c>
      <c r="T61" s="31">
        <v>2</v>
      </c>
      <c r="U61" s="19"/>
      <c r="V61" s="31">
        <v>0</v>
      </c>
      <c r="W61" s="31">
        <v>0</v>
      </c>
      <c r="X61" s="31">
        <v>0</v>
      </c>
      <c r="Y61" s="19"/>
      <c r="Z61" s="31">
        <v>0</v>
      </c>
      <c r="AA61" s="31">
        <v>0</v>
      </c>
      <c r="AB61" s="31">
        <v>0</v>
      </c>
      <c r="AC61" s="31">
        <v>0</v>
      </c>
      <c r="AD61" s="19"/>
      <c r="AE61" s="31">
        <v>0</v>
      </c>
      <c r="AF61" s="19"/>
      <c r="AG61" s="19"/>
      <c r="AH61" s="19"/>
    </row>
    <row r="62" spans="1:34" ht="15.75" customHeight="1" x14ac:dyDescent="0.2">
      <c r="A62" s="44">
        <v>45896</v>
      </c>
      <c r="B62" s="45">
        <v>0</v>
      </c>
      <c r="C62" s="45">
        <v>0</v>
      </c>
      <c r="D62" s="45">
        <v>0</v>
      </c>
      <c r="E62" s="19"/>
      <c r="F62" s="31">
        <v>0</v>
      </c>
      <c r="G62" s="45">
        <v>0</v>
      </c>
      <c r="H62" s="45">
        <v>0</v>
      </c>
      <c r="I62" s="19"/>
      <c r="J62" s="31">
        <v>0</v>
      </c>
      <c r="K62" s="31">
        <f t="shared" si="21"/>
        <v>8</v>
      </c>
      <c r="L62" s="31">
        <v>0</v>
      </c>
      <c r="M62" s="19"/>
      <c r="N62" s="31">
        <v>0</v>
      </c>
      <c r="O62" s="31">
        <v>0</v>
      </c>
      <c r="P62" s="31">
        <v>0</v>
      </c>
      <c r="Q62" s="19"/>
      <c r="R62" s="31">
        <v>0</v>
      </c>
      <c r="S62" s="31">
        <v>0</v>
      </c>
      <c r="T62" s="31">
        <v>0</v>
      </c>
      <c r="U62" s="19"/>
      <c r="V62" s="31">
        <v>0</v>
      </c>
      <c r="W62" s="31">
        <v>0</v>
      </c>
      <c r="X62" s="31">
        <v>0</v>
      </c>
      <c r="Y62" s="19"/>
      <c r="Z62" s="31">
        <v>0</v>
      </c>
      <c r="AA62" s="31">
        <v>0</v>
      </c>
      <c r="AB62" s="31">
        <v>0</v>
      </c>
      <c r="AC62" s="31">
        <v>0</v>
      </c>
      <c r="AD62" s="19"/>
      <c r="AE62" s="31">
        <v>0</v>
      </c>
      <c r="AF62" s="19"/>
      <c r="AG62" s="19"/>
      <c r="AH62" s="19"/>
    </row>
    <row r="63" spans="1:34" ht="15.75" customHeight="1" x14ac:dyDescent="0.2">
      <c r="A63" s="44">
        <v>45897</v>
      </c>
      <c r="B63" s="45">
        <v>13</v>
      </c>
      <c r="C63" s="45">
        <f>13+69</f>
        <v>82</v>
      </c>
      <c r="D63" s="45">
        <v>0</v>
      </c>
      <c r="E63" s="19"/>
      <c r="F63" s="31">
        <v>0</v>
      </c>
      <c r="G63" s="45">
        <v>0</v>
      </c>
      <c r="H63" s="45">
        <v>0</v>
      </c>
      <c r="I63" s="19"/>
      <c r="J63" s="31">
        <v>18.8</v>
      </c>
      <c r="K63" s="31">
        <f t="shared" si="21"/>
        <v>8.8000000000000007</v>
      </c>
      <c r="L63" s="31">
        <v>10</v>
      </c>
      <c r="M63" s="19"/>
      <c r="N63" s="31">
        <v>0</v>
      </c>
      <c r="O63" s="31">
        <v>3</v>
      </c>
      <c r="P63" s="31">
        <v>3</v>
      </c>
      <c r="Q63" s="19"/>
      <c r="R63" s="31">
        <v>0</v>
      </c>
      <c r="S63" s="31">
        <v>5</v>
      </c>
      <c r="T63" s="31">
        <v>2.2999999999999998</v>
      </c>
      <c r="U63" s="19"/>
      <c r="V63" s="31">
        <v>0</v>
      </c>
      <c r="W63" s="31">
        <v>0</v>
      </c>
      <c r="X63" s="31">
        <v>0</v>
      </c>
      <c r="Y63" s="19"/>
      <c r="Z63" s="31">
        <v>0</v>
      </c>
      <c r="AA63" s="31">
        <v>0</v>
      </c>
      <c r="AB63" s="31">
        <v>0</v>
      </c>
      <c r="AC63" s="31">
        <v>0</v>
      </c>
      <c r="AD63" s="19"/>
      <c r="AE63" s="31">
        <v>0</v>
      </c>
      <c r="AF63" s="19"/>
      <c r="AG63" s="19"/>
      <c r="AH63" s="19"/>
    </row>
    <row r="64" spans="1:34" ht="15.75" customHeight="1" x14ac:dyDescent="0.2">
      <c r="A64" s="44">
        <v>45898</v>
      </c>
      <c r="B64" s="45">
        <v>5</v>
      </c>
      <c r="C64" s="45">
        <f>10+21</f>
        <v>31</v>
      </c>
      <c r="D64" s="45">
        <v>3</v>
      </c>
      <c r="E64" s="19"/>
      <c r="F64" s="31">
        <v>0</v>
      </c>
      <c r="G64" s="45">
        <v>0</v>
      </c>
      <c r="H64" s="45">
        <v>0</v>
      </c>
      <c r="I64" s="19"/>
      <c r="J64" s="31">
        <v>0</v>
      </c>
      <c r="K64" s="31">
        <f t="shared" si="21"/>
        <v>4.5999999999999996</v>
      </c>
      <c r="L64" s="31">
        <v>5.4</v>
      </c>
      <c r="M64" s="19"/>
      <c r="N64" s="31">
        <v>0</v>
      </c>
      <c r="O64" s="31">
        <v>2.2999999999999998</v>
      </c>
      <c r="P64" s="31">
        <v>2.2000000000000002</v>
      </c>
      <c r="Q64" s="19"/>
      <c r="R64" s="31">
        <v>0</v>
      </c>
      <c r="S64" s="31">
        <v>7</v>
      </c>
      <c r="T64" s="31">
        <v>0.9</v>
      </c>
      <c r="U64" s="19"/>
      <c r="V64" s="31">
        <v>0</v>
      </c>
      <c r="W64" s="31">
        <v>0</v>
      </c>
      <c r="X64" s="31">
        <v>0</v>
      </c>
      <c r="Y64" s="19"/>
      <c r="Z64" s="31">
        <v>0</v>
      </c>
      <c r="AA64" s="31">
        <v>0</v>
      </c>
      <c r="AB64" s="31">
        <v>0</v>
      </c>
      <c r="AC64" s="31">
        <v>0</v>
      </c>
      <c r="AD64" s="19"/>
      <c r="AE64" s="31">
        <v>0</v>
      </c>
      <c r="AF64" s="19"/>
      <c r="AG64" s="19"/>
      <c r="AH64" s="19"/>
    </row>
    <row r="65" spans="1:34" ht="15.75" customHeight="1" x14ac:dyDescent="0.2">
      <c r="A65" s="44">
        <v>45899</v>
      </c>
      <c r="B65" s="45">
        <v>12</v>
      </c>
      <c r="C65" s="45">
        <v>32</v>
      </c>
      <c r="D65" s="45">
        <v>0</v>
      </c>
      <c r="E65" s="19"/>
      <c r="F65" s="31">
        <v>0</v>
      </c>
      <c r="G65" s="45">
        <v>0</v>
      </c>
      <c r="H65" s="45">
        <v>0</v>
      </c>
      <c r="I65" s="19"/>
      <c r="J65" s="31">
        <v>13.4</v>
      </c>
      <c r="K65" s="31">
        <f t="shared" si="21"/>
        <v>11.8</v>
      </c>
      <c r="L65" s="31">
        <v>7</v>
      </c>
      <c r="M65" s="19"/>
      <c r="N65" s="31">
        <v>0</v>
      </c>
      <c r="O65" s="31">
        <v>3.4</v>
      </c>
      <c r="P65" s="31">
        <v>1.4</v>
      </c>
      <c r="Q65" s="19"/>
      <c r="R65" s="31">
        <v>0</v>
      </c>
      <c r="S65" s="31">
        <v>14</v>
      </c>
      <c r="T65" s="31">
        <v>0</v>
      </c>
      <c r="U65" s="19"/>
      <c r="V65" s="31">
        <v>0</v>
      </c>
      <c r="W65" s="31">
        <v>0</v>
      </c>
      <c r="X65" s="31">
        <v>0</v>
      </c>
      <c r="Y65" s="19"/>
      <c r="Z65" s="31">
        <v>0</v>
      </c>
      <c r="AA65" s="31">
        <v>0</v>
      </c>
      <c r="AB65" s="31">
        <v>0</v>
      </c>
      <c r="AC65" s="31">
        <v>0</v>
      </c>
      <c r="AD65" s="19"/>
      <c r="AE65" s="31">
        <v>0</v>
      </c>
      <c r="AF65" s="19"/>
      <c r="AG65" s="19"/>
      <c r="AH65" s="19"/>
    </row>
    <row r="66" spans="1:34" ht="14" x14ac:dyDescent="0.2">
      <c r="A66" s="44">
        <v>45900</v>
      </c>
      <c r="B66" s="45">
        <v>12</v>
      </c>
      <c r="C66" s="45">
        <v>24</v>
      </c>
      <c r="D66" s="45">
        <v>0</v>
      </c>
      <c r="E66" s="19"/>
      <c r="F66" s="31">
        <v>0</v>
      </c>
      <c r="G66" s="45">
        <v>0</v>
      </c>
      <c r="H66" s="45">
        <v>0</v>
      </c>
      <c r="I66" s="19"/>
      <c r="J66" s="31">
        <v>17</v>
      </c>
      <c r="K66" s="31">
        <f t="shared" si="21"/>
        <v>15</v>
      </c>
      <c r="L66" s="31">
        <v>9</v>
      </c>
      <c r="M66" s="19"/>
      <c r="N66" s="31">
        <v>0</v>
      </c>
      <c r="O66" s="31">
        <v>3.3</v>
      </c>
      <c r="P66" s="31">
        <v>0</v>
      </c>
      <c r="Q66" s="19"/>
      <c r="R66" s="31">
        <v>2</v>
      </c>
      <c r="S66" s="31">
        <v>7</v>
      </c>
      <c r="T66" s="31">
        <v>0</v>
      </c>
      <c r="U66" s="19"/>
      <c r="V66" s="31">
        <v>0</v>
      </c>
      <c r="W66" s="31">
        <v>0</v>
      </c>
      <c r="X66" s="31">
        <v>0</v>
      </c>
      <c r="Y66" s="19"/>
      <c r="Z66" s="31">
        <v>0</v>
      </c>
      <c r="AA66" s="31">
        <v>0</v>
      </c>
      <c r="AB66" s="31">
        <v>0</v>
      </c>
      <c r="AC66" s="31">
        <v>0</v>
      </c>
      <c r="AD66" s="19"/>
      <c r="AE66" s="31">
        <v>0</v>
      </c>
      <c r="AF66" s="19"/>
      <c r="AG66" s="19"/>
      <c r="AH66" s="19"/>
    </row>
    <row r="67" spans="1:34" ht="14" x14ac:dyDescent="0.2">
      <c r="A67" s="47" t="s">
        <v>0</v>
      </c>
      <c r="B67" s="48">
        <f t="shared" ref="B67:D67" si="34">SUM(B36:B66)</f>
        <v>251.3</v>
      </c>
      <c r="C67" s="48">
        <f t="shared" si="34"/>
        <v>1371</v>
      </c>
      <c r="D67" s="48">
        <f t="shared" si="34"/>
        <v>92</v>
      </c>
      <c r="E67" s="19"/>
      <c r="F67" s="48">
        <f t="shared" ref="F67:H67" si="35">SUM(F36:F66)</f>
        <v>245</v>
      </c>
      <c r="G67" s="48">
        <f t="shared" si="35"/>
        <v>1737</v>
      </c>
      <c r="H67" s="48">
        <f t="shared" si="35"/>
        <v>93</v>
      </c>
      <c r="I67" s="19"/>
      <c r="J67" s="48">
        <f t="shared" ref="J67:K67" si="36">SUM(J36:J66)</f>
        <v>630.29999999999995</v>
      </c>
      <c r="K67" s="48">
        <f t="shared" si="36"/>
        <v>621.30000000000018</v>
      </c>
      <c r="L67" s="33"/>
      <c r="M67" s="19"/>
      <c r="N67" s="48">
        <f t="shared" ref="N67:O67" si="37">SUM(N36:N66)</f>
        <v>20.7</v>
      </c>
      <c r="O67" s="48">
        <f t="shared" si="37"/>
        <v>99.000000000000014</v>
      </c>
      <c r="P67" s="33"/>
      <c r="Q67" s="19"/>
      <c r="R67" s="48">
        <f t="shared" ref="R67:S67" si="38">SUM(R36:R66)</f>
        <v>32.6</v>
      </c>
      <c r="S67" s="48">
        <f t="shared" si="38"/>
        <v>334</v>
      </c>
      <c r="T67" s="33"/>
      <c r="U67" s="19"/>
      <c r="V67" s="19"/>
      <c r="W67" s="19"/>
      <c r="X67" s="19"/>
      <c r="Y67" s="19"/>
      <c r="Z67" s="19"/>
      <c r="AA67" s="19"/>
      <c r="AB67" s="19"/>
      <c r="AC67" s="19"/>
      <c r="AD67" s="19"/>
      <c r="AE67" s="19"/>
      <c r="AF67" s="19"/>
      <c r="AG67" s="19"/>
      <c r="AH67" s="19"/>
    </row>
    <row r="68" spans="1:34" ht="14" x14ac:dyDescent="0.2">
      <c r="A68" s="44"/>
      <c r="B68" s="45"/>
      <c r="C68" s="45"/>
      <c r="D68" s="45"/>
      <c r="E68" s="19"/>
      <c r="F68" s="45"/>
      <c r="G68" s="45"/>
      <c r="H68" s="45"/>
      <c r="I68" s="19"/>
      <c r="J68" s="31"/>
      <c r="K68" s="45"/>
      <c r="L68" s="45"/>
      <c r="M68" s="19"/>
      <c r="N68" s="31"/>
      <c r="O68" s="45"/>
      <c r="P68" s="45"/>
      <c r="Q68" s="19"/>
      <c r="R68" s="31"/>
      <c r="S68" s="45"/>
      <c r="T68" s="45"/>
      <c r="U68" s="19"/>
      <c r="V68" s="31"/>
      <c r="W68" s="45"/>
      <c r="X68" s="45"/>
      <c r="Y68" s="19"/>
      <c r="Z68" s="31"/>
      <c r="AA68" s="45"/>
      <c r="AB68" s="45"/>
      <c r="AC68" s="45"/>
      <c r="AD68" s="19"/>
      <c r="AE68" s="31"/>
      <c r="AF68" s="19"/>
      <c r="AG68" s="19"/>
      <c r="AH68" s="19"/>
    </row>
    <row r="69" spans="1:34" ht="14" x14ac:dyDescent="0.2">
      <c r="A69" s="44"/>
      <c r="B69" s="45"/>
      <c r="C69" s="45"/>
      <c r="D69" s="45"/>
      <c r="E69" s="19"/>
      <c r="F69" s="45"/>
      <c r="G69" s="45"/>
      <c r="H69" s="45"/>
      <c r="I69" s="19"/>
      <c r="J69" s="31"/>
      <c r="K69" s="45"/>
      <c r="L69" s="45"/>
      <c r="M69" s="19"/>
      <c r="N69" s="31"/>
      <c r="O69" s="45"/>
      <c r="P69" s="45"/>
      <c r="Q69" s="19"/>
      <c r="R69" s="31"/>
      <c r="S69" s="45"/>
      <c r="T69" s="45"/>
      <c r="U69" s="19"/>
      <c r="V69" s="31"/>
      <c r="W69" s="45"/>
      <c r="X69" s="45"/>
      <c r="Y69" s="19"/>
      <c r="Z69" s="31"/>
      <c r="AA69" s="45"/>
      <c r="AB69" s="45"/>
      <c r="AC69" s="45"/>
      <c r="AD69" s="19"/>
      <c r="AE69" s="31"/>
      <c r="AF69" s="19"/>
      <c r="AG69" s="19"/>
      <c r="AH69" s="19"/>
    </row>
    <row r="70" spans="1:34" ht="14" x14ac:dyDescent="0.2">
      <c r="A70" s="44">
        <v>45839</v>
      </c>
      <c r="B70" s="45">
        <v>6</v>
      </c>
      <c r="C70" s="45">
        <v>27</v>
      </c>
      <c r="D70" s="45">
        <v>9</v>
      </c>
      <c r="E70" s="19"/>
      <c r="F70" s="45">
        <v>0</v>
      </c>
      <c r="G70" s="45">
        <v>0</v>
      </c>
      <c r="H70" s="45">
        <v>0</v>
      </c>
      <c r="I70" s="19"/>
      <c r="J70" s="31">
        <v>6.3</v>
      </c>
      <c r="K70" s="46">
        <f>J70-L70</f>
        <v>-3.1000000000000005</v>
      </c>
      <c r="L70" s="45">
        <v>9.4</v>
      </c>
      <c r="M70" s="19"/>
      <c r="N70" s="31">
        <v>0.7</v>
      </c>
      <c r="O70" s="31">
        <v>4</v>
      </c>
      <c r="P70" s="31">
        <v>1.5</v>
      </c>
      <c r="Q70" s="19"/>
      <c r="R70" s="31">
        <v>2</v>
      </c>
      <c r="S70" s="31">
        <v>11</v>
      </c>
      <c r="T70" s="31">
        <v>0.7</v>
      </c>
      <c r="U70" s="19"/>
      <c r="V70" s="31">
        <f t="shared" ref="V70:X70" si="39">(28*0)+0</f>
        <v>0</v>
      </c>
      <c r="W70" s="31">
        <f t="shared" si="39"/>
        <v>0</v>
      </c>
      <c r="X70" s="31">
        <f t="shared" si="39"/>
        <v>0</v>
      </c>
      <c r="Y70" s="19"/>
      <c r="Z70" s="31">
        <f t="shared" ref="Z70:AC70" si="40">(24*0)+0</f>
        <v>0</v>
      </c>
      <c r="AA70" s="31">
        <f t="shared" si="40"/>
        <v>0</v>
      </c>
      <c r="AB70" s="31">
        <f t="shared" si="40"/>
        <v>0</v>
      </c>
      <c r="AC70" s="31">
        <f t="shared" si="40"/>
        <v>0</v>
      </c>
      <c r="AD70" s="19"/>
      <c r="AE70" s="31">
        <f>(12*0)+0</f>
        <v>0</v>
      </c>
      <c r="AF70" s="19"/>
      <c r="AG70" s="19"/>
      <c r="AH70" s="19"/>
    </row>
    <row r="71" spans="1:34" ht="14" x14ac:dyDescent="0.2">
      <c r="A71" s="44">
        <v>45840</v>
      </c>
      <c r="B71" s="45">
        <v>5</v>
      </c>
      <c r="C71" s="45">
        <v>31</v>
      </c>
      <c r="D71" s="45">
        <v>0</v>
      </c>
      <c r="E71" s="19"/>
      <c r="F71" s="45">
        <v>0</v>
      </c>
      <c r="G71" s="45">
        <v>0</v>
      </c>
      <c r="H71" s="45">
        <v>0</v>
      </c>
      <c r="I71" s="19"/>
      <c r="J71" s="31">
        <v>6.2</v>
      </c>
      <c r="K71" s="31">
        <f t="shared" ref="K71:K100" si="41">J71+L70-L71</f>
        <v>4.6000000000000014</v>
      </c>
      <c r="L71" s="45">
        <v>11</v>
      </c>
      <c r="M71" s="19"/>
      <c r="N71" s="31">
        <v>0</v>
      </c>
      <c r="O71" s="31">
        <v>5</v>
      </c>
      <c r="P71" s="31">
        <v>0.5</v>
      </c>
      <c r="Q71" s="19"/>
      <c r="R71" s="31">
        <v>3.1</v>
      </c>
      <c r="S71" s="31">
        <v>15</v>
      </c>
      <c r="T71" s="31">
        <v>2.5</v>
      </c>
      <c r="U71" s="19"/>
      <c r="V71" s="31">
        <v>0</v>
      </c>
      <c r="W71" s="31">
        <v>0</v>
      </c>
      <c r="X71" s="31">
        <v>0</v>
      </c>
      <c r="Y71" s="19"/>
      <c r="Z71" s="31">
        <v>0</v>
      </c>
      <c r="AA71" s="31">
        <v>0</v>
      </c>
      <c r="AB71" s="31">
        <v>0</v>
      </c>
      <c r="AC71" s="31">
        <v>0</v>
      </c>
      <c r="AD71" s="19"/>
      <c r="AE71" s="31">
        <v>0</v>
      </c>
      <c r="AF71" s="19"/>
      <c r="AG71" s="19"/>
      <c r="AH71" s="19"/>
    </row>
    <row r="72" spans="1:34" ht="14" x14ac:dyDescent="0.2">
      <c r="A72" s="44">
        <v>45841</v>
      </c>
      <c r="B72" s="45">
        <v>6</v>
      </c>
      <c r="C72" s="45">
        <v>24</v>
      </c>
      <c r="D72" s="45">
        <v>12</v>
      </c>
      <c r="E72" s="19"/>
      <c r="F72" s="45">
        <v>0</v>
      </c>
      <c r="G72" s="45">
        <v>0</v>
      </c>
      <c r="H72" s="45">
        <v>0</v>
      </c>
      <c r="I72" s="19"/>
      <c r="J72" s="31">
        <v>6.3</v>
      </c>
      <c r="K72" s="31">
        <f t="shared" si="41"/>
        <v>4.9000000000000004</v>
      </c>
      <c r="L72" s="31">
        <v>12.4</v>
      </c>
      <c r="M72" s="19"/>
      <c r="N72" s="31">
        <v>2</v>
      </c>
      <c r="O72" s="31">
        <v>6.2</v>
      </c>
      <c r="P72" s="31">
        <v>0.3</v>
      </c>
      <c r="Q72" s="19"/>
      <c r="R72" s="31">
        <v>1</v>
      </c>
      <c r="S72" s="31">
        <v>7</v>
      </c>
      <c r="T72" s="31">
        <v>1.5</v>
      </c>
      <c r="U72" s="19"/>
      <c r="V72" s="31">
        <v>0</v>
      </c>
      <c r="W72" s="31">
        <v>0</v>
      </c>
      <c r="X72" s="31">
        <v>0</v>
      </c>
      <c r="Y72" s="19"/>
      <c r="Z72" s="31">
        <v>0</v>
      </c>
      <c r="AA72" s="31">
        <v>0</v>
      </c>
      <c r="AB72" s="31">
        <v>0</v>
      </c>
      <c r="AC72" s="31">
        <v>0</v>
      </c>
      <c r="AD72" s="19"/>
      <c r="AE72" s="31">
        <v>0</v>
      </c>
      <c r="AF72" s="19"/>
      <c r="AG72" s="19"/>
      <c r="AH72" s="19"/>
    </row>
    <row r="73" spans="1:34" ht="14" x14ac:dyDescent="0.2">
      <c r="A73" s="44">
        <v>45842</v>
      </c>
      <c r="B73" s="45">
        <v>18</v>
      </c>
      <c r="C73" s="45">
        <f>22+93+3</f>
        <v>118</v>
      </c>
      <c r="D73" s="45">
        <v>0</v>
      </c>
      <c r="E73" s="19"/>
      <c r="F73" s="45">
        <v>0</v>
      </c>
      <c r="G73" s="45">
        <v>0</v>
      </c>
      <c r="H73" s="45">
        <v>0</v>
      </c>
      <c r="I73" s="19"/>
      <c r="J73" s="31">
        <v>16.7</v>
      </c>
      <c r="K73" s="31">
        <f t="shared" si="41"/>
        <v>21</v>
      </c>
      <c r="L73" s="31">
        <v>8.1</v>
      </c>
      <c r="M73" s="19"/>
      <c r="N73" s="31">
        <v>0.9</v>
      </c>
      <c r="O73" s="31">
        <v>4</v>
      </c>
      <c r="P73" s="31">
        <v>0.5</v>
      </c>
      <c r="Q73" s="19"/>
      <c r="R73" s="31">
        <v>1</v>
      </c>
      <c r="S73" s="31">
        <v>12</v>
      </c>
      <c r="T73" s="31">
        <v>1.4</v>
      </c>
      <c r="U73" s="19"/>
      <c r="V73" s="31">
        <v>0</v>
      </c>
      <c r="W73" s="31">
        <v>0</v>
      </c>
      <c r="X73" s="31">
        <v>0</v>
      </c>
      <c r="Y73" s="19"/>
      <c r="Z73" s="31">
        <v>0</v>
      </c>
      <c r="AA73" s="31">
        <v>0</v>
      </c>
      <c r="AB73" s="31">
        <v>0</v>
      </c>
      <c r="AC73" s="31">
        <v>0</v>
      </c>
      <c r="AD73" s="19"/>
      <c r="AE73" s="31">
        <v>0</v>
      </c>
      <c r="AF73" s="19"/>
      <c r="AG73" s="19"/>
      <c r="AH73" s="19"/>
    </row>
    <row r="74" spans="1:34" ht="14" x14ac:dyDescent="0.2">
      <c r="A74" s="44">
        <v>45843</v>
      </c>
      <c r="B74" s="45">
        <v>22</v>
      </c>
      <c r="C74" s="45">
        <f>121+25</f>
        <v>146</v>
      </c>
      <c r="D74" s="45">
        <v>0</v>
      </c>
      <c r="E74" s="19"/>
      <c r="F74" s="45">
        <v>0</v>
      </c>
      <c r="G74" s="45">
        <v>0</v>
      </c>
      <c r="H74" s="45">
        <v>0</v>
      </c>
      <c r="I74" s="19"/>
      <c r="J74" s="31">
        <v>27.9</v>
      </c>
      <c r="K74" s="31">
        <f t="shared" si="41"/>
        <v>26</v>
      </c>
      <c r="L74" s="31">
        <v>10</v>
      </c>
      <c r="M74" s="19"/>
      <c r="N74" s="31">
        <v>0.6</v>
      </c>
      <c r="O74" s="31">
        <v>3.5</v>
      </c>
      <c r="P74" s="31">
        <v>0.5</v>
      </c>
      <c r="Q74" s="19"/>
      <c r="R74" s="31">
        <v>1.5</v>
      </c>
      <c r="S74" s="31">
        <v>16</v>
      </c>
      <c r="T74" s="31">
        <v>3</v>
      </c>
      <c r="U74" s="19"/>
      <c r="V74" s="31">
        <v>0</v>
      </c>
      <c r="W74" s="31">
        <v>0</v>
      </c>
      <c r="X74" s="31">
        <v>0</v>
      </c>
      <c r="Y74" s="19"/>
      <c r="Z74" s="31">
        <v>0</v>
      </c>
      <c r="AA74" s="31">
        <v>0</v>
      </c>
      <c r="AB74" s="31">
        <v>0</v>
      </c>
      <c r="AC74" s="31">
        <v>0</v>
      </c>
      <c r="AD74" s="19"/>
      <c r="AE74" s="31">
        <v>0</v>
      </c>
      <c r="AF74" s="19"/>
      <c r="AG74" s="19"/>
      <c r="AH74" s="19"/>
    </row>
    <row r="75" spans="1:34" ht="14" x14ac:dyDescent="0.2">
      <c r="A75" s="44">
        <v>45844</v>
      </c>
      <c r="B75" s="45">
        <v>17</v>
      </c>
      <c r="C75" s="45">
        <f>35+84</f>
        <v>119</v>
      </c>
      <c r="D75" s="45">
        <v>0</v>
      </c>
      <c r="E75" s="19"/>
      <c r="F75" s="45">
        <v>0</v>
      </c>
      <c r="G75" s="45">
        <v>0</v>
      </c>
      <c r="H75" s="45">
        <v>0</v>
      </c>
      <c r="I75" s="19"/>
      <c r="J75" s="31">
        <v>32.1</v>
      </c>
      <c r="K75" s="31">
        <f t="shared" si="41"/>
        <v>25.1</v>
      </c>
      <c r="L75" s="31">
        <v>17</v>
      </c>
      <c r="M75" s="19"/>
      <c r="N75" s="31">
        <v>2</v>
      </c>
      <c r="O75" s="31">
        <v>2</v>
      </c>
      <c r="P75" s="31">
        <v>1.8</v>
      </c>
      <c r="Q75" s="19"/>
      <c r="R75" s="31">
        <v>0</v>
      </c>
      <c r="S75" s="31">
        <v>15</v>
      </c>
      <c r="T75" s="31">
        <v>3</v>
      </c>
      <c r="U75" s="19"/>
      <c r="V75" s="31">
        <v>0</v>
      </c>
      <c r="W75" s="31">
        <v>0</v>
      </c>
      <c r="X75" s="31">
        <v>0</v>
      </c>
      <c r="Y75" s="19"/>
      <c r="Z75" s="31">
        <v>0</v>
      </c>
      <c r="AA75" s="31">
        <v>0</v>
      </c>
      <c r="AB75" s="31">
        <v>0</v>
      </c>
      <c r="AC75" s="31">
        <v>0</v>
      </c>
      <c r="AD75" s="19"/>
      <c r="AE75" s="31">
        <v>0</v>
      </c>
      <c r="AF75" s="19"/>
      <c r="AG75" s="19"/>
      <c r="AH75" s="19"/>
    </row>
    <row r="76" spans="1:34" ht="14" x14ac:dyDescent="0.2">
      <c r="A76" s="44">
        <v>45845</v>
      </c>
      <c r="B76" s="45">
        <v>12</v>
      </c>
      <c r="C76" s="45">
        <f>16+60</f>
        <v>76</v>
      </c>
      <c r="D76" s="45">
        <v>0</v>
      </c>
      <c r="E76" s="19"/>
      <c r="F76" s="45">
        <v>0</v>
      </c>
      <c r="G76" s="45">
        <v>0</v>
      </c>
      <c r="H76" s="45">
        <v>0</v>
      </c>
      <c r="I76" s="19"/>
      <c r="J76" s="31">
        <v>15.2</v>
      </c>
      <c r="K76" s="31">
        <f t="shared" si="41"/>
        <v>13.600000000000001</v>
      </c>
      <c r="L76" s="31">
        <v>18.600000000000001</v>
      </c>
      <c r="M76" s="19"/>
      <c r="N76" s="31">
        <v>0</v>
      </c>
      <c r="O76" s="31">
        <v>4</v>
      </c>
      <c r="P76" s="31">
        <v>2.8</v>
      </c>
      <c r="Q76" s="19"/>
      <c r="R76" s="31">
        <v>0</v>
      </c>
      <c r="S76" s="31">
        <v>6</v>
      </c>
      <c r="T76" s="31">
        <v>3</v>
      </c>
      <c r="U76" s="19"/>
      <c r="V76" s="31">
        <v>0</v>
      </c>
      <c r="W76" s="31">
        <v>0</v>
      </c>
      <c r="X76" s="31">
        <v>0</v>
      </c>
      <c r="Y76" s="19"/>
      <c r="Z76" s="31">
        <v>0</v>
      </c>
      <c r="AA76" s="31">
        <v>0</v>
      </c>
      <c r="AB76" s="31">
        <v>0</v>
      </c>
      <c r="AC76" s="31">
        <v>0</v>
      </c>
      <c r="AD76" s="19"/>
      <c r="AE76" s="31">
        <v>0</v>
      </c>
      <c r="AF76" s="19"/>
      <c r="AG76" s="19"/>
      <c r="AH76" s="19"/>
    </row>
    <row r="77" spans="1:34" ht="14" x14ac:dyDescent="0.2">
      <c r="A77" s="44">
        <v>45846</v>
      </c>
      <c r="B77" s="45">
        <v>21</v>
      </c>
      <c r="C77" s="45">
        <f>31+123</f>
        <v>154</v>
      </c>
      <c r="D77" s="45">
        <v>0</v>
      </c>
      <c r="E77" s="19"/>
      <c r="F77" s="45">
        <v>0</v>
      </c>
      <c r="G77" s="45">
        <v>0</v>
      </c>
      <c r="H77" s="45">
        <v>0</v>
      </c>
      <c r="I77" s="19"/>
      <c r="J77" s="31">
        <v>8.6</v>
      </c>
      <c r="K77" s="31">
        <f t="shared" si="41"/>
        <v>24.200000000000003</v>
      </c>
      <c r="L77" s="31">
        <v>3</v>
      </c>
      <c r="M77" s="19"/>
      <c r="N77" s="31">
        <v>0</v>
      </c>
      <c r="O77" s="31">
        <v>4</v>
      </c>
      <c r="P77" s="31">
        <v>0</v>
      </c>
      <c r="Q77" s="19"/>
      <c r="R77" s="31">
        <v>0</v>
      </c>
      <c r="S77" s="31">
        <v>18</v>
      </c>
      <c r="T77" s="31">
        <v>1.5</v>
      </c>
      <c r="U77" s="19"/>
      <c r="V77" s="31">
        <f t="shared" ref="V77:V80" si="42">(28*0)+0</f>
        <v>0</v>
      </c>
      <c r="W77" s="31">
        <f>(28*1)+45</f>
        <v>73</v>
      </c>
      <c r="X77" s="31">
        <f>(28*0)+40</f>
        <v>40</v>
      </c>
      <c r="Y77" s="19"/>
      <c r="Z77" s="31">
        <f t="shared" ref="Z77:Z80" si="43">(24*0)+0</f>
        <v>0</v>
      </c>
      <c r="AA77" s="31">
        <f>(24*0)+6</f>
        <v>6</v>
      </c>
      <c r="AB77" s="31">
        <f>(24*0)+0</f>
        <v>0</v>
      </c>
      <c r="AC77" s="31">
        <f t="shared" ref="AC77:AC79" si="44">(24*0)+16</f>
        <v>16</v>
      </c>
      <c r="AD77" s="19"/>
      <c r="AE77" s="31">
        <f>(12*54)+21</f>
        <v>669</v>
      </c>
      <c r="AF77" s="19"/>
      <c r="AG77" s="19"/>
      <c r="AH77" s="19"/>
    </row>
    <row r="78" spans="1:34" ht="14" x14ac:dyDescent="0.2">
      <c r="A78" s="44">
        <v>45847</v>
      </c>
      <c r="B78" s="45">
        <v>14</v>
      </c>
      <c r="C78" s="45">
        <f>35+57</f>
        <v>92</v>
      </c>
      <c r="D78" s="45">
        <v>12</v>
      </c>
      <c r="E78" s="19"/>
      <c r="F78" s="45">
        <v>0</v>
      </c>
      <c r="G78" s="45">
        <v>0</v>
      </c>
      <c r="H78" s="45">
        <v>0</v>
      </c>
      <c r="I78" s="19"/>
      <c r="J78" s="31">
        <v>20.9</v>
      </c>
      <c r="K78" s="31">
        <f t="shared" si="41"/>
        <v>18.399999999999999</v>
      </c>
      <c r="L78" s="31">
        <v>5.5</v>
      </c>
      <c r="M78" s="19"/>
      <c r="N78" s="31">
        <v>0</v>
      </c>
      <c r="O78" s="31">
        <v>0</v>
      </c>
      <c r="P78" s="31">
        <v>1.2</v>
      </c>
      <c r="Q78" s="19"/>
      <c r="R78" s="31">
        <v>0</v>
      </c>
      <c r="S78" s="31">
        <v>0</v>
      </c>
      <c r="T78" s="31">
        <v>1.4</v>
      </c>
      <c r="U78" s="19"/>
      <c r="V78" s="31">
        <f t="shared" si="42"/>
        <v>0</v>
      </c>
      <c r="W78" s="31">
        <f t="shared" ref="W78:W79" si="45">(28*1)+40</f>
        <v>68</v>
      </c>
      <c r="X78" s="31">
        <f t="shared" ref="X78:X79" si="46">(28*0)+37</f>
        <v>37</v>
      </c>
      <c r="Y78" s="19"/>
      <c r="Z78" s="31">
        <f t="shared" si="43"/>
        <v>0</v>
      </c>
      <c r="AA78" s="31">
        <f t="shared" ref="AA78:AB78" si="47">(24*0)+0</f>
        <v>0</v>
      </c>
      <c r="AB78" s="31">
        <f t="shared" si="47"/>
        <v>0</v>
      </c>
      <c r="AC78" s="31">
        <f t="shared" si="44"/>
        <v>16</v>
      </c>
      <c r="AD78" s="19"/>
      <c r="AE78" s="31">
        <f>(12*52)+24</f>
        <v>648</v>
      </c>
      <c r="AF78" s="19"/>
      <c r="AG78" s="19"/>
      <c r="AH78" s="19"/>
    </row>
    <row r="79" spans="1:34" ht="14" x14ac:dyDescent="0.2">
      <c r="A79" s="44">
        <v>45848</v>
      </c>
      <c r="B79" s="45">
        <v>12</v>
      </c>
      <c r="C79" s="45">
        <f>19+38</f>
        <v>57</v>
      </c>
      <c r="D79" s="45">
        <v>15</v>
      </c>
      <c r="E79" s="19"/>
      <c r="F79" s="45">
        <v>0</v>
      </c>
      <c r="G79" s="45">
        <v>0</v>
      </c>
      <c r="H79" s="45">
        <v>0</v>
      </c>
      <c r="I79" s="19"/>
      <c r="J79" s="31">
        <v>18.899999999999999</v>
      </c>
      <c r="K79" s="31">
        <f t="shared" si="41"/>
        <v>14.099999999999998</v>
      </c>
      <c r="L79" s="31">
        <v>10.3</v>
      </c>
      <c r="M79" s="19"/>
      <c r="N79" s="31">
        <v>0</v>
      </c>
      <c r="O79" s="31">
        <v>1.3</v>
      </c>
      <c r="P79" s="31">
        <v>1.5</v>
      </c>
      <c r="Q79" s="19"/>
      <c r="R79" s="31">
        <v>0</v>
      </c>
      <c r="S79" s="31">
        <v>5</v>
      </c>
      <c r="T79" s="31">
        <v>2.1</v>
      </c>
      <c r="U79" s="19"/>
      <c r="V79" s="31">
        <f t="shared" si="42"/>
        <v>0</v>
      </c>
      <c r="W79" s="31">
        <f t="shared" si="45"/>
        <v>68</v>
      </c>
      <c r="X79" s="31">
        <f t="shared" si="46"/>
        <v>37</v>
      </c>
      <c r="Y79" s="19"/>
      <c r="Z79" s="31">
        <f t="shared" si="43"/>
        <v>0</v>
      </c>
      <c r="AA79" s="31">
        <f t="shared" ref="AA79:AB79" si="48">(24*0)+0</f>
        <v>0</v>
      </c>
      <c r="AB79" s="31">
        <f t="shared" si="48"/>
        <v>0</v>
      </c>
      <c r="AC79" s="31">
        <f t="shared" si="44"/>
        <v>16</v>
      </c>
      <c r="AD79" s="19"/>
      <c r="AE79" s="31">
        <f>(12*49)+42</f>
        <v>630</v>
      </c>
      <c r="AF79" s="19"/>
      <c r="AG79" s="19"/>
      <c r="AH79" s="19"/>
    </row>
    <row r="80" spans="1:34" ht="14" x14ac:dyDescent="0.2">
      <c r="A80" s="44">
        <v>45849</v>
      </c>
      <c r="B80" s="45">
        <v>4</v>
      </c>
      <c r="C80" s="45">
        <v>24</v>
      </c>
      <c r="D80" s="45">
        <v>0</v>
      </c>
      <c r="E80" s="19"/>
      <c r="F80" s="45">
        <v>0</v>
      </c>
      <c r="G80" s="45">
        <v>0</v>
      </c>
      <c r="H80" s="45">
        <v>0</v>
      </c>
      <c r="I80" s="19"/>
      <c r="J80" s="31">
        <v>0</v>
      </c>
      <c r="K80" s="31">
        <f t="shared" si="41"/>
        <v>5.5000000000000009</v>
      </c>
      <c r="L80" s="31">
        <v>4.8</v>
      </c>
      <c r="M80" s="19"/>
      <c r="N80" s="31">
        <v>0</v>
      </c>
      <c r="O80" s="31">
        <v>3</v>
      </c>
      <c r="P80" s="31">
        <v>0</v>
      </c>
      <c r="Q80" s="19"/>
      <c r="R80" s="31">
        <v>0</v>
      </c>
      <c r="S80" s="31">
        <v>17</v>
      </c>
      <c r="T80" s="31">
        <v>0</v>
      </c>
      <c r="U80" s="19"/>
      <c r="V80" s="31">
        <f t="shared" si="42"/>
        <v>0</v>
      </c>
      <c r="W80" s="31">
        <f>(28*1)+38</f>
        <v>66</v>
      </c>
      <c r="X80" s="31">
        <f>(28*0)+35</f>
        <v>35</v>
      </c>
      <c r="Y80" s="19"/>
      <c r="Z80" s="31">
        <f t="shared" si="43"/>
        <v>0</v>
      </c>
      <c r="AA80" s="31">
        <f t="shared" ref="AA80:AB80" si="49">(24*0)+0</f>
        <v>0</v>
      </c>
      <c r="AB80" s="31">
        <f t="shared" si="49"/>
        <v>0</v>
      </c>
      <c r="AC80" s="31">
        <f>(24*0)+13</f>
        <v>13</v>
      </c>
      <c r="AD80" s="19"/>
      <c r="AE80" s="31">
        <f>(12*49)+32</f>
        <v>620</v>
      </c>
      <c r="AF80" s="19"/>
      <c r="AG80" s="19"/>
      <c r="AH80" s="19"/>
    </row>
    <row r="81" spans="1:34" ht="14" x14ac:dyDescent="0.2">
      <c r="A81" s="44">
        <v>45850</v>
      </c>
      <c r="B81" s="45">
        <v>7</v>
      </c>
      <c r="C81" s="45">
        <v>34</v>
      </c>
      <c r="D81" s="45">
        <v>8</v>
      </c>
      <c r="E81" s="19"/>
      <c r="F81" s="45">
        <v>0</v>
      </c>
      <c r="G81" s="45">
        <v>0</v>
      </c>
      <c r="H81" s="45">
        <v>0</v>
      </c>
      <c r="I81" s="19"/>
      <c r="J81" s="31">
        <v>8.6</v>
      </c>
      <c r="K81" s="31">
        <f t="shared" si="41"/>
        <v>7.8999999999999986</v>
      </c>
      <c r="L81" s="31">
        <v>5.5</v>
      </c>
      <c r="M81" s="19"/>
      <c r="N81" s="31">
        <v>0</v>
      </c>
      <c r="O81" s="31">
        <v>0.3</v>
      </c>
      <c r="P81" s="31">
        <v>0</v>
      </c>
      <c r="Q81" s="19"/>
      <c r="R81" s="31">
        <v>1.7</v>
      </c>
      <c r="S81" s="31">
        <v>17</v>
      </c>
      <c r="T81" s="31">
        <v>0</v>
      </c>
      <c r="U81" s="19"/>
      <c r="V81" s="31">
        <v>0</v>
      </c>
      <c r="W81" s="31">
        <v>0</v>
      </c>
      <c r="X81" s="31">
        <v>0</v>
      </c>
      <c r="Y81" s="19"/>
      <c r="Z81" s="31">
        <v>0</v>
      </c>
      <c r="AA81" s="31">
        <v>0</v>
      </c>
      <c r="AB81" s="31">
        <v>0</v>
      </c>
      <c r="AC81" s="31">
        <v>0</v>
      </c>
      <c r="AD81" s="19"/>
      <c r="AE81" s="31">
        <v>0</v>
      </c>
      <c r="AF81" s="19"/>
      <c r="AG81" s="19"/>
      <c r="AH81" s="19"/>
    </row>
    <row r="82" spans="1:34" ht="14" x14ac:dyDescent="0.2">
      <c r="A82" s="44">
        <v>45851</v>
      </c>
      <c r="B82" s="45">
        <v>9</v>
      </c>
      <c r="C82" s="45">
        <v>43</v>
      </c>
      <c r="D82" s="45">
        <v>9</v>
      </c>
      <c r="E82" s="19"/>
      <c r="F82" s="45">
        <v>0</v>
      </c>
      <c r="G82" s="45">
        <v>0</v>
      </c>
      <c r="H82" s="45">
        <v>0</v>
      </c>
      <c r="I82" s="19"/>
      <c r="J82" s="31">
        <v>11.8</v>
      </c>
      <c r="K82" s="31">
        <f t="shared" si="41"/>
        <v>9.8000000000000007</v>
      </c>
      <c r="L82" s="31">
        <v>7.5</v>
      </c>
      <c r="M82" s="19"/>
      <c r="N82" s="31">
        <v>2</v>
      </c>
      <c r="O82" s="31">
        <v>9.1999999999999993</v>
      </c>
      <c r="P82" s="31">
        <v>0.6</v>
      </c>
      <c r="Q82" s="19"/>
      <c r="R82" s="31">
        <v>3.3</v>
      </c>
      <c r="S82" s="31">
        <v>15</v>
      </c>
      <c r="T82" s="31">
        <v>0.8</v>
      </c>
      <c r="U82" s="19"/>
      <c r="V82" s="31">
        <f>(28*5)+26</f>
        <v>166</v>
      </c>
      <c r="W82" s="31">
        <f>(28*6)+19</f>
        <v>187</v>
      </c>
      <c r="X82" s="31">
        <f>(28*4)+29</f>
        <v>141</v>
      </c>
      <c r="Y82" s="19"/>
      <c r="Z82" s="31">
        <f>(24*4)+11</f>
        <v>107</v>
      </c>
      <c r="AA82" s="31">
        <f t="shared" ref="AA82:AA84" si="50">(24*2)+17</f>
        <v>65</v>
      </c>
      <c r="AB82" s="31">
        <f t="shared" ref="AB82:AB84" si="51">(24*2)+0</f>
        <v>48</v>
      </c>
      <c r="AC82" s="31">
        <f t="shared" ref="AC82:AC84" si="52">(24*2)+3</f>
        <v>51</v>
      </c>
      <c r="AD82" s="19"/>
      <c r="AE82" s="31">
        <f>(12*49)+32</f>
        <v>620</v>
      </c>
      <c r="AF82" s="19"/>
      <c r="AG82" s="19"/>
      <c r="AH82" s="19"/>
    </row>
    <row r="83" spans="1:34" ht="14" x14ac:dyDescent="0.2">
      <c r="A83" s="44">
        <v>45852</v>
      </c>
      <c r="B83" s="45">
        <v>5.5</v>
      </c>
      <c r="C83" s="45">
        <v>23</v>
      </c>
      <c r="D83" s="45">
        <v>10</v>
      </c>
      <c r="E83" s="19"/>
      <c r="F83" s="45">
        <v>0</v>
      </c>
      <c r="G83" s="45">
        <v>0</v>
      </c>
      <c r="H83" s="45">
        <v>0</v>
      </c>
      <c r="I83" s="19"/>
      <c r="J83" s="31">
        <v>5.6</v>
      </c>
      <c r="K83" s="31">
        <f t="shared" si="41"/>
        <v>2.0999999999999996</v>
      </c>
      <c r="L83" s="31">
        <v>11</v>
      </c>
      <c r="M83" s="19"/>
      <c r="N83" s="31">
        <v>0.5</v>
      </c>
      <c r="O83" s="31">
        <v>4.4000000000000004</v>
      </c>
      <c r="P83" s="31">
        <v>0</v>
      </c>
      <c r="Q83" s="19"/>
      <c r="R83" s="31">
        <v>2</v>
      </c>
      <c r="S83" s="31">
        <v>8</v>
      </c>
      <c r="T83" s="31">
        <v>1.7</v>
      </c>
      <c r="U83" s="19"/>
      <c r="V83" s="31">
        <f>(28*5)+25</f>
        <v>165</v>
      </c>
      <c r="W83" s="31">
        <f t="shared" ref="W83:W84" si="53">(28*6)+18</f>
        <v>186</v>
      </c>
      <c r="X83" s="31">
        <f t="shared" ref="X83:X84" si="54">(28*4)+27</f>
        <v>139</v>
      </c>
      <c r="Y83" s="19"/>
      <c r="Z83" s="31">
        <f>(24*4)+9</f>
        <v>105</v>
      </c>
      <c r="AA83" s="31">
        <f t="shared" si="50"/>
        <v>65</v>
      </c>
      <c r="AB83" s="31">
        <f t="shared" si="51"/>
        <v>48</v>
      </c>
      <c r="AC83" s="31">
        <f t="shared" si="52"/>
        <v>51</v>
      </c>
      <c r="AD83" s="19"/>
      <c r="AE83" s="31">
        <f>(12*48)+21</f>
        <v>597</v>
      </c>
      <c r="AF83" s="19"/>
      <c r="AG83" s="19"/>
      <c r="AH83" s="19"/>
    </row>
    <row r="84" spans="1:34" ht="14" x14ac:dyDescent="0.2">
      <c r="A84" s="44">
        <v>45853</v>
      </c>
      <c r="B84" s="45">
        <v>4.5</v>
      </c>
      <c r="C84" s="45">
        <v>15</v>
      </c>
      <c r="D84" s="45">
        <v>7</v>
      </c>
      <c r="E84" s="19"/>
      <c r="F84" s="45">
        <v>0</v>
      </c>
      <c r="G84" s="45">
        <v>0</v>
      </c>
      <c r="H84" s="45">
        <v>0</v>
      </c>
      <c r="I84" s="19"/>
      <c r="J84" s="31">
        <v>2.8</v>
      </c>
      <c r="K84" s="31">
        <f t="shared" si="41"/>
        <v>5.4</v>
      </c>
      <c r="L84" s="31">
        <v>8.4</v>
      </c>
      <c r="M84" s="19"/>
      <c r="N84" s="31">
        <v>1.1000000000000001</v>
      </c>
      <c r="O84" s="31">
        <v>2</v>
      </c>
      <c r="P84" s="31">
        <v>1.5</v>
      </c>
      <c r="Q84" s="19"/>
      <c r="R84" s="31">
        <v>0</v>
      </c>
      <c r="S84" s="31">
        <v>9</v>
      </c>
      <c r="T84" s="31">
        <v>0.5</v>
      </c>
      <c r="U84" s="19"/>
      <c r="V84" s="31">
        <f>(28*5)+21</f>
        <v>161</v>
      </c>
      <c r="W84" s="31">
        <f t="shared" si="53"/>
        <v>186</v>
      </c>
      <c r="X84" s="31">
        <f t="shared" si="54"/>
        <v>139</v>
      </c>
      <c r="Y84" s="19"/>
      <c r="Z84" s="31">
        <f>(24*4)+5</f>
        <v>101</v>
      </c>
      <c r="AA84" s="31">
        <f t="shared" si="50"/>
        <v>65</v>
      </c>
      <c r="AB84" s="31">
        <f t="shared" si="51"/>
        <v>48</v>
      </c>
      <c r="AC84" s="31">
        <f t="shared" si="52"/>
        <v>51</v>
      </c>
      <c r="AD84" s="19"/>
      <c r="AE84" s="31">
        <f>(12*41)+29</f>
        <v>521</v>
      </c>
      <c r="AF84" s="19"/>
      <c r="AG84" s="19"/>
      <c r="AH84" s="19"/>
    </row>
    <row r="85" spans="1:34" ht="14" x14ac:dyDescent="0.2">
      <c r="A85" s="44">
        <v>45854</v>
      </c>
      <c r="B85" s="45">
        <v>0</v>
      </c>
      <c r="C85" s="45">
        <v>0</v>
      </c>
      <c r="D85" s="45">
        <v>0</v>
      </c>
      <c r="E85" s="19"/>
      <c r="F85" s="45">
        <v>0</v>
      </c>
      <c r="G85" s="45">
        <v>0</v>
      </c>
      <c r="H85" s="45">
        <v>0</v>
      </c>
      <c r="I85" s="19"/>
      <c r="J85" s="31">
        <v>2.8</v>
      </c>
      <c r="K85" s="31">
        <f t="shared" si="41"/>
        <v>2.7999999999999989</v>
      </c>
      <c r="L85" s="31">
        <v>8.4</v>
      </c>
      <c r="M85" s="19"/>
      <c r="N85" s="31">
        <v>0</v>
      </c>
      <c r="O85" s="31">
        <v>0</v>
      </c>
      <c r="P85" s="31">
        <v>0</v>
      </c>
      <c r="Q85" s="19"/>
      <c r="R85" s="31">
        <v>2</v>
      </c>
      <c r="S85" s="31">
        <v>0</v>
      </c>
      <c r="T85" s="31">
        <v>0.6</v>
      </c>
      <c r="U85" s="19"/>
      <c r="V85" s="31">
        <v>0</v>
      </c>
      <c r="W85" s="31">
        <v>0</v>
      </c>
      <c r="X85" s="31">
        <v>0</v>
      </c>
      <c r="Y85" s="19"/>
      <c r="Z85" s="31">
        <v>0</v>
      </c>
      <c r="AA85" s="31">
        <v>0</v>
      </c>
      <c r="AB85" s="31">
        <v>0</v>
      </c>
      <c r="AC85" s="31">
        <v>0</v>
      </c>
      <c r="AD85" s="19"/>
      <c r="AE85" s="31">
        <v>0</v>
      </c>
      <c r="AF85" s="19"/>
      <c r="AG85" s="19"/>
      <c r="AH85" s="19"/>
    </row>
    <row r="86" spans="1:34" ht="14" x14ac:dyDescent="0.2">
      <c r="A86" s="44">
        <v>45855</v>
      </c>
      <c r="B86" s="45">
        <v>4.5</v>
      </c>
      <c r="C86" s="45">
        <v>16</v>
      </c>
      <c r="D86" s="45">
        <v>11</v>
      </c>
      <c r="E86" s="19"/>
      <c r="F86" s="45">
        <v>0</v>
      </c>
      <c r="G86" s="45">
        <v>0</v>
      </c>
      <c r="H86" s="45">
        <v>0</v>
      </c>
      <c r="I86" s="19"/>
      <c r="J86" s="31">
        <v>3.8</v>
      </c>
      <c r="K86" s="31">
        <f t="shared" si="41"/>
        <v>3.3999999999999986</v>
      </c>
      <c r="L86" s="31">
        <v>8.8000000000000007</v>
      </c>
      <c r="M86" s="19"/>
      <c r="N86" s="31">
        <v>0.7</v>
      </c>
      <c r="O86" s="31">
        <v>3.3</v>
      </c>
      <c r="P86" s="31">
        <v>0</v>
      </c>
      <c r="Q86" s="19"/>
      <c r="R86" s="31">
        <v>2</v>
      </c>
      <c r="S86" s="31">
        <v>14</v>
      </c>
      <c r="T86" s="31">
        <v>0.3</v>
      </c>
      <c r="U86" s="19"/>
      <c r="V86" s="31">
        <v>0</v>
      </c>
      <c r="W86" s="31">
        <v>0</v>
      </c>
      <c r="X86" s="31">
        <v>0</v>
      </c>
      <c r="Y86" s="19"/>
      <c r="Z86" s="31">
        <v>0</v>
      </c>
      <c r="AA86" s="31">
        <v>0</v>
      </c>
      <c r="AB86" s="31">
        <v>0</v>
      </c>
      <c r="AC86" s="31">
        <v>0</v>
      </c>
      <c r="AD86" s="19"/>
      <c r="AE86" s="31">
        <v>0</v>
      </c>
      <c r="AF86" s="19"/>
      <c r="AG86" s="19"/>
      <c r="AH86" s="19"/>
    </row>
    <row r="87" spans="1:34" ht="14" x14ac:dyDescent="0.2">
      <c r="A87" s="44">
        <v>45856</v>
      </c>
      <c r="B87" s="45">
        <v>5.5</v>
      </c>
      <c r="C87" s="45">
        <v>29</v>
      </c>
      <c r="D87" s="45">
        <v>4</v>
      </c>
      <c r="E87" s="19"/>
      <c r="F87" s="45">
        <v>0</v>
      </c>
      <c r="G87" s="45">
        <v>0</v>
      </c>
      <c r="H87" s="45">
        <v>0</v>
      </c>
      <c r="I87" s="19"/>
      <c r="J87" s="31">
        <v>0</v>
      </c>
      <c r="K87" s="31">
        <f t="shared" si="41"/>
        <v>1.9000000000000004</v>
      </c>
      <c r="L87" s="31">
        <v>6.9</v>
      </c>
      <c r="M87" s="19"/>
      <c r="N87" s="31">
        <v>0</v>
      </c>
      <c r="O87" s="31">
        <v>6.2</v>
      </c>
      <c r="P87" s="31">
        <v>0</v>
      </c>
      <c r="Q87" s="19"/>
      <c r="R87" s="31">
        <v>0</v>
      </c>
      <c r="S87" s="31">
        <v>17</v>
      </c>
      <c r="T87" s="31">
        <v>0.8</v>
      </c>
      <c r="U87" s="19"/>
      <c r="V87" s="31">
        <f>(28*5)+14</f>
        <v>154</v>
      </c>
      <c r="W87" s="31">
        <f>(28*6)+15</f>
        <v>183</v>
      </c>
      <c r="X87" s="31">
        <f t="shared" ref="X87:X89" si="55">(28*4)+26</f>
        <v>138</v>
      </c>
      <c r="Y87" s="19"/>
      <c r="Z87" s="31">
        <f>(24*3)+17</f>
        <v>89</v>
      </c>
      <c r="AA87" s="31">
        <f>(24*1)+33</f>
        <v>57</v>
      </c>
      <c r="AB87" s="31">
        <f>(24*1)+19</f>
        <v>43</v>
      </c>
      <c r="AC87" s="31">
        <f t="shared" ref="AC87:AC88" si="56">(24*1)+25</f>
        <v>49</v>
      </c>
      <c r="AD87" s="19"/>
      <c r="AE87" s="31">
        <f>(12*39)+17</f>
        <v>485</v>
      </c>
      <c r="AF87" s="19"/>
      <c r="AG87" s="19"/>
      <c r="AH87" s="19"/>
    </row>
    <row r="88" spans="1:34" ht="14" x14ac:dyDescent="0.2">
      <c r="A88" s="44">
        <v>45857</v>
      </c>
      <c r="B88" s="45">
        <v>5</v>
      </c>
      <c r="C88" s="45">
        <v>26</v>
      </c>
      <c r="D88" s="45">
        <v>4</v>
      </c>
      <c r="E88" s="19"/>
      <c r="F88" s="45">
        <v>0</v>
      </c>
      <c r="G88" s="45">
        <v>0</v>
      </c>
      <c r="H88" s="45">
        <v>0</v>
      </c>
      <c r="I88" s="19"/>
      <c r="J88" s="31">
        <v>5</v>
      </c>
      <c r="K88" s="31">
        <f t="shared" si="41"/>
        <v>6.9</v>
      </c>
      <c r="L88" s="31">
        <v>5</v>
      </c>
      <c r="M88" s="19"/>
      <c r="N88" s="31">
        <v>2</v>
      </c>
      <c r="O88" s="31">
        <v>6.1</v>
      </c>
      <c r="P88" s="31">
        <v>0</v>
      </c>
      <c r="Q88" s="19"/>
      <c r="R88" s="31">
        <v>2</v>
      </c>
      <c r="S88" s="31">
        <v>16</v>
      </c>
      <c r="T88" s="31">
        <v>0.8</v>
      </c>
      <c r="U88" s="19"/>
      <c r="V88" s="31">
        <f>(28*5)+12</f>
        <v>152</v>
      </c>
      <c r="W88" s="31">
        <f>(28*6)+14</f>
        <v>182</v>
      </c>
      <c r="X88" s="31">
        <f t="shared" si="55"/>
        <v>138</v>
      </c>
      <c r="Y88" s="19"/>
      <c r="Z88" s="31">
        <f>(24*3)+13</f>
        <v>85</v>
      </c>
      <c r="AA88" s="31">
        <f t="shared" ref="AA88:AA89" si="57">(24*1)+32</f>
        <v>56</v>
      </c>
      <c r="AB88" s="31">
        <f>(24*1)+17</f>
        <v>41</v>
      </c>
      <c r="AC88" s="31">
        <f t="shared" si="56"/>
        <v>49</v>
      </c>
      <c r="AD88" s="19"/>
      <c r="AE88" s="31">
        <f>(12*34)+22</f>
        <v>430</v>
      </c>
      <c r="AF88" s="19"/>
      <c r="AG88" s="19"/>
      <c r="AH88" s="19"/>
    </row>
    <row r="89" spans="1:34" ht="14" x14ac:dyDescent="0.2">
      <c r="A89" s="44">
        <v>45858</v>
      </c>
      <c r="B89" s="45">
        <v>5</v>
      </c>
      <c r="C89" s="45">
        <v>30</v>
      </c>
      <c r="D89" s="45">
        <v>0</v>
      </c>
      <c r="E89" s="19"/>
      <c r="F89" s="45">
        <v>0</v>
      </c>
      <c r="G89" s="45">
        <v>0</v>
      </c>
      <c r="H89" s="45">
        <v>0</v>
      </c>
      <c r="I89" s="19"/>
      <c r="J89" s="31">
        <v>6.7</v>
      </c>
      <c r="K89" s="31">
        <f t="shared" si="41"/>
        <v>4.2999999999999989</v>
      </c>
      <c r="L89" s="31">
        <v>7.4</v>
      </c>
      <c r="M89" s="19"/>
      <c r="N89" s="31">
        <v>4</v>
      </c>
      <c r="O89" s="31">
        <v>11.1</v>
      </c>
      <c r="P89" s="31">
        <v>0.7</v>
      </c>
      <c r="Q89" s="19"/>
      <c r="R89" s="31">
        <v>3</v>
      </c>
      <c r="S89" s="31">
        <v>17</v>
      </c>
      <c r="T89" s="31">
        <v>0.9</v>
      </c>
      <c r="U89" s="19"/>
      <c r="V89" s="31">
        <f>(28*5)+5</f>
        <v>145</v>
      </c>
      <c r="W89" s="31">
        <f>(28*6)+13</f>
        <v>181</v>
      </c>
      <c r="X89" s="31">
        <f t="shared" si="55"/>
        <v>138</v>
      </c>
      <c r="Y89" s="19"/>
      <c r="Z89" s="31">
        <f>(24*3)+11</f>
        <v>83</v>
      </c>
      <c r="AA89" s="31">
        <f t="shared" si="57"/>
        <v>56</v>
      </c>
      <c r="AB89" s="31">
        <f>(24*1)+15</f>
        <v>39</v>
      </c>
      <c r="AC89" s="31">
        <f>(24*1)+22</f>
        <v>46</v>
      </c>
      <c r="AD89" s="19"/>
      <c r="AE89" s="31">
        <f>(12*33)+29</f>
        <v>425</v>
      </c>
      <c r="AF89" s="19"/>
      <c r="AG89" s="19"/>
      <c r="AH89" s="19"/>
    </row>
    <row r="90" spans="1:34" ht="14" x14ac:dyDescent="0.2">
      <c r="A90" s="44">
        <v>45859</v>
      </c>
      <c r="B90" s="45">
        <v>4</v>
      </c>
      <c r="C90" s="45">
        <v>14</v>
      </c>
      <c r="D90" s="45">
        <v>10</v>
      </c>
      <c r="E90" s="19"/>
      <c r="F90" s="45">
        <v>0</v>
      </c>
      <c r="G90" s="45">
        <v>0</v>
      </c>
      <c r="H90" s="45">
        <v>0</v>
      </c>
      <c r="I90" s="19"/>
      <c r="J90" s="31">
        <v>4.7</v>
      </c>
      <c r="K90" s="31">
        <f t="shared" si="41"/>
        <v>1.8000000000000007</v>
      </c>
      <c r="L90" s="31">
        <v>10.3</v>
      </c>
      <c r="M90" s="19"/>
      <c r="N90" s="31">
        <v>0</v>
      </c>
      <c r="O90" s="31">
        <v>2</v>
      </c>
      <c r="P90" s="31">
        <v>0</v>
      </c>
      <c r="Q90" s="19"/>
      <c r="R90" s="31">
        <v>2</v>
      </c>
      <c r="S90" s="31">
        <v>13</v>
      </c>
      <c r="T90" s="31">
        <v>1</v>
      </c>
      <c r="U90" s="19"/>
      <c r="V90" s="31">
        <f t="shared" ref="V90:V91" si="58">(28*5)+2</f>
        <v>142</v>
      </c>
      <c r="W90" s="31">
        <f t="shared" ref="W90:W91" si="59">(28*6)+11</f>
        <v>179</v>
      </c>
      <c r="X90" s="31">
        <f t="shared" ref="X90:X93" si="60">(28*4)+24</f>
        <v>136</v>
      </c>
      <c r="Y90" s="19"/>
      <c r="Z90" s="31">
        <f t="shared" ref="Z90:Z91" si="61">(24*3)+5</f>
        <v>77</v>
      </c>
      <c r="AA90" s="31">
        <f t="shared" ref="AA90:AA91" si="62">(24*1)+29</f>
        <v>53</v>
      </c>
      <c r="AB90" s="31">
        <f>(24*0)+37</f>
        <v>37</v>
      </c>
      <c r="AC90" s="31">
        <f t="shared" ref="AC90:AC97" si="63">(24*1)+19</f>
        <v>43</v>
      </c>
      <c r="AD90" s="19"/>
      <c r="AE90" s="31">
        <f>(12*32)+31</f>
        <v>415</v>
      </c>
      <c r="AF90" s="19"/>
      <c r="AG90" s="19"/>
      <c r="AH90" s="19"/>
    </row>
    <row r="91" spans="1:34" ht="14" x14ac:dyDescent="0.2">
      <c r="A91" s="44">
        <v>45860</v>
      </c>
      <c r="B91" s="45">
        <v>4</v>
      </c>
      <c r="C91" s="45">
        <v>17</v>
      </c>
      <c r="D91" s="45">
        <v>7</v>
      </c>
      <c r="E91" s="19"/>
      <c r="F91" s="45">
        <v>0</v>
      </c>
      <c r="G91" s="45">
        <v>0</v>
      </c>
      <c r="H91" s="45">
        <v>0</v>
      </c>
      <c r="I91" s="19"/>
      <c r="J91" s="31">
        <v>2.8</v>
      </c>
      <c r="K91" s="31">
        <f t="shared" si="41"/>
        <v>2.8000000000000007</v>
      </c>
      <c r="L91" s="31">
        <v>10.3</v>
      </c>
      <c r="M91" s="19"/>
      <c r="N91" s="31">
        <v>1.3</v>
      </c>
      <c r="O91" s="31">
        <v>4.0999999999999996</v>
      </c>
      <c r="P91" s="31">
        <v>0</v>
      </c>
      <c r="Q91" s="19"/>
      <c r="R91" s="31">
        <v>2</v>
      </c>
      <c r="S91" s="31">
        <v>7</v>
      </c>
      <c r="T91" s="31">
        <v>2.2999999999999998</v>
      </c>
      <c r="U91" s="19"/>
      <c r="V91" s="31">
        <f t="shared" si="58"/>
        <v>142</v>
      </c>
      <c r="W91" s="31">
        <f t="shared" si="59"/>
        <v>179</v>
      </c>
      <c r="X91" s="31">
        <f t="shared" si="60"/>
        <v>136</v>
      </c>
      <c r="Y91" s="19"/>
      <c r="Z91" s="31">
        <f t="shared" si="61"/>
        <v>77</v>
      </c>
      <c r="AA91" s="31">
        <f t="shared" si="62"/>
        <v>53</v>
      </c>
      <c r="AB91" s="31">
        <f t="shared" ref="AB91:AB92" si="64">(24*0)+29</f>
        <v>29</v>
      </c>
      <c r="AC91" s="31">
        <f t="shared" si="63"/>
        <v>43</v>
      </c>
      <c r="AD91" s="19"/>
      <c r="AE91" s="31">
        <f>(12*31)+31</f>
        <v>403</v>
      </c>
      <c r="AF91" s="19"/>
      <c r="AG91" s="19"/>
      <c r="AH91" s="19"/>
    </row>
    <row r="92" spans="1:34" ht="14" x14ac:dyDescent="0.2">
      <c r="A92" s="44">
        <v>45861</v>
      </c>
      <c r="B92" s="45">
        <v>5</v>
      </c>
      <c r="C92" s="45">
        <v>35</v>
      </c>
      <c r="D92" s="45">
        <v>0</v>
      </c>
      <c r="E92" s="19"/>
      <c r="F92" s="45">
        <v>0</v>
      </c>
      <c r="G92" s="45">
        <v>0</v>
      </c>
      <c r="H92" s="45">
        <v>0</v>
      </c>
      <c r="I92" s="19"/>
      <c r="J92" s="31">
        <v>3.1</v>
      </c>
      <c r="K92" s="31">
        <f t="shared" si="41"/>
        <v>4.2000000000000011</v>
      </c>
      <c r="L92" s="31">
        <v>9.1999999999999993</v>
      </c>
      <c r="M92" s="19"/>
      <c r="N92" s="31">
        <v>1</v>
      </c>
      <c r="O92" s="31">
        <v>4.4000000000000004</v>
      </c>
      <c r="P92" s="31">
        <v>0.2</v>
      </c>
      <c r="Q92" s="19"/>
      <c r="R92" s="31">
        <v>1.5</v>
      </c>
      <c r="S92" s="31">
        <v>15</v>
      </c>
      <c r="T92" s="31">
        <v>0.8</v>
      </c>
      <c r="U92" s="19"/>
      <c r="V92" s="31">
        <f>(28*4)+24</f>
        <v>136</v>
      </c>
      <c r="W92" s="31">
        <f t="shared" ref="W92:W93" si="65">(28*5)+32</f>
        <v>172</v>
      </c>
      <c r="X92" s="31">
        <f t="shared" si="60"/>
        <v>136</v>
      </c>
      <c r="Y92" s="19"/>
      <c r="Z92" s="31">
        <f t="shared" ref="Z92:Z93" si="66">(24*2)+24</f>
        <v>72</v>
      </c>
      <c r="AA92" s="31">
        <f>(24*1)+28</f>
        <v>52</v>
      </c>
      <c r="AB92" s="31">
        <f t="shared" si="64"/>
        <v>29</v>
      </c>
      <c r="AC92" s="31">
        <f t="shared" si="63"/>
        <v>43</v>
      </c>
      <c r="AD92" s="19"/>
      <c r="AE92" s="31">
        <f>(12*30)+23</f>
        <v>383</v>
      </c>
      <c r="AF92" s="19"/>
      <c r="AG92" s="19"/>
      <c r="AH92" s="19"/>
    </row>
    <row r="93" spans="1:34" ht="14" x14ac:dyDescent="0.2">
      <c r="A93" s="44">
        <v>45862</v>
      </c>
      <c r="B93" s="45">
        <v>5</v>
      </c>
      <c r="C93" s="45">
        <v>21</v>
      </c>
      <c r="D93" s="45">
        <v>9</v>
      </c>
      <c r="E93" s="19"/>
      <c r="F93" s="45">
        <v>0</v>
      </c>
      <c r="G93" s="45">
        <v>0</v>
      </c>
      <c r="H93" s="45">
        <v>0</v>
      </c>
      <c r="I93" s="19"/>
      <c r="J93" s="31">
        <v>4.8</v>
      </c>
      <c r="K93" s="31">
        <f t="shared" si="41"/>
        <v>4</v>
      </c>
      <c r="L93" s="31">
        <v>10</v>
      </c>
      <c r="M93" s="19"/>
      <c r="N93" s="31">
        <v>1.5</v>
      </c>
      <c r="O93" s="31">
        <v>2</v>
      </c>
      <c r="P93" s="31">
        <v>0.7</v>
      </c>
      <c r="Q93" s="19"/>
      <c r="R93" s="31">
        <v>1.5</v>
      </c>
      <c r="S93" s="31">
        <v>8</v>
      </c>
      <c r="T93" s="31">
        <v>1.5</v>
      </c>
      <c r="U93" s="19"/>
      <c r="V93" s="31">
        <f>(28*4)+21</f>
        <v>133</v>
      </c>
      <c r="W93" s="31">
        <f t="shared" si="65"/>
        <v>172</v>
      </c>
      <c r="X93" s="31">
        <f t="shared" si="60"/>
        <v>136</v>
      </c>
      <c r="Y93" s="19"/>
      <c r="Z93" s="31">
        <f t="shared" si="66"/>
        <v>72</v>
      </c>
      <c r="AA93" s="31">
        <f>(24*1)+27</f>
        <v>51</v>
      </c>
      <c r="AB93" s="31">
        <f t="shared" ref="AB93:AB96" si="67">(24*0)+28</f>
        <v>28</v>
      </c>
      <c r="AC93" s="31">
        <f t="shared" si="63"/>
        <v>43</v>
      </c>
      <c r="AD93" s="19"/>
      <c r="AE93" s="31">
        <f>(12*28)+38</f>
        <v>374</v>
      </c>
      <c r="AF93" s="19"/>
      <c r="AG93" s="19"/>
      <c r="AH93" s="19"/>
    </row>
    <row r="94" spans="1:34" ht="14" x14ac:dyDescent="0.2">
      <c r="A94" s="44">
        <v>45863</v>
      </c>
      <c r="B94" s="45">
        <v>25</v>
      </c>
      <c r="C94" s="45">
        <f>33+126</f>
        <v>159</v>
      </c>
      <c r="D94" s="45">
        <v>0</v>
      </c>
      <c r="E94" s="19"/>
      <c r="F94" s="45">
        <v>0</v>
      </c>
      <c r="G94" s="45">
        <v>0</v>
      </c>
      <c r="H94" s="45">
        <v>0</v>
      </c>
      <c r="I94" s="19"/>
      <c r="J94" s="31">
        <v>14.3</v>
      </c>
      <c r="K94" s="31">
        <f t="shared" si="41"/>
        <v>24.3</v>
      </c>
      <c r="L94" s="31">
        <v>0</v>
      </c>
      <c r="M94" s="19"/>
      <c r="N94" s="31">
        <v>0</v>
      </c>
      <c r="O94" s="31">
        <v>4.2</v>
      </c>
      <c r="P94" s="31">
        <v>1</v>
      </c>
      <c r="Q94" s="19"/>
      <c r="R94" s="31">
        <v>0</v>
      </c>
      <c r="S94" s="31">
        <v>9</v>
      </c>
      <c r="T94" s="31">
        <v>2</v>
      </c>
      <c r="U94" s="19"/>
      <c r="V94" s="31">
        <f>(28*4)+15</f>
        <v>127</v>
      </c>
      <c r="W94" s="31">
        <f>(28*5)+25</f>
        <v>165</v>
      </c>
      <c r="X94" s="31">
        <f t="shared" ref="X94:X95" si="68">(28*4)+19</f>
        <v>131</v>
      </c>
      <c r="Y94" s="19"/>
      <c r="Z94" s="31">
        <f>(24*2)+22</f>
        <v>70</v>
      </c>
      <c r="AA94" s="31">
        <f>(24*1)+24</f>
        <v>48</v>
      </c>
      <c r="AB94" s="31">
        <f t="shared" si="67"/>
        <v>28</v>
      </c>
      <c r="AC94" s="31">
        <f t="shared" si="63"/>
        <v>43</v>
      </c>
      <c r="AD94" s="19"/>
      <c r="AE94" s="31">
        <f>(12*27)+28</f>
        <v>352</v>
      </c>
      <c r="AF94" s="19"/>
      <c r="AG94" s="19"/>
      <c r="AH94" s="19"/>
    </row>
    <row r="95" spans="1:34" ht="14" x14ac:dyDescent="0.2">
      <c r="A95" s="44">
        <v>45864</v>
      </c>
      <c r="B95" s="45">
        <v>23</v>
      </c>
      <c r="C95" s="45">
        <f>128+35</f>
        <v>163</v>
      </c>
      <c r="D95" s="45">
        <v>0</v>
      </c>
      <c r="E95" s="19"/>
      <c r="F95" s="45">
        <v>0</v>
      </c>
      <c r="G95" s="45">
        <v>0</v>
      </c>
      <c r="H95" s="45">
        <v>0</v>
      </c>
      <c r="I95" s="19"/>
      <c r="J95" s="31">
        <v>36.9</v>
      </c>
      <c r="K95" s="31">
        <f t="shared" si="41"/>
        <v>31.7</v>
      </c>
      <c r="L95" s="31">
        <v>5.2</v>
      </c>
      <c r="M95" s="19"/>
      <c r="N95" s="31">
        <v>0</v>
      </c>
      <c r="O95" s="31">
        <v>5.4</v>
      </c>
      <c r="P95" s="31">
        <v>1.9</v>
      </c>
      <c r="Q95" s="19"/>
      <c r="R95" s="31">
        <v>0</v>
      </c>
      <c r="S95" s="31">
        <v>5</v>
      </c>
      <c r="T95" s="31">
        <v>4.7</v>
      </c>
      <c r="U95" s="19"/>
      <c r="V95" s="31">
        <f>(28*4)+14</f>
        <v>126</v>
      </c>
      <c r="W95" s="31">
        <f t="shared" ref="W95:W97" si="69">(28*5)+22</f>
        <v>162</v>
      </c>
      <c r="X95" s="31">
        <f t="shared" si="68"/>
        <v>131</v>
      </c>
      <c r="Y95" s="19"/>
      <c r="Z95" s="31">
        <f>(24*2)+17</f>
        <v>65</v>
      </c>
      <c r="AA95" s="31">
        <f>(24*1)+20</f>
        <v>44</v>
      </c>
      <c r="AB95" s="31">
        <f t="shared" si="67"/>
        <v>28</v>
      </c>
      <c r="AC95" s="31">
        <f t="shared" si="63"/>
        <v>43</v>
      </c>
      <c r="AD95" s="19"/>
      <c r="AE95" s="31">
        <f>(12*25)+16</f>
        <v>316</v>
      </c>
      <c r="AF95" s="19"/>
      <c r="AG95" s="19"/>
      <c r="AH95" s="19"/>
    </row>
    <row r="96" spans="1:34" ht="14" x14ac:dyDescent="0.2">
      <c r="A96" s="44">
        <v>45865</v>
      </c>
      <c r="B96" s="45">
        <v>28</v>
      </c>
      <c r="C96" s="45">
        <f>39+171</f>
        <v>210</v>
      </c>
      <c r="D96" s="45">
        <v>0</v>
      </c>
      <c r="E96" s="19"/>
      <c r="F96" s="45">
        <v>0</v>
      </c>
      <c r="G96" s="45">
        <v>0</v>
      </c>
      <c r="H96" s="45">
        <v>0</v>
      </c>
      <c r="I96" s="19"/>
      <c r="J96" s="31">
        <v>55.7</v>
      </c>
      <c r="K96" s="31">
        <f t="shared" si="41"/>
        <v>36.400000000000006</v>
      </c>
      <c r="L96" s="31">
        <v>24.5</v>
      </c>
      <c r="M96" s="19"/>
      <c r="N96" s="31">
        <v>0</v>
      </c>
      <c r="O96" s="31">
        <v>4.4000000000000004</v>
      </c>
      <c r="P96" s="31">
        <v>3</v>
      </c>
      <c r="Q96" s="19"/>
      <c r="R96" s="31">
        <v>0</v>
      </c>
      <c r="S96" s="31">
        <v>18</v>
      </c>
      <c r="T96" s="31">
        <v>3</v>
      </c>
      <c r="U96" s="19"/>
      <c r="V96" s="31">
        <f>(28*4)+7</f>
        <v>119</v>
      </c>
      <c r="W96" s="31">
        <f t="shared" si="69"/>
        <v>162</v>
      </c>
      <c r="X96" s="31">
        <f t="shared" ref="X96:X99" si="70">(28*4)+18</f>
        <v>130</v>
      </c>
      <c r="Y96" s="19"/>
      <c r="Z96" s="31">
        <f>(24*2)+6</f>
        <v>54</v>
      </c>
      <c r="AA96" s="31">
        <f>(24*1)+11</f>
        <v>35</v>
      </c>
      <c r="AB96" s="31">
        <f t="shared" si="67"/>
        <v>28</v>
      </c>
      <c r="AC96" s="31">
        <f t="shared" si="63"/>
        <v>43</v>
      </c>
      <c r="AD96" s="19"/>
      <c r="AE96" s="31">
        <f>(12*22)+25</f>
        <v>289</v>
      </c>
      <c r="AF96" s="19"/>
      <c r="AG96" s="19"/>
      <c r="AH96" s="19"/>
    </row>
    <row r="97" spans="1:34" ht="14" x14ac:dyDescent="0.2">
      <c r="A97" s="44">
        <v>45866</v>
      </c>
      <c r="B97" s="45">
        <v>13</v>
      </c>
      <c r="C97" s="45">
        <f>9+81</f>
        <v>90</v>
      </c>
      <c r="D97" s="45">
        <v>0</v>
      </c>
      <c r="E97" s="19"/>
      <c r="F97" s="45">
        <v>0</v>
      </c>
      <c r="G97" s="45">
        <v>0</v>
      </c>
      <c r="H97" s="45">
        <v>0</v>
      </c>
      <c r="I97" s="19"/>
      <c r="J97" s="31">
        <v>0</v>
      </c>
      <c r="K97" s="31">
        <f t="shared" si="41"/>
        <v>15.1</v>
      </c>
      <c r="L97" s="31">
        <v>9.4</v>
      </c>
      <c r="M97" s="19"/>
      <c r="N97" s="31">
        <v>0</v>
      </c>
      <c r="O97" s="31">
        <v>2.2000000000000002</v>
      </c>
      <c r="P97" s="31">
        <v>2.5</v>
      </c>
      <c r="Q97" s="19"/>
      <c r="R97" s="31">
        <v>0</v>
      </c>
      <c r="S97" s="31">
        <v>7</v>
      </c>
      <c r="T97" s="31">
        <v>3.4</v>
      </c>
      <c r="U97" s="19"/>
      <c r="V97" s="31">
        <f t="shared" ref="V97:V98" si="71">(28*3)+35</f>
        <v>119</v>
      </c>
      <c r="W97" s="31">
        <f t="shared" si="69"/>
        <v>162</v>
      </c>
      <c r="X97" s="31">
        <f t="shared" si="70"/>
        <v>130</v>
      </c>
      <c r="Y97" s="19"/>
      <c r="Z97" s="31">
        <f>(24*1)+25</f>
        <v>49</v>
      </c>
      <c r="AA97" s="31">
        <f>(24*0)+31</f>
        <v>31</v>
      </c>
      <c r="AB97" s="31">
        <f>(24*0)+26</f>
        <v>26</v>
      </c>
      <c r="AC97" s="31">
        <f t="shared" si="63"/>
        <v>43</v>
      </c>
      <c r="AD97" s="19"/>
      <c r="AE97" s="31">
        <f>(12*21)+45</f>
        <v>297</v>
      </c>
      <c r="AF97" s="19"/>
      <c r="AG97" s="19"/>
      <c r="AH97" s="19"/>
    </row>
    <row r="98" spans="1:34" ht="14" x14ac:dyDescent="0.2">
      <c r="A98" s="44">
        <v>45867</v>
      </c>
      <c r="B98" s="45">
        <v>17</v>
      </c>
      <c r="C98" s="45">
        <f>33+76</f>
        <v>109</v>
      </c>
      <c r="D98" s="45">
        <v>15</v>
      </c>
      <c r="E98" s="19"/>
      <c r="F98" s="45">
        <v>0</v>
      </c>
      <c r="G98" s="45">
        <v>0</v>
      </c>
      <c r="H98" s="45">
        <v>0</v>
      </c>
      <c r="I98" s="19"/>
      <c r="J98" s="31">
        <v>15.5</v>
      </c>
      <c r="K98" s="31">
        <f t="shared" si="41"/>
        <v>18.399999999999999</v>
      </c>
      <c r="L98" s="31">
        <v>6.5</v>
      </c>
      <c r="M98" s="19"/>
      <c r="N98" s="31">
        <v>0</v>
      </c>
      <c r="O98" s="31">
        <v>1.2</v>
      </c>
      <c r="P98" s="31">
        <v>3.3</v>
      </c>
      <c r="Q98" s="19"/>
      <c r="R98" s="31">
        <v>0</v>
      </c>
      <c r="S98" s="31">
        <v>8</v>
      </c>
      <c r="T98" s="31">
        <v>2.5</v>
      </c>
      <c r="U98" s="19"/>
      <c r="V98" s="31">
        <f t="shared" si="71"/>
        <v>119</v>
      </c>
      <c r="W98" s="31">
        <f t="shared" ref="W98:W100" si="72">(28*5)+21</f>
        <v>161</v>
      </c>
      <c r="X98" s="31">
        <f t="shared" si="70"/>
        <v>130</v>
      </c>
      <c r="Y98" s="19"/>
      <c r="Z98" s="31">
        <f>(24*1)+19</f>
        <v>43</v>
      </c>
      <c r="AA98" s="31">
        <f>(24*0)+29</f>
        <v>29</v>
      </c>
      <c r="AB98" s="31">
        <f>(24*0)+22</f>
        <v>22</v>
      </c>
      <c r="AC98" s="31">
        <f t="shared" ref="AC98:AC100" si="73">(24*1)+15</f>
        <v>39</v>
      </c>
      <c r="AD98" s="19"/>
      <c r="AE98" s="31">
        <f>(12*21)+25</f>
        <v>277</v>
      </c>
      <c r="AF98" s="19"/>
      <c r="AG98" s="19"/>
      <c r="AH98" s="19"/>
    </row>
    <row r="99" spans="1:34" ht="14" x14ac:dyDescent="0.2">
      <c r="A99" s="44">
        <v>45868</v>
      </c>
      <c r="B99" s="45">
        <v>24</v>
      </c>
      <c r="C99" s="45">
        <f>25+151</f>
        <v>176</v>
      </c>
      <c r="D99" s="45">
        <v>0</v>
      </c>
      <c r="E99" s="19"/>
      <c r="F99" s="45">
        <v>0</v>
      </c>
      <c r="G99" s="45">
        <v>0</v>
      </c>
      <c r="H99" s="45">
        <v>0</v>
      </c>
      <c r="I99" s="19"/>
      <c r="J99" s="31">
        <v>28.8</v>
      </c>
      <c r="K99" s="31">
        <f t="shared" si="41"/>
        <v>29.599999999999998</v>
      </c>
      <c r="L99" s="31">
        <v>5.7</v>
      </c>
      <c r="M99" s="19"/>
      <c r="N99" s="31">
        <v>0</v>
      </c>
      <c r="O99" s="31">
        <v>3</v>
      </c>
      <c r="P99" s="31">
        <v>3.5</v>
      </c>
      <c r="Q99" s="19"/>
      <c r="R99" s="31">
        <v>0</v>
      </c>
      <c r="S99" s="31">
        <v>12</v>
      </c>
      <c r="T99" s="31">
        <v>1.7</v>
      </c>
      <c r="U99" s="19"/>
      <c r="V99" s="31">
        <f>(28*3)+28</f>
        <v>112</v>
      </c>
      <c r="W99" s="31">
        <f t="shared" si="72"/>
        <v>161</v>
      </c>
      <c r="X99" s="31">
        <f t="shared" si="70"/>
        <v>130</v>
      </c>
      <c r="Y99" s="19"/>
      <c r="Z99" s="31">
        <f>(24*1)+15</f>
        <v>39</v>
      </c>
      <c r="AA99" s="31">
        <f>(24*0)+22</f>
        <v>22</v>
      </c>
      <c r="AB99" s="31">
        <f>(24*0)+21</f>
        <v>21</v>
      </c>
      <c r="AC99" s="31">
        <f t="shared" si="73"/>
        <v>39</v>
      </c>
      <c r="AD99" s="19"/>
      <c r="AE99" s="31">
        <f>(12*19)+29</f>
        <v>257</v>
      </c>
      <c r="AF99" s="19"/>
      <c r="AG99" s="19"/>
      <c r="AH99" s="19"/>
    </row>
    <row r="100" spans="1:34" ht="14" x14ac:dyDescent="0.2">
      <c r="A100" s="44">
        <v>45869</v>
      </c>
      <c r="B100" s="45">
        <v>19</v>
      </c>
      <c r="C100" s="45">
        <f>18+103</f>
        <v>121</v>
      </c>
      <c r="D100" s="49"/>
      <c r="E100" s="19"/>
      <c r="F100" s="45">
        <v>0</v>
      </c>
      <c r="G100" s="45">
        <v>0</v>
      </c>
      <c r="H100" s="45">
        <v>0</v>
      </c>
      <c r="I100" s="19"/>
      <c r="J100" s="31">
        <v>26</v>
      </c>
      <c r="K100" s="31">
        <f t="shared" si="41"/>
        <v>22.7</v>
      </c>
      <c r="L100" s="31">
        <v>9</v>
      </c>
      <c r="M100" s="19"/>
      <c r="N100" s="31">
        <v>0</v>
      </c>
      <c r="O100" s="31">
        <v>4.3</v>
      </c>
      <c r="P100" s="31">
        <v>3.5</v>
      </c>
      <c r="Q100" s="19"/>
      <c r="R100" s="31">
        <v>0</v>
      </c>
      <c r="S100" s="31">
        <v>9</v>
      </c>
      <c r="T100" s="31">
        <v>0.5</v>
      </c>
      <c r="U100" s="19"/>
      <c r="V100" s="31">
        <f>(28*3)+26</f>
        <v>110</v>
      </c>
      <c r="W100" s="31">
        <f t="shared" si="72"/>
        <v>161</v>
      </c>
      <c r="X100" s="31">
        <f>(28*4)+17</f>
        <v>129</v>
      </c>
      <c r="Y100" s="19"/>
      <c r="Z100" s="31">
        <f>(24*1)+8</f>
        <v>32</v>
      </c>
      <c r="AA100" s="31">
        <f>(24*0)+21</f>
        <v>21</v>
      </c>
      <c r="AB100" s="31">
        <f>(24*0)+20</f>
        <v>20</v>
      </c>
      <c r="AC100" s="31">
        <f t="shared" si="73"/>
        <v>39</v>
      </c>
      <c r="AD100" s="19"/>
      <c r="AE100" s="31">
        <f>(12*17)+36</f>
        <v>240</v>
      </c>
      <c r="AF100" s="19"/>
      <c r="AG100" s="19"/>
      <c r="AH100" s="19"/>
    </row>
    <row r="101" spans="1:34" ht="14" x14ac:dyDescent="0.2">
      <c r="A101" s="47"/>
      <c r="B101" s="48">
        <f t="shared" ref="B101:D101" si="74">SUM(B70:B100)</f>
        <v>350</v>
      </c>
      <c r="C101" s="48">
        <f t="shared" si="74"/>
        <v>2199</v>
      </c>
      <c r="D101" s="48">
        <f t="shared" si="74"/>
        <v>142</v>
      </c>
      <c r="E101" s="19"/>
      <c r="F101" s="48">
        <f t="shared" ref="F101:H101" si="75">SUM(F71:F100)</f>
        <v>0</v>
      </c>
      <c r="G101" s="48">
        <f t="shared" si="75"/>
        <v>0</v>
      </c>
      <c r="H101" s="48">
        <f t="shared" si="75"/>
        <v>0</v>
      </c>
      <c r="I101" s="19"/>
      <c r="J101" s="48">
        <f t="shared" ref="J101:K101" si="76">SUM(J71:J100)</f>
        <v>392.5</v>
      </c>
      <c r="K101" s="48">
        <f t="shared" si="76"/>
        <v>392.90000000000003</v>
      </c>
      <c r="L101" s="33"/>
      <c r="M101" s="19"/>
      <c r="N101" s="48">
        <f t="shared" ref="N101:O101" si="77">SUM(N71:N100)</f>
        <v>19.599999999999998</v>
      </c>
      <c r="O101" s="48">
        <f t="shared" si="77"/>
        <v>112.80000000000001</v>
      </c>
      <c r="P101" s="33"/>
      <c r="Q101" s="19"/>
      <c r="R101" s="48">
        <f t="shared" ref="R101:S101" si="78">SUM(R71:R100)</f>
        <v>29.599999999999998</v>
      </c>
      <c r="S101" s="48">
        <f t="shared" si="78"/>
        <v>335</v>
      </c>
      <c r="T101" s="33"/>
      <c r="U101" s="19"/>
      <c r="V101" s="19"/>
      <c r="W101" s="19"/>
      <c r="X101" s="19"/>
      <c r="Y101" s="19"/>
      <c r="Z101" s="19"/>
      <c r="AA101" s="19"/>
      <c r="AB101" s="19"/>
      <c r="AC101" s="19"/>
      <c r="AD101" s="19"/>
      <c r="AE101" s="19"/>
      <c r="AF101" s="19"/>
      <c r="AG101" s="19"/>
      <c r="AH101" s="19"/>
    </row>
    <row r="102" spans="1:34" ht="14" x14ac:dyDescent="0.2">
      <c r="A102" s="50"/>
      <c r="B102" s="49"/>
      <c r="C102" s="49"/>
      <c r="D102" s="49"/>
      <c r="F102" s="33"/>
      <c r="G102" s="49"/>
      <c r="H102" s="49"/>
      <c r="J102" s="33"/>
      <c r="K102" s="51"/>
      <c r="L102" s="49"/>
      <c r="M102" s="21"/>
      <c r="N102" s="33"/>
      <c r="O102" s="49"/>
      <c r="P102" s="49"/>
      <c r="Q102" s="21"/>
      <c r="R102" s="33"/>
      <c r="S102" s="49"/>
      <c r="T102" s="49"/>
      <c r="U102" s="19"/>
      <c r="V102" s="19"/>
      <c r="W102" s="19"/>
      <c r="X102" s="19"/>
      <c r="Y102" s="19"/>
      <c r="Z102" s="19"/>
      <c r="AA102" s="19"/>
      <c r="AB102" s="19"/>
      <c r="AC102" s="19"/>
      <c r="AD102" s="19"/>
      <c r="AE102" s="19"/>
      <c r="AF102" s="19"/>
      <c r="AG102" s="19"/>
      <c r="AH102" s="19"/>
    </row>
    <row r="103" spans="1:34" ht="14" x14ac:dyDescent="0.2">
      <c r="A103" s="50"/>
      <c r="B103" s="49"/>
      <c r="C103" s="49"/>
      <c r="D103" s="49"/>
      <c r="F103" s="33"/>
      <c r="G103" s="49"/>
      <c r="H103" s="49"/>
      <c r="J103" s="33"/>
      <c r="K103" s="51"/>
      <c r="L103" s="49"/>
      <c r="M103" s="21"/>
      <c r="N103" s="33"/>
      <c r="O103" s="49"/>
      <c r="P103" s="49"/>
      <c r="Q103" s="21"/>
      <c r="R103" s="33"/>
      <c r="S103" s="49"/>
      <c r="T103" s="49"/>
      <c r="U103" s="19"/>
      <c r="V103" s="19"/>
      <c r="W103" s="19"/>
      <c r="X103" s="19"/>
      <c r="Y103" s="19"/>
      <c r="Z103" s="19"/>
      <c r="AA103" s="19"/>
      <c r="AB103" s="19"/>
      <c r="AC103" s="19"/>
      <c r="AD103" s="19"/>
      <c r="AE103" s="19"/>
      <c r="AF103" s="19"/>
      <c r="AG103" s="19"/>
      <c r="AH103" s="19"/>
    </row>
    <row r="104" spans="1:34" ht="14" x14ac:dyDescent="0.2">
      <c r="A104" s="50">
        <v>45809</v>
      </c>
      <c r="B104" s="49">
        <v>8</v>
      </c>
      <c r="C104" s="49">
        <v>42</v>
      </c>
      <c r="D104" s="49">
        <v>6</v>
      </c>
      <c r="F104" s="33">
        <v>0</v>
      </c>
      <c r="G104" s="49">
        <v>0</v>
      </c>
      <c r="H104" s="49">
        <v>0</v>
      </c>
      <c r="J104" s="33">
        <f>1.6+10.7</f>
        <v>12.299999999999999</v>
      </c>
      <c r="K104" s="51">
        <f>J104-L104</f>
        <v>9.2999999999999989</v>
      </c>
      <c r="L104" s="49">
        <v>3</v>
      </c>
      <c r="M104" s="21"/>
      <c r="N104" s="33">
        <v>1</v>
      </c>
      <c r="O104" s="49">
        <v>5</v>
      </c>
      <c r="P104" s="49">
        <v>1.2</v>
      </c>
      <c r="Q104" s="21"/>
      <c r="R104" s="33">
        <v>1.8</v>
      </c>
      <c r="S104" s="49">
        <v>12</v>
      </c>
      <c r="T104" s="49">
        <v>0.3</v>
      </c>
      <c r="U104" s="19"/>
      <c r="V104" s="33">
        <f>(4*28)+25</f>
        <v>137</v>
      </c>
      <c r="W104" s="33">
        <f>(4*28)+34</f>
        <v>146</v>
      </c>
      <c r="X104" s="33">
        <f t="shared" ref="X104:X105" si="79">(3*28)+33</f>
        <v>117</v>
      </c>
      <c r="Y104" s="19"/>
      <c r="Z104" s="33">
        <f>(3*24)+26</f>
        <v>98</v>
      </c>
      <c r="AA104" s="33">
        <f>(3*24)+25</f>
        <v>97</v>
      </c>
      <c r="AB104" s="33">
        <f>(0*24)+23</f>
        <v>23</v>
      </c>
      <c r="AC104" s="33">
        <f>(2*24)+19</f>
        <v>67</v>
      </c>
      <c r="AD104" s="19"/>
      <c r="AE104" s="33">
        <f>(2*12)+20</f>
        <v>44</v>
      </c>
      <c r="AF104" s="19"/>
      <c r="AG104" s="19"/>
      <c r="AH104" s="19"/>
    </row>
    <row r="105" spans="1:34" ht="14" x14ac:dyDescent="0.2">
      <c r="A105" s="50">
        <v>45810</v>
      </c>
      <c r="B105" s="49">
        <v>6</v>
      </c>
      <c r="C105" s="49">
        <v>45</v>
      </c>
      <c r="D105" s="49">
        <v>0</v>
      </c>
      <c r="F105" s="33">
        <v>0</v>
      </c>
      <c r="G105" s="49">
        <v>0</v>
      </c>
      <c r="H105" s="49">
        <v>0</v>
      </c>
      <c r="J105" s="33">
        <v>4.5999999999999996</v>
      </c>
      <c r="K105" s="33">
        <f t="shared" ref="K105:K133" si="80">J105+L104-L105</f>
        <v>6.6</v>
      </c>
      <c r="L105" s="33">
        <v>1</v>
      </c>
      <c r="M105" s="21"/>
      <c r="N105" s="33">
        <v>0</v>
      </c>
      <c r="O105" s="49">
        <v>0</v>
      </c>
      <c r="P105" s="49">
        <v>0</v>
      </c>
      <c r="Q105" s="21"/>
      <c r="R105" s="33">
        <v>2</v>
      </c>
      <c r="S105" s="49">
        <v>18</v>
      </c>
      <c r="T105" s="49">
        <v>0</v>
      </c>
      <c r="U105" s="19"/>
      <c r="V105" s="33">
        <f>(4*28)+19</f>
        <v>131</v>
      </c>
      <c r="W105" s="33">
        <f>(4*28)+32</f>
        <v>144</v>
      </c>
      <c r="X105" s="33">
        <f t="shared" si="79"/>
        <v>117</v>
      </c>
      <c r="Y105" s="19"/>
      <c r="Z105" s="33">
        <f t="shared" ref="Z105:Z107" si="81">(3*24)+17</f>
        <v>89</v>
      </c>
      <c r="AA105" s="33">
        <f t="shared" ref="AA105:AA107" si="82">(3*24)+22</f>
        <v>94</v>
      </c>
      <c r="AB105" s="33">
        <f>(0*24)+21</f>
        <v>21</v>
      </c>
      <c r="AC105" s="33">
        <f t="shared" ref="AC105:AC115" si="83">(2*24)+18</f>
        <v>66</v>
      </c>
      <c r="AD105" s="19"/>
      <c r="AE105" s="33">
        <f>(0*12)+11</f>
        <v>11</v>
      </c>
      <c r="AF105" s="19"/>
      <c r="AG105" s="19"/>
      <c r="AH105" s="19"/>
    </row>
    <row r="106" spans="1:34" ht="14" x14ac:dyDescent="0.2">
      <c r="A106" s="50">
        <v>45811</v>
      </c>
      <c r="B106" s="49">
        <v>7</v>
      </c>
      <c r="C106" s="49">
        <v>41</v>
      </c>
      <c r="D106" s="49">
        <v>1</v>
      </c>
      <c r="F106" s="33">
        <v>0</v>
      </c>
      <c r="G106" s="49">
        <v>0</v>
      </c>
      <c r="H106" s="49">
        <v>0</v>
      </c>
      <c r="J106" s="33">
        <v>13.8</v>
      </c>
      <c r="K106" s="33">
        <f t="shared" si="80"/>
        <v>10.200000000000001</v>
      </c>
      <c r="L106" s="33">
        <v>4.5999999999999996</v>
      </c>
      <c r="M106" s="21"/>
      <c r="N106" s="33">
        <v>0.8</v>
      </c>
      <c r="O106" s="49">
        <v>5</v>
      </c>
      <c r="P106" s="49">
        <v>0.3</v>
      </c>
      <c r="Q106" s="21"/>
      <c r="R106" s="33">
        <v>2</v>
      </c>
      <c r="S106" s="49">
        <v>17</v>
      </c>
      <c r="T106" s="49">
        <v>1</v>
      </c>
      <c r="U106" s="19"/>
      <c r="V106" s="33">
        <f>(4*28)+9</f>
        <v>121</v>
      </c>
      <c r="W106" s="33">
        <f>(4*28)+28</f>
        <v>140</v>
      </c>
      <c r="X106" s="33">
        <f t="shared" ref="X106:X107" si="84">(3*28)+31</f>
        <v>115</v>
      </c>
      <c r="Y106" s="19"/>
      <c r="Z106" s="33">
        <f t="shared" si="81"/>
        <v>89</v>
      </c>
      <c r="AA106" s="33">
        <f t="shared" si="82"/>
        <v>94</v>
      </c>
      <c r="AB106" s="33">
        <f>(0*24)+18</f>
        <v>18</v>
      </c>
      <c r="AC106" s="33">
        <f t="shared" si="83"/>
        <v>66</v>
      </c>
      <c r="AD106" s="19"/>
      <c r="AE106" s="33">
        <f>(5*12)+26</f>
        <v>86</v>
      </c>
      <c r="AF106" s="19"/>
      <c r="AG106" s="19"/>
      <c r="AH106" s="19"/>
    </row>
    <row r="107" spans="1:34" ht="14" x14ac:dyDescent="0.2">
      <c r="A107" s="50">
        <v>45812</v>
      </c>
      <c r="B107" s="49">
        <v>5</v>
      </c>
      <c r="C107" s="49">
        <v>33</v>
      </c>
      <c r="D107" s="49">
        <v>0</v>
      </c>
      <c r="F107" s="33">
        <v>0</v>
      </c>
      <c r="G107" s="49">
        <v>0</v>
      </c>
      <c r="H107" s="49">
        <v>0</v>
      </c>
      <c r="J107" s="33">
        <v>7.1</v>
      </c>
      <c r="K107" s="33">
        <f t="shared" si="80"/>
        <v>4.6999999999999993</v>
      </c>
      <c r="L107" s="33">
        <v>7</v>
      </c>
      <c r="M107" s="21"/>
      <c r="N107" s="33">
        <v>1.75</v>
      </c>
      <c r="O107" s="49">
        <v>6.2</v>
      </c>
      <c r="P107" s="49">
        <v>0</v>
      </c>
      <c r="Q107" s="21"/>
      <c r="R107" s="33">
        <v>3</v>
      </c>
      <c r="S107" s="49">
        <v>22</v>
      </c>
      <c r="T107" s="49">
        <v>0.8</v>
      </c>
      <c r="U107" s="19"/>
      <c r="V107" s="33">
        <f>(3*28)+29</f>
        <v>113</v>
      </c>
      <c r="W107" s="33">
        <f t="shared" ref="W107:W108" si="85">(4*28)+26</f>
        <v>138</v>
      </c>
      <c r="X107" s="33">
        <f t="shared" si="84"/>
        <v>115</v>
      </c>
      <c r="Y107" s="19"/>
      <c r="Z107" s="33">
        <f t="shared" si="81"/>
        <v>89</v>
      </c>
      <c r="AA107" s="33">
        <f t="shared" si="82"/>
        <v>94</v>
      </c>
      <c r="AB107" s="33">
        <f>(0*24)+15</f>
        <v>15</v>
      </c>
      <c r="AC107" s="33">
        <f t="shared" si="83"/>
        <v>66</v>
      </c>
      <c r="AD107" s="19"/>
      <c r="AE107" s="33">
        <f>(3*12)+13</f>
        <v>49</v>
      </c>
      <c r="AF107" s="19"/>
      <c r="AG107" s="19"/>
      <c r="AH107" s="19"/>
    </row>
    <row r="108" spans="1:34" ht="14" x14ac:dyDescent="0.2">
      <c r="A108" s="50">
        <v>45813</v>
      </c>
      <c r="B108" s="49">
        <v>5</v>
      </c>
      <c r="C108" s="49">
        <v>27</v>
      </c>
      <c r="D108" s="49">
        <v>3</v>
      </c>
      <c r="F108" s="33">
        <v>0</v>
      </c>
      <c r="G108" s="49">
        <v>0</v>
      </c>
      <c r="H108" s="49">
        <v>0</v>
      </c>
      <c r="J108" s="33">
        <v>7.9</v>
      </c>
      <c r="K108" s="33">
        <f t="shared" si="80"/>
        <v>5</v>
      </c>
      <c r="L108" s="33">
        <v>9.9</v>
      </c>
      <c r="M108" s="21"/>
      <c r="N108" s="33">
        <v>1.6</v>
      </c>
      <c r="O108" s="49">
        <v>2</v>
      </c>
      <c r="P108" s="49">
        <v>1</v>
      </c>
      <c r="Q108" s="21"/>
      <c r="R108" s="33">
        <v>2</v>
      </c>
      <c r="S108" s="49">
        <v>9</v>
      </c>
      <c r="T108" s="49">
        <v>2</v>
      </c>
      <c r="U108" s="19"/>
      <c r="V108" s="33">
        <f>(3*28)+27</f>
        <v>111</v>
      </c>
      <c r="W108" s="33">
        <f t="shared" si="85"/>
        <v>138</v>
      </c>
      <c r="X108" s="33">
        <f>(3*28)+33</f>
        <v>117</v>
      </c>
      <c r="Y108" s="19"/>
      <c r="Z108" s="33">
        <f>(3*24)+16</f>
        <v>88</v>
      </c>
      <c r="AA108" s="33">
        <f>(3*24)+19</f>
        <v>91</v>
      </c>
      <c r="AB108" s="33">
        <f>(0*24)+11</f>
        <v>11</v>
      </c>
      <c r="AC108" s="33">
        <f t="shared" si="83"/>
        <v>66</v>
      </c>
      <c r="AD108" s="19"/>
      <c r="AE108" s="33">
        <f>(51*12)+31</f>
        <v>643</v>
      </c>
      <c r="AF108" s="19"/>
      <c r="AG108" s="19"/>
      <c r="AH108" s="19"/>
    </row>
    <row r="109" spans="1:34" ht="14" x14ac:dyDescent="0.2">
      <c r="A109" s="50">
        <v>45814</v>
      </c>
      <c r="B109" s="49">
        <v>9</v>
      </c>
      <c r="C109" s="49">
        <v>55</v>
      </c>
      <c r="D109" s="49">
        <v>0</v>
      </c>
      <c r="F109" s="33">
        <v>0</v>
      </c>
      <c r="G109" s="49">
        <v>0</v>
      </c>
      <c r="H109" s="49">
        <v>0</v>
      </c>
      <c r="J109" s="33">
        <v>7.8</v>
      </c>
      <c r="K109" s="33">
        <f t="shared" si="80"/>
        <v>7.6999999999999993</v>
      </c>
      <c r="L109" s="33">
        <v>10</v>
      </c>
      <c r="M109" s="21"/>
      <c r="N109" s="33">
        <v>3.1</v>
      </c>
      <c r="O109" s="49">
        <v>9</v>
      </c>
      <c r="P109" s="49">
        <v>0.8</v>
      </c>
      <c r="Q109" s="21"/>
      <c r="R109" s="33">
        <v>1</v>
      </c>
      <c r="S109" s="49">
        <v>23</v>
      </c>
      <c r="T109" s="49">
        <v>0.7</v>
      </c>
      <c r="U109" s="19"/>
      <c r="V109" s="33">
        <f>(3*28)+23</f>
        <v>107</v>
      </c>
      <c r="W109" s="33">
        <f>(4*28)+24</f>
        <v>136</v>
      </c>
      <c r="X109" s="33">
        <f t="shared" ref="X109:X110" si="86">(3*28)+26</f>
        <v>110</v>
      </c>
      <c r="Y109" s="19"/>
      <c r="Z109" s="33">
        <f>(3*24)+7</f>
        <v>79</v>
      </c>
      <c r="AA109" s="33">
        <f>(3*24)+13</f>
        <v>85</v>
      </c>
      <c r="AB109" s="33">
        <f t="shared" ref="AB109:AB110" si="87">(0*24)+7</f>
        <v>7</v>
      </c>
      <c r="AC109" s="33">
        <f t="shared" si="83"/>
        <v>66</v>
      </c>
      <c r="AD109" s="19"/>
      <c r="AE109" s="33">
        <f>(50*12)+6</f>
        <v>606</v>
      </c>
      <c r="AF109" s="19"/>
      <c r="AG109" s="19"/>
      <c r="AH109" s="19"/>
    </row>
    <row r="110" spans="1:34" ht="14" x14ac:dyDescent="0.2">
      <c r="A110" s="50">
        <v>45815</v>
      </c>
      <c r="B110" s="49">
        <v>6</v>
      </c>
      <c r="C110" s="49">
        <v>21</v>
      </c>
      <c r="D110" s="49">
        <v>9</v>
      </c>
      <c r="F110" s="33">
        <v>0</v>
      </c>
      <c r="G110" s="49">
        <v>0</v>
      </c>
      <c r="H110" s="49">
        <v>0</v>
      </c>
      <c r="J110" s="33">
        <v>5.8</v>
      </c>
      <c r="K110" s="33">
        <f t="shared" si="80"/>
        <v>6.5</v>
      </c>
      <c r="L110" s="33">
        <v>9.3000000000000007</v>
      </c>
      <c r="M110" s="21"/>
      <c r="N110" s="33">
        <v>0</v>
      </c>
      <c r="O110" s="49">
        <v>3</v>
      </c>
      <c r="P110" s="49">
        <v>0.5</v>
      </c>
      <c r="Q110" s="21"/>
      <c r="R110" s="33">
        <v>2</v>
      </c>
      <c r="S110" s="49">
        <v>9</v>
      </c>
      <c r="T110" s="49">
        <v>1</v>
      </c>
      <c r="U110" s="19"/>
      <c r="V110" s="33">
        <f>(3*28)+11</f>
        <v>95</v>
      </c>
      <c r="W110" s="33">
        <f>(4*28)+21</f>
        <v>133</v>
      </c>
      <c r="X110" s="33">
        <f t="shared" si="86"/>
        <v>110</v>
      </c>
      <c r="Y110" s="19"/>
      <c r="Z110" s="33">
        <f t="shared" ref="Z110:AA110" si="88">(2*24)+30</f>
        <v>78</v>
      </c>
      <c r="AA110" s="33">
        <f t="shared" si="88"/>
        <v>78</v>
      </c>
      <c r="AB110" s="33">
        <f t="shared" si="87"/>
        <v>7</v>
      </c>
      <c r="AC110" s="33">
        <f t="shared" si="83"/>
        <v>66</v>
      </c>
      <c r="AD110" s="19"/>
      <c r="AE110" s="33">
        <f>(47*12)+18</f>
        <v>582</v>
      </c>
      <c r="AF110" s="19"/>
      <c r="AG110" s="19"/>
      <c r="AH110" s="19"/>
    </row>
    <row r="111" spans="1:34" ht="14" x14ac:dyDescent="0.2">
      <c r="A111" s="50">
        <v>45816</v>
      </c>
      <c r="B111" s="49">
        <v>4</v>
      </c>
      <c r="C111" s="49">
        <v>28</v>
      </c>
      <c r="D111" s="49">
        <v>0</v>
      </c>
      <c r="F111" s="33">
        <v>0</v>
      </c>
      <c r="G111" s="49">
        <v>0</v>
      </c>
      <c r="H111" s="49">
        <v>0</v>
      </c>
      <c r="J111" s="33">
        <v>0</v>
      </c>
      <c r="K111" s="33">
        <f t="shared" si="80"/>
        <v>5.3000000000000007</v>
      </c>
      <c r="L111" s="33">
        <v>4</v>
      </c>
      <c r="M111" s="21"/>
      <c r="N111" s="33">
        <v>2.2999999999999998</v>
      </c>
      <c r="O111" s="49">
        <v>5.2</v>
      </c>
      <c r="P111" s="49">
        <v>0.5</v>
      </c>
      <c r="Q111" s="21"/>
      <c r="R111" s="33">
        <v>3</v>
      </c>
      <c r="S111" s="49">
        <v>20</v>
      </c>
      <c r="T111" s="49">
        <v>1.6</v>
      </c>
      <c r="U111" s="19"/>
      <c r="V111" s="33">
        <f t="shared" ref="V111:V112" si="89">(2*28)+38</f>
        <v>94</v>
      </c>
      <c r="W111" s="33">
        <f t="shared" ref="W111:W113" si="90">(3*28)+42</f>
        <v>126</v>
      </c>
      <c r="X111" s="33">
        <f t="shared" ref="X111:X112" si="91">(3*28)+24</f>
        <v>108</v>
      </c>
      <c r="Y111" s="19"/>
      <c r="Z111" s="33">
        <f t="shared" ref="Z111:Z112" si="92">(2*24)+24</f>
        <v>72</v>
      </c>
      <c r="AA111" s="33">
        <f t="shared" ref="AA111:AA113" si="93">(2*24)+29</f>
        <v>77</v>
      </c>
      <c r="AB111" s="33">
        <f t="shared" ref="AB111:AB112" si="94">(0*24)+5</f>
        <v>5</v>
      </c>
      <c r="AC111" s="33">
        <f t="shared" si="83"/>
        <v>66</v>
      </c>
      <c r="AD111" s="19"/>
      <c r="AE111" s="33">
        <f t="shared" ref="AE111:AE112" si="95">(45*12)+18</f>
        <v>558</v>
      </c>
      <c r="AF111" s="19"/>
      <c r="AG111" s="19"/>
      <c r="AH111" s="19"/>
    </row>
    <row r="112" spans="1:34" ht="14" x14ac:dyDescent="0.2">
      <c r="A112" s="50">
        <v>45817</v>
      </c>
      <c r="B112" s="49">
        <v>0</v>
      </c>
      <c r="C112" s="49">
        <v>0</v>
      </c>
      <c r="D112" s="49">
        <v>0</v>
      </c>
      <c r="F112" s="33">
        <v>0</v>
      </c>
      <c r="G112" s="49">
        <v>0</v>
      </c>
      <c r="H112" s="49">
        <v>0</v>
      </c>
      <c r="J112" s="33">
        <v>0</v>
      </c>
      <c r="K112" s="33">
        <f t="shared" si="80"/>
        <v>4</v>
      </c>
      <c r="L112" s="33">
        <v>0</v>
      </c>
      <c r="M112" s="21"/>
      <c r="N112" s="33">
        <v>0</v>
      </c>
      <c r="O112" s="49">
        <v>0</v>
      </c>
      <c r="P112" s="49">
        <v>0</v>
      </c>
      <c r="Q112" s="21"/>
      <c r="R112" s="33">
        <v>0</v>
      </c>
      <c r="S112" s="49">
        <v>0</v>
      </c>
      <c r="T112" s="49">
        <v>0</v>
      </c>
      <c r="U112" s="19"/>
      <c r="V112" s="33">
        <f t="shared" si="89"/>
        <v>94</v>
      </c>
      <c r="W112" s="33">
        <f t="shared" si="90"/>
        <v>126</v>
      </c>
      <c r="X112" s="33">
        <f t="shared" si="91"/>
        <v>108</v>
      </c>
      <c r="Y112" s="19"/>
      <c r="Z112" s="33">
        <f t="shared" si="92"/>
        <v>72</v>
      </c>
      <c r="AA112" s="33">
        <f t="shared" si="93"/>
        <v>77</v>
      </c>
      <c r="AB112" s="33">
        <f t="shared" si="94"/>
        <v>5</v>
      </c>
      <c r="AC112" s="33">
        <f t="shared" si="83"/>
        <v>66</v>
      </c>
      <c r="AD112" s="19"/>
      <c r="AE112" s="33">
        <f t="shared" si="95"/>
        <v>558</v>
      </c>
      <c r="AF112" s="19"/>
      <c r="AG112" s="19"/>
      <c r="AH112" s="19"/>
    </row>
    <row r="113" spans="1:34" ht="14" x14ac:dyDescent="0.2">
      <c r="A113" s="50">
        <v>45818</v>
      </c>
      <c r="B113" s="49">
        <v>6</v>
      </c>
      <c r="C113" s="49">
        <v>31</v>
      </c>
      <c r="D113" s="49">
        <v>5</v>
      </c>
      <c r="F113" s="33">
        <v>0</v>
      </c>
      <c r="G113" s="49">
        <v>0</v>
      </c>
      <c r="H113" s="49">
        <v>0</v>
      </c>
      <c r="J113" s="33">
        <v>6</v>
      </c>
      <c r="K113" s="33">
        <f t="shared" si="80"/>
        <v>1.2000000000000002</v>
      </c>
      <c r="L113" s="33">
        <v>4.8</v>
      </c>
      <c r="M113" s="21"/>
      <c r="N113" s="33">
        <v>1.5</v>
      </c>
      <c r="O113" s="49">
        <v>2.2000000000000002</v>
      </c>
      <c r="P113" s="49">
        <v>1.2</v>
      </c>
      <c r="Q113" s="21"/>
      <c r="R113" s="33">
        <v>2.2000000000000002</v>
      </c>
      <c r="S113" s="49">
        <v>7</v>
      </c>
      <c r="T113" s="49">
        <v>3</v>
      </c>
      <c r="U113" s="19"/>
      <c r="V113" s="33">
        <f>(2*28)+33</f>
        <v>89</v>
      </c>
      <c r="W113" s="33">
        <f t="shared" si="90"/>
        <v>126</v>
      </c>
      <c r="X113" s="33">
        <f>(3*28)+23</f>
        <v>107</v>
      </c>
      <c r="Y113" s="19"/>
      <c r="Z113" s="33">
        <f>(2*24)+22</f>
        <v>70</v>
      </c>
      <c r="AA113" s="33">
        <f t="shared" si="93"/>
        <v>77</v>
      </c>
      <c r="AB113" s="33">
        <f t="shared" ref="AB113:AB115" si="96">(0*24)+4</f>
        <v>4</v>
      </c>
      <c r="AC113" s="33">
        <f t="shared" si="83"/>
        <v>66</v>
      </c>
      <c r="AD113" s="19"/>
      <c r="AE113" s="33">
        <f>(43*12)+18</f>
        <v>534</v>
      </c>
      <c r="AF113" s="19"/>
      <c r="AG113" s="19"/>
      <c r="AH113" s="19"/>
    </row>
    <row r="114" spans="1:34" ht="14" x14ac:dyDescent="0.2">
      <c r="A114" s="50">
        <v>45819</v>
      </c>
      <c r="B114" s="49">
        <v>6</v>
      </c>
      <c r="C114" s="49">
        <v>33</v>
      </c>
      <c r="D114" s="49">
        <v>3</v>
      </c>
      <c r="F114" s="33">
        <v>0</v>
      </c>
      <c r="G114" s="49">
        <v>0</v>
      </c>
      <c r="H114" s="49">
        <v>0</v>
      </c>
      <c r="J114" s="33">
        <v>7</v>
      </c>
      <c r="K114" s="33">
        <f t="shared" si="80"/>
        <v>7.4</v>
      </c>
      <c r="L114" s="33">
        <v>4.4000000000000004</v>
      </c>
      <c r="M114" s="21"/>
      <c r="N114" s="33">
        <v>0</v>
      </c>
      <c r="O114" s="49">
        <v>5.0999999999999996</v>
      </c>
      <c r="P114" s="49">
        <v>0</v>
      </c>
      <c r="Q114" s="21"/>
      <c r="R114" s="33">
        <v>0</v>
      </c>
      <c r="S114" s="49">
        <v>13</v>
      </c>
      <c r="T114" s="49">
        <v>1</v>
      </c>
      <c r="U114" s="19"/>
      <c r="V114" s="33">
        <f>(2*28)+27</f>
        <v>83</v>
      </c>
      <c r="W114" s="33">
        <f>(3*28)+41</f>
        <v>125</v>
      </c>
      <c r="X114" s="33">
        <f>(3*28)+20</f>
        <v>104</v>
      </c>
      <c r="Y114" s="19"/>
      <c r="Z114" s="33">
        <f>(2*24)+20</f>
        <v>68</v>
      </c>
      <c r="AA114" s="33">
        <f>(2*24)+28</f>
        <v>76</v>
      </c>
      <c r="AB114" s="33">
        <f t="shared" si="96"/>
        <v>4</v>
      </c>
      <c r="AC114" s="33">
        <f t="shared" si="83"/>
        <v>66</v>
      </c>
      <c r="AD114" s="19"/>
      <c r="AE114" s="33">
        <f>(41*12)+24</f>
        <v>516</v>
      </c>
      <c r="AF114" s="19"/>
      <c r="AG114" s="19"/>
      <c r="AH114" s="19"/>
    </row>
    <row r="115" spans="1:34" ht="14" x14ac:dyDescent="0.2">
      <c r="A115" s="50">
        <v>45820</v>
      </c>
      <c r="B115" s="49">
        <v>4</v>
      </c>
      <c r="C115" s="49">
        <v>22</v>
      </c>
      <c r="D115" s="49">
        <v>2</v>
      </c>
      <c r="F115" s="33">
        <v>0</v>
      </c>
      <c r="G115" s="49">
        <v>0</v>
      </c>
      <c r="H115" s="49">
        <v>0</v>
      </c>
      <c r="J115" s="33">
        <v>5.8</v>
      </c>
      <c r="K115" s="33">
        <f t="shared" si="80"/>
        <v>3.3999999999999995</v>
      </c>
      <c r="L115" s="33">
        <v>6.8</v>
      </c>
      <c r="M115" s="21"/>
      <c r="N115" s="33">
        <v>2</v>
      </c>
      <c r="O115" s="49">
        <v>5</v>
      </c>
      <c r="P115" s="49">
        <v>1</v>
      </c>
      <c r="Q115" s="21"/>
      <c r="R115" s="33">
        <v>2</v>
      </c>
      <c r="S115" s="49">
        <v>10</v>
      </c>
      <c r="T115" s="49">
        <v>1.6</v>
      </c>
      <c r="U115" s="19"/>
      <c r="V115" s="33">
        <f>(2*28)+19</f>
        <v>75</v>
      </c>
      <c r="W115" s="33">
        <f>(3*28)+38</f>
        <v>122</v>
      </c>
      <c r="X115" s="33">
        <f>(3*28)+19</f>
        <v>103</v>
      </c>
      <c r="Y115" s="19"/>
      <c r="Z115" s="33">
        <f>(2*24)+18</f>
        <v>66</v>
      </c>
      <c r="AA115" s="33">
        <f>(2*24)+27</f>
        <v>75</v>
      </c>
      <c r="AB115" s="33">
        <f t="shared" si="96"/>
        <v>4</v>
      </c>
      <c r="AC115" s="33">
        <f t="shared" si="83"/>
        <v>66</v>
      </c>
      <c r="AD115" s="19"/>
      <c r="AE115" s="33">
        <f>(39*12)+32</f>
        <v>500</v>
      </c>
      <c r="AF115" s="19"/>
      <c r="AG115" s="19"/>
      <c r="AH115" s="19"/>
    </row>
    <row r="116" spans="1:34" ht="14" x14ac:dyDescent="0.2">
      <c r="A116" s="50">
        <v>45821</v>
      </c>
      <c r="B116" s="49">
        <v>6</v>
      </c>
      <c r="C116" s="49">
        <v>29</v>
      </c>
      <c r="D116" s="49">
        <v>7</v>
      </c>
      <c r="F116" s="33">
        <v>0</v>
      </c>
      <c r="G116" s="49">
        <v>0</v>
      </c>
      <c r="H116" s="49">
        <v>0</v>
      </c>
      <c r="J116" s="33">
        <v>4.5</v>
      </c>
      <c r="K116" s="33">
        <f t="shared" si="80"/>
        <v>4.5000000000000009</v>
      </c>
      <c r="L116" s="33">
        <v>6.8</v>
      </c>
      <c r="M116" s="21"/>
      <c r="N116" s="33">
        <v>1</v>
      </c>
      <c r="O116" s="49">
        <v>5</v>
      </c>
      <c r="P116" s="49">
        <v>0.7</v>
      </c>
      <c r="Q116" s="21"/>
      <c r="R116" s="33">
        <v>1</v>
      </c>
      <c r="S116" s="49">
        <v>18</v>
      </c>
      <c r="T116" s="49">
        <v>0.5</v>
      </c>
      <c r="U116" s="19"/>
      <c r="V116" s="33"/>
      <c r="W116" s="33"/>
      <c r="X116" s="33"/>
      <c r="Y116" s="19"/>
      <c r="Z116" s="33"/>
      <c r="AA116" s="33"/>
      <c r="AB116" s="33"/>
      <c r="AC116" s="33"/>
      <c r="AD116" s="19"/>
      <c r="AE116" s="33"/>
      <c r="AF116" s="19"/>
      <c r="AG116" s="19"/>
      <c r="AH116" s="19"/>
    </row>
    <row r="117" spans="1:34" ht="14" x14ac:dyDescent="0.2">
      <c r="A117" s="50">
        <v>45822</v>
      </c>
      <c r="B117" s="49">
        <v>4</v>
      </c>
      <c r="C117" s="49">
        <v>31</v>
      </c>
      <c r="D117" s="49">
        <v>0</v>
      </c>
      <c r="F117" s="33">
        <v>0</v>
      </c>
      <c r="G117" s="49">
        <v>0</v>
      </c>
      <c r="H117" s="49">
        <v>0</v>
      </c>
      <c r="J117" s="33">
        <v>5.7</v>
      </c>
      <c r="K117" s="33">
        <f t="shared" si="80"/>
        <v>3.6999999999999993</v>
      </c>
      <c r="L117" s="33">
        <v>8.8000000000000007</v>
      </c>
      <c r="M117" s="21"/>
      <c r="N117" s="33">
        <v>1.75</v>
      </c>
      <c r="O117" s="49">
        <v>3</v>
      </c>
      <c r="P117" s="49">
        <v>1.7</v>
      </c>
      <c r="Q117" s="21"/>
      <c r="R117" s="33">
        <v>2.7</v>
      </c>
      <c r="S117" s="49">
        <v>9</v>
      </c>
      <c r="T117" s="49">
        <v>1.9</v>
      </c>
      <c r="U117" s="19"/>
      <c r="V117" s="33"/>
      <c r="W117" s="33"/>
      <c r="X117" s="33"/>
      <c r="Y117" s="19"/>
      <c r="Z117" s="33"/>
      <c r="AA117" s="33"/>
      <c r="AB117" s="33"/>
      <c r="AC117" s="33"/>
      <c r="AD117" s="19"/>
      <c r="AE117" s="33"/>
      <c r="AF117" s="19"/>
      <c r="AG117" s="19"/>
      <c r="AH117" s="19"/>
    </row>
    <row r="118" spans="1:34" ht="14" x14ac:dyDescent="0.2">
      <c r="A118" s="50">
        <v>45823</v>
      </c>
      <c r="B118" s="49">
        <v>6</v>
      </c>
      <c r="C118" s="49">
        <v>33</v>
      </c>
      <c r="D118" s="49">
        <v>3</v>
      </c>
      <c r="F118" s="33">
        <v>0</v>
      </c>
      <c r="G118" s="49">
        <v>0</v>
      </c>
      <c r="H118" s="49">
        <v>0</v>
      </c>
      <c r="J118" s="33">
        <v>5</v>
      </c>
      <c r="K118" s="33">
        <f t="shared" si="80"/>
        <v>6.9</v>
      </c>
      <c r="L118" s="33">
        <v>6.9</v>
      </c>
      <c r="M118" s="21"/>
      <c r="N118" s="33">
        <v>1</v>
      </c>
      <c r="O118" s="49">
        <v>3.3</v>
      </c>
      <c r="P118" s="49">
        <v>1.4</v>
      </c>
      <c r="Q118" s="21"/>
      <c r="R118" s="33">
        <v>1.5</v>
      </c>
      <c r="S118" s="49">
        <v>14</v>
      </c>
      <c r="T118" s="49">
        <v>1.8</v>
      </c>
      <c r="U118" s="19"/>
      <c r="V118" s="33"/>
      <c r="W118" s="33"/>
      <c r="X118" s="33"/>
      <c r="Y118" s="19"/>
      <c r="Z118" s="33"/>
      <c r="AA118" s="33"/>
      <c r="AB118" s="33"/>
      <c r="AC118" s="33"/>
      <c r="AD118" s="19"/>
      <c r="AE118" s="33"/>
      <c r="AF118" s="19"/>
      <c r="AG118" s="19"/>
      <c r="AH118" s="19"/>
    </row>
    <row r="119" spans="1:34" ht="14" x14ac:dyDescent="0.2">
      <c r="A119" s="50">
        <v>45824</v>
      </c>
      <c r="B119" s="49">
        <v>5.5</v>
      </c>
      <c r="C119" s="49">
        <v>27</v>
      </c>
      <c r="D119" s="49">
        <v>6</v>
      </c>
      <c r="F119" s="33">
        <v>0</v>
      </c>
      <c r="G119" s="49">
        <v>0</v>
      </c>
      <c r="H119" s="49">
        <v>0</v>
      </c>
      <c r="J119" s="33">
        <v>3.5</v>
      </c>
      <c r="K119" s="33">
        <f t="shared" si="80"/>
        <v>3.4000000000000004</v>
      </c>
      <c r="L119" s="33">
        <v>7</v>
      </c>
      <c r="M119" s="21"/>
      <c r="N119" s="33">
        <v>1</v>
      </c>
      <c r="O119" s="49">
        <v>3</v>
      </c>
      <c r="P119" s="49">
        <v>1.3</v>
      </c>
      <c r="Q119" s="21"/>
      <c r="R119" s="33">
        <v>1</v>
      </c>
      <c r="S119" s="49">
        <v>4</v>
      </c>
      <c r="T119" s="49">
        <v>2.1</v>
      </c>
      <c r="U119" s="19"/>
      <c r="V119" s="33"/>
      <c r="W119" s="33"/>
      <c r="X119" s="33"/>
      <c r="Y119" s="19"/>
      <c r="Z119" s="33"/>
      <c r="AA119" s="33"/>
      <c r="AB119" s="33"/>
      <c r="AC119" s="33"/>
      <c r="AD119" s="19"/>
      <c r="AE119" s="33"/>
      <c r="AF119" s="19"/>
      <c r="AG119" s="19"/>
      <c r="AH119" s="19"/>
    </row>
    <row r="120" spans="1:34" ht="14" x14ac:dyDescent="0.2">
      <c r="A120" s="50">
        <v>45825</v>
      </c>
      <c r="B120" s="49">
        <v>4</v>
      </c>
      <c r="C120" s="49">
        <v>22</v>
      </c>
      <c r="D120" s="49">
        <v>2</v>
      </c>
      <c r="F120" s="33">
        <v>0</v>
      </c>
      <c r="G120" s="49">
        <v>0</v>
      </c>
      <c r="H120" s="49">
        <v>0</v>
      </c>
      <c r="J120" s="33">
        <v>4.7</v>
      </c>
      <c r="K120" s="33">
        <f t="shared" si="80"/>
        <v>4.4999999999999991</v>
      </c>
      <c r="L120" s="33">
        <v>7.2</v>
      </c>
      <c r="M120" s="21"/>
      <c r="N120" s="33">
        <v>0.8</v>
      </c>
      <c r="O120" s="49">
        <v>4</v>
      </c>
      <c r="P120" s="49">
        <v>1.6</v>
      </c>
      <c r="Q120" s="21"/>
      <c r="R120" s="33">
        <v>1</v>
      </c>
      <c r="S120" s="49">
        <v>6</v>
      </c>
      <c r="T120" s="49">
        <v>2.2000000000000002</v>
      </c>
      <c r="U120" s="19"/>
      <c r="V120" s="33">
        <f>(1*28)+17</f>
        <v>45</v>
      </c>
      <c r="W120" s="33">
        <f>(3*28)+33</f>
        <v>117</v>
      </c>
      <c r="X120" s="33">
        <f>(3*28)+16</f>
        <v>100</v>
      </c>
      <c r="Y120" s="19"/>
      <c r="Z120" s="33">
        <f t="shared" ref="Z120:Z122" si="97">(0*24)+48</f>
        <v>48</v>
      </c>
      <c r="AA120" s="33">
        <f>(1*24)+33</f>
        <v>57</v>
      </c>
      <c r="AB120" s="33">
        <f t="shared" ref="AB120:AB124" si="98">(0*24)+1</f>
        <v>1</v>
      </c>
      <c r="AC120" s="33">
        <f t="shared" ref="AC120:AC124" si="99">(1*24)+39</f>
        <v>63</v>
      </c>
      <c r="AD120" s="19"/>
      <c r="AE120" s="33">
        <f>(31*12)+34</f>
        <v>406</v>
      </c>
      <c r="AF120" s="19"/>
      <c r="AG120" s="19"/>
      <c r="AH120" s="19"/>
    </row>
    <row r="121" spans="1:34" ht="14" x14ac:dyDescent="0.2">
      <c r="A121" s="50">
        <v>45826</v>
      </c>
      <c r="B121" s="49">
        <v>7</v>
      </c>
      <c r="C121" s="49">
        <v>44</v>
      </c>
      <c r="D121" s="49">
        <v>0</v>
      </c>
      <c r="F121" s="33">
        <v>0</v>
      </c>
      <c r="G121" s="49">
        <v>0</v>
      </c>
      <c r="H121" s="49">
        <v>0</v>
      </c>
      <c r="J121" s="33">
        <v>8.4</v>
      </c>
      <c r="K121" s="33">
        <f t="shared" si="80"/>
        <v>8.8000000000000007</v>
      </c>
      <c r="L121" s="33">
        <v>6.8</v>
      </c>
      <c r="M121" s="21"/>
      <c r="N121" s="33">
        <v>2.2000000000000002</v>
      </c>
      <c r="O121" s="49">
        <v>8</v>
      </c>
      <c r="P121" s="49">
        <v>0.7</v>
      </c>
      <c r="Q121" s="21"/>
      <c r="R121" s="33">
        <v>2.5</v>
      </c>
      <c r="S121" s="49">
        <v>16</v>
      </c>
      <c r="T121" s="49">
        <v>1.5</v>
      </c>
      <c r="U121" s="19"/>
      <c r="V121" s="33">
        <f>(1*28)+12</f>
        <v>40</v>
      </c>
      <c r="W121" s="33">
        <f>(3*28)+31</f>
        <v>115</v>
      </c>
      <c r="X121" s="33">
        <f t="shared" ref="X121:X122" si="100">(3*28)+15</f>
        <v>99</v>
      </c>
      <c r="Y121" s="19"/>
      <c r="Z121" s="33">
        <f t="shared" si="97"/>
        <v>48</v>
      </c>
      <c r="AA121" s="33">
        <f>(1*24)+31</f>
        <v>55</v>
      </c>
      <c r="AB121" s="33">
        <f t="shared" si="98"/>
        <v>1</v>
      </c>
      <c r="AC121" s="33">
        <f t="shared" si="99"/>
        <v>63</v>
      </c>
      <c r="AD121" s="19"/>
      <c r="AE121" s="33">
        <f>(30*12)+10</f>
        <v>370</v>
      </c>
      <c r="AF121" s="19"/>
      <c r="AG121" s="19"/>
      <c r="AH121" s="19"/>
    </row>
    <row r="122" spans="1:34" ht="14" x14ac:dyDescent="0.2">
      <c r="A122" s="50">
        <v>45827</v>
      </c>
      <c r="B122" s="49">
        <v>6</v>
      </c>
      <c r="C122" s="49">
        <v>36</v>
      </c>
      <c r="D122" s="49">
        <v>0</v>
      </c>
      <c r="F122" s="33">
        <v>0</v>
      </c>
      <c r="G122" s="49">
        <v>0</v>
      </c>
      <c r="H122" s="49">
        <v>0</v>
      </c>
      <c r="J122" s="33">
        <v>6.1</v>
      </c>
      <c r="K122" s="33">
        <f t="shared" si="80"/>
        <v>5.4999999999999982</v>
      </c>
      <c r="L122" s="33">
        <v>7.4</v>
      </c>
      <c r="M122" s="21"/>
      <c r="N122" s="33">
        <v>0.8</v>
      </c>
      <c r="O122" s="49">
        <v>5</v>
      </c>
      <c r="P122" s="49">
        <v>0</v>
      </c>
      <c r="Q122" s="21"/>
      <c r="R122" s="33">
        <v>1.5</v>
      </c>
      <c r="S122" s="49">
        <v>18</v>
      </c>
      <c r="T122" s="49">
        <v>0.5</v>
      </c>
      <c r="U122" s="19"/>
      <c r="V122" s="33">
        <f>(1*28)+6</f>
        <v>34</v>
      </c>
      <c r="W122" s="33">
        <f>(3*28)+28</f>
        <v>112</v>
      </c>
      <c r="X122" s="33">
        <f t="shared" si="100"/>
        <v>99</v>
      </c>
      <c r="Y122" s="19"/>
      <c r="Z122" s="33">
        <f t="shared" si="97"/>
        <v>48</v>
      </c>
      <c r="AA122" s="33">
        <f>(1*24)+30</f>
        <v>54</v>
      </c>
      <c r="AB122" s="33">
        <f t="shared" si="98"/>
        <v>1</v>
      </c>
      <c r="AC122" s="33">
        <f t="shared" si="99"/>
        <v>63</v>
      </c>
      <c r="AD122" s="19"/>
      <c r="AE122" s="33">
        <f>(27*12)+19</f>
        <v>343</v>
      </c>
      <c r="AF122" s="19"/>
      <c r="AG122" s="19"/>
      <c r="AH122" s="19"/>
    </row>
    <row r="123" spans="1:34" ht="14" x14ac:dyDescent="0.2">
      <c r="A123" s="50">
        <v>45828</v>
      </c>
      <c r="B123" s="49">
        <v>6</v>
      </c>
      <c r="C123" s="49">
        <v>27</v>
      </c>
      <c r="D123" s="49">
        <v>9</v>
      </c>
      <c r="F123" s="33">
        <v>0</v>
      </c>
      <c r="G123" s="49">
        <v>0</v>
      </c>
      <c r="H123" s="49">
        <v>0</v>
      </c>
      <c r="J123" s="33">
        <v>5</v>
      </c>
      <c r="K123" s="33">
        <f t="shared" si="80"/>
        <v>4.9000000000000004</v>
      </c>
      <c r="L123" s="33">
        <v>7.5</v>
      </c>
      <c r="M123" s="21"/>
      <c r="N123" s="33">
        <v>2</v>
      </c>
      <c r="O123" s="49">
        <v>7.2</v>
      </c>
      <c r="P123" s="49">
        <v>0</v>
      </c>
      <c r="Q123" s="21"/>
      <c r="R123" s="33">
        <v>2</v>
      </c>
      <c r="S123" s="49">
        <v>8</v>
      </c>
      <c r="T123" s="49">
        <v>1.3</v>
      </c>
      <c r="U123" s="19"/>
      <c r="V123" s="33">
        <f>(1*28)+0</f>
        <v>28</v>
      </c>
      <c r="W123" s="33">
        <f t="shared" ref="W123:W124" si="101">(3*28)+20</f>
        <v>104</v>
      </c>
      <c r="X123" s="33">
        <f>(3*28)+14</f>
        <v>98</v>
      </c>
      <c r="Y123" s="19"/>
      <c r="Z123" s="33">
        <f>(0*24)+45</f>
        <v>45</v>
      </c>
      <c r="AA123" s="33">
        <f>(1*24)+27</f>
        <v>51</v>
      </c>
      <c r="AB123" s="33">
        <f t="shared" si="98"/>
        <v>1</v>
      </c>
      <c r="AC123" s="33">
        <f t="shared" si="99"/>
        <v>63</v>
      </c>
      <c r="AD123" s="19"/>
      <c r="AE123" s="33">
        <f>(25*12)+19</f>
        <v>319</v>
      </c>
      <c r="AF123" s="19"/>
      <c r="AG123" s="19"/>
      <c r="AH123" s="19"/>
    </row>
    <row r="124" spans="1:34" ht="14" x14ac:dyDescent="0.2">
      <c r="A124" s="50">
        <v>45829</v>
      </c>
      <c r="B124" s="49">
        <v>6</v>
      </c>
      <c r="C124" s="49">
        <v>22</v>
      </c>
      <c r="D124" s="49">
        <v>14</v>
      </c>
      <c r="F124" s="33">
        <v>0</v>
      </c>
      <c r="G124" s="49">
        <v>0</v>
      </c>
      <c r="H124" s="49">
        <v>0</v>
      </c>
      <c r="J124" s="33">
        <v>5.8</v>
      </c>
      <c r="K124" s="33">
        <f t="shared" si="80"/>
        <v>5.1000000000000014</v>
      </c>
      <c r="L124" s="33">
        <v>8.1999999999999993</v>
      </c>
      <c r="M124" s="21"/>
      <c r="N124" s="33">
        <v>0</v>
      </c>
      <c r="O124" s="49">
        <v>0</v>
      </c>
      <c r="P124" s="49">
        <v>0</v>
      </c>
      <c r="Q124" s="21"/>
      <c r="R124" s="33">
        <v>1</v>
      </c>
      <c r="S124" s="49">
        <v>12</v>
      </c>
      <c r="T124" s="49">
        <v>1.4</v>
      </c>
      <c r="U124" s="19"/>
      <c r="V124" s="33">
        <f>(0*28)+21</f>
        <v>21</v>
      </c>
      <c r="W124" s="33">
        <f t="shared" si="101"/>
        <v>104</v>
      </c>
      <c r="X124" s="33">
        <f t="shared" ref="X124:X125" si="102">(2*28)+41</f>
        <v>97</v>
      </c>
      <c r="Y124" s="19"/>
      <c r="Z124" s="33">
        <f>(0*24)+40</f>
        <v>40</v>
      </c>
      <c r="AA124" s="33">
        <f>(1*24)+29</f>
        <v>53</v>
      </c>
      <c r="AB124" s="33">
        <f t="shared" si="98"/>
        <v>1</v>
      </c>
      <c r="AC124" s="33">
        <f t="shared" si="99"/>
        <v>63</v>
      </c>
      <c r="AD124" s="19"/>
      <c r="AE124" s="33">
        <f>(23*12)+22</f>
        <v>298</v>
      </c>
      <c r="AF124" s="19"/>
      <c r="AG124" s="19"/>
      <c r="AH124" s="19"/>
    </row>
    <row r="125" spans="1:34" ht="14" x14ac:dyDescent="0.2">
      <c r="A125" s="50">
        <v>45830</v>
      </c>
      <c r="B125" s="49">
        <v>10</v>
      </c>
      <c r="C125" s="49">
        <v>52</v>
      </c>
      <c r="D125" s="49">
        <v>8</v>
      </c>
      <c r="F125" s="33">
        <v>0</v>
      </c>
      <c r="G125" s="49">
        <v>0</v>
      </c>
      <c r="H125" s="49">
        <v>0</v>
      </c>
      <c r="J125" s="33">
        <v>6.2</v>
      </c>
      <c r="K125" s="33">
        <f t="shared" si="80"/>
        <v>9.4999999999999982</v>
      </c>
      <c r="L125" s="33">
        <v>4.9000000000000004</v>
      </c>
      <c r="M125" s="21"/>
      <c r="N125" s="33">
        <v>2</v>
      </c>
      <c r="O125" s="49">
        <v>5.3</v>
      </c>
      <c r="P125" s="49">
        <v>0.5</v>
      </c>
      <c r="Q125" s="21"/>
      <c r="R125" s="33">
        <v>1.5</v>
      </c>
      <c r="S125" s="49">
        <v>16</v>
      </c>
      <c r="T125" s="49">
        <v>0.5</v>
      </c>
      <c r="U125" s="19"/>
      <c r="V125" s="33">
        <f>(0*28)+16</f>
        <v>16</v>
      </c>
      <c r="W125" s="33">
        <f t="shared" ref="W125:W126" si="103">(3*28)+18</f>
        <v>102</v>
      </c>
      <c r="X125" s="33">
        <f t="shared" si="102"/>
        <v>97</v>
      </c>
      <c r="Y125" s="19"/>
      <c r="Z125" s="33">
        <f t="shared" ref="Z125:Z126" si="104">(0*24)+35</f>
        <v>35</v>
      </c>
      <c r="AA125" s="33">
        <f t="shared" ref="AA125:AA127" si="105">(1*24)+27</f>
        <v>51</v>
      </c>
      <c r="AB125" s="33">
        <f t="shared" ref="AB125:AB131" si="106">(0*24)+0</f>
        <v>0</v>
      </c>
      <c r="AC125" s="33">
        <f t="shared" ref="AC125:AC127" si="107">(1*24)+38</f>
        <v>62</v>
      </c>
      <c r="AD125" s="19"/>
      <c r="AE125" s="33">
        <f>(20*12)+28</f>
        <v>268</v>
      </c>
      <c r="AF125" s="19"/>
      <c r="AG125" s="19"/>
      <c r="AH125" s="19"/>
    </row>
    <row r="126" spans="1:34" ht="14" x14ac:dyDescent="0.2">
      <c r="A126" s="50">
        <v>45831</v>
      </c>
      <c r="B126" s="49">
        <v>4</v>
      </c>
      <c r="C126" s="49">
        <v>14</v>
      </c>
      <c r="D126" s="49">
        <v>2</v>
      </c>
      <c r="F126" s="33">
        <v>0</v>
      </c>
      <c r="G126" s="49">
        <v>0</v>
      </c>
      <c r="H126" s="49">
        <v>0</v>
      </c>
      <c r="J126" s="33">
        <v>6.9</v>
      </c>
      <c r="K126" s="33">
        <f t="shared" si="80"/>
        <v>5.6000000000000005</v>
      </c>
      <c r="L126" s="33">
        <v>6.2</v>
      </c>
      <c r="M126" s="21"/>
      <c r="N126" s="33">
        <v>1</v>
      </c>
      <c r="O126" s="49">
        <v>3.3</v>
      </c>
      <c r="P126" s="49">
        <v>0.8</v>
      </c>
      <c r="Q126" s="21"/>
      <c r="R126" s="33">
        <v>2</v>
      </c>
      <c r="S126" s="49">
        <v>7</v>
      </c>
      <c r="T126" s="49">
        <v>1.8</v>
      </c>
      <c r="U126" s="19"/>
      <c r="V126" s="33">
        <f>(0*28)+13</f>
        <v>13</v>
      </c>
      <c r="W126" s="33">
        <f t="shared" si="103"/>
        <v>102</v>
      </c>
      <c r="X126" s="33">
        <f>(2*28)+38</f>
        <v>94</v>
      </c>
      <c r="Y126" s="19"/>
      <c r="Z126" s="33">
        <f t="shared" si="104"/>
        <v>35</v>
      </c>
      <c r="AA126" s="33">
        <f t="shared" si="105"/>
        <v>51</v>
      </c>
      <c r="AB126" s="33">
        <f t="shared" si="106"/>
        <v>0</v>
      </c>
      <c r="AC126" s="33">
        <f t="shared" si="107"/>
        <v>62</v>
      </c>
      <c r="AD126" s="19"/>
      <c r="AE126" s="33">
        <f>(19*12)+27</f>
        <v>255</v>
      </c>
      <c r="AF126" s="19"/>
      <c r="AG126" s="19"/>
      <c r="AH126" s="19"/>
    </row>
    <row r="127" spans="1:34" ht="14" x14ac:dyDescent="0.2">
      <c r="A127" s="50">
        <v>45832</v>
      </c>
      <c r="B127" s="49">
        <v>5</v>
      </c>
      <c r="C127" s="49">
        <v>28</v>
      </c>
      <c r="D127" s="49">
        <v>2</v>
      </c>
      <c r="F127" s="33">
        <v>0</v>
      </c>
      <c r="G127" s="49">
        <v>0</v>
      </c>
      <c r="H127" s="49">
        <v>0</v>
      </c>
      <c r="J127" s="33">
        <v>7</v>
      </c>
      <c r="K127" s="33">
        <f t="shared" si="80"/>
        <v>2.8999999999999986</v>
      </c>
      <c r="L127" s="33">
        <v>10.3</v>
      </c>
      <c r="M127" s="21"/>
      <c r="N127" s="33">
        <v>0</v>
      </c>
      <c r="O127" s="49">
        <v>2.2999999999999998</v>
      </c>
      <c r="P127" s="49">
        <v>0.3</v>
      </c>
      <c r="Q127" s="21"/>
      <c r="R127" s="33">
        <v>1.4</v>
      </c>
      <c r="S127" s="49">
        <v>21</v>
      </c>
      <c r="T127" s="49">
        <v>0</v>
      </c>
      <c r="U127" s="19"/>
      <c r="V127" s="33">
        <f t="shared" ref="V127:V128" si="108">(0*28)+2</f>
        <v>2</v>
      </c>
      <c r="W127" s="33">
        <f>(3*28)+17</f>
        <v>101</v>
      </c>
      <c r="X127" s="33">
        <f>(2*28)+36</f>
        <v>92</v>
      </c>
      <c r="Y127" s="19"/>
      <c r="Z127" s="33">
        <f>(0*24)+34</f>
        <v>34</v>
      </c>
      <c r="AA127" s="33">
        <f t="shared" si="105"/>
        <v>51</v>
      </c>
      <c r="AB127" s="33">
        <f t="shared" si="106"/>
        <v>0</v>
      </c>
      <c r="AC127" s="33">
        <f t="shared" si="107"/>
        <v>62</v>
      </c>
      <c r="AD127" s="19"/>
      <c r="AE127" s="33">
        <f>(18*12)+17</f>
        <v>233</v>
      </c>
      <c r="AF127" s="19"/>
      <c r="AG127" s="19"/>
      <c r="AH127" s="19"/>
    </row>
    <row r="128" spans="1:34" ht="14" x14ac:dyDescent="0.2">
      <c r="A128" s="50">
        <v>45833</v>
      </c>
      <c r="B128" s="49">
        <v>5.5</v>
      </c>
      <c r="C128" s="49">
        <v>26</v>
      </c>
      <c r="D128" s="49">
        <v>7</v>
      </c>
      <c r="F128" s="33">
        <v>0</v>
      </c>
      <c r="G128" s="49">
        <v>0</v>
      </c>
      <c r="H128" s="49">
        <v>0</v>
      </c>
      <c r="J128" s="33">
        <v>3.8</v>
      </c>
      <c r="K128" s="33">
        <f t="shared" si="80"/>
        <v>5.6000000000000014</v>
      </c>
      <c r="L128" s="33">
        <v>8.5</v>
      </c>
      <c r="M128" s="21"/>
      <c r="N128" s="33">
        <v>1.6</v>
      </c>
      <c r="O128" s="49">
        <v>1.3</v>
      </c>
      <c r="P128" s="49">
        <v>0.8</v>
      </c>
      <c r="Q128" s="21"/>
      <c r="R128" s="33">
        <v>2.2000000000000002</v>
      </c>
      <c r="S128" s="49">
        <v>6</v>
      </c>
      <c r="T128" s="49">
        <v>2</v>
      </c>
      <c r="U128" s="19"/>
      <c r="V128" s="33">
        <f t="shared" si="108"/>
        <v>2</v>
      </c>
      <c r="W128" s="33">
        <f>(3*28)+16</f>
        <v>100</v>
      </c>
      <c r="X128" s="33">
        <f>(2*28)+35</f>
        <v>91</v>
      </c>
      <c r="Y128" s="19"/>
      <c r="Z128" s="33">
        <f>(0*24)+25</f>
        <v>25</v>
      </c>
      <c r="AA128" s="33">
        <f>(1*24)+24</f>
        <v>48</v>
      </c>
      <c r="AB128" s="33">
        <f t="shared" si="106"/>
        <v>0</v>
      </c>
      <c r="AC128" s="33">
        <f>(1*24)+37</f>
        <v>61</v>
      </c>
      <c r="AD128" s="19"/>
      <c r="AE128" s="33">
        <f>(16*12)+29</f>
        <v>221</v>
      </c>
      <c r="AF128" s="19"/>
      <c r="AG128" s="19"/>
      <c r="AH128" s="19"/>
    </row>
    <row r="129" spans="1:34" ht="14" x14ac:dyDescent="0.2">
      <c r="A129" s="50">
        <v>45834</v>
      </c>
      <c r="B129" s="49">
        <v>6</v>
      </c>
      <c r="C129" s="49">
        <v>35</v>
      </c>
      <c r="D129" s="49">
        <v>1</v>
      </c>
      <c r="F129" s="33">
        <v>0</v>
      </c>
      <c r="G129" s="49">
        <v>0</v>
      </c>
      <c r="H129" s="49">
        <v>0</v>
      </c>
      <c r="J129" s="33">
        <v>6.2</v>
      </c>
      <c r="K129" s="33">
        <f t="shared" si="80"/>
        <v>5</v>
      </c>
      <c r="L129" s="33">
        <v>9.6999999999999993</v>
      </c>
      <c r="M129" s="21"/>
      <c r="N129" s="33">
        <v>0.3</v>
      </c>
      <c r="O129" s="49">
        <v>1.3</v>
      </c>
      <c r="P129" s="49">
        <v>0.9</v>
      </c>
      <c r="Q129" s="21"/>
      <c r="R129" s="33">
        <v>1</v>
      </c>
      <c r="S129" s="49">
        <v>5</v>
      </c>
      <c r="T129" s="49">
        <v>2</v>
      </c>
      <c r="U129" s="19"/>
      <c r="V129" s="33">
        <f t="shared" ref="V129:V131" si="109">(0*28)+0</f>
        <v>0</v>
      </c>
      <c r="W129" s="33">
        <f t="shared" ref="W129:W130" si="110">(3*28)+14</f>
        <v>98</v>
      </c>
      <c r="X129" s="33">
        <f>(2*28)+31</f>
        <v>87</v>
      </c>
      <c r="Y129" s="19"/>
      <c r="Z129" s="33">
        <f>(0*24)+24</f>
        <v>24</v>
      </c>
      <c r="AA129" s="33">
        <f>(1*24)+20</f>
        <v>44</v>
      </c>
      <c r="AB129" s="33">
        <f t="shared" si="106"/>
        <v>0</v>
      </c>
      <c r="AC129" s="33">
        <f t="shared" ref="AC129:AC130" si="111">(1*24)+32</f>
        <v>56</v>
      </c>
      <c r="AD129" s="19"/>
      <c r="AE129" s="33">
        <f>(15*12)+16</f>
        <v>196</v>
      </c>
      <c r="AF129" s="19"/>
      <c r="AG129" s="19"/>
      <c r="AH129" s="19"/>
    </row>
    <row r="130" spans="1:34" ht="14" x14ac:dyDescent="0.2">
      <c r="A130" s="50">
        <v>45835</v>
      </c>
      <c r="B130" s="49">
        <v>5</v>
      </c>
      <c r="C130" s="49">
        <v>25</v>
      </c>
      <c r="D130" s="49">
        <v>5</v>
      </c>
      <c r="F130" s="33">
        <v>0</v>
      </c>
      <c r="G130" s="49">
        <v>0</v>
      </c>
      <c r="H130" s="49">
        <v>0</v>
      </c>
      <c r="J130" s="33">
        <v>5.4</v>
      </c>
      <c r="K130" s="33">
        <f t="shared" si="80"/>
        <v>7</v>
      </c>
      <c r="L130" s="33">
        <v>8.1</v>
      </c>
      <c r="M130" s="21"/>
      <c r="N130" s="33">
        <v>1</v>
      </c>
      <c r="O130" s="49">
        <v>5</v>
      </c>
      <c r="P130" s="49">
        <v>1</v>
      </c>
      <c r="Q130" s="21"/>
      <c r="R130" s="33">
        <v>1</v>
      </c>
      <c r="S130" s="49">
        <v>6</v>
      </c>
      <c r="T130" s="49">
        <v>3</v>
      </c>
      <c r="U130" s="19"/>
      <c r="V130" s="33">
        <f t="shared" si="109"/>
        <v>0</v>
      </c>
      <c r="W130" s="33">
        <f t="shared" si="110"/>
        <v>98</v>
      </c>
      <c r="X130" s="33">
        <f>(2*28)+30</f>
        <v>86</v>
      </c>
      <c r="Y130" s="19"/>
      <c r="Z130" s="33">
        <f>(0*24)+15</f>
        <v>15</v>
      </c>
      <c r="AA130" s="33">
        <f t="shared" ref="AA130:AA131" si="112">(1*24)+12</f>
        <v>36</v>
      </c>
      <c r="AB130" s="33">
        <f t="shared" si="106"/>
        <v>0</v>
      </c>
      <c r="AC130" s="33">
        <f t="shared" si="111"/>
        <v>56</v>
      </c>
      <c r="AD130" s="19"/>
      <c r="AE130" s="33">
        <f>(13*12)+19</f>
        <v>175</v>
      </c>
      <c r="AF130" s="19"/>
      <c r="AG130" s="19"/>
      <c r="AH130" s="19"/>
    </row>
    <row r="131" spans="1:34" ht="14" x14ac:dyDescent="0.2">
      <c r="A131" s="50">
        <v>45836</v>
      </c>
      <c r="B131" s="49">
        <v>5</v>
      </c>
      <c r="C131" s="49">
        <v>25</v>
      </c>
      <c r="D131" s="49">
        <v>5</v>
      </c>
      <c r="F131" s="33">
        <v>0</v>
      </c>
      <c r="G131" s="49">
        <v>0</v>
      </c>
      <c r="H131" s="49">
        <v>0</v>
      </c>
      <c r="J131" s="33">
        <v>7</v>
      </c>
      <c r="K131" s="33">
        <f t="shared" si="80"/>
        <v>7.3</v>
      </c>
      <c r="L131" s="33">
        <v>7.8</v>
      </c>
      <c r="M131" s="21"/>
      <c r="N131" s="33">
        <v>0.7</v>
      </c>
      <c r="O131" s="49">
        <v>0</v>
      </c>
      <c r="P131" s="49">
        <v>1.5</v>
      </c>
      <c r="Q131" s="21"/>
      <c r="R131" s="33">
        <v>0</v>
      </c>
      <c r="S131" s="49">
        <v>8</v>
      </c>
      <c r="T131" s="49">
        <v>1.8</v>
      </c>
      <c r="U131" s="19"/>
      <c r="V131" s="33">
        <f t="shared" si="109"/>
        <v>0</v>
      </c>
      <c r="W131" s="33">
        <f>(2*28)+40</f>
        <v>96</v>
      </c>
      <c r="X131" s="33">
        <f>(2*28)+28</f>
        <v>84</v>
      </c>
      <c r="Y131" s="19"/>
      <c r="Z131" s="33">
        <f>(0*24)+7</f>
        <v>7</v>
      </c>
      <c r="AA131" s="33">
        <f t="shared" si="112"/>
        <v>36</v>
      </c>
      <c r="AB131" s="33">
        <f t="shared" si="106"/>
        <v>0</v>
      </c>
      <c r="AC131" s="33">
        <f>(1*24)+30</f>
        <v>54</v>
      </c>
      <c r="AD131" s="19"/>
      <c r="AE131" s="33">
        <f>(11*12)+22</f>
        <v>154</v>
      </c>
      <c r="AF131" s="19"/>
      <c r="AG131" s="19"/>
      <c r="AH131" s="19"/>
    </row>
    <row r="132" spans="1:34" ht="14" x14ac:dyDescent="0.2">
      <c r="A132" s="50">
        <v>45837</v>
      </c>
      <c r="B132" s="49">
        <v>6.5</v>
      </c>
      <c r="C132" s="49">
        <v>31</v>
      </c>
      <c r="D132" s="49"/>
      <c r="F132" s="33">
        <v>0</v>
      </c>
      <c r="G132" s="49">
        <v>0</v>
      </c>
      <c r="H132" s="49">
        <v>0</v>
      </c>
      <c r="J132" s="33">
        <v>7.4</v>
      </c>
      <c r="K132" s="33">
        <f t="shared" si="80"/>
        <v>7.8999999999999995</v>
      </c>
      <c r="L132" s="33">
        <v>7.3</v>
      </c>
      <c r="M132" s="21"/>
      <c r="N132" s="33">
        <v>2</v>
      </c>
      <c r="O132" s="49">
        <v>5.2</v>
      </c>
      <c r="P132" s="49">
        <v>1.8</v>
      </c>
      <c r="Q132" s="21"/>
      <c r="R132" s="33">
        <v>1.5</v>
      </c>
      <c r="S132" s="49">
        <v>26</v>
      </c>
      <c r="T132" s="49">
        <v>0</v>
      </c>
      <c r="U132" s="19"/>
      <c r="V132" s="33"/>
      <c r="W132" s="33"/>
      <c r="X132" s="33"/>
      <c r="Y132" s="19"/>
      <c r="Z132" s="33"/>
      <c r="AA132" s="33"/>
      <c r="AB132" s="33"/>
      <c r="AC132" s="33"/>
      <c r="AD132" s="19"/>
      <c r="AE132" s="33"/>
      <c r="AF132" s="19"/>
      <c r="AG132" s="19"/>
      <c r="AH132" s="19"/>
    </row>
    <row r="133" spans="1:34" ht="14" x14ac:dyDescent="0.2">
      <c r="A133" s="50">
        <v>45838</v>
      </c>
      <c r="B133" s="49"/>
      <c r="C133" s="49"/>
      <c r="D133" s="49"/>
      <c r="F133" s="33">
        <v>0</v>
      </c>
      <c r="G133" s="49">
        <v>0</v>
      </c>
      <c r="H133" s="49">
        <v>0</v>
      </c>
      <c r="J133" s="33">
        <v>0</v>
      </c>
      <c r="K133" s="33">
        <f t="shared" si="80"/>
        <v>7.3</v>
      </c>
      <c r="L133" s="33">
        <v>0</v>
      </c>
      <c r="M133" s="21"/>
      <c r="N133" s="33">
        <v>0</v>
      </c>
      <c r="O133" s="49">
        <v>0</v>
      </c>
      <c r="P133" s="49">
        <v>0</v>
      </c>
      <c r="Q133" s="21"/>
      <c r="R133" s="33"/>
      <c r="S133" s="49"/>
      <c r="T133" s="49"/>
      <c r="U133" s="19"/>
      <c r="V133" s="33"/>
      <c r="W133" s="33"/>
      <c r="X133" s="33"/>
      <c r="Y133" s="19"/>
      <c r="Z133" s="33"/>
      <c r="AA133" s="33"/>
      <c r="AB133" s="33"/>
      <c r="AC133" s="33"/>
      <c r="AD133" s="19"/>
      <c r="AE133" s="33"/>
      <c r="AF133" s="19"/>
      <c r="AG133" s="19"/>
      <c r="AH133" s="19"/>
    </row>
    <row r="134" spans="1:34" ht="14" x14ac:dyDescent="0.2">
      <c r="A134" s="50"/>
      <c r="B134" s="52">
        <f t="shared" ref="B134:D134" si="113">SUM(B105:B133)</f>
        <v>155.5</v>
      </c>
      <c r="C134" s="52">
        <f t="shared" si="113"/>
        <v>843</v>
      </c>
      <c r="D134" s="52">
        <f t="shared" si="113"/>
        <v>94</v>
      </c>
      <c r="F134" s="52">
        <f t="shared" ref="F134:H134" si="114">SUM(F105:F133)</f>
        <v>0</v>
      </c>
      <c r="G134" s="52">
        <f t="shared" si="114"/>
        <v>0</v>
      </c>
      <c r="H134" s="52">
        <f t="shared" si="114"/>
        <v>0</v>
      </c>
      <c r="J134" s="52">
        <f t="shared" ref="J134:K134" si="115">SUM(J105:J133)</f>
        <v>164.40000000000003</v>
      </c>
      <c r="K134" s="52">
        <f t="shared" si="115"/>
        <v>167.40000000000003</v>
      </c>
      <c r="L134" s="4"/>
      <c r="N134" s="52">
        <f t="shared" ref="N134:O134" si="116">SUM(N105:N133)</f>
        <v>32.200000000000003</v>
      </c>
      <c r="O134" s="52">
        <f t="shared" si="116"/>
        <v>104.89999999999999</v>
      </c>
      <c r="P134" s="4"/>
      <c r="R134" s="52">
        <f t="shared" ref="R134:S134" si="117">SUM(R105:R133)</f>
        <v>44</v>
      </c>
      <c r="S134" s="52">
        <f t="shared" si="117"/>
        <v>348</v>
      </c>
      <c r="T134" s="4"/>
      <c r="U134" s="19"/>
      <c r="V134" s="53"/>
      <c r="W134" s="54"/>
      <c r="X134" s="54"/>
      <c r="Y134" s="19"/>
      <c r="Z134" s="53"/>
      <c r="AA134" s="54"/>
      <c r="AB134" s="54"/>
      <c r="AC134" s="54"/>
      <c r="AD134" s="19"/>
      <c r="AE134" s="53"/>
      <c r="AF134" s="19"/>
      <c r="AG134" s="19"/>
      <c r="AH134" s="19"/>
    </row>
    <row r="135" spans="1:34" ht="14" x14ac:dyDescent="0.2">
      <c r="A135" s="50"/>
      <c r="B135" s="49"/>
      <c r="C135" s="49"/>
      <c r="D135" s="49"/>
      <c r="F135" s="33"/>
      <c r="G135" s="49"/>
      <c r="H135" s="49"/>
      <c r="J135" s="33"/>
      <c r="K135" s="49"/>
      <c r="L135" s="49"/>
      <c r="M135" s="21"/>
      <c r="N135" s="33"/>
      <c r="O135" s="49"/>
      <c r="P135" s="49"/>
      <c r="Q135" s="21"/>
      <c r="R135" s="33"/>
      <c r="S135" s="49"/>
      <c r="T135" s="49"/>
      <c r="U135" s="19"/>
      <c r="V135" s="33"/>
      <c r="W135" s="49"/>
      <c r="X135" s="49"/>
      <c r="Y135" s="19"/>
      <c r="Z135" s="33"/>
      <c r="AA135" s="49"/>
      <c r="AB135" s="49"/>
      <c r="AC135" s="49"/>
      <c r="AD135" s="19"/>
      <c r="AE135" s="33"/>
      <c r="AF135" s="19"/>
      <c r="AG135" s="19"/>
      <c r="AH135" s="19"/>
    </row>
    <row r="136" spans="1:34" ht="14" x14ac:dyDescent="0.2">
      <c r="A136" s="50"/>
      <c r="B136" s="49"/>
      <c r="C136" s="49"/>
      <c r="D136" s="49"/>
      <c r="F136" s="33"/>
      <c r="G136" s="49"/>
      <c r="H136" s="49"/>
      <c r="J136" s="33"/>
      <c r="K136" s="49"/>
      <c r="L136" s="49"/>
      <c r="M136" s="21"/>
      <c r="N136" s="33"/>
      <c r="O136" s="49"/>
      <c r="P136" s="49"/>
      <c r="Q136" s="21"/>
      <c r="R136" s="33"/>
      <c r="S136" s="49"/>
      <c r="T136" s="49"/>
      <c r="U136" s="19"/>
      <c r="V136" s="33"/>
      <c r="W136" s="49"/>
      <c r="X136" s="49"/>
      <c r="Y136" s="19"/>
      <c r="Z136" s="33"/>
      <c r="AA136" s="49"/>
      <c r="AB136" s="49"/>
      <c r="AC136" s="49"/>
      <c r="AD136" s="19"/>
      <c r="AE136" s="33"/>
      <c r="AF136" s="19"/>
      <c r="AG136" s="19"/>
      <c r="AH136" s="19"/>
    </row>
    <row r="137" spans="1:34" ht="14" x14ac:dyDescent="0.2">
      <c r="A137" s="50">
        <v>45778</v>
      </c>
      <c r="B137" s="49">
        <v>6</v>
      </c>
      <c r="C137" s="49">
        <v>37</v>
      </c>
      <c r="D137" s="49">
        <v>0</v>
      </c>
      <c r="F137" s="33">
        <v>3.3</v>
      </c>
      <c r="G137" s="49">
        <v>13</v>
      </c>
      <c r="H137" s="49">
        <v>7</v>
      </c>
      <c r="J137" s="33">
        <v>7.9</v>
      </c>
      <c r="K137" s="51">
        <f>J137-L137</f>
        <v>-8.4999999999999982</v>
      </c>
      <c r="L137" s="49">
        <f>6.1+10.3</f>
        <v>16.399999999999999</v>
      </c>
      <c r="M137" s="21"/>
      <c r="N137" s="33">
        <v>1</v>
      </c>
      <c r="O137" s="49">
        <v>6</v>
      </c>
      <c r="P137" s="49">
        <v>0</v>
      </c>
      <c r="Q137" s="21"/>
      <c r="R137" s="33">
        <v>2</v>
      </c>
      <c r="S137" s="49">
        <v>17</v>
      </c>
      <c r="T137" s="49">
        <v>0</v>
      </c>
      <c r="U137" s="19"/>
      <c r="V137" s="33">
        <f>(3*28)+26</f>
        <v>110</v>
      </c>
      <c r="W137" s="33">
        <f>(5*28)+16</f>
        <v>156</v>
      </c>
      <c r="X137" s="33">
        <f>(3*28)+27</f>
        <v>111</v>
      </c>
      <c r="Y137" s="19"/>
      <c r="Z137" s="33">
        <f>(1*24)+29</f>
        <v>53</v>
      </c>
      <c r="AA137" s="49">
        <f t="shared" ref="AA137:AA139" si="118">(1*24)+38</f>
        <v>62</v>
      </c>
      <c r="AB137" s="49">
        <f>(0*24)+15</f>
        <v>15</v>
      </c>
      <c r="AC137" s="49">
        <f>(1*24)+13</f>
        <v>37</v>
      </c>
      <c r="AD137" s="19"/>
      <c r="AE137" s="33">
        <f>(16*12)+38</f>
        <v>230</v>
      </c>
      <c r="AF137" s="19"/>
      <c r="AG137" s="19"/>
      <c r="AH137" s="19"/>
    </row>
    <row r="138" spans="1:34" ht="14" x14ac:dyDescent="0.2">
      <c r="A138" s="50">
        <v>45779</v>
      </c>
      <c r="B138" s="49">
        <v>5</v>
      </c>
      <c r="C138" s="49">
        <v>22</v>
      </c>
      <c r="D138" s="49">
        <v>8</v>
      </c>
      <c r="F138" s="33">
        <v>2</v>
      </c>
      <c r="G138" s="49">
        <v>10</v>
      </c>
      <c r="H138" s="49">
        <v>2</v>
      </c>
      <c r="J138" s="33">
        <v>0</v>
      </c>
      <c r="K138" s="33">
        <f t="shared" ref="K138:K167" si="119">J138+L137-L138</f>
        <v>5.9999999999999982</v>
      </c>
      <c r="L138" s="49">
        <f>4.7+5.7</f>
        <v>10.4</v>
      </c>
      <c r="M138" s="21"/>
      <c r="N138" s="33">
        <v>2</v>
      </c>
      <c r="O138" s="49">
        <v>4.5</v>
      </c>
      <c r="P138" s="49">
        <v>0.5</v>
      </c>
      <c r="Q138" s="21"/>
      <c r="R138" s="33">
        <v>2.6</v>
      </c>
      <c r="S138" s="49">
        <v>10</v>
      </c>
      <c r="T138" s="49">
        <v>1.4</v>
      </c>
      <c r="U138" s="19"/>
      <c r="V138" s="33">
        <f>(3*28)+24</f>
        <v>108</v>
      </c>
      <c r="W138" s="33">
        <f>(5*28)+12</f>
        <v>152</v>
      </c>
      <c r="X138" s="33">
        <f t="shared" ref="X138:X139" si="120">(3*28)+26</f>
        <v>110</v>
      </c>
      <c r="Y138" s="19"/>
      <c r="Z138" s="33">
        <f t="shared" ref="Z138:Z139" si="121">(1*24)+28</f>
        <v>52</v>
      </c>
      <c r="AA138" s="49">
        <f t="shared" si="118"/>
        <v>62</v>
      </c>
      <c r="AB138" s="49">
        <f>(0*24)+11</f>
        <v>11</v>
      </c>
      <c r="AC138" s="49">
        <f t="shared" ref="AC138:AC139" si="122">(1*24)+12</f>
        <v>36</v>
      </c>
      <c r="AD138" s="19"/>
      <c r="AE138" s="33">
        <f>(16*12)+20</f>
        <v>212</v>
      </c>
      <c r="AF138" s="19"/>
      <c r="AG138" s="19"/>
      <c r="AH138" s="19"/>
    </row>
    <row r="139" spans="1:34" ht="14" x14ac:dyDescent="0.2">
      <c r="A139" s="50">
        <v>45780</v>
      </c>
      <c r="B139" s="49">
        <v>5</v>
      </c>
      <c r="C139" s="49">
        <v>22</v>
      </c>
      <c r="D139" s="49">
        <v>8</v>
      </c>
      <c r="F139" s="33">
        <v>2</v>
      </c>
      <c r="G139" s="49">
        <v>9</v>
      </c>
      <c r="H139" s="49">
        <v>3</v>
      </c>
      <c r="J139" s="33">
        <v>8.8000000000000007</v>
      </c>
      <c r="K139" s="33">
        <f t="shared" si="119"/>
        <v>5.0000000000000036</v>
      </c>
      <c r="L139" s="49">
        <f>11.2+3</f>
        <v>14.2</v>
      </c>
      <c r="M139" s="21"/>
      <c r="N139" s="33">
        <v>1.1000000000000001</v>
      </c>
      <c r="O139" s="49">
        <v>4.5</v>
      </c>
      <c r="P139" s="49">
        <v>0.2</v>
      </c>
      <c r="Q139" s="21"/>
      <c r="R139" s="33">
        <v>2</v>
      </c>
      <c r="S139" s="49">
        <v>7</v>
      </c>
      <c r="T139" s="49">
        <v>2.7</v>
      </c>
      <c r="U139" s="19"/>
      <c r="V139" s="33">
        <f>(3*28)+23</f>
        <v>107</v>
      </c>
      <c r="W139" s="33">
        <f t="shared" ref="W139:W140" si="123">(5*28)+11</f>
        <v>151</v>
      </c>
      <c r="X139" s="33">
        <f t="shared" si="120"/>
        <v>110</v>
      </c>
      <c r="Y139" s="19"/>
      <c r="Z139" s="33">
        <f t="shared" si="121"/>
        <v>52</v>
      </c>
      <c r="AA139" s="49">
        <f t="shared" si="118"/>
        <v>62</v>
      </c>
      <c r="AB139" s="49">
        <f t="shared" ref="AB139:AB141" si="124">(0*24)+10</f>
        <v>10</v>
      </c>
      <c r="AC139" s="49">
        <f t="shared" si="122"/>
        <v>36</v>
      </c>
      <c r="AD139" s="19"/>
      <c r="AE139" s="33">
        <f>(14*12)+25</f>
        <v>193</v>
      </c>
      <c r="AF139" s="19"/>
      <c r="AG139" s="19"/>
      <c r="AH139" s="19"/>
    </row>
    <row r="140" spans="1:34" ht="14" x14ac:dyDescent="0.2">
      <c r="A140" s="50">
        <v>45781</v>
      </c>
      <c r="B140" s="49">
        <v>6</v>
      </c>
      <c r="C140" s="49">
        <v>36</v>
      </c>
      <c r="D140" s="49">
        <v>0</v>
      </c>
      <c r="F140" s="33">
        <v>2.5</v>
      </c>
      <c r="G140" s="49">
        <v>15</v>
      </c>
      <c r="H140" s="49">
        <v>0</v>
      </c>
      <c r="J140" s="33">
        <v>5.9</v>
      </c>
      <c r="K140" s="33">
        <f t="shared" si="119"/>
        <v>8.3000000000000025</v>
      </c>
      <c r="L140" s="49">
        <f>0.6+11.2</f>
        <v>11.799999999999999</v>
      </c>
      <c r="M140" s="21"/>
      <c r="N140" s="33">
        <v>2</v>
      </c>
      <c r="O140" s="49">
        <v>1</v>
      </c>
      <c r="P140" s="49">
        <v>1.5</v>
      </c>
      <c r="Q140" s="21"/>
      <c r="R140" s="33">
        <v>0</v>
      </c>
      <c r="S140" s="49">
        <v>11</v>
      </c>
      <c r="T140" s="49">
        <v>1.1000000000000001</v>
      </c>
      <c r="U140" s="19"/>
      <c r="V140" s="33">
        <f>(3*28)+15</f>
        <v>99</v>
      </c>
      <c r="W140" s="33">
        <f t="shared" si="123"/>
        <v>151</v>
      </c>
      <c r="X140" s="33">
        <f>(3*28)+25</f>
        <v>109</v>
      </c>
      <c r="Y140" s="19"/>
      <c r="Z140" s="33">
        <f>(1*24)+24</f>
        <v>48</v>
      </c>
      <c r="AA140" s="49">
        <f t="shared" ref="AA140:AA141" si="125">(1*24)+33</f>
        <v>57</v>
      </c>
      <c r="AB140" s="49">
        <f t="shared" si="124"/>
        <v>10</v>
      </c>
      <c r="AC140" s="49">
        <f>(1*24)+11</f>
        <v>35</v>
      </c>
      <c r="AD140" s="19"/>
      <c r="AE140" s="33">
        <f>(13*12)+10</f>
        <v>166</v>
      </c>
      <c r="AF140" s="19"/>
      <c r="AG140" s="19"/>
      <c r="AH140" s="19"/>
    </row>
    <row r="141" spans="1:34" ht="14" x14ac:dyDescent="0.2">
      <c r="A141" s="50">
        <v>45782</v>
      </c>
      <c r="B141" s="49">
        <v>3</v>
      </c>
      <c r="C141" s="49">
        <v>22</v>
      </c>
      <c r="D141" s="49">
        <v>0</v>
      </c>
      <c r="F141" s="33">
        <v>2</v>
      </c>
      <c r="G141" s="49">
        <v>12</v>
      </c>
      <c r="H141" s="49">
        <v>0</v>
      </c>
      <c r="J141" s="33">
        <v>8.9</v>
      </c>
      <c r="K141" s="33">
        <f t="shared" si="119"/>
        <v>6.6</v>
      </c>
      <c r="L141" s="49">
        <f>8.6+5.5</f>
        <v>14.1</v>
      </c>
      <c r="M141" s="21"/>
      <c r="N141" s="33">
        <v>0</v>
      </c>
      <c r="O141" s="49">
        <v>2.5</v>
      </c>
      <c r="P141" s="49">
        <v>0.9</v>
      </c>
      <c r="Q141" s="21"/>
      <c r="R141" s="33">
        <v>2</v>
      </c>
      <c r="S141" s="49">
        <v>5</v>
      </c>
      <c r="T141" s="49">
        <v>2.5</v>
      </c>
      <c r="U141" s="19"/>
      <c r="V141" s="33">
        <f>(2*28)+34</f>
        <v>90</v>
      </c>
      <c r="W141" s="33">
        <f>(4*28)+36</f>
        <v>148</v>
      </c>
      <c r="X141" s="33">
        <f>(1*28)+77</f>
        <v>105</v>
      </c>
      <c r="Y141" s="19"/>
      <c r="Z141" s="33">
        <f>(1*24)+20</f>
        <v>44</v>
      </c>
      <c r="AA141" s="49">
        <f t="shared" si="125"/>
        <v>57</v>
      </c>
      <c r="AB141" s="49">
        <f t="shared" si="124"/>
        <v>10</v>
      </c>
      <c r="AC141" s="49">
        <f>(1*24)+10</f>
        <v>34</v>
      </c>
      <c r="AD141" s="19"/>
      <c r="AE141" s="33">
        <f>(10*12)+22</f>
        <v>142</v>
      </c>
      <c r="AF141" s="19"/>
      <c r="AG141" s="19"/>
      <c r="AH141" s="19"/>
    </row>
    <row r="142" spans="1:34" ht="14" x14ac:dyDescent="0.2">
      <c r="A142" s="50">
        <v>45783</v>
      </c>
      <c r="B142" s="49">
        <v>5</v>
      </c>
      <c r="C142" s="49">
        <v>32</v>
      </c>
      <c r="D142" s="49">
        <v>0</v>
      </c>
      <c r="F142" s="33">
        <v>2</v>
      </c>
      <c r="G142" s="49">
        <v>12</v>
      </c>
      <c r="H142" s="49">
        <v>0</v>
      </c>
      <c r="J142" s="33">
        <v>0</v>
      </c>
      <c r="K142" s="33">
        <f t="shared" si="119"/>
        <v>7</v>
      </c>
      <c r="L142" s="49">
        <f>4.5+2.6</f>
        <v>7.1</v>
      </c>
      <c r="M142" s="21"/>
      <c r="N142" s="33">
        <v>1.8</v>
      </c>
      <c r="O142" s="49">
        <v>5</v>
      </c>
      <c r="P142" s="49">
        <v>1.2</v>
      </c>
      <c r="Q142" s="21"/>
      <c r="R142" s="33">
        <v>0</v>
      </c>
      <c r="S142" s="49">
        <v>24</v>
      </c>
      <c r="T142" s="49">
        <v>0</v>
      </c>
      <c r="U142" s="19"/>
      <c r="V142" s="33"/>
      <c r="W142" s="49"/>
      <c r="X142" s="49"/>
      <c r="Y142" s="19"/>
      <c r="Z142" s="33"/>
      <c r="AA142" s="49"/>
      <c r="AB142" s="49"/>
      <c r="AC142" s="49"/>
      <c r="AD142" s="19"/>
      <c r="AE142" s="33"/>
      <c r="AF142" s="19"/>
      <c r="AG142" s="19"/>
      <c r="AH142" s="19"/>
    </row>
    <row r="143" spans="1:34" ht="14" x14ac:dyDescent="0.2">
      <c r="A143" s="50">
        <v>45784</v>
      </c>
      <c r="B143" s="49">
        <v>6</v>
      </c>
      <c r="C143" s="49">
        <v>41</v>
      </c>
      <c r="D143" s="49">
        <v>0</v>
      </c>
      <c r="F143" s="33">
        <v>2</v>
      </c>
      <c r="G143" s="49">
        <v>12</v>
      </c>
      <c r="H143" s="49">
        <v>0</v>
      </c>
      <c r="J143" s="33">
        <v>17.7</v>
      </c>
      <c r="K143" s="33">
        <f t="shared" si="119"/>
        <v>11.399999999999997</v>
      </c>
      <c r="L143" s="49">
        <f>7.4+6</f>
        <v>13.4</v>
      </c>
      <c r="M143" s="21"/>
      <c r="N143" s="33">
        <v>1.1000000000000001</v>
      </c>
      <c r="O143" s="49">
        <v>4</v>
      </c>
      <c r="P143" s="49">
        <v>0.4</v>
      </c>
      <c r="Q143" s="21"/>
      <c r="R143" s="33">
        <v>2</v>
      </c>
      <c r="S143" s="49">
        <v>23</v>
      </c>
      <c r="T143" s="49">
        <v>0</v>
      </c>
      <c r="U143" s="19"/>
      <c r="V143" s="33"/>
      <c r="W143" s="49"/>
      <c r="X143" s="49"/>
      <c r="Y143" s="19"/>
      <c r="Z143" s="33"/>
      <c r="AA143" s="49"/>
      <c r="AB143" s="49"/>
      <c r="AC143" s="49"/>
      <c r="AD143" s="19"/>
      <c r="AE143" s="33"/>
      <c r="AF143" s="19"/>
      <c r="AG143" s="19"/>
      <c r="AH143" s="19"/>
    </row>
    <row r="144" spans="1:34" ht="14" x14ac:dyDescent="0.2">
      <c r="A144" s="50">
        <v>45785</v>
      </c>
      <c r="B144" s="49">
        <v>6</v>
      </c>
      <c r="C144" s="49">
        <v>31</v>
      </c>
      <c r="D144" s="49">
        <v>5</v>
      </c>
      <c r="F144" s="33">
        <v>2</v>
      </c>
      <c r="G144" s="49">
        <v>13</v>
      </c>
      <c r="H144" s="49">
        <v>0</v>
      </c>
      <c r="J144" s="33"/>
      <c r="K144" s="33">
        <f t="shared" si="119"/>
        <v>2.2000000000000011</v>
      </c>
      <c r="L144" s="49">
        <f>5.2+6</f>
        <v>11.2</v>
      </c>
      <c r="M144" s="21"/>
      <c r="N144" s="33"/>
      <c r="O144" s="49">
        <v>7</v>
      </c>
      <c r="P144" s="49">
        <v>0.2</v>
      </c>
      <c r="Q144" s="21"/>
      <c r="R144" s="33"/>
      <c r="S144" s="49">
        <v>27</v>
      </c>
      <c r="T144" s="49">
        <v>0</v>
      </c>
      <c r="U144" s="19"/>
      <c r="V144" s="33"/>
      <c r="W144" s="49"/>
      <c r="X144" s="49"/>
      <c r="Y144" s="19"/>
      <c r="Z144" s="33"/>
      <c r="AA144" s="49"/>
      <c r="AB144" s="49"/>
      <c r="AC144" s="49"/>
      <c r="AD144" s="19"/>
      <c r="AE144" s="33"/>
      <c r="AF144" s="19"/>
      <c r="AG144" s="19"/>
      <c r="AH144" s="19"/>
    </row>
    <row r="145" spans="1:34" ht="14" x14ac:dyDescent="0.2">
      <c r="A145" s="50">
        <v>45786</v>
      </c>
      <c r="B145" s="49">
        <v>6.5</v>
      </c>
      <c r="C145" s="49">
        <v>40</v>
      </c>
      <c r="D145" s="49">
        <v>0</v>
      </c>
      <c r="F145" s="33">
        <v>2.5</v>
      </c>
      <c r="G145" s="49">
        <v>15</v>
      </c>
      <c r="H145" s="49">
        <v>0</v>
      </c>
      <c r="J145" s="33">
        <v>6.6</v>
      </c>
      <c r="K145" s="33">
        <f t="shared" si="119"/>
        <v>12.799999999999997</v>
      </c>
      <c r="L145" s="49">
        <f>2+3</f>
        <v>5</v>
      </c>
      <c r="M145" s="21"/>
      <c r="N145" s="33">
        <v>1.6</v>
      </c>
      <c r="O145" s="49">
        <v>3</v>
      </c>
      <c r="P145" s="49">
        <v>1</v>
      </c>
      <c r="Q145" s="21"/>
      <c r="R145" s="33">
        <v>2</v>
      </c>
      <c r="S145" s="49">
        <v>22</v>
      </c>
      <c r="T145" s="49">
        <v>0</v>
      </c>
      <c r="U145" s="19"/>
      <c r="V145" s="33"/>
      <c r="W145" s="49"/>
      <c r="X145" s="49"/>
      <c r="Y145" s="19"/>
      <c r="Z145" s="33"/>
      <c r="AA145" s="49"/>
      <c r="AB145" s="49"/>
      <c r="AC145" s="49"/>
      <c r="AD145" s="19"/>
      <c r="AE145" s="33"/>
      <c r="AF145" s="19"/>
      <c r="AG145" s="19"/>
      <c r="AH145" s="19"/>
    </row>
    <row r="146" spans="1:34" ht="14" x14ac:dyDescent="0.2">
      <c r="A146" s="50">
        <v>45787</v>
      </c>
      <c r="B146" s="49">
        <v>5</v>
      </c>
      <c r="C146" s="49">
        <v>23</v>
      </c>
      <c r="D146" s="49">
        <v>7</v>
      </c>
      <c r="F146" s="33">
        <v>2.5</v>
      </c>
      <c r="G146" s="49">
        <v>9</v>
      </c>
      <c r="H146" s="49">
        <v>6</v>
      </c>
      <c r="J146" s="33">
        <v>18.3</v>
      </c>
      <c r="K146" s="33">
        <f t="shared" si="119"/>
        <v>7.8000000000000007</v>
      </c>
      <c r="L146" s="49">
        <f>7.5+8</f>
        <v>15.5</v>
      </c>
      <c r="M146" s="21"/>
      <c r="N146" s="33">
        <v>2.1</v>
      </c>
      <c r="O146" s="49">
        <v>5</v>
      </c>
      <c r="P146" s="49">
        <v>1.1000000000000001</v>
      </c>
      <c r="Q146" s="21"/>
      <c r="R146" s="33">
        <v>3</v>
      </c>
      <c r="S146" s="49">
        <v>17</v>
      </c>
      <c r="T146" s="49">
        <v>0.6</v>
      </c>
      <c r="U146" s="19"/>
      <c r="V146" s="33">
        <f>(1*28)+28</f>
        <v>56</v>
      </c>
      <c r="W146" s="33">
        <f t="shared" ref="W146:W147" si="126">(3*28)+38</f>
        <v>122</v>
      </c>
      <c r="X146" s="33">
        <f>(1*28)+66</f>
        <v>94</v>
      </c>
      <c r="Y146" s="19"/>
      <c r="Z146" s="33">
        <f t="shared" ref="Z146:Z147" si="127">(0*24)+13</f>
        <v>13</v>
      </c>
      <c r="AA146" s="33">
        <f>(1*24)+13</f>
        <v>37</v>
      </c>
      <c r="AB146" s="33">
        <f t="shared" ref="AB146:AB154" si="128">(0*24)+0</f>
        <v>0</v>
      </c>
      <c r="AC146" s="33">
        <f t="shared" ref="AC146:AC147" si="129">(0*24)+27</f>
        <v>27</v>
      </c>
      <c r="AD146" s="19"/>
      <c r="AE146" s="33">
        <f>(50*12)+31</f>
        <v>631</v>
      </c>
      <c r="AF146" s="19"/>
      <c r="AG146" s="19"/>
      <c r="AH146" s="19"/>
    </row>
    <row r="147" spans="1:34" ht="14" x14ac:dyDescent="0.2">
      <c r="A147" s="50">
        <v>45788</v>
      </c>
      <c r="B147" s="49">
        <v>6</v>
      </c>
      <c r="C147" s="49">
        <v>29</v>
      </c>
      <c r="D147" s="49">
        <v>1</v>
      </c>
      <c r="F147" s="33">
        <v>2.5</v>
      </c>
      <c r="G147" s="49">
        <v>11</v>
      </c>
      <c r="H147" s="49">
        <v>6</v>
      </c>
      <c r="J147" s="33">
        <v>5.2</v>
      </c>
      <c r="K147" s="33">
        <f t="shared" si="119"/>
        <v>9.1999999999999993</v>
      </c>
      <c r="L147" s="49">
        <f>6.1+5.4</f>
        <v>11.5</v>
      </c>
      <c r="M147" s="21"/>
      <c r="N147" s="33">
        <v>1</v>
      </c>
      <c r="O147" s="49">
        <v>7</v>
      </c>
      <c r="P147" s="49">
        <v>0</v>
      </c>
      <c r="Q147" s="21"/>
      <c r="R147" s="33">
        <v>2</v>
      </c>
      <c r="S147" s="49">
        <v>15</v>
      </c>
      <c r="T147" s="49">
        <v>0.8</v>
      </c>
      <c r="U147" s="19"/>
      <c r="V147" s="33">
        <f>(1*28)+25</f>
        <v>53</v>
      </c>
      <c r="W147" s="33">
        <f t="shared" si="126"/>
        <v>122</v>
      </c>
      <c r="X147" s="33">
        <f t="shared" ref="X147:X149" si="130">(1*28)+62</f>
        <v>90</v>
      </c>
      <c r="Y147" s="19"/>
      <c r="Z147" s="33">
        <f t="shared" si="127"/>
        <v>13</v>
      </c>
      <c r="AA147" s="33">
        <f>(1*24)+10</f>
        <v>34</v>
      </c>
      <c r="AB147" s="33">
        <f t="shared" si="128"/>
        <v>0</v>
      </c>
      <c r="AC147" s="33">
        <f t="shared" si="129"/>
        <v>27</v>
      </c>
      <c r="AD147" s="19"/>
      <c r="AE147" s="33">
        <f>(49*12)+10</f>
        <v>598</v>
      </c>
      <c r="AF147" s="19"/>
      <c r="AG147" s="19"/>
      <c r="AH147" s="19"/>
    </row>
    <row r="148" spans="1:34" ht="14" x14ac:dyDescent="0.2">
      <c r="A148" s="50">
        <v>45789</v>
      </c>
      <c r="B148" s="49">
        <v>3</v>
      </c>
      <c r="C148" s="49">
        <v>19</v>
      </c>
      <c r="D148" s="49">
        <v>0</v>
      </c>
      <c r="F148" s="33">
        <v>2.5</v>
      </c>
      <c r="G148" s="49">
        <v>15</v>
      </c>
      <c r="H148" s="49">
        <v>0</v>
      </c>
      <c r="J148" s="33">
        <v>4.5999999999999996</v>
      </c>
      <c r="K148" s="33">
        <f t="shared" si="119"/>
        <v>4.7000000000000011</v>
      </c>
      <c r="L148" s="49">
        <f>3.4+8</f>
        <v>11.4</v>
      </c>
      <c r="M148" s="21"/>
      <c r="N148" s="33">
        <v>1</v>
      </c>
      <c r="O148" s="49">
        <v>2.5</v>
      </c>
      <c r="P148" s="49">
        <v>0.4</v>
      </c>
      <c r="Q148" s="21"/>
      <c r="R148" s="33">
        <v>2</v>
      </c>
      <c r="S148" s="49">
        <v>15</v>
      </c>
      <c r="T148" s="49">
        <v>1</v>
      </c>
      <c r="U148" s="19"/>
      <c r="V148" s="33">
        <f>(1*28)+23</f>
        <v>51</v>
      </c>
      <c r="W148" s="33">
        <f t="shared" ref="W148:W149" si="131">(3*28)+36</f>
        <v>120</v>
      </c>
      <c r="X148" s="33">
        <f t="shared" si="130"/>
        <v>90</v>
      </c>
      <c r="Y148" s="19"/>
      <c r="Z148" s="33">
        <f t="shared" ref="Z148:Z154" si="132">(0*24)+0</f>
        <v>0</v>
      </c>
      <c r="AA148" s="33">
        <f>(1*24)+6</f>
        <v>30</v>
      </c>
      <c r="AB148" s="33">
        <f t="shared" si="128"/>
        <v>0</v>
      </c>
      <c r="AC148" s="33">
        <f>(0*24)+22</f>
        <v>22</v>
      </c>
      <c r="AD148" s="19"/>
      <c r="AE148" s="33">
        <f>(46*12)+18</f>
        <v>570</v>
      </c>
      <c r="AF148" s="19"/>
      <c r="AG148" s="19"/>
      <c r="AH148" s="19"/>
    </row>
    <row r="149" spans="1:34" ht="14" x14ac:dyDescent="0.2">
      <c r="A149" s="50">
        <v>45790</v>
      </c>
      <c r="B149" s="49">
        <v>4</v>
      </c>
      <c r="C149" s="49">
        <v>18</v>
      </c>
      <c r="D149" s="49">
        <v>6</v>
      </c>
      <c r="F149" s="33">
        <v>2</v>
      </c>
      <c r="G149" s="49">
        <v>8</v>
      </c>
      <c r="H149" s="49">
        <v>4</v>
      </c>
      <c r="J149" s="33">
        <v>3.5</v>
      </c>
      <c r="K149" s="33">
        <f t="shared" si="119"/>
        <v>5.9</v>
      </c>
      <c r="L149" s="49">
        <f>9</f>
        <v>9</v>
      </c>
      <c r="M149" s="21"/>
      <c r="N149" s="33">
        <v>2.1</v>
      </c>
      <c r="O149" s="49">
        <v>2.5</v>
      </c>
      <c r="P149" s="49">
        <v>1.2</v>
      </c>
      <c r="Q149" s="21"/>
      <c r="R149" s="33">
        <v>2.2999999999999998</v>
      </c>
      <c r="S149" s="49">
        <v>10</v>
      </c>
      <c r="T149" s="49">
        <v>2</v>
      </c>
      <c r="U149" s="19"/>
      <c r="V149" s="33">
        <f>(1*28)+19</f>
        <v>47</v>
      </c>
      <c r="W149" s="33">
        <f t="shared" si="131"/>
        <v>120</v>
      </c>
      <c r="X149" s="33">
        <f t="shared" si="130"/>
        <v>90</v>
      </c>
      <c r="Y149" s="19"/>
      <c r="Z149" s="33">
        <f t="shared" si="132"/>
        <v>0</v>
      </c>
      <c r="AA149" s="33">
        <f>(0*24)+27</f>
        <v>27</v>
      </c>
      <c r="AB149" s="33">
        <f t="shared" si="128"/>
        <v>0</v>
      </c>
      <c r="AC149" s="33">
        <f>(0*24)+21</f>
        <v>21</v>
      </c>
      <c r="AD149" s="19"/>
      <c r="AE149" s="33">
        <f>(44*12)+17</f>
        <v>545</v>
      </c>
      <c r="AF149" s="19"/>
      <c r="AG149" s="19"/>
      <c r="AH149" s="19"/>
    </row>
    <row r="150" spans="1:34" ht="14" x14ac:dyDescent="0.2">
      <c r="A150" s="50">
        <v>45791</v>
      </c>
      <c r="B150" s="49">
        <v>4</v>
      </c>
      <c r="C150" s="49">
        <v>29</v>
      </c>
      <c r="D150" s="49">
        <v>0</v>
      </c>
      <c r="F150" s="33">
        <v>2</v>
      </c>
      <c r="G150" s="49">
        <v>14</v>
      </c>
      <c r="H150" s="49">
        <v>0</v>
      </c>
      <c r="J150" s="33">
        <v>4</v>
      </c>
      <c r="K150" s="33">
        <f t="shared" si="119"/>
        <v>3.8000000000000007</v>
      </c>
      <c r="L150" s="49">
        <f>5.5+3.7</f>
        <v>9.1999999999999993</v>
      </c>
      <c r="M150" s="21"/>
      <c r="N150" s="33">
        <v>1</v>
      </c>
      <c r="O150" s="49">
        <v>7</v>
      </c>
      <c r="P150" s="49">
        <v>0</v>
      </c>
      <c r="Q150" s="21"/>
      <c r="R150" s="33">
        <v>1</v>
      </c>
      <c r="S150" s="49">
        <v>21</v>
      </c>
      <c r="T150" s="49">
        <v>0</v>
      </c>
      <c r="U150" s="19"/>
      <c r="V150" s="33">
        <f t="shared" ref="V150:V151" si="133">(1*28)+11</f>
        <v>39</v>
      </c>
      <c r="W150" s="33">
        <f t="shared" ref="W150:W151" si="134">(3*28)+32</f>
        <v>116</v>
      </c>
      <c r="X150" s="33">
        <f>(1*28)+55</f>
        <v>83</v>
      </c>
      <c r="Y150" s="19"/>
      <c r="Z150" s="33">
        <f t="shared" si="132"/>
        <v>0</v>
      </c>
      <c r="AA150" s="33">
        <f>(0*24)+22</f>
        <v>22</v>
      </c>
      <c r="AB150" s="33">
        <f t="shared" si="128"/>
        <v>0</v>
      </c>
      <c r="AC150" s="33">
        <f t="shared" ref="AC150:AC151" si="135">(0*24)+14</f>
        <v>14</v>
      </c>
      <c r="AD150" s="19"/>
      <c r="AE150" s="33">
        <f>(42*12)+7</f>
        <v>511</v>
      </c>
      <c r="AF150" s="19"/>
      <c r="AG150" s="19"/>
      <c r="AH150" s="19"/>
    </row>
    <row r="151" spans="1:34" ht="14" x14ac:dyDescent="0.2">
      <c r="A151" s="50">
        <v>45792</v>
      </c>
      <c r="B151" s="49">
        <v>4</v>
      </c>
      <c r="C151" s="49">
        <v>15</v>
      </c>
      <c r="D151" s="49">
        <v>10</v>
      </c>
      <c r="F151" s="33">
        <v>2</v>
      </c>
      <c r="G151" s="49">
        <v>8</v>
      </c>
      <c r="H151" s="49">
        <v>4</v>
      </c>
      <c r="J151" s="33">
        <v>9.6</v>
      </c>
      <c r="K151" s="33">
        <f t="shared" si="119"/>
        <v>5.0999999999999979</v>
      </c>
      <c r="L151" s="49">
        <f>10+3.7</f>
        <v>13.7</v>
      </c>
      <c r="M151" s="21"/>
      <c r="N151" s="33">
        <v>1.9</v>
      </c>
      <c r="O151" s="49">
        <v>4</v>
      </c>
      <c r="P151" s="49">
        <v>0.5</v>
      </c>
      <c r="Q151" s="21"/>
      <c r="R151" s="33">
        <v>2</v>
      </c>
      <c r="S151" s="49">
        <v>4</v>
      </c>
      <c r="T151" s="49">
        <v>1.8</v>
      </c>
      <c r="U151" s="19"/>
      <c r="V151" s="33">
        <f t="shared" si="133"/>
        <v>39</v>
      </c>
      <c r="W151" s="33">
        <f t="shared" si="134"/>
        <v>116</v>
      </c>
      <c r="X151" s="33">
        <f>(1*28)+54</f>
        <v>82</v>
      </c>
      <c r="Y151" s="19"/>
      <c r="Z151" s="33">
        <f t="shared" si="132"/>
        <v>0</v>
      </c>
      <c r="AA151" s="33">
        <f>(0*24)+17</f>
        <v>17</v>
      </c>
      <c r="AB151" s="33">
        <f t="shared" si="128"/>
        <v>0</v>
      </c>
      <c r="AC151" s="33">
        <f t="shared" si="135"/>
        <v>14</v>
      </c>
      <c r="AD151" s="19"/>
      <c r="AE151" s="33">
        <f>(42*12)+28</f>
        <v>532</v>
      </c>
      <c r="AF151" s="19"/>
      <c r="AG151" s="19"/>
      <c r="AH151" s="19"/>
    </row>
    <row r="152" spans="1:34" ht="14" x14ac:dyDescent="0.2">
      <c r="A152" s="50">
        <v>45793</v>
      </c>
      <c r="B152" s="49">
        <v>6</v>
      </c>
      <c r="C152" s="49">
        <v>47</v>
      </c>
      <c r="D152" s="49">
        <v>0</v>
      </c>
      <c r="F152" s="33">
        <v>2</v>
      </c>
      <c r="G152" s="49">
        <v>10</v>
      </c>
      <c r="H152" s="49">
        <v>2</v>
      </c>
      <c r="J152" s="33">
        <v>4.5999999999999996</v>
      </c>
      <c r="K152" s="33">
        <f t="shared" si="119"/>
        <v>11.699999999999998</v>
      </c>
      <c r="L152" s="49">
        <f>3.5+3.1</f>
        <v>6.6</v>
      </c>
      <c r="M152" s="21"/>
      <c r="N152" s="33">
        <v>1.5</v>
      </c>
      <c r="O152" s="49">
        <v>6.5</v>
      </c>
      <c r="P152" s="49">
        <v>0</v>
      </c>
      <c r="Q152" s="21"/>
      <c r="R152" s="33">
        <v>2</v>
      </c>
      <c r="S152" s="49">
        <v>25</v>
      </c>
      <c r="T152" s="49">
        <v>0.9</v>
      </c>
      <c r="U152" s="19"/>
      <c r="V152" s="33">
        <f>(1*28)+4</f>
        <v>32</v>
      </c>
      <c r="W152" s="33">
        <f>(3*28)+27</f>
        <v>111</v>
      </c>
      <c r="X152" s="33">
        <f>(1*28)+48</f>
        <v>76</v>
      </c>
      <c r="Y152" s="19"/>
      <c r="Z152" s="33">
        <f t="shared" si="132"/>
        <v>0</v>
      </c>
      <c r="AA152" s="33">
        <f>(0*24)+14</f>
        <v>14</v>
      </c>
      <c r="AB152" s="33">
        <f t="shared" si="128"/>
        <v>0</v>
      </c>
      <c r="AC152" s="33">
        <f>(0*24)+5</f>
        <v>5</v>
      </c>
      <c r="AD152" s="19"/>
      <c r="AE152" s="33">
        <f>(38*12)+44</f>
        <v>500</v>
      </c>
      <c r="AF152" s="19"/>
      <c r="AG152" s="19"/>
      <c r="AH152" s="19"/>
    </row>
    <row r="153" spans="1:34" ht="14" x14ac:dyDescent="0.2">
      <c r="A153" s="50">
        <v>45794</v>
      </c>
      <c r="B153" s="49">
        <v>6</v>
      </c>
      <c r="C153" s="49">
        <v>30</v>
      </c>
      <c r="D153" s="49">
        <v>6</v>
      </c>
      <c r="F153" s="33">
        <v>2</v>
      </c>
      <c r="G153" s="49">
        <v>14</v>
      </c>
      <c r="H153" s="49">
        <v>0</v>
      </c>
      <c r="J153" s="33">
        <v>10.1</v>
      </c>
      <c r="K153" s="33">
        <f t="shared" si="119"/>
        <v>5</v>
      </c>
      <c r="L153" s="49">
        <f>10.1+1.6</f>
        <v>11.7</v>
      </c>
      <c r="M153" s="21"/>
      <c r="N153" s="33">
        <v>0</v>
      </c>
      <c r="O153" s="49">
        <v>0.5</v>
      </c>
      <c r="P153" s="49">
        <v>0</v>
      </c>
      <c r="Q153" s="21"/>
      <c r="R153" s="33">
        <v>2</v>
      </c>
      <c r="S153" s="49">
        <v>19</v>
      </c>
      <c r="T153" s="49">
        <v>0</v>
      </c>
      <c r="U153" s="19"/>
      <c r="V153" s="33">
        <f>(0*28)+17</f>
        <v>17</v>
      </c>
      <c r="W153" s="33">
        <f>(3*28)+25</f>
        <v>109</v>
      </c>
      <c r="X153" s="33">
        <f>(1*28)+38</f>
        <v>66</v>
      </c>
      <c r="Y153" s="19"/>
      <c r="Z153" s="33">
        <f t="shared" si="132"/>
        <v>0</v>
      </c>
      <c r="AA153" s="33">
        <f>(0*24)+12</f>
        <v>12</v>
      </c>
      <c r="AB153" s="33">
        <f t="shared" si="128"/>
        <v>0</v>
      </c>
      <c r="AC153" s="33">
        <f t="shared" ref="AC153:AC155" si="136">(0*24)+4</f>
        <v>4</v>
      </c>
      <c r="AD153" s="19"/>
      <c r="AE153" s="33">
        <f>(38*12)+12</f>
        <v>468</v>
      </c>
      <c r="AF153" s="19"/>
      <c r="AG153" s="19"/>
      <c r="AH153" s="19"/>
    </row>
    <row r="154" spans="1:34" ht="14" x14ac:dyDescent="0.2">
      <c r="A154" s="50">
        <v>45795</v>
      </c>
      <c r="B154" s="49">
        <v>5</v>
      </c>
      <c r="C154" s="49">
        <v>33</v>
      </c>
      <c r="D154" s="49">
        <v>0</v>
      </c>
      <c r="F154" s="33">
        <v>2.5</v>
      </c>
      <c r="G154" s="49">
        <v>11</v>
      </c>
      <c r="H154" s="49">
        <v>4</v>
      </c>
      <c r="J154" s="33">
        <v>8</v>
      </c>
      <c r="K154" s="33">
        <f t="shared" si="119"/>
        <v>8.3000000000000007</v>
      </c>
      <c r="L154" s="49">
        <f>2.2+9.2</f>
        <v>11.399999999999999</v>
      </c>
      <c r="M154" s="21"/>
      <c r="N154" s="33">
        <v>1.5</v>
      </c>
      <c r="O154" s="49">
        <v>4.5</v>
      </c>
      <c r="P154" s="49">
        <v>0</v>
      </c>
      <c r="Q154" s="21"/>
      <c r="R154" s="33">
        <v>2</v>
      </c>
      <c r="S154" s="49">
        <v>19</v>
      </c>
      <c r="T154" s="49">
        <v>0</v>
      </c>
      <c r="U154" s="19"/>
      <c r="V154" s="33">
        <f>(0*28)+0</f>
        <v>0</v>
      </c>
      <c r="W154" s="33">
        <f t="shared" ref="W154:W155" si="137">(3*28)+21</f>
        <v>105</v>
      </c>
      <c r="X154" s="33">
        <f t="shared" ref="X154:X155" si="138">(1*28)+32</f>
        <v>60</v>
      </c>
      <c r="Y154" s="19"/>
      <c r="Z154" s="33">
        <f t="shared" si="132"/>
        <v>0</v>
      </c>
      <c r="AA154" s="33">
        <f t="shared" ref="AA154:AA155" si="139">(0*24)+10</f>
        <v>10</v>
      </c>
      <c r="AB154" s="33">
        <f t="shared" si="128"/>
        <v>0</v>
      </c>
      <c r="AC154" s="33">
        <f t="shared" si="136"/>
        <v>4</v>
      </c>
      <c r="AD154" s="19"/>
      <c r="AE154" s="33">
        <f t="shared" ref="AE154:AE155" si="140">(35*12)+15</f>
        <v>435</v>
      </c>
      <c r="AF154" s="19"/>
      <c r="AG154" s="19"/>
      <c r="AH154" s="19"/>
    </row>
    <row r="155" spans="1:34" ht="14" x14ac:dyDescent="0.2">
      <c r="A155" s="50">
        <v>45796</v>
      </c>
      <c r="B155" s="49">
        <v>0</v>
      </c>
      <c r="C155" s="49">
        <v>0</v>
      </c>
      <c r="D155" s="49">
        <v>0</v>
      </c>
      <c r="F155" s="33">
        <v>0</v>
      </c>
      <c r="G155" s="49">
        <v>0</v>
      </c>
      <c r="H155" s="49">
        <v>0</v>
      </c>
      <c r="J155" s="33">
        <v>0</v>
      </c>
      <c r="K155" s="33">
        <f t="shared" si="119"/>
        <v>0</v>
      </c>
      <c r="L155" s="49">
        <v>11.4</v>
      </c>
      <c r="M155" s="21"/>
      <c r="N155" s="33">
        <v>0</v>
      </c>
      <c r="O155" s="49">
        <v>0</v>
      </c>
      <c r="P155" s="49">
        <v>0</v>
      </c>
      <c r="Q155" s="21"/>
      <c r="R155" s="33">
        <v>0</v>
      </c>
      <c r="S155" s="49">
        <v>0</v>
      </c>
      <c r="T155" s="49">
        <v>0</v>
      </c>
      <c r="U155" s="19"/>
      <c r="V155" s="33">
        <v>0</v>
      </c>
      <c r="W155" s="33">
        <f t="shared" si="137"/>
        <v>105</v>
      </c>
      <c r="X155" s="33">
        <f t="shared" si="138"/>
        <v>60</v>
      </c>
      <c r="Y155" s="19"/>
      <c r="Z155" s="33">
        <v>0</v>
      </c>
      <c r="AA155" s="33">
        <f t="shared" si="139"/>
        <v>10</v>
      </c>
      <c r="AB155" s="49">
        <v>0</v>
      </c>
      <c r="AC155" s="33">
        <f t="shared" si="136"/>
        <v>4</v>
      </c>
      <c r="AD155" s="19"/>
      <c r="AE155" s="33">
        <f t="shared" si="140"/>
        <v>435</v>
      </c>
      <c r="AF155" s="19"/>
      <c r="AG155" s="19"/>
      <c r="AH155" s="19"/>
    </row>
    <row r="156" spans="1:34" ht="14" x14ac:dyDescent="0.2">
      <c r="A156" s="50">
        <v>45797</v>
      </c>
      <c r="B156" s="49">
        <v>5</v>
      </c>
      <c r="C156" s="49">
        <v>27</v>
      </c>
      <c r="D156" s="49">
        <v>3</v>
      </c>
      <c r="F156" s="33">
        <v>3</v>
      </c>
      <c r="G156" s="49">
        <v>19</v>
      </c>
      <c r="H156" s="49">
        <v>0</v>
      </c>
      <c r="J156" s="33">
        <v>12.5</v>
      </c>
      <c r="K156" s="33">
        <f t="shared" si="119"/>
        <v>12</v>
      </c>
      <c r="L156" s="49">
        <f>2.3+9.6</f>
        <v>11.899999999999999</v>
      </c>
      <c r="M156" s="21"/>
      <c r="N156" s="33">
        <v>1.1000000000000001</v>
      </c>
      <c r="O156" s="49">
        <v>4.5</v>
      </c>
      <c r="P156" s="49">
        <v>0</v>
      </c>
      <c r="Q156" s="21"/>
      <c r="R156" s="33">
        <v>2</v>
      </c>
      <c r="S156" s="49">
        <v>22</v>
      </c>
      <c r="T156" s="49">
        <v>0</v>
      </c>
      <c r="U156" s="19"/>
      <c r="V156" s="33">
        <f t="shared" ref="V156:V157" si="141">(6*28)+26</f>
        <v>194</v>
      </c>
      <c r="W156" s="33">
        <f t="shared" ref="W156:W158" si="142">(4*28)+48</f>
        <v>160</v>
      </c>
      <c r="X156" s="33">
        <f>(4*28)+31</f>
        <v>143</v>
      </c>
      <c r="Y156" s="19"/>
      <c r="Z156" s="33">
        <f>(5*24)+23</f>
        <v>143</v>
      </c>
      <c r="AA156" s="33">
        <f>(4*24)+32</f>
        <v>128</v>
      </c>
      <c r="AB156" s="33">
        <f>(1*24)+23</f>
        <v>47</v>
      </c>
      <c r="AC156" s="33">
        <f t="shared" ref="AC156:AC160" si="143">(2*24)+25</f>
        <v>73</v>
      </c>
      <c r="AD156" s="19"/>
      <c r="AE156" s="33">
        <f>(32*12)+19</f>
        <v>403</v>
      </c>
      <c r="AF156" s="19"/>
      <c r="AG156" s="19"/>
      <c r="AH156" s="19"/>
    </row>
    <row r="157" spans="1:34" ht="14" x14ac:dyDescent="0.2">
      <c r="A157" s="50">
        <v>45798</v>
      </c>
      <c r="B157" s="49">
        <v>4</v>
      </c>
      <c r="C157" s="49">
        <v>12</v>
      </c>
      <c r="D157" s="49">
        <v>12</v>
      </c>
      <c r="F157" s="33">
        <v>2.5</v>
      </c>
      <c r="G157" s="49">
        <v>7</v>
      </c>
      <c r="H157" s="49">
        <v>8</v>
      </c>
      <c r="J157" s="33">
        <v>8</v>
      </c>
      <c r="K157" s="33">
        <f t="shared" si="119"/>
        <v>6.6999999999999993</v>
      </c>
      <c r="L157" s="49">
        <f>7.1+6.1</f>
        <v>13.2</v>
      </c>
      <c r="M157" s="21"/>
      <c r="N157" s="33">
        <v>1.5</v>
      </c>
      <c r="O157" s="49">
        <v>2</v>
      </c>
      <c r="P157" s="49">
        <v>1</v>
      </c>
      <c r="Q157" s="21"/>
      <c r="R157" s="33">
        <v>3.5</v>
      </c>
      <c r="S157" s="49">
        <v>9</v>
      </c>
      <c r="T157" s="49">
        <v>2.6</v>
      </c>
      <c r="U157" s="19"/>
      <c r="V157" s="33">
        <f t="shared" si="141"/>
        <v>194</v>
      </c>
      <c r="W157" s="33">
        <f t="shared" si="142"/>
        <v>160</v>
      </c>
      <c r="X157" s="33">
        <f>(4*28)+30</f>
        <v>142</v>
      </c>
      <c r="Y157" s="19"/>
      <c r="Z157" s="33">
        <f>(5*24)+21</f>
        <v>141</v>
      </c>
      <c r="AA157" s="33">
        <f>(4*24)+27</f>
        <v>123</v>
      </c>
      <c r="AB157" s="33">
        <f>(1*24)+20</f>
        <v>44</v>
      </c>
      <c r="AC157" s="33">
        <f t="shared" si="143"/>
        <v>73</v>
      </c>
      <c r="AD157" s="19"/>
      <c r="AE157" s="33">
        <f>(30*12)+27</f>
        <v>387</v>
      </c>
      <c r="AF157" s="19"/>
      <c r="AG157" s="19"/>
      <c r="AH157" s="19"/>
    </row>
    <row r="158" spans="1:34" ht="14" x14ac:dyDescent="0.2">
      <c r="A158" s="50">
        <v>45799</v>
      </c>
      <c r="B158" s="49">
        <v>3</v>
      </c>
      <c r="C158" s="49">
        <v>19</v>
      </c>
      <c r="D158" s="49">
        <v>0</v>
      </c>
      <c r="F158" s="33">
        <v>2</v>
      </c>
      <c r="G158" s="49">
        <v>9</v>
      </c>
      <c r="H158" s="49">
        <v>3</v>
      </c>
      <c r="J158" s="33">
        <v>3.1</v>
      </c>
      <c r="K158" s="33">
        <f t="shared" si="119"/>
        <v>2.6999999999999993</v>
      </c>
      <c r="L158" s="49">
        <f>4.8+8.8</f>
        <v>13.600000000000001</v>
      </c>
      <c r="M158" s="21"/>
      <c r="N158" s="33">
        <v>1</v>
      </c>
      <c r="O158" s="49">
        <v>2.5</v>
      </c>
      <c r="P158" s="49">
        <v>0.9</v>
      </c>
      <c r="Q158" s="21"/>
      <c r="R158" s="33">
        <v>0</v>
      </c>
      <c r="S158" s="49">
        <v>8</v>
      </c>
      <c r="T158" s="49">
        <v>1.1000000000000001</v>
      </c>
      <c r="U158" s="19"/>
      <c r="V158" s="33">
        <f>(6*28)+23</f>
        <v>191</v>
      </c>
      <c r="W158" s="33">
        <f t="shared" si="142"/>
        <v>160</v>
      </c>
      <c r="X158" s="33">
        <f>(4*28)+24</f>
        <v>136</v>
      </c>
      <c r="Y158" s="19"/>
      <c r="Z158" s="33">
        <f>(5*24)+14</f>
        <v>134</v>
      </c>
      <c r="AA158" s="33">
        <f>(4*24)+24</f>
        <v>120</v>
      </c>
      <c r="AB158" s="33">
        <f t="shared" ref="AB158:AB159" si="144">(1*24)+17</f>
        <v>41</v>
      </c>
      <c r="AC158" s="33">
        <f t="shared" si="143"/>
        <v>73</v>
      </c>
      <c r="AD158" s="19"/>
      <c r="AE158" s="33">
        <f>(28*12)+30</f>
        <v>366</v>
      </c>
      <c r="AF158" s="19"/>
      <c r="AG158" s="19"/>
      <c r="AH158" s="19"/>
    </row>
    <row r="159" spans="1:34" ht="14" x14ac:dyDescent="0.2">
      <c r="A159" s="50">
        <v>45800</v>
      </c>
      <c r="B159" s="49">
        <v>5</v>
      </c>
      <c r="C159" s="49">
        <v>30</v>
      </c>
      <c r="D159" s="49">
        <v>0</v>
      </c>
      <c r="F159" s="33">
        <v>3.5</v>
      </c>
      <c r="G159" s="49">
        <v>17</v>
      </c>
      <c r="H159" s="49">
        <v>4</v>
      </c>
      <c r="J159" s="33">
        <v>6.3</v>
      </c>
      <c r="K159" s="33">
        <f t="shared" si="119"/>
        <v>9.3000000000000025</v>
      </c>
      <c r="L159" s="49">
        <f>4.6+6</f>
        <v>10.6</v>
      </c>
      <c r="M159" s="21"/>
      <c r="N159" s="33">
        <v>1.6</v>
      </c>
      <c r="O159" s="49">
        <v>4</v>
      </c>
      <c r="P159" s="49">
        <v>1</v>
      </c>
      <c r="Q159" s="21"/>
      <c r="R159" s="33">
        <v>2.1</v>
      </c>
      <c r="S159" s="49">
        <v>20</v>
      </c>
      <c r="T159" s="49">
        <v>1.7</v>
      </c>
      <c r="U159" s="19"/>
      <c r="V159" s="33">
        <f>(6*28)+10</f>
        <v>178</v>
      </c>
      <c r="W159" s="33">
        <f>(4*28)+47</f>
        <v>159</v>
      </c>
      <c r="X159" s="33">
        <f>(4*28)+23</f>
        <v>135</v>
      </c>
      <c r="Y159" s="19"/>
      <c r="Z159" s="33">
        <f>(5*24)+5</f>
        <v>125</v>
      </c>
      <c r="AA159" s="33">
        <f>(4*24)+22</f>
        <v>118</v>
      </c>
      <c r="AB159" s="33">
        <f t="shared" si="144"/>
        <v>41</v>
      </c>
      <c r="AC159" s="33">
        <f t="shared" si="143"/>
        <v>73</v>
      </c>
      <c r="AD159" s="19"/>
      <c r="AE159" s="33">
        <f>(27*12)+8</f>
        <v>332</v>
      </c>
      <c r="AF159" s="19"/>
      <c r="AG159" s="19"/>
      <c r="AH159" s="19"/>
    </row>
    <row r="160" spans="1:34" ht="14" x14ac:dyDescent="0.2">
      <c r="A160" s="50">
        <v>45801</v>
      </c>
      <c r="B160" s="49">
        <v>5</v>
      </c>
      <c r="C160" s="49">
        <v>29</v>
      </c>
      <c r="D160" s="49">
        <v>1</v>
      </c>
      <c r="F160" s="33">
        <v>3.5</v>
      </c>
      <c r="G160" s="49">
        <v>14</v>
      </c>
      <c r="H160" s="49">
        <v>4</v>
      </c>
      <c r="J160" s="33">
        <v>5.3</v>
      </c>
      <c r="K160" s="33">
        <f t="shared" si="119"/>
        <v>7.0999999999999979</v>
      </c>
      <c r="L160" s="49">
        <f>7.8+1</f>
        <v>8.8000000000000007</v>
      </c>
      <c r="M160" s="21"/>
      <c r="N160" s="33">
        <v>1</v>
      </c>
      <c r="O160" s="49">
        <v>0.5</v>
      </c>
      <c r="P160" s="49">
        <v>1.8</v>
      </c>
      <c r="Q160" s="21"/>
      <c r="R160" s="33">
        <v>1</v>
      </c>
      <c r="S160" s="49">
        <v>14</v>
      </c>
      <c r="T160" s="49">
        <v>1.1000000000000001</v>
      </c>
      <c r="U160" s="19"/>
      <c r="V160" s="33">
        <f>(5*28)+32</f>
        <v>172</v>
      </c>
      <c r="W160" s="33">
        <f>(4*28)+44</f>
        <v>156</v>
      </c>
      <c r="X160" s="33">
        <f>(4*28)+20</f>
        <v>132</v>
      </c>
      <c r="Y160" s="19"/>
      <c r="Z160" s="33">
        <f>(4*24)+28</f>
        <v>124</v>
      </c>
      <c r="AA160" s="33">
        <f>(4*24)+18</f>
        <v>114</v>
      </c>
      <c r="AB160" s="33">
        <f>(1*24)+15</f>
        <v>39</v>
      </c>
      <c r="AC160" s="33">
        <f t="shared" si="143"/>
        <v>73</v>
      </c>
      <c r="AD160" s="19"/>
      <c r="AE160" s="33">
        <f>(24*12)+13</f>
        <v>301</v>
      </c>
      <c r="AF160" s="19"/>
      <c r="AG160" s="19"/>
      <c r="AH160" s="19"/>
    </row>
    <row r="161" spans="1:34" ht="14" x14ac:dyDescent="0.2">
      <c r="A161" s="50">
        <v>45802</v>
      </c>
      <c r="B161" s="49">
        <v>4</v>
      </c>
      <c r="C161" s="49">
        <v>27</v>
      </c>
      <c r="D161" s="49">
        <v>0</v>
      </c>
      <c r="F161" s="33">
        <v>2.5</v>
      </c>
      <c r="G161" s="49">
        <v>14</v>
      </c>
      <c r="H161" s="49">
        <v>1</v>
      </c>
      <c r="J161" s="33">
        <v>9.8000000000000007</v>
      </c>
      <c r="K161" s="33">
        <f t="shared" si="119"/>
        <v>8.3000000000000025</v>
      </c>
      <c r="L161" s="49">
        <f>8.7+1.6</f>
        <v>10.299999999999999</v>
      </c>
      <c r="M161" s="21"/>
      <c r="N161" s="33">
        <v>1</v>
      </c>
      <c r="O161" s="49">
        <v>8.5</v>
      </c>
      <c r="P161" s="49">
        <v>0</v>
      </c>
      <c r="Q161" s="21"/>
      <c r="R161" s="33">
        <v>1.1000000000000001</v>
      </c>
      <c r="S161" s="49">
        <v>18</v>
      </c>
      <c r="T161" s="49">
        <v>0</v>
      </c>
      <c r="U161" s="19"/>
      <c r="V161" s="33">
        <f>(5*28)+26</f>
        <v>166</v>
      </c>
      <c r="W161" s="33">
        <f>(4*28)+43</f>
        <v>155</v>
      </c>
      <c r="X161" s="33">
        <f>(4*28)+19</f>
        <v>131</v>
      </c>
      <c r="Y161" s="19"/>
      <c r="Z161" s="33">
        <f t="shared" ref="Z161:Z162" si="145">(4*24)+24</f>
        <v>120</v>
      </c>
      <c r="AA161" s="33">
        <f>(4*24)+16</f>
        <v>112</v>
      </c>
      <c r="AB161" s="33">
        <f t="shared" ref="AB161:AB162" si="146">(1*24)+11</f>
        <v>35</v>
      </c>
      <c r="AC161" s="33">
        <f>(2*24)+24</f>
        <v>72</v>
      </c>
      <c r="AD161" s="19"/>
      <c r="AE161" s="33">
        <f>(21*12)+18</f>
        <v>270</v>
      </c>
      <c r="AF161" s="19"/>
      <c r="AG161" s="19"/>
      <c r="AH161" s="19"/>
    </row>
    <row r="162" spans="1:34" ht="14" x14ac:dyDescent="0.2">
      <c r="A162" s="50">
        <v>45803</v>
      </c>
      <c r="B162" s="49">
        <v>5.5</v>
      </c>
      <c r="C162" s="49">
        <v>27</v>
      </c>
      <c r="D162" s="49">
        <v>6</v>
      </c>
      <c r="F162" s="33">
        <v>2</v>
      </c>
      <c r="G162" s="49">
        <v>12</v>
      </c>
      <c r="H162" s="49">
        <v>0</v>
      </c>
      <c r="J162" s="33">
        <v>0.75</v>
      </c>
      <c r="K162" s="33">
        <f t="shared" si="119"/>
        <v>6.0499999999999989</v>
      </c>
      <c r="L162" s="49">
        <v>5</v>
      </c>
      <c r="M162" s="21"/>
      <c r="N162" s="33">
        <v>1.4</v>
      </c>
      <c r="O162" s="49">
        <v>2.5</v>
      </c>
      <c r="P162" s="49">
        <v>1.4</v>
      </c>
      <c r="Q162" s="21"/>
      <c r="R162" s="33">
        <v>2.1</v>
      </c>
      <c r="S162" s="49">
        <v>8</v>
      </c>
      <c r="T162" s="49">
        <v>0.5</v>
      </c>
      <c r="U162" s="19"/>
      <c r="V162" s="33">
        <f>(5*28)+22</f>
        <v>162</v>
      </c>
      <c r="W162" s="33">
        <f t="shared" ref="W162:W163" si="147">(4*28)+41</f>
        <v>153</v>
      </c>
      <c r="X162" s="33">
        <f t="shared" ref="X162:X163" si="148">(4*28)+18</f>
        <v>130</v>
      </c>
      <c r="Y162" s="19"/>
      <c r="Z162" s="33">
        <f t="shared" si="145"/>
        <v>120</v>
      </c>
      <c r="AA162" s="33">
        <f t="shared" ref="AA162:AA163" si="149">(4*24)+14</f>
        <v>110</v>
      </c>
      <c r="AB162" s="33">
        <f t="shared" si="146"/>
        <v>35</v>
      </c>
      <c r="AC162" s="33">
        <f t="shared" ref="AC162:AC166" si="150">(2*24)+22</f>
        <v>70</v>
      </c>
      <c r="AD162" s="19"/>
      <c r="AE162" s="33">
        <f>(19*12)+19</f>
        <v>247</v>
      </c>
      <c r="AF162" s="19"/>
      <c r="AG162" s="19"/>
      <c r="AH162" s="19"/>
    </row>
    <row r="163" spans="1:34" ht="14" x14ac:dyDescent="0.2">
      <c r="A163" s="50">
        <v>45804</v>
      </c>
      <c r="B163" s="49">
        <v>3</v>
      </c>
      <c r="C163" s="49">
        <v>17</v>
      </c>
      <c r="D163" s="49">
        <v>1</v>
      </c>
      <c r="F163" s="33">
        <v>3.5</v>
      </c>
      <c r="G163" s="49">
        <v>18</v>
      </c>
      <c r="H163" s="49">
        <v>3</v>
      </c>
      <c r="J163" s="33">
        <v>11</v>
      </c>
      <c r="K163" s="33">
        <f t="shared" si="119"/>
        <v>6.6999999999999993</v>
      </c>
      <c r="L163" s="49">
        <f>2.4+6.9</f>
        <v>9.3000000000000007</v>
      </c>
      <c r="M163" s="21"/>
      <c r="N163" s="33">
        <v>0</v>
      </c>
      <c r="O163" s="49">
        <v>2</v>
      </c>
      <c r="P163" s="49">
        <v>0.7</v>
      </c>
      <c r="Q163" s="21"/>
      <c r="R163" s="33">
        <v>2.1</v>
      </c>
      <c r="S163" s="49">
        <v>16</v>
      </c>
      <c r="T163" s="49">
        <v>0.4</v>
      </c>
      <c r="U163" s="19"/>
      <c r="V163" s="33">
        <f t="shared" ref="V163:V164" si="151">(5*28)+17</f>
        <v>157</v>
      </c>
      <c r="W163" s="33">
        <f t="shared" si="147"/>
        <v>153</v>
      </c>
      <c r="X163" s="33">
        <f t="shared" si="148"/>
        <v>130</v>
      </c>
      <c r="Y163" s="19"/>
      <c r="Z163" s="33">
        <f>(4*24)+15</f>
        <v>111</v>
      </c>
      <c r="AA163" s="33">
        <f t="shared" si="149"/>
        <v>110</v>
      </c>
      <c r="AB163" s="33">
        <f>(1*24)+10</f>
        <v>34</v>
      </c>
      <c r="AC163" s="33">
        <f t="shared" si="150"/>
        <v>70</v>
      </c>
      <c r="AD163" s="19"/>
      <c r="AE163" s="33">
        <f>(14*12)+18</f>
        <v>186</v>
      </c>
      <c r="AF163" s="19"/>
      <c r="AG163" s="19"/>
      <c r="AH163" s="19"/>
    </row>
    <row r="164" spans="1:34" ht="14" x14ac:dyDescent="0.2">
      <c r="A164" s="50">
        <v>45805</v>
      </c>
      <c r="B164" s="49">
        <v>6</v>
      </c>
      <c r="C164" s="49">
        <v>26</v>
      </c>
      <c r="D164" s="49">
        <v>10</v>
      </c>
      <c r="F164" s="33">
        <v>3.5</v>
      </c>
      <c r="G164" s="49">
        <v>11</v>
      </c>
      <c r="H164" s="49">
        <v>10</v>
      </c>
      <c r="J164" s="33">
        <v>7</v>
      </c>
      <c r="K164" s="33">
        <f t="shared" si="119"/>
        <v>9.7000000000000011</v>
      </c>
      <c r="L164" s="49">
        <f>2+4.6</f>
        <v>6.6</v>
      </c>
      <c r="M164" s="21"/>
      <c r="N164" s="33">
        <v>1.8</v>
      </c>
      <c r="O164" s="49">
        <v>7</v>
      </c>
      <c r="P164" s="49">
        <v>0.3</v>
      </c>
      <c r="Q164" s="21"/>
      <c r="R164" s="33">
        <v>4</v>
      </c>
      <c r="S164" s="49">
        <v>14</v>
      </c>
      <c r="T164" s="49">
        <v>2.4</v>
      </c>
      <c r="U164" s="19"/>
      <c r="V164" s="33">
        <f t="shared" si="151"/>
        <v>157</v>
      </c>
      <c r="W164" s="33">
        <f t="shared" ref="W164:W166" si="152">(4*28)+40</f>
        <v>152</v>
      </c>
      <c r="X164" s="33">
        <f>(4*28)+15</f>
        <v>127</v>
      </c>
      <c r="Y164" s="19"/>
      <c r="Z164" s="33">
        <f>(4*24)+14</f>
        <v>110</v>
      </c>
      <c r="AA164" s="33">
        <f t="shared" ref="AA164:AA165" si="153">(4*24)+11</f>
        <v>107</v>
      </c>
      <c r="AB164" s="33">
        <f t="shared" ref="AB164:AB166" si="154">(1*24)+7</f>
        <v>31</v>
      </c>
      <c r="AC164" s="33">
        <f t="shared" si="150"/>
        <v>70</v>
      </c>
      <c r="AD164" s="19"/>
      <c r="AE164" s="33">
        <f>(12*12)+11</f>
        <v>155</v>
      </c>
      <c r="AF164" s="19"/>
      <c r="AG164" s="19"/>
      <c r="AH164" s="19"/>
    </row>
    <row r="165" spans="1:34" ht="14" x14ac:dyDescent="0.2">
      <c r="A165" s="50">
        <v>45806</v>
      </c>
      <c r="B165" s="49">
        <v>3</v>
      </c>
      <c r="C165" s="49">
        <v>24</v>
      </c>
      <c r="D165" s="49">
        <v>0</v>
      </c>
      <c r="F165" s="33">
        <v>2</v>
      </c>
      <c r="G165" s="49">
        <v>9</v>
      </c>
      <c r="H165" s="49">
        <v>3</v>
      </c>
      <c r="J165" s="33">
        <v>17.2</v>
      </c>
      <c r="K165" s="33">
        <f t="shared" si="119"/>
        <v>6.2999999999999972</v>
      </c>
      <c r="L165" s="49">
        <f>5.5+12</f>
        <v>17.5</v>
      </c>
      <c r="M165" s="21"/>
      <c r="N165" s="33">
        <v>2</v>
      </c>
      <c r="O165" s="49">
        <v>3.5</v>
      </c>
      <c r="P165" s="49">
        <v>0.8</v>
      </c>
      <c r="Q165" s="21"/>
      <c r="R165" s="33">
        <v>0</v>
      </c>
      <c r="S165" s="49">
        <v>15</v>
      </c>
      <c r="T165" s="49">
        <v>0.4</v>
      </c>
      <c r="U165" s="19"/>
      <c r="V165" s="33">
        <f>(5*28)+14</f>
        <v>154</v>
      </c>
      <c r="W165" s="33">
        <f t="shared" si="152"/>
        <v>152</v>
      </c>
      <c r="X165" s="33">
        <f>(4*28)+12</f>
        <v>124</v>
      </c>
      <c r="Y165" s="19"/>
      <c r="Z165" s="33">
        <f>(4*24)+10</f>
        <v>106</v>
      </c>
      <c r="AA165" s="33">
        <f t="shared" si="153"/>
        <v>107</v>
      </c>
      <c r="AB165" s="33">
        <f t="shared" si="154"/>
        <v>31</v>
      </c>
      <c r="AC165" s="33">
        <f t="shared" si="150"/>
        <v>70</v>
      </c>
      <c r="AD165" s="19"/>
      <c r="AE165" s="33">
        <f>(10*12)+28</f>
        <v>148</v>
      </c>
      <c r="AF165" s="19"/>
      <c r="AG165" s="19"/>
      <c r="AH165" s="19"/>
    </row>
    <row r="166" spans="1:34" ht="14" x14ac:dyDescent="0.2">
      <c r="A166" s="50">
        <v>45807</v>
      </c>
      <c r="B166" s="49">
        <v>4</v>
      </c>
      <c r="C166" s="49">
        <v>21</v>
      </c>
      <c r="D166" s="49">
        <v>3</v>
      </c>
      <c r="F166" s="33">
        <v>3</v>
      </c>
      <c r="G166" s="49">
        <v>16</v>
      </c>
      <c r="H166" s="49">
        <v>2</v>
      </c>
      <c r="J166" s="33">
        <v>0</v>
      </c>
      <c r="K166" s="33">
        <f t="shared" si="119"/>
        <v>11.7</v>
      </c>
      <c r="L166" s="49">
        <f>2.7+3.1</f>
        <v>5.8000000000000007</v>
      </c>
      <c r="M166" s="21"/>
      <c r="N166" s="33">
        <v>1.7</v>
      </c>
      <c r="O166" s="49">
        <v>4</v>
      </c>
      <c r="P166" s="49">
        <v>1.2</v>
      </c>
      <c r="Q166" s="21"/>
      <c r="R166" s="33">
        <v>2.1</v>
      </c>
      <c r="S166" s="49">
        <v>12</v>
      </c>
      <c r="T166" s="49">
        <v>0.3</v>
      </c>
      <c r="U166" s="19"/>
      <c r="V166" s="33">
        <f>(5*28)+8</f>
        <v>148</v>
      </c>
      <c r="W166" s="33">
        <f t="shared" si="152"/>
        <v>152</v>
      </c>
      <c r="X166" s="33">
        <f>(4*28)+8</f>
        <v>120</v>
      </c>
      <c r="Y166" s="19"/>
      <c r="Z166" s="33">
        <f>(4*24)+9</f>
        <v>105</v>
      </c>
      <c r="AA166" s="33">
        <f>(4*24)+8</f>
        <v>104</v>
      </c>
      <c r="AB166" s="33">
        <f t="shared" si="154"/>
        <v>31</v>
      </c>
      <c r="AC166" s="33">
        <f t="shared" si="150"/>
        <v>70</v>
      </c>
      <c r="AD166" s="19"/>
      <c r="AE166" s="33">
        <f>(8*12)+26</f>
        <v>122</v>
      </c>
      <c r="AF166" s="19"/>
      <c r="AG166" s="19"/>
      <c r="AH166" s="19"/>
    </row>
    <row r="167" spans="1:34" ht="14" x14ac:dyDescent="0.2">
      <c r="A167" s="50">
        <v>45808</v>
      </c>
      <c r="B167" s="49">
        <v>3.5</v>
      </c>
      <c r="C167" s="49">
        <v>19</v>
      </c>
      <c r="D167" s="49">
        <v>2</v>
      </c>
      <c r="F167" s="33">
        <v>2.5</v>
      </c>
      <c r="G167" s="49">
        <v>15</v>
      </c>
      <c r="H167" s="49">
        <v>0</v>
      </c>
      <c r="J167" s="33">
        <v>2</v>
      </c>
      <c r="K167" s="33">
        <f t="shared" si="119"/>
        <v>6.2000000000000011</v>
      </c>
      <c r="L167" s="49">
        <v>1.6</v>
      </c>
      <c r="M167" s="21"/>
      <c r="N167" s="33">
        <v>0</v>
      </c>
      <c r="O167" s="49">
        <v>4</v>
      </c>
      <c r="P167" s="49">
        <v>0.2</v>
      </c>
      <c r="Q167" s="21"/>
      <c r="R167" s="33">
        <v>2</v>
      </c>
      <c r="S167" s="49">
        <v>16</v>
      </c>
      <c r="T167" s="49">
        <v>0.15</v>
      </c>
      <c r="U167" s="19"/>
      <c r="V167" s="33">
        <f>(4*28)+29</f>
        <v>141</v>
      </c>
      <c r="W167" s="33">
        <f>(4*28)+38</f>
        <v>150</v>
      </c>
      <c r="X167" s="33">
        <f>(3*28)+38</f>
        <v>122</v>
      </c>
      <c r="Y167" s="19"/>
      <c r="Z167" s="33">
        <f>(3*24)+30</f>
        <v>102</v>
      </c>
      <c r="AA167" s="33">
        <f>(3*24)+29</f>
        <v>101</v>
      </c>
      <c r="AB167" s="33">
        <f>(0*24)+29</f>
        <v>29</v>
      </c>
      <c r="AC167" s="33">
        <f>(2*24)+21</f>
        <v>69</v>
      </c>
      <c r="AD167" s="19"/>
      <c r="AE167" s="33">
        <f>(5*12)+13</f>
        <v>73</v>
      </c>
      <c r="AF167" s="19"/>
      <c r="AG167" s="19"/>
      <c r="AH167" s="19"/>
    </row>
    <row r="168" spans="1:34" ht="14" x14ac:dyDescent="0.2">
      <c r="A168" s="4" t="s">
        <v>0</v>
      </c>
      <c r="B168" s="52">
        <f t="shared" ref="B168:D168" si="155">SUM(B138:B167)</f>
        <v>136.5</v>
      </c>
      <c r="C168" s="52">
        <f t="shared" si="155"/>
        <v>767</v>
      </c>
      <c r="D168" s="52">
        <f t="shared" si="155"/>
        <v>89</v>
      </c>
      <c r="F168" s="52">
        <f t="shared" ref="F168:H168" si="156">SUM(F138:F167)</f>
        <v>70.5</v>
      </c>
      <c r="G168" s="52">
        <f t="shared" si="156"/>
        <v>359</v>
      </c>
      <c r="H168" s="52">
        <f t="shared" si="156"/>
        <v>69</v>
      </c>
      <c r="J168" s="52">
        <f t="shared" ref="J168:K168" si="157">SUM(J138:J167)</f>
        <v>198.75</v>
      </c>
      <c r="K168" s="52">
        <f t="shared" si="157"/>
        <v>213.54999999999995</v>
      </c>
      <c r="L168" s="4"/>
      <c r="N168" s="52">
        <f t="shared" ref="N168:O168" si="158">SUM(N138:N167)</f>
        <v>35.799999999999997</v>
      </c>
      <c r="O168" s="52">
        <f t="shared" si="158"/>
        <v>116</v>
      </c>
      <c r="P168" s="4"/>
      <c r="R168" s="52">
        <f t="shared" ref="R168:S168" si="159">SUM(R138:R167)</f>
        <v>50.900000000000013</v>
      </c>
      <c r="S168" s="52">
        <f t="shared" si="159"/>
        <v>446</v>
      </c>
      <c r="T168" s="4"/>
      <c r="U168" s="19"/>
      <c r="V168" s="53"/>
      <c r="W168" s="54"/>
      <c r="X168" s="54"/>
      <c r="Y168" s="19"/>
      <c r="Z168" s="53"/>
      <c r="AA168" s="54"/>
      <c r="AB168" s="54"/>
      <c r="AC168" s="54"/>
      <c r="AD168" s="19"/>
      <c r="AE168" s="53"/>
      <c r="AF168" s="19"/>
      <c r="AG168" s="19"/>
      <c r="AH168" s="19"/>
    </row>
    <row r="169" spans="1:34" ht="14" x14ac:dyDescent="0.2">
      <c r="A169" s="55"/>
      <c r="B169" s="19"/>
      <c r="C169" s="19"/>
      <c r="D169" s="19"/>
      <c r="F169" s="19"/>
      <c r="G169" s="19"/>
      <c r="H169" s="19"/>
      <c r="J169" s="19"/>
      <c r="K169" s="19"/>
      <c r="L169" s="19"/>
      <c r="M169" s="21"/>
      <c r="N169" s="19"/>
      <c r="O169" s="19"/>
      <c r="P169" s="19"/>
      <c r="Q169" s="21"/>
      <c r="R169" s="19"/>
      <c r="S169" s="19"/>
      <c r="T169" s="19"/>
      <c r="U169" s="19"/>
      <c r="V169" s="19"/>
      <c r="W169" s="19"/>
      <c r="X169" s="19"/>
      <c r="Y169" s="19"/>
      <c r="Z169" s="19"/>
      <c r="AA169" s="19"/>
      <c r="AB169" s="19"/>
      <c r="AC169" s="19"/>
      <c r="AD169" s="19"/>
      <c r="AE169" s="19"/>
      <c r="AF169" s="19"/>
      <c r="AG169" s="19"/>
      <c r="AH169" s="19"/>
    </row>
    <row r="170" spans="1:34" ht="14" x14ac:dyDescent="0.2">
      <c r="A170" s="55"/>
      <c r="B170" s="19"/>
      <c r="C170" s="19"/>
      <c r="D170" s="19"/>
      <c r="F170" s="19"/>
      <c r="G170" s="19"/>
      <c r="H170" s="19"/>
      <c r="J170" s="19"/>
      <c r="K170" s="19"/>
      <c r="L170" s="19"/>
      <c r="M170" s="21"/>
      <c r="N170" s="19"/>
      <c r="O170" s="19"/>
      <c r="P170" s="19"/>
      <c r="Q170" s="21"/>
      <c r="R170" s="19"/>
      <c r="S170" s="19"/>
      <c r="T170" s="19"/>
      <c r="U170" s="19"/>
      <c r="V170" s="19"/>
      <c r="W170" s="19"/>
      <c r="X170" s="19"/>
      <c r="Y170" s="19"/>
      <c r="Z170" s="19"/>
      <c r="AA170" s="19"/>
      <c r="AB170" s="19"/>
      <c r="AC170" s="19"/>
      <c r="AD170" s="19"/>
      <c r="AE170" s="19"/>
      <c r="AF170" s="19"/>
      <c r="AG170" s="19"/>
      <c r="AH170" s="19"/>
    </row>
    <row r="171" spans="1:34" ht="14" x14ac:dyDescent="0.2">
      <c r="A171" s="50">
        <v>45748</v>
      </c>
      <c r="B171" s="49">
        <v>1</v>
      </c>
      <c r="C171" s="49">
        <v>28</v>
      </c>
      <c r="D171" s="49">
        <v>0</v>
      </c>
      <c r="F171" s="51">
        <v>3</v>
      </c>
      <c r="G171" s="49">
        <v>19</v>
      </c>
      <c r="H171" s="49">
        <v>0</v>
      </c>
      <c r="J171" s="51">
        <v>3.5</v>
      </c>
      <c r="K171" s="51">
        <f>J171-L171</f>
        <v>-0.5</v>
      </c>
      <c r="L171" s="49">
        <v>4</v>
      </c>
      <c r="M171" s="21"/>
      <c r="N171" s="51">
        <v>0</v>
      </c>
      <c r="O171" s="49">
        <v>4</v>
      </c>
      <c r="P171" s="49">
        <v>0</v>
      </c>
      <c r="Q171" s="21"/>
      <c r="R171" s="51">
        <v>5</v>
      </c>
      <c r="S171" s="49">
        <v>39</v>
      </c>
      <c r="T171" s="49">
        <v>0.5</v>
      </c>
      <c r="U171" s="19"/>
      <c r="V171" s="51">
        <f>(2*28)+34</f>
        <v>90</v>
      </c>
      <c r="W171" s="51">
        <f>(4*28)+4</f>
        <v>116</v>
      </c>
      <c r="X171" s="51">
        <f>(3*28)+25</f>
        <v>109</v>
      </c>
      <c r="Y171" s="19"/>
      <c r="Z171" s="51">
        <f t="shared" ref="Z171:Z188" si="160">(0*24)+0</f>
        <v>0</v>
      </c>
      <c r="AA171" s="51">
        <f>(0*24)+26</f>
        <v>26</v>
      </c>
      <c r="AB171" s="51">
        <f t="shared" ref="AB171:AB172" si="161">(1*24)+0</f>
        <v>24</v>
      </c>
      <c r="AC171" s="51">
        <f>(1*24)+15</f>
        <v>39</v>
      </c>
      <c r="AD171" s="19"/>
      <c r="AE171" s="51">
        <f>420+58</f>
        <v>478</v>
      </c>
      <c r="AF171" s="19"/>
      <c r="AG171" s="19"/>
      <c r="AH171" s="19"/>
    </row>
    <row r="172" spans="1:34" ht="14" x14ac:dyDescent="0.2">
      <c r="A172" s="50">
        <v>45749</v>
      </c>
      <c r="B172" s="49">
        <v>6</v>
      </c>
      <c r="C172" s="49">
        <v>32</v>
      </c>
      <c r="D172" s="49">
        <v>4</v>
      </c>
      <c r="F172" s="33">
        <v>2</v>
      </c>
      <c r="G172" s="49">
        <v>12</v>
      </c>
      <c r="H172" s="49">
        <v>0</v>
      </c>
      <c r="J172" s="33">
        <v>23.9</v>
      </c>
      <c r="K172" s="33">
        <f t="shared" ref="K172:K200" si="162">J172+L171-L172</f>
        <v>8</v>
      </c>
      <c r="L172" s="49">
        <f>6.6+13.3</f>
        <v>19.899999999999999</v>
      </c>
      <c r="M172" s="21"/>
      <c r="N172" s="33">
        <v>2.7</v>
      </c>
      <c r="O172" s="49">
        <v>3</v>
      </c>
      <c r="P172" s="49">
        <v>1.8</v>
      </c>
      <c r="Q172" s="21"/>
      <c r="R172" s="33">
        <v>2.5</v>
      </c>
      <c r="S172" s="49">
        <v>16</v>
      </c>
      <c r="T172" s="49">
        <v>0</v>
      </c>
      <c r="U172" s="19"/>
      <c r="V172" s="33">
        <f>(2*28)+24</f>
        <v>80</v>
      </c>
      <c r="W172" s="33">
        <f>(4*28)+2</f>
        <v>114</v>
      </c>
      <c r="X172" s="33">
        <f>(3*28)+22</f>
        <v>106</v>
      </c>
      <c r="Y172" s="19"/>
      <c r="Z172" s="33">
        <f t="shared" si="160"/>
        <v>0</v>
      </c>
      <c r="AA172" s="33">
        <f>(0*24)+22</f>
        <v>22</v>
      </c>
      <c r="AB172" s="33">
        <f t="shared" si="161"/>
        <v>24</v>
      </c>
      <c r="AC172" s="33">
        <f t="shared" ref="AC172:AC173" si="163">(1*24)+8</f>
        <v>32</v>
      </c>
      <c r="AD172" s="19"/>
      <c r="AE172" s="33">
        <f>420+24</f>
        <v>444</v>
      </c>
      <c r="AF172" s="19"/>
      <c r="AG172" s="19"/>
      <c r="AH172" s="19"/>
    </row>
    <row r="173" spans="1:34" ht="14" x14ac:dyDescent="0.2">
      <c r="A173" s="50">
        <v>45750</v>
      </c>
      <c r="B173" s="49">
        <v>6</v>
      </c>
      <c r="C173" s="49">
        <v>34</v>
      </c>
      <c r="D173" s="49">
        <v>2</v>
      </c>
      <c r="F173" s="33">
        <v>2</v>
      </c>
      <c r="G173" s="49">
        <v>12</v>
      </c>
      <c r="H173" s="49">
        <v>0</v>
      </c>
      <c r="J173" s="33">
        <v>5.6</v>
      </c>
      <c r="K173" s="33">
        <f t="shared" si="162"/>
        <v>10.6</v>
      </c>
      <c r="L173" s="49">
        <f>3.1+11.8</f>
        <v>14.9</v>
      </c>
      <c r="M173" s="21"/>
      <c r="N173" s="33">
        <v>1</v>
      </c>
      <c r="O173" s="49">
        <v>4.5</v>
      </c>
      <c r="P173" s="49">
        <v>1.3</v>
      </c>
      <c r="Q173" s="21"/>
      <c r="R173" s="33">
        <v>2</v>
      </c>
      <c r="S173" s="49">
        <v>15</v>
      </c>
      <c r="T173" s="49">
        <v>1</v>
      </c>
      <c r="U173" s="19"/>
      <c r="V173" s="33">
        <f>(2*28)+14</f>
        <v>70</v>
      </c>
      <c r="W173" s="33">
        <f>(3*28)+28</f>
        <v>112</v>
      </c>
      <c r="X173" s="33">
        <f>(3*28)+20</f>
        <v>104</v>
      </c>
      <c r="Y173" s="19"/>
      <c r="Z173" s="33">
        <f t="shared" si="160"/>
        <v>0</v>
      </c>
      <c r="AA173" s="33">
        <f>(0*24)+19</f>
        <v>19</v>
      </c>
      <c r="AB173" s="33">
        <f>(0*24)+20</f>
        <v>20</v>
      </c>
      <c r="AC173" s="33">
        <f t="shared" si="163"/>
        <v>32</v>
      </c>
      <c r="AD173" s="19"/>
      <c r="AE173" s="33">
        <f>336+33</f>
        <v>369</v>
      </c>
      <c r="AF173" s="19"/>
      <c r="AG173" s="19"/>
      <c r="AH173" s="19"/>
    </row>
    <row r="174" spans="1:34" ht="14" x14ac:dyDescent="0.2">
      <c r="A174" s="50">
        <v>45751</v>
      </c>
      <c r="B174" s="49">
        <v>6</v>
      </c>
      <c r="C174" s="49">
        <v>31</v>
      </c>
      <c r="D174" s="49">
        <v>5</v>
      </c>
      <c r="F174" s="33">
        <v>3.3</v>
      </c>
      <c r="G174" s="49">
        <v>17</v>
      </c>
      <c r="H174" s="49">
        <v>3</v>
      </c>
      <c r="J174" s="33">
        <v>10.8</v>
      </c>
      <c r="K174" s="33">
        <f t="shared" si="162"/>
        <v>11.900000000000002</v>
      </c>
      <c r="L174" s="49">
        <f>7.1+6.7</f>
        <v>13.8</v>
      </c>
      <c r="M174" s="21"/>
      <c r="N174" s="33">
        <v>1.5</v>
      </c>
      <c r="O174" s="49">
        <v>5</v>
      </c>
      <c r="P174" s="49">
        <v>1</v>
      </c>
      <c r="Q174" s="21"/>
      <c r="R174" s="33">
        <v>1</v>
      </c>
      <c r="S174" s="49">
        <v>17</v>
      </c>
      <c r="T174" s="49">
        <v>0</v>
      </c>
      <c r="U174" s="19"/>
      <c r="V174" s="33">
        <f t="shared" ref="V174:V175" si="164">(2*28)+5</f>
        <v>61</v>
      </c>
      <c r="W174" s="33">
        <f t="shared" ref="W174:W175" si="165">(3*28)+25</f>
        <v>109</v>
      </c>
      <c r="X174" s="33">
        <f t="shared" ref="X174:X175" si="166">(3*28)+15</f>
        <v>99</v>
      </c>
      <c r="Y174" s="19"/>
      <c r="Z174" s="33">
        <f t="shared" si="160"/>
        <v>0</v>
      </c>
      <c r="AA174" s="33">
        <f t="shared" ref="AA174:AA175" si="167">(0*24)+11</f>
        <v>11</v>
      </c>
      <c r="AB174" s="33">
        <f t="shared" ref="AB174:AB176" si="168">(0*24)+18</f>
        <v>18</v>
      </c>
      <c r="AC174" s="33">
        <f t="shared" ref="AC174:AC175" si="169">(1*24)+3</f>
        <v>27</v>
      </c>
      <c r="AD174" s="19"/>
      <c r="AE174" s="33">
        <f t="shared" ref="AE174:AE175" si="170">312+23</f>
        <v>335</v>
      </c>
      <c r="AF174" s="19"/>
      <c r="AG174" s="19"/>
      <c r="AH174" s="19"/>
    </row>
    <row r="175" spans="1:34" ht="14" x14ac:dyDescent="0.2">
      <c r="A175" s="50">
        <v>45752</v>
      </c>
      <c r="B175" s="49">
        <v>5</v>
      </c>
      <c r="C175" s="49">
        <v>20</v>
      </c>
      <c r="D175" s="49">
        <v>10</v>
      </c>
      <c r="F175" s="33">
        <v>2</v>
      </c>
      <c r="G175" s="49">
        <v>11</v>
      </c>
      <c r="H175" s="49">
        <v>1</v>
      </c>
      <c r="J175" s="33">
        <v>9.1</v>
      </c>
      <c r="K175" s="33">
        <f t="shared" si="162"/>
        <v>13.099999999999998</v>
      </c>
      <c r="L175" s="49">
        <f>5.4+4.4</f>
        <v>9.8000000000000007</v>
      </c>
      <c r="M175" s="21"/>
      <c r="N175" s="33">
        <v>0.4</v>
      </c>
      <c r="O175" s="49">
        <v>2</v>
      </c>
      <c r="P175" s="49">
        <v>1.3</v>
      </c>
      <c r="Q175" s="21"/>
      <c r="R175" s="33">
        <v>3</v>
      </c>
      <c r="S175" s="49">
        <v>11</v>
      </c>
      <c r="T175" s="49">
        <v>2.5</v>
      </c>
      <c r="U175" s="19"/>
      <c r="V175" s="33">
        <f t="shared" si="164"/>
        <v>61</v>
      </c>
      <c r="W175" s="33">
        <f t="shared" si="165"/>
        <v>109</v>
      </c>
      <c r="X175" s="33">
        <f t="shared" si="166"/>
        <v>99</v>
      </c>
      <c r="Y175" s="19"/>
      <c r="Z175" s="33">
        <f t="shared" si="160"/>
        <v>0</v>
      </c>
      <c r="AA175" s="33">
        <f t="shared" si="167"/>
        <v>11</v>
      </c>
      <c r="AB175" s="33">
        <f t="shared" si="168"/>
        <v>18</v>
      </c>
      <c r="AC175" s="33">
        <f t="shared" si="169"/>
        <v>27</v>
      </c>
      <c r="AD175" s="19"/>
      <c r="AE175" s="33">
        <f t="shared" si="170"/>
        <v>335</v>
      </c>
      <c r="AF175" s="19"/>
      <c r="AG175" s="19"/>
      <c r="AH175" s="19"/>
    </row>
    <row r="176" spans="1:34" ht="14" x14ac:dyDescent="0.2">
      <c r="A176" s="50">
        <v>45753</v>
      </c>
      <c r="B176" s="49">
        <v>0</v>
      </c>
      <c r="C176" s="49">
        <v>0</v>
      </c>
      <c r="D176" s="49">
        <v>0</v>
      </c>
      <c r="F176" s="33">
        <v>0</v>
      </c>
      <c r="G176" s="49">
        <v>0</v>
      </c>
      <c r="H176" s="49">
        <v>0</v>
      </c>
      <c r="J176" s="33">
        <v>0</v>
      </c>
      <c r="K176" s="33">
        <f t="shared" si="162"/>
        <v>0</v>
      </c>
      <c r="L176" s="49">
        <v>9.8000000000000007</v>
      </c>
      <c r="M176" s="21"/>
      <c r="N176" s="33">
        <v>0</v>
      </c>
      <c r="O176" s="49">
        <v>0</v>
      </c>
      <c r="P176" s="49">
        <v>1.3</v>
      </c>
      <c r="Q176" s="21"/>
      <c r="R176" s="33">
        <v>0</v>
      </c>
      <c r="S176" s="49">
        <v>0</v>
      </c>
      <c r="T176" s="49">
        <v>2.5</v>
      </c>
      <c r="U176" s="19"/>
      <c r="V176" s="33">
        <f>(1*28)+27</f>
        <v>55</v>
      </c>
      <c r="W176" s="33">
        <f>(3*28)+23</f>
        <v>107</v>
      </c>
      <c r="X176" s="33">
        <f t="shared" ref="X176:X178" si="171">(3*28)+14</f>
        <v>98</v>
      </c>
      <c r="Y176" s="19"/>
      <c r="Z176" s="33">
        <f t="shared" si="160"/>
        <v>0</v>
      </c>
      <c r="AA176" s="33">
        <f t="shared" ref="AA176:AA177" si="172">(0*24)+10</f>
        <v>10</v>
      </c>
      <c r="AB176" s="33">
        <f t="shared" si="168"/>
        <v>18</v>
      </c>
      <c r="AC176" s="33">
        <f t="shared" ref="AC176:AC178" si="173">(0*24)+26</f>
        <v>26</v>
      </c>
      <c r="AD176" s="19"/>
      <c r="AE176" s="33">
        <f>264+49</f>
        <v>313</v>
      </c>
      <c r="AF176" s="19"/>
      <c r="AG176" s="19"/>
      <c r="AH176" s="19"/>
    </row>
    <row r="177" spans="1:34" ht="14" x14ac:dyDescent="0.2">
      <c r="A177" s="50">
        <v>45754</v>
      </c>
      <c r="B177" s="49">
        <v>4</v>
      </c>
      <c r="C177" s="49">
        <v>20</v>
      </c>
      <c r="D177" s="49">
        <v>4</v>
      </c>
      <c r="F177" s="33">
        <v>2</v>
      </c>
      <c r="G177" s="49">
        <v>13</v>
      </c>
      <c r="H177" s="49">
        <v>0</v>
      </c>
      <c r="J177" s="33">
        <v>15.5</v>
      </c>
      <c r="K177" s="33">
        <f t="shared" si="162"/>
        <v>9.7000000000000011</v>
      </c>
      <c r="L177" s="49">
        <f>6.4+9.2</f>
        <v>15.6</v>
      </c>
      <c r="M177" s="21"/>
      <c r="N177" s="33">
        <v>2</v>
      </c>
      <c r="O177" s="49">
        <v>2</v>
      </c>
      <c r="P177" s="49">
        <v>2.4</v>
      </c>
      <c r="Q177" s="21"/>
      <c r="R177" s="33">
        <v>2.4</v>
      </c>
      <c r="S177" s="49">
        <v>7</v>
      </c>
      <c r="T177" s="49">
        <v>3.5</v>
      </c>
      <c r="U177" s="19"/>
      <c r="V177" s="33">
        <f>(1*28)+25</f>
        <v>53</v>
      </c>
      <c r="W177" s="33">
        <f>(3*28)+20</f>
        <v>104</v>
      </c>
      <c r="X177" s="33">
        <f t="shared" si="171"/>
        <v>98</v>
      </c>
      <c r="Y177" s="19"/>
      <c r="Z177" s="33">
        <f t="shared" si="160"/>
        <v>0</v>
      </c>
      <c r="AA177" s="33">
        <f t="shared" si="172"/>
        <v>10</v>
      </c>
      <c r="AB177" s="33">
        <f>(0*24)+14</f>
        <v>14</v>
      </c>
      <c r="AC177" s="33">
        <f t="shared" si="173"/>
        <v>26</v>
      </c>
      <c r="AD177" s="19"/>
      <c r="AE177" s="33">
        <f>216+71</f>
        <v>287</v>
      </c>
      <c r="AF177" s="19"/>
      <c r="AG177" s="19"/>
      <c r="AH177" s="19"/>
    </row>
    <row r="178" spans="1:34" ht="14" x14ac:dyDescent="0.2">
      <c r="A178" s="50">
        <v>45755</v>
      </c>
      <c r="B178" s="49">
        <v>6</v>
      </c>
      <c r="C178" s="49">
        <v>32</v>
      </c>
      <c r="D178" s="49">
        <v>4</v>
      </c>
      <c r="F178" s="33">
        <v>2</v>
      </c>
      <c r="G178" s="49">
        <v>10</v>
      </c>
      <c r="H178" s="49">
        <v>2</v>
      </c>
      <c r="J178" s="33">
        <v>6</v>
      </c>
      <c r="K178" s="33">
        <f t="shared" si="162"/>
        <v>9.9000000000000021</v>
      </c>
      <c r="L178" s="49">
        <f>4.2+7.5</f>
        <v>11.7</v>
      </c>
      <c r="M178" s="21"/>
      <c r="N178" s="33">
        <v>0</v>
      </c>
      <c r="O178" s="49">
        <v>5</v>
      </c>
      <c r="P178" s="49">
        <v>1.2</v>
      </c>
      <c r="Q178" s="21"/>
      <c r="R178" s="33">
        <v>0</v>
      </c>
      <c r="S178" s="49">
        <v>14</v>
      </c>
      <c r="T178" s="49">
        <v>2.9</v>
      </c>
      <c r="U178" s="19"/>
      <c r="V178" s="33">
        <f>(1*28)+19</f>
        <v>47</v>
      </c>
      <c r="W178" s="33">
        <f t="shared" ref="W178:W179" si="174">(3*28)+17</f>
        <v>101</v>
      </c>
      <c r="X178" s="33">
        <f t="shared" si="171"/>
        <v>98</v>
      </c>
      <c r="Y178" s="19"/>
      <c r="Z178" s="33">
        <f t="shared" si="160"/>
        <v>0</v>
      </c>
      <c r="AA178" s="33">
        <f>(0*24)+8</f>
        <v>8</v>
      </c>
      <c r="AB178" s="33">
        <f>(0*24)+12</f>
        <v>12</v>
      </c>
      <c r="AC178" s="33">
        <f t="shared" si="173"/>
        <v>26</v>
      </c>
      <c r="AD178" s="19"/>
      <c r="AE178" s="33">
        <f>216+42</f>
        <v>258</v>
      </c>
      <c r="AF178" s="19"/>
      <c r="AG178" s="19"/>
      <c r="AH178" s="19"/>
    </row>
    <row r="179" spans="1:34" ht="14" x14ac:dyDescent="0.2">
      <c r="A179" s="50">
        <v>45756</v>
      </c>
      <c r="B179" s="49">
        <v>5</v>
      </c>
      <c r="C179" s="49">
        <v>12</v>
      </c>
      <c r="D179" s="49">
        <v>18</v>
      </c>
      <c r="F179" s="33">
        <v>3.3</v>
      </c>
      <c r="G179" s="49">
        <v>14</v>
      </c>
      <c r="H179" s="49">
        <v>7</v>
      </c>
      <c r="J179" s="33">
        <v>8.3000000000000007</v>
      </c>
      <c r="K179" s="33">
        <f t="shared" si="162"/>
        <v>11.3</v>
      </c>
      <c r="L179" s="49">
        <v>8.6999999999999993</v>
      </c>
      <c r="M179" s="21"/>
      <c r="N179" s="33">
        <v>1.5</v>
      </c>
      <c r="O179" s="49">
        <v>1</v>
      </c>
      <c r="P179" s="49">
        <v>2.2999999999999998</v>
      </c>
      <c r="Q179" s="21"/>
      <c r="R179" s="33">
        <v>0</v>
      </c>
      <c r="S179" s="49">
        <v>12</v>
      </c>
      <c r="T179" s="49">
        <v>2.5</v>
      </c>
      <c r="U179" s="19"/>
      <c r="V179" s="33">
        <f>(1*28)+15</f>
        <v>43</v>
      </c>
      <c r="W179" s="33">
        <f t="shared" si="174"/>
        <v>101</v>
      </c>
      <c r="X179" s="33">
        <f t="shared" ref="X179:X180" si="175">(3*28)+13</f>
        <v>97</v>
      </c>
      <c r="Y179" s="19"/>
      <c r="Z179" s="33">
        <f t="shared" si="160"/>
        <v>0</v>
      </c>
      <c r="AA179" s="33">
        <f>(0*24)+5</f>
        <v>5</v>
      </c>
      <c r="AB179" s="33">
        <f>(0*24)+11</f>
        <v>11</v>
      </c>
      <c r="AC179" s="33">
        <f>(0*24)+22</f>
        <v>22</v>
      </c>
      <c r="AD179" s="19"/>
      <c r="AE179" s="33">
        <f>216+22</f>
        <v>238</v>
      </c>
      <c r="AF179" s="19"/>
      <c r="AG179" s="19"/>
      <c r="AH179" s="19"/>
    </row>
    <row r="180" spans="1:34" ht="14" x14ac:dyDescent="0.2">
      <c r="A180" s="50">
        <v>45757</v>
      </c>
      <c r="B180" s="49">
        <v>4.5</v>
      </c>
      <c r="C180" s="49">
        <v>22</v>
      </c>
      <c r="D180" s="49">
        <v>5</v>
      </c>
      <c r="F180" s="33">
        <v>2</v>
      </c>
      <c r="G180" s="49">
        <v>5</v>
      </c>
      <c r="H180" s="49">
        <v>7</v>
      </c>
      <c r="J180" s="33">
        <v>15.5</v>
      </c>
      <c r="K180" s="33">
        <f t="shared" si="162"/>
        <v>5</v>
      </c>
      <c r="L180" s="49">
        <f>12+7.2</f>
        <v>19.2</v>
      </c>
      <c r="M180" s="21"/>
      <c r="N180" s="33">
        <v>0</v>
      </c>
      <c r="O180" s="49">
        <v>3</v>
      </c>
      <c r="P180" s="49">
        <v>1.4</v>
      </c>
      <c r="Q180" s="21"/>
      <c r="R180" s="33">
        <v>0</v>
      </c>
      <c r="S180" s="49">
        <v>12</v>
      </c>
      <c r="T180" s="49">
        <v>1.3</v>
      </c>
      <c r="U180" s="19"/>
      <c r="V180" s="33">
        <f>(1*28)+14</f>
        <v>42</v>
      </c>
      <c r="W180" s="33">
        <f>(3*28)+14</f>
        <v>98</v>
      </c>
      <c r="X180" s="33">
        <f t="shared" si="175"/>
        <v>97</v>
      </c>
      <c r="Y180" s="19"/>
      <c r="Z180" s="33">
        <f t="shared" si="160"/>
        <v>0</v>
      </c>
      <c r="AA180" s="33">
        <f t="shared" ref="AA180:AA188" si="176">(0*24)+0</f>
        <v>0</v>
      </c>
      <c r="AB180" s="33">
        <f>(0*24)+7</f>
        <v>7</v>
      </c>
      <c r="AC180" s="33">
        <f>(0*24)+20</f>
        <v>20</v>
      </c>
      <c r="AD180" s="19"/>
      <c r="AE180" s="33">
        <f>168+49</f>
        <v>217</v>
      </c>
      <c r="AF180" s="19"/>
      <c r="AG180" s="19"/>
      <c r="AH180" s="19"/>
    </row>
    <row r="181" spans="1:34" ht="14" x14ac:dyDescent="0.2">
      <c r="A181" s="50">
        <v>45758</v>
      </c>
      <c r="B181" s="49">
        <v>4</v>
      </c>
      <c r="C181" s="49">
        <v>19</v>
      </c>
      <c r="D181" s="49">
        <v>5</v>
      </c>
      <c r="F181" s="33">
        <v>3.2</v>
      </c>
      <c r="G181" s="49">
        <v>19</v>
      </c>
      <c r="H181" s="49">
        <v>1</v>
      </c>
      <c r="J181" s="33">
        <v>3.8</v>
      </c>
      <c r="K181" s="33">
        <f t="shared" si="162"/>
        <v>9.7000000000000011</v>
      </c>
      <c r="L181" s="49">
        <f>9.7+3.6</f>
        <v>13.299999999999999</v>
      </c>
      <c r="M181" s="21"/>
      <c r="N181" s="33">
        <v>2</v>
      </c>
      <c r="O181" s="49">
        <v>2.5</v>
      </c>
      <c r="P181" s="49">
        <v>2.9</v>
      </c>
      <c r="Q181" s="21"/>
      <c r="R181" s="33">
        <v>2</v>
      </c>
      <c r="S181" s="49">
        <v>8</v>
      </c>
      <c r="T181" s="49">
        <v>2.7</v>
      </c>
      <c r="U181" s="19"/>
      <c r="V181" s="33">
        <f>(1*28)+3</f>
        <v>31</v>
      </c>
      <c r="W181" s="33">
        <f>(3*28)+10</f>
        <v>94</v>
      </c>
      <c r="X181" s="33">
        <f>(3*28)+11</f>
        <v>95</v>
      </c>
      <c r="Y181" s="19"/>
      <c r="Z181" s="33">
        <f t="shared" si="160"/>
        <v>0</v>
      </c>
      <c r="AA181" s="33">
        <f t="shared" si="176"/>
        <v>0</v>
      </c>
      <c r="AB181" s="33">
        <f>(0*24)+6</f>
        <v>6</v>
      </c>
      <c r="AC181" s="33">
        <f>(0*24)+18</f>
        <v>18</v>
      </c>
      <c r="AD181" s="19"/>
      <c r="AE181" s="33">
        <f>168+22</f>
        <v>190</v>
      </c>
      <c r="AF181" s="19"/>
      <c r="AG181" s="19"/>
      <c r="AH181" s="19"/>
    </row>
    <row r="182" spans="1:34" ht="14" x14ac:dyDescent="0.2">
      <c r="A182" s="50">
        <v>45759</v>
      </c>
      <c r="B182" s="49">
        <v>5</v>
      </c>
      <c r="C182" s="49">
        <v>26</v>
      </c>
      <c r="D182" s="49">
        <v>4</v>
      </c>
      <c r="F182" s="33">
        <v>2</v>
      </c>
      <c r="G182" s="49">
        <v>6</v>
      </c>
      <c r="H182" s="49">
        <v>6</v>
      </c>
      <c r="J182" s="33">
        <v>10.1</v>
      </c>
      <c r="K182" s="33">
        <f t="shared" si="162"/>
        <v>8.9999999999999982</v>
      </c>
      <c r="L182" s="49">
        <f>8.8+5.6</f>
        <v>14.4</v>
      </c>
      <c r="M182" s="21"/>
      <c r="N182" s="33">
        <v>0</v>
      </c>
      <c r="O182" s="49">
        <v>2</v>
      </c>
      <c r="P182" s="49">
        <v>2.1</v>
      </c>
      <c r="Q182" s="21"/>
      <c r="R182" s="33">
        <v>0</v>
      </c>
      <c r="S182" s="49">
        <v>9</v>
      </c>
      <c r="T182" s="49">
        <v>1.6</v>
      </c>
      <c r="U182" s="19"/>
      <c r="V182" s="33">
        <f>(0*28)+21</f>
        <v>21</v>
      </c>
      <c r="W182" s="33">
        <f>(2*28)+37</f>
        <v>93</v>
      </c>
      <c r="X182" s="33">
        <f>(2*28)+39</f>
        <v>95</v>
      </c>
      <c r="Y182" s="19"/>
      <c r="Z182" s="33">
        <f t="shared" si="160"/>
        <v>0</v>
      </c>
      <c r="AA182" s="33">
        <f t="shared" si="176"/>
        <v>0</v>
      </c>
      <c r="AB182" s="33">
        <f>(0*24)+1</f>
        <v>1</v>
      </c>
      <c r="AC182" s="33">
        <f>(0*24)+14</f>
        <v>14</v>
      </c>
      <c r="AD182" s="19"/>
      <c r="AE182" s="33">
        <f>120+40</f>
        <v>160</v>
      </c>
      <c r="AF182" s="19"/>
      <c r="AG182" s="19"/>
      <c r="AH182" s="19"/>
    </row>
    <row r="183" spans="1:34" ht="14" x14ac:dyDescent="0.2">
      <c r="A183" s="50">
        <v>45760</v>
      </c>
      <c r="B183" s="49">
        <v>7</v>
      </c>
      <c r="C183" s="49">
        <v>36</v>
      </c>
      <c r="D183" s="49">
        <v>0</v>
      </c>
      <c r="F183" s="33">
        <v>2.5</v>
      </c>
      <c r="G183" s="49">
        <v>12</v>
      </c>
      <c r="H183" s="49">
        <v>2</v>
      </c>
      <c r="J183" s="33">
        <v>11.4</v>
      </c>
      <c r="K183" s="33">
        <f t="shared" si="162"/>
        <v>8.1999999999999993</v>
      </c>
      <c r="L183" s="49">
        <f>8.8+8.8</f>
        <v>17.600000000000001</v>
      </c>
      <c r="M183" s="21"/>
      <c r="N183" s="33">
        <v>0</v>
      </c>
      <c r="O183" s="49">
        <v>8.5</v>
      </c>
      <c r="P183" s="49">
        <v>0</v>
      </c>
      <c r="Q183" s="21"/>
      <c r="R183" s="33">
        <v>1</v>
      </c>
      <c r="S183" s="49">
        <v>18</v>
      </c>
      <c r="T183" s="49">
        <v>0</v>
      </c>
      <c r="U183" s="19"/>
      <c r="V183" s="33">
        <f>(0*28)+18</f>
        <v>18</v>
      </c>
      <c r="W183" s="33">
        <f t="shared" ref="W183:W184" si="177">(2*28)+36</f>
        <v>92</v>
      </c>
      <c r="X183" s="33">
        <f t="shared" ref="X183:X184" si="178">(2*28)+35</f>
        <v>91</v>
      </c>
      <c r="Y183" s="19"/>
      <c r="Z183" s="33">
        <f t="shared" si="160"/>
        <v>0</v>
      </c>
      <c r="AA183" s="33">
        <f t="shared" si="176"/>
        <v>0</v>
      </c>
      <c r="AB183" s="33">
        <f t="shared" ref="AB183:AB188" si="179">(0*24)+0</f>
        <v>0</v>
      </c>
      <c r="AC183" s="33">
        <f>(0*24)+9</f>
        <v>9</v>
      </c>
      <c r="AD183" s="19"/>
      <c r="AE183" s="33">
        <f>120+6</f>
        <v>126</v>
      </c>
      <c r="AF183" s="19"/>
      <c r="AG183" s="19"/>
      <c r="AH183" s="19"/>
    </row>
    <row r="184" spans="1:34" ht="14" x14ac:dyDescent="0.2">
      <c r="A184" s="50">
        <v>45761</v>
      </c>
      <c r="B184" s="49">
        <v>4</v>
      </c>
      <c r="C184" s="49">
        <v>12</v>
      </c>
      <c r="D184" s="49">
        <v>12</v>
      </c>
      <c r="F184" s="33">
        <v>2</v>
      </c>
      <c r="G184" s="49">
        <v>12</v>
      </c>
      <c r="H184" s="49">
        <v>0</v>
      </c>
      <c r="J184" s="33">
        <v>4.7</v>
      </c>
      <c r="K184" s="33">
        <f t="shared" si="162"/>
        <v>7.1</v>
      </c>
      <c r="L184" s="49">
        <f>9.8+5.4</f>
        <v>15.200000000000001</v>
      </c>
      <c r="M184" s="21"/>
      <c r="N184" s="33">
        <v>2.8</v>
      </c>
      <c r="O184" s="49">
        <v>1</v>
      </c>
      <c r="P184" s="49">
        <v>2.2999999999999998</v>
      </c>
      <c r="Q184" s="21"/>
      <c r="R184" s="33">
        <v>1.9</v>
      </c>
      <c r="S184" s="49">
        <v>4</v>
      </c>
      <c r="T184" s="49">
        <v>2.2999999999999998</v>
      </c>
      <c r="U184" s="19"/>
      <c r="V184" s="33">
        <f>(0*28)+13</f>
        <v>13</v>
      </c>
      <c r="W184" s="33">
        <f t="shared" si="177"/>
        <v>92</v>
      </c>
      <c r="X184" s="33">
        <f t="shared" si="178"/>
        <v>91</v>
      </c>
      <c r="Y184" s="19"/>
      <c r="Z184" s="33">
        <f t="shared" si="160"/>
        <v>0</v>
      </c>
      <c r="AA184" s="33">
        <f t="shared" si="176"/>
        <v>0</v>
      </c>
      <c r="AB184" s="33">
        <f t="shared" si="179"/>
        <v>0</v>
      </c>
      <c r="AC184" s="33">
        <f>(0*24)+7</f>
        <v>7</v>
      </c>
      <c r="AD184" s="19"/>
      <c r="AE184" s="33">
        <f>72+41</f>
        <v>113</v>
      </c>
      <c r="AF184" s="19"/>
      <c r="AG184" s="19"/>
      <c r="AH184" s="19"/>
    </row>
    <row r="185" spans="1:34" ht="14" x14ac:dyDescent="0.2">
      <c r="A185" s="50">
        <v>45762</v>
      </c>
      <c r="B185" s="49">
        <v>3</v>
      </c>
      <c r="C185" s="49">
        <v>19</v>
      </c>
      <c r="D185" s="49">
        <v>0</v>
      </c>
      <c r="F185" s="33">
        <v>3.5</v>
      </c>
      <c r="G185" s="49">
        <v>15</v>
      </c>
      <c r="H185" s="49">
        <v>5</v>
      </c>
      <c r="J185" s="33">
        <v>0</v>
      </c>
      <c r="K185" s="33">
        <f t="shared" si="162"/>
        <v>5.8000000000000007</v>
      </c>
      <c r="L185" s="49">
        <f>7.3+2.1</f>
        <v>9.4</v>
      </c>
      <c r="M185" s="21"/>
      <c r="N185" s="33">
        <v>0</v>
      </c>
      <c r="O185" s="49">
        <v>4</v>
      </c>
      <c r="P185" s="49">
        <v>0.9</v>
      </c>
      <c r="Q185" s="21"/>
      <c r="R185" s="33">
        <v>0</v>
      </c>
      <c r="S185" s="49">
        <v>16</v>
      </c>
      <c r="T185" s="49">
        <v>0</v>
      </c>
      <c r="U185" s="19"/>
      <c r="V185" s="33">
        <f>(0*28)+9</f>
        <v>9</v>
      </c>
      <c r="W185" s="33">
        <f>(2*28)+35</f>
        <v>91</v>
      </c>
      <c r="X185" s="33">
        <f>(2*28)+33</f>
        <v>89</v>
      </c>
      <c r="Y185" s="19"/>
      <c r="Z185" s="33">
        <f t="shared" si="160"/>
        <v>0</v>
      </c>
      <c r="AA185" s="33">
        <f t="shared" si="176"/>
        <v>0</v>
      </c>
      <c r="AB185" s="33">
        <f t="shared" si="179"/>
        <v>0</v>
      </c>
      <c r="AC185" s="33">
        <f t="shared" ref="AC185:AC188" si="180">(0*24)+0</f>
        <v>0</v>
      </c>
      <c r="AD185" s="19"/>
      <c r="AE185" s="33">
        <f>24+55</f>
        <v>79</v>
      </c>
      <c r="AF185" s="19"/>
      <c r="AG185" s="19"/>
      <c r="AH185" s="19"/>
    </row>
    <row r="186" spans="1:34" ht="14" x14ac:dyDescent="0.2">
      <c r="A186" s="50">
        <v>45763</v>
      </c>
      <c r="B186" s="49">
        <v>4</v>
      </c>
      <c r="C186" s="49">
        <v>19</v>
      </c>
      <c r="D186" s="49">
        <v>5</v>
      </c>
      <c r="F186" s="33">
        <v>2</v>
      </c>
      <c r="G186" s="49">
        <v>12</v>
      </c>
      <c r="H186" s="49">
        <v>0</v>
      </c>
      <c r="J186" s="33">
        <v>8.5</v>
      </c>
      <c r="K186" s="33">
        <f t="shared" si="162"/>
        <v>5.0999999999999979</v>
      </c>
      <c r="L186" s="49">
        <f>8.4+4.4</f>
        <v>12.8</v>
      </c>
      <c r="M186" s="21"/>
      <c r="N186" s="33">
        <v>1.75</v>
      </c>
      <c r="O186" s="49">
        <v>4</v>
      </c>
      <c r="P186" s="49">
        <v>1.4</v>
      </c>
      <c r="Q186" s="21"/>
      <c r="R186" s="33">
        <v>2</v>
      </c>
      <c r="S186" s="49">
        <v>15</v>
      </c>
      <c r="T186" s="49">
        <v>0</v>
      </c>
      <c r="U186" s="19"/>
      <c r="V186" s="33">
        <f>(0*28)+6</f>
        <v>6</v>
      </c>
      <c r="W186" s="33">
        <f t="shared" ref="W186:W187" si="181">(2*28)+29</f>
        <v>85</v>
      </c>
      <c r="X186" s="33">
        <f>(2*28)+31</f>
        <v>87</v>
      </c>
      <c r="Y186" s="19"/>
      <c r="Z186" s="33">
        <f t="shared" si="160"/>
        <v>0</v>
      </c>
      <c r="AA186" s="33">
        <f t="shared" si="176"/>
        <v>0</v>
      </c>
      <c r="AB186" s="33">
        <f t="shared" si="179"/>
        <v>0</v>
      </c>
      <c r="AC186" s="33">
        <f t="shared" si="180"/>
        <v>0</v>
      </c>
      <c r="AD186" s="19"/>
      <c r="AE186" s="33">
        <f>24+30</f>
        <v>54</v>
      </c>
      <c r="AF186" s="19"/>
      <c r="AG186" s="19"/>
      <c r="AH186" s="19"/>
    </row>
    <row r="187" spans="1:34" ht="14" x14ac:dyDescent="0.2">
      <c r="A187" s="50">
        <v>45764</v>
      </c>
      <c r="B187" s="49">
        <v>3.5</v>
      </c>
      <c r="C187" s="49">
        <v>19</v>
      </c>
      <c r="D187" s="49">
        <v>2</v>
      </c>
      <c r="F187" s="33">
        <v>2</v>
      </c>
      <c r="G187" s="49">
        <v>7</v>
      </c>
      <c r="H187" s="49">
        <v>5</v>
      </c>
      <c r="J187" s="33">
        <v>5.7</v>
      </c>
      <c r="K187" s="33">
        <f t="shared" si="162"/>
        <v>6.4</v>
      </c>
      <c r="L187" s="49">
        <f>4.5+7.6</f>
        <v>12.1</v>
      </c>
      <c r="M187" s="21"/>
      <c r="N187" s="33">
        <v>1</v>
      </c>
      <c r="O187" s="49">
        <v>2</v>
      </c>
      <c r="P187" s="49">
        <v>1.4</v>
      </c>
      <c r="Q187" s="21"/>
      <c r="R187" s="33">
        <v>2</v>
      </c>
      <c r="S187" s="49">
        <v>11</v>
      </c>
      <c r="T187" s="49">
        <v>0.5</v>
      </c>
      <c r="U187" s="19"/>
      <c r="V187" s="33">
        <f>(0*28)+4</f>
        <v>4</v>
      </c>
      <c r="W187" s="33">
        <f t="shared" si="181"/>
        <v>85</v>
      </c>
      <c r="X187" s="33">
        <f>(2*28)+29</f>
        <v>85</v>
      </c>
      <c r="Y187" s="19"/>
      <c r="Z187" s="33">
        <f t="shared" si="160"/>
        <v>0</v>
      </c>
      <c r="AA187" s="33">
        <f t="shared" si="176"/>
        <v>0</v>
      </c>
      <c r="AB187" s="33">
        <f t="shared" si="179"/>
        <v>0</v>
      </c>
      <c r="AC187" s="33">
        <f t="shared" si="180"/>
        <v>0</v>
      </c>
      <c r="AD187" s="19"/>
      <c r="AE187" s="33">
        <f>24+16</f>
        <v>40</v>
      </c>
      <c r="AF187" s="19"/>
      <c r="AG187" s="19"/>
      <c r="AH187" s="19"/>
    </row>
    <row r="188" spans="1:34" ht="14" x14ac:dyDescent="0.2">
      <c r="A188" s="50">
        <v>45765</v>
      </c>
      <c r="B188" s="49">
        <v>6</v>
      </c>
      <c r="C188" s="49">
        <v>40</v>
      </c>
      <c r="D188" s="49">
        <v>0</v>
      </c>
      <c r="F188" s="33">
        <v>2</v>
      </c>
      <c r="G188" s="49">
        <v>14</v>
      </c>
      <c r="H188" s="49">
        <v>0</v>
      </c>
      <c r="J188" s="33">
        <v>6.8</v>
      </c>
      <c r="K188" s="33">
        <f t="shared" si="162"/>
        <v>7.1999999999999993</v>
      </c>
      <c r="L188" s="49">
        <f>6.4+5.3</f>
        <v>11.7</v>
      </c>
      <c r="M188" s="21"/>
      <c r="N188" s="33">
        <v>1</v>
      </c>
      <c r="O188" s="49">
        <v>7</v>
      </c>
      <c r="P188" s="49">
        <v>0</v>
      </c>
      <c r="Q188" s="21"/>
      <c r="R188" s="33">
        <v>2</v>
      </c>
      <c r="S188" s="49">
        <v>26</v>
      </c>
      <c r="T188" s="49">
        <v>0</v>
      </c>
      <c r="U188" s="19"/>
      <c r="V188" s="33">
        <f>(0*28)+1</f>
        <v>1</v>
      </c>
      <c r="W188" s="33">
        <f>(2*28)+27</f>
        <v>83</v>
      </c>
      <c r="X188" s="33">
        <f>(2*28)+17</f>
        <v>73</v>
      </c>
      <c r="Y188" s="19"/>
      <c r="Z188" s="33">
        <f t="shared" si="160"/>
        <v>0</v>
      </c>
      <c r="AA188" s="33">
        <f t="shared" si="176"/>
        <v>0</v>
      </c>
      <c r="AB188" s="33">
        <f t="shared" si="179"/>
        <v>0</v>
      </c>
      <c r="AC188" s="33">
        <f t="shared" si="180"/>
        <v>0</v>
      </c>
      <c r="AD188" s="19"/>
      <c r="AE188" s="33">
        <f>0+4</f>
        <v>4</v>
      </c>
      <c r="AF188" s="19"/>
      <c r="AG188" s="19"/>
      <c r="AH188" s="19"/>
    </row>
    <row r="189" spans="1:34" ht="14" x14ac:dyDescent="0.2">
      <c r="A189" s="50">
        <v>45766</v>
      </c>
      <c r="B189" s="49">
        <v>7.5</v>
      </c>
      <c r="C189" s="49">
        <v>42</v>
      </c>
      <c r="D189" s="49">
        <v>12</v>
      </c>
      <c r="F189" s="33">
        <v>2</v>
      </c>
      <c r="G189" s="49">
        <v>10</v>
      </c>
      <c r="H189" s="49">
        <v>2</v>
      </c>
      <c r="J189" s="33">
        <v>6.7</v>
      </c>
      <c r="K189" s="33">
        <f t="shared" si="162"/>
        <v>13.299999999999999</v>
      </c>
      <c r="L189" s="49">
        <v>5.0999999999999996</v>
      </c>
      <c r="M189" s="21"/>
      <c r="N189" s="33">
        <v>0.7</v>
      </c>
      <c r="O189" s="49">
        <v>2</v>
      </c>
      <c r="P189" s="49">
        <v>0</v>
      </c>
      <c r="Q189" s="21"/>
      <c r="R189" s="33">
        <v>2.5</v>
      </c>
      <c r="S189" s="49">
        <v>19</v>
      </c>
      <c r="T189" s="49">
        <v>0</v>
      </c>
      <c r="U189" s="19"/>
      <c r="V189" s="33"/>
      <c r="W189" s="49"/>
      <c r="X189" s="49"/>
      <c r="Y189" s="19"/>
      <c r="Z189" s="33"/>
      <c r="AA189" s="49"/>
      <c r="AB189" s="49"/>
      <c r="AC189" s="49"/>
      <c r="AD189" s="19"/>
      <c r="AE189" s="33">
        <f>(32*12)+31</f>
        <v>415</v>
      </c>
      <c r="AF189" s="19"/>
      <c r="AG189" s="19"/>
      <c r="AH189" s="19"/>
    </row>
    <row r="190" spans="1:34" ht="14" x14ac:dyDescent="0.2">
      <c r="A190" s="50">
        <v>45767</v>
      </c>
      <c r="B190" s="49">
        <v>7.5</v>
      </c>
      <c r="C190" s="49">
        <v>21</v>
      </c>
      <c r="D190" s="49">
        <v>20</v>
      </c>
      <c r="F190" s="33">
        <v>2.5</v>
      </c>
      <c r="G190" s="49">
        <v>11</v>
      </c>
      <c r="H190" s="49">
        <v>4</v>
      </c>
      <c r="J190" s="33">
        <v>5</v>
      </c>
      <c r="K190" s="33">
        <f t="shared" si="162"/>
        <v>5.6999999999999993</v>
      </c>
      <c r="L190" s="49">
        <v>4.4000000000000004</v>
      </c>
      <c r="M190" s="21"/>
      <c r="N190" s="33">
        <v>0.7</v>
      </c>
      <c r="O190" s="49">
        <v>2</v>
      </c>
      <c r="P190" s="49">
        <v>0.3</v>
      </c>
      <c r="Q190" s="21"/>
      <c r="R190" s="33">
        <v>3</v>
      </c>
      <c r="S190" s="49">
        <v>10</v>
      </c>
      <c r="T190" s="49">
        <v>1.8</v>
      </c>
      <c r="U190" s="19"/>
      <c r="V190" s="33"/>
      <c r="W190" s="49"/>
      <c r="X190" s="49"/>
      <c r="Y190" s="19"/>
      <c r="Z190" s="33"/>
      <c r="AA190" s="49"/>
      <c r="AB190" s="49"/>
      <c r="AC190" s="49"/>
      <c r="AD190" s="19"/>
      <c r="AE190" s="33">
        <f>(32*12)+52</f>
        <v>436</v>
      </c>
      <c r="AF190" s="19"/>
      <c r="AG190" s="19"/>
      <c r="AH190" s="19"/>
    </row>
    <row r="191" spans="1:34" ht="14" x14ac:dyDescent="0.2">
      <c r="A191" s="50">
        <v>45768</v>
      </c>
      <c r="B191" s="33">
        <v>0</v>
      </c>
      <c r="C191" s="33">
        <v>0</v>
      </c>
      <c r="D191" s="33">
        <v>0</v>
      </c>
      <c r="F191" s="33">
        <v>0</v>
      </c>
      <c r="G191" s="33">
        <v>0</v>
      </c>
      <c r="H191" s="33">
        <v>0</v>
      </c>
      <c r="J191" s="33">
        <v>0</v>
      </c>
      <c r="K191" s="33">
        <f t="shared" si="162"/>
        <v>0</v>
      </c>
      <c r="L191" s="49">
        <v>4.4000000000000004</v>
      </c>
      <c r="M191" s="21"/>
      <c r="N191" s="33">
        <v>0</v>
      </c>
      <c r="O191" s="33">
        <v>0</v>
      </c>
      <c r="P191" s="33">
        <v>0</v>
      </c>
      <c r="Q191" s="21"/>
      <c r="R191" s="33">
        <v>0</v>
      </c>
      <c r="S191" s="33">
        <v>0</v>
      </c>
      <c r="T191" s="33">
        <v>1.8</v>
      </c>
      <c r="U191" s="19"/>
      <c r="V191" s="33"/>
      <c r="W191" s="49"/>
      <c r="X191" s="49"/>
      <c r="Y191" s="19"/>
      <c r="Z191" s="33"/>
      <c r="AA191" s="49"/>
      <c r="AB191" s="49"/>
      <c r="AC191" s="49"/>
      <c r="AD191" s="19"/>
      <c r="AE191" s="33">
        <f>(40*12)+39</f>
        <v>519</v>
      </c>
      <c r="AF191" s="19"/>
      <c r="AG191" s="19"/>
      <c r="AH191" s="19"/>
    </row>
    <row r="192" spans="1:34" ht="14" x14ac:dyDescent="0.2">
      <c r="A192" s="50">
        <v>45769</v>
      </c>
      <c r="B192" s="49">
        <v>3</v>
      </c>
      <c r="C192" s="49">
        <v>28</v>
      </c>
      <c r="D192" s="49">
        <v>0</v>
      </c>
      <c r="F192" s="33">
        <v>3.5</v>
      </c>
      <c r="G192" s="49">
        <v>15</v>
      </c>
      <c r="H192" s="49">
        <v>6</v>
      </c>
      <c r="J192" s="33">
        <v>20.3</v>
      </c>
      <c r="K192" s="33">
        <f t="shared" si="162"/>
        <v>9.2000000000000028</v>
      </c>
      <c r="L192" s="49">
        <f>7.9+7.6</f>
        <v>15.5</v>
      </c>
      <c r="M192" s="21"/>
      <c r="N192" s="33">
        <v>1.5</v>
      </c>
      <c r="O192" s="49">
        <v>3.5</v>
      </c>
      <c r="P192" s="49">
        <v>0</v>
      </c>
      <c r="Q192" s="21"/>
      <c r="R192" s="33">
        <v>0</v>
      </c>
      <c r="S192" s="33">
        <v>14</v>
      </c>
      <c r="T192" s="33">
        <v>0</v>
      </c>
      <c r="U192" s="19"/>
      <c r="V192" s="33"/>
      <c r="W192" s="49"/>
      <c r="X192" s="49"/>
      <c r="Y192" s="19"/>
      <c r="Z192" s="33"/>
      <c r="AA192" s="49"/>
      <c r="AB192" s="49"/>
      <c r="AC192" s="49"/>
      <c r="AD192" s="19"/>
      <c r="AE192" s="33">
        <f>(36*12)+48</f>
        <v>480</v>
      </c>
      <c r="AF192" s="19"/>
      <c r="AG192" s="19"/>
      <c r="AH192" s="19"/>
    </row>
    <row r="193" spans="1:34" ht="14" x14ac:dyDescent="0.2">
      <c r="A193" s="50">
        <v>45770</v>
      </c>
      <c r="B193" s="49">
        <v>4</v>
      </c>
      <c r="C193" s="49">
        <v>23</v>
      </c>
      <c r="D193" s="49">
        <v>1</v>
      </c>
      <c r="F193" s="33">
        <v>2</v>
      </c>
      <c r="G193" s="49">
        <v>12</v>
      </c>
      <c r="H193" s="49">
        <v>0</v>
      </c>
      <c r="J193" s="33">
        <v>7.8</v>
      </c>
      <c r="K193" s="33">
        <f t="shared" si="162"/>
        <v>8.5</v>
      </c>
      <c r="L193" s="49">
        <v>14.8</v>
      </c>
      <c r="M193" s="21"/>
      <c r="N193" s="33">
        <v>1.5</v>
      </c>
      <c r="O193" s="49">
        <v>2.5</v>
      </c>
      <c r="P193" s="49">
        <v>0.7</v>
      </c>
      <c r="Q193" s="21"/>
      <c r="R193" s="33">
        <v>2</v>
      </c>
      <c r="S193" s="49">
        <v>12</v>
      </c>
      <c r="T193" s="49">
        <v>0.25</v>
      </c>
      <c r="U193" s="19"/>
      <c r="V193" s="33"/>
      <c r="W193" s="49"/>
      <c r="X193" s="49"/>
      <c r="Y193" s="19"/>
      <c r="Z193" s="33"/>
      <c r="AA193" s="49"/>
      <c r="AB193" s="49"/>
      <c r="AC193" s="49"/>
      <c r="AD193" s="19"/>
      <c r="AE193" s="33">
        <f>(36*12)+26</f>
        <v>458</v>
      </c>
      <c r="AF193" s="19"/>
      <c r="AG193" s="19"/>
      <c r="AH193" s="19"/>
    </row>
    <row r="194" spans="1:34" ht="14" x14ac:dyDescent="0.2">
      <c r="A194" s="50">
        <v>45771</v>
      </c>
      <c r="B194" s="49">
        <v>4.5</v>
      </c>
      <c r="C194" s="49">
        <v>21</v>
      </c>
      <c r="D194" s="49">
        <v>3</v>
      </c>
      <c r="F194" s="33">
        <v>2</v>
      </c>
      <c r="G194" s="49">
        <v>6</v>
      </c>
      <c r="H194" s="49">
        <v>6</v>
      </c>
      <c r="J194" s="33">
        <v>5</v>
      </c>
      <c r="K194" s="33">
        <f t="shared" si="162"/>
        <v>7.4</v>
      </c>
      <c r="L194" s="49">
        <v>12.4</v>
      </c>
      <c r="M194" s="21"/>
      <c r="N194" s="33">
        <v>2.2999999999999998</v>
      </c>
      <c r="O194" s="49">
        <v>4</v>
      </c>
      <c r="P194" s="49">
        <v>1.5</v>
      </c>
      <c r="Q194" s="21"/>
      <c r="R194" s="33">
        <v>2</v>
      </c>
      <c r="S194" s="49">
        <v>7.5</v>
      </c>
      <c r="T194" s="49">
        <v>2</v>
      </c>
      <c r="U194" s="19"/>
      <c r="V194" s="33"/>
      <c r="W194" s="49"/>
      <c r="X194" s="49"/>
      <c r="Y194" s="19"/>
      <c r="Z194" s="33"/>
      <c r="AA194" s="49"/>
      <c r="AB194" s="49"/>
      <c r="AC194" s="49"/>
      <c r="AD194" s="19"/>
      <c r="AE194" s="33">
        <f>(34*12)+32</f>
        <v>440</v>
      </c>
      <c r="AF194" s="19"/>
      <c r="AG194" s="19"/>
      <c r="AH194" s="19"/>
    </row>
    <row r="195" spans="1:34" ht="14" x14ac:dyDescent="0.2">
      <c r="A195" s="50">
        <v>45772</v>
      </c>
      <c r="B195" s="49">
        <v>4.5</v>
      </c>
      <c r="C195" s="49">
        <v>24</v>
      </c>
      <c r="D195" s="49">
        <v>3</v>
      </c>
      <c r="F195" s="33">
        <v>4.7</v>
      </c>
      <c r="G195" s="49">
        <v>22</v>
      </c>
      <c r="H195" s="49">
        <v>6</v>
      </c>
      <c r="J195" s="33">
        <v>5.5</v>
      </c>
      <c r="K195" s="33">
        <f t="shared" si="162"/>
        <v>10.599999999999998</v>
      </c>
      <c r="L195" s="49">
        <v>7.3</v>
      </c>
      <c r="M195" s="21"/>
      <c r="N195" s="33">
        <v>1</v>
      </c>
      <c r="O195" s="49">
        <v>8</v>
      </c>
      <c r="P195" s="49">
        <v>0</v>
      </c>
      <c r="Q195" s="21"/>
      <c r="R195" s="33">
        <v>1</v>
      </c>
      <c r="S195" s="49">
        <v>14</v>
      </c>
      <c r="T195" s="49">
        <v>0.9</v>
      </c>
      <c r="U195" s="19"/>
      <c r="V195" s="33"/>
      <c r="W195" s="49"/>
      <c r="X195" s="49"/>
      <c r="Y195" s="19"/>
      <c r="Z195" s="33"/>
      <c r="AA195" s="49"/>
      <c r="AB195" s="49"/>
      <c r="AC195" s="49"/>
      <c r="AD195" s="19"/>
      <c r="AE195" s="33">
        <f>(31*12)+24</f>
        <v>396</v>
      </c>
      <c r="AF195" s="19"/>
      <c r="AG195" s="19"/>
      <c r="AH195" s="19"/>
    </row>
    <row r="196" spans="1:34" ht="14" x14ac:dyDescent="0.2">
      <c r="A196" s="50">
        <v>45773</v>
      </c>
      <c r="B196" s="49">
        <v>4.5</v>
      </c>
      <c r="C196" s="49">
        <v>25</v>
      </c>
      <c r="D196" s="49">
        <v>0</v>
      </c>
      <c r="F196" s="33">
        <v>2</v>
      </c>
      <c r="G196" s="49">
        <v>12</v>
      </c>
      <c r="H196" s="49">
        <v>0</v>
      </c>
      <c r="J196" s="33">
        <v>9</v>
      </c>
      <c r="K196" s="33">
        <f t="shared" si="162"/>
        <v>3.1000000000000014</v>
      </c>
      <c r="L196" s="49">
        <v>13.2</v>
      </c>
      <c r="M196" s="21"/>
      <c r="N196" s="33">
        <v>1.1000000000000001</v>
      </c>
      <c r="O196" s="49">
        <v>4</v>
      </c>
      <c r="P196" s="49">
        <v>0</v>
      </c>
      <c r="Q196" s="21"/>
      <c r="R196" s="33">
        <v>2</v>
      </c>
      <c r="S196" s="49">
        <v>14</v>
      </c>
      <c r="T196" s="49">
        <v>1.5</v>
      </c>
      <c r="U196" s="19"/>
      <c r="V196" s="33"/>
      <c r="W196" s="49"/>
      <c r="X196" s="49"/>
      <c r="Y196" s="19"/>
      <c r="Z196" s="33"/>
      <c r="AA196" s="49"/>
      <c r="AB196" s="49"/>
      <c r="AC196" s="49"/>
      <c r="AD196" s="19"/>
      <c r="AE196" s="33">
        <f>(26*12)+43</f>
        <v>355</v>
      </c>
      <c r="AF196" s="19"/>
      <c r="AG196" s="19"/>
      <c r="AH196" s="19"/>
    </row>
    <row r="197" spans="1:34" ht="14" x14ac:dyDescent="0.2">
      <c r="A197" s="50">
        <v>45774</v>
      </c>
      <c r="B197" s="49">
        <v>7</v>
      </c>
      <c r="C197" s="49">
        <v>33</v>
      </c>
      <c r="D197" s="49">
        <v>0</v>
      </c>
      <c r="F197" s="33">
        <v>2.5</v>
      </c>
      <c r="G197" s="49">
        <v>15</v>
      </c>
      <c r="H197" s="49">
        <v>0</v>
      </c>
      <c r="J197" s="33">
        <v>6.7</v>
      </c>
      <c r="K197" s="33">
        <f t="shared" si="162"/>
        <v>7.9999999999999982</v>
      </c>
      <c r="L197" s="49">
        <v>11.9</v>
      </c>
      <c r="M197" s="21"/>
      <c r="N197" s="33">
        <v>2</v>
      </c>
      <c r="O197" s="49">
        <v>5</v>
      </c>
      <c r="P197" s="49">
        <v>0.6</v>
      </c>
      <c r="Q197" s="21"/>
      <c r="R197" s="33">
        <v>1</v>
      </c>
      <c r="S197" s="49">
        <v>17</v>
      </c>
      <c r="T197" s="49">
        <v>0</v>
      </c>
      <c r="U197" s="19"/>
      <c r="V197" s="33"/>
      <c r="W197" s="49"/>
      <c r="X197" s="49"/>
      <c r="Y197" s="19"/>
      <c r="Z197" s="33"/>
      <c r="AA197" s="49"/>
      <c r="AB197" s="49"/>
      <c r="AC197" s="49"/>
      <c r="AD197" s="19"/>
      <c r="AE197" s="33">
        <f>(24*12)+36</f>
        <v>324</v>
      </c>
      <c r="AF197" s="19"/>
      <c r="AG197" s="19"/>
      <c r="AH197" s="19"/>
    </row>
    <row r="198" spans="1:34" ht="14" x14ac:dyDescent="0.2">
      <c r="A198" s="50">
        <v>45775</v>
      </c>
      <c r="B198" s="49">
        <v>7</v>
      </c>
      <c r="C198" s="49">
        <v>48</v>
      </c>
      <c r="D198" s="49">
        <v>0</v>
      </c>
      <c r="F198" s="33">
        <v>2</v>
      </c>
      <c r="G198" s="49">
        <v>13</v>
      </c>
      <c r="H198" s="49">
        <v>0</v>
      </c>
      <c r="J198" s="33">
        <v>6.3</v>
      </c>
      <c r="K198" s="33">
        <f t="shared" si="162"/>
        <v>7.7999999999999989</v>
      </c>
      <c r="L198" s="49">
        <v>10.4</v>
      </c>
      <c r="M198" s="21"/>
      <c r="N198" s="33">
        <v>1.6</v>
      </c>
      <c r="O198" s="49">
        <v>7</v>
      </c>
      <c r="P198" s="49">
        <v>0</v>
      </c>
      <c r="Q198" s="21"/>
      <c r="R198" s="33">
        <v>2</v>
      </c>
      <c r="S198" s="49">
        <v>18</v>
      </c>
      <c r="T198" s="49">
        <v>0</v>
      </c>
      <c r="U198" s="19"/>
      <c r="V198" s="33"/>
      <c r="W198" s="49"/>
      <c r="X198" s="49"/>
      <c r="Y198" s="19"/>
      <c r="Z198" s="33"/>
      <c r="AA198" s="49"/>
      <c r="AB198" s="49"/>
      <c r="AC198" s="49"/>
      <c r="AD198" s="19"/>
      <c r="AE198" s="33">
        <f>(20*12)+65</f>
        <v>305</v>
      </c>
      <c r="AF198" s="19"/>
      <c r="AG198" s="19"/>
      <c r="AH198" s="19"/>
    </row>
    <row r="199" spans="1:34" ht="14" x14ac:dyDescent="0.2">
      <c r="A199" s="50">
        <v>45776</v>
      </c>
      <c r="B199" s="49">
        <v>4</v>
      </c>
      <c r="C199" s="49">
        <v>19</v>
      </c>
      <c r="D199" s="49">
        <v>5</v>
      </c>
      <c r="F199" s="33">
        <v>2</v>
      </c>
      <c r="G199" s="49">
        <v>11</v>
      </c>
      <c r="H199" s="49">
        <v>1</v>
      </c>
      <c r="J199" s="33">
        <v>16.3</v>
      </c>
      <c r="K199" s="33">
        <f t="shared" si="162"/>
        <v>9.9000000000000021</v>
      </c>
      <c r="L199" s="49">
        <v>16.8</v>
      </c>
      <c r="M199" s="21"/>
      <c r="N199" s="33">
        <v>1.5</v>
      </c>
      <c r="O199" s="49">
        <v>4</v>
      </c>
      <c r="P199" s="49">
        <v>0.5</v>
      </c>
      <c r="Q199" s="21"/>
      <c r="R199" s="33">
        <v>2</v>
      </c>
      <c r="S199" s="49">
        <v>9</v>
      </c>
      <c r="T199" s="49">
        <v>0.8</v>
      </c>
      <c r="U199" s="19"/>
      <c r="V199" s="33"/>
      <c r="W199" s="49"/>
      <c r="X199" s="49"/>
      <c r="Y199" s="19"/>
      <c r="Z199" s="33"/>
      <c r="AA199" s="49"/>
      <c r="AB199" s="49"/>
      <c r="AC199" s="49"/>
      <c r="AD199" s="19"/>
      <c r="AE199" s="33">
        <f>(20*12)+42</f>
        <v>282</v>
      </c>
      <c r="AF199" s="19"/>
      <c r="AG199" s="19"/>
      <c r="AH199" s="19"/>
    </row>
    <row r="200" spans="1:34" ht="14" x14ac:dyDescent="0.2">
      <c r="A200" s="50">
        <v>45777</v>
      </c>
      <c r="B200" s="49">
        <v>4.5</v>
      </c>
      <c r="C200" s="49">
        <v>29</v>
      </c>
      <c r="D200" s="49">
        <v>0</v>
      </c>
      <c r="F200" s="33">
        <v>2</v>
      </c>
      <c r="G200" s="49">
        <v>4</v>
      </c>
      <c r="H200" s="49">
        <v>8</v>
      </c>
      <c r="J200" s="33">
        <v>4.8</v>
      </c>
      <c r="K200" s="33">
        <f t="shared" si="162"/>
        <v>4</v>
      </c>
      <c r="L200" s="49">
        <v>17.600000000000001</v>
      </c>
      <c r="M200" s="21"/>
      <c r="N200" s="33">
        <v>1.25</v>
      </c>
      <c r="O200" s="49">
        <v>2.5</v>
      </c>
      <c r="P200" s="49">
        <v>1</v>
      </c>
      <c r="Q200" s="21"/>
      <c r="R200" s="33">
        <v>2</v>
      </c>
      <c r="S200" s="49">
        <v>21</v>
      </c>
      <c r="T200" s="49">
        <v>0</v>
      </c>
      <c r="U200" s="19"/>
      <c r="V200" s="33"/>
      <c r="W200" s="49"/>
      <c r="X200" s="49"/>
      <c r="Y200" s="19"/>
      <c r="Z200" s="33"/>
      <c r="AA200" s="49"/>
      <c r="AB200" s="49"/>
      <c r="AC200" s="49"/>
      <c r="AD200" s="19"/>
      <c r="AE200" s="33"/>
      <c r="AF200" s="19"/>
      <c r="AG200" s="19"/>
      <c r="AH200" s="19"/>
    </row>
    <row r="201" spans="1:34" ht="14" x14ac:dyDescent="0.2">
      <c r="A201" s="4" t="s">
        <v>0</v>
      </c>
      <c r="B201" s="52">
        <f t="shared" ref="B201:D201" si="182">SUM(B171:B200)</f>
        <v>138</v>
      </c>
      <c r="C201" s="52">
        <f t="shared" si="182"/>
        <v>734</v>
      </c>
      <c r="D201" s="52">
        <f t="shared" si="182"/>
        <v>124</v>
      </c>
      <c r="F201" s="52">
        <f t="shared" ref="F201:H201" si="183">SUM(F171:F200)</f>
        <v>68</v>
      </c>
      <c r="G201" s="52">
        <f t="shared" si="183"/>
        <v>341</v>
      </c>
      <c r="H201" s="52">
        <f t="shared" si="183"/>
        <v>72</v>
      </c>
      <c r="J201" s="52">
        <f t="shared" ref="J201:K201" si="184">SUM(J171:J200)</f>
        <v>242.60000000000002</v>
      </c>
      <c r="K201" s="52">
        <f t="shared" si="184"/>
        <v>225</v>
      </c>
      <c r="L201" s="4"/>
      <c r="N201" s="52">
        <f t="shared" ref="N201:O201" si="185">SUM(N171:N200)</f>
        <v>32.800000000000004</v>
      </c>
      <c r="O201" s="52">
        <f t="shared" si="185"/>
        <v>105</v>
      </c>
      <c r="P201" s="4"/>
      <c r="R201" s="52">
        <f t="shared" ref="R201:S201" si="186">SUM(R171:R200)</f>
        <v>46.3</v>
      </c>
      <c r="S201" s="52">
        <f t="shared" si="186"/>
        <v>405.5</v>
      </c>
      <c r="T201" s="4"/>
    </row>
    <row r="202" spans="1:34" ht="14" x14ac:dyDescent="0.2">
      <c r="A202" s="55"/>
      <c r="B202" s="19"/>
      <c r="C202" s="19"/>
      <c r="D202" s="19"/>
      <c r="F202" s="19"/>
      <c r="G202" s="19"/>
      <c r="H202" s="19"/>
      <c r="J202" s="19"/>
      <c r="K202" s="19"/>
      <c r="L202" s="19"/>
      <c r="M202" s="21"/>
      <c r="N202" s="19"/>
      <c r="O202" s="19"/>
      <c r="P202" s="19"/>
      <c r="Q202" s="21"/>
      <c r="R202" s="19"/>
      <c r="S202" s="19"/>
      <c r="T202" s="19"/>
      <c r="U202" s="19"/>
      <c r="V202" s="19"/>
      <c r="W202" s="19"/>
      <c r="X202" s="19"/>
      <c r="Y202" s="19"/>
      <c r="Z202" s="19"/>
      <c r="AA202" s="19"/>
      <c r="AB202" s="19"/>
      <c r="AC202" s="19"/>
      <c r="AD202" s="19"/>
      <c r="AE202" s="19"/>
      <c r="AF202" s="19"/>
      <c r="AG202" s="19"/>
      <c r="AH202" s="19"/>
    </row>
    <row r="203" spans="1:34" ht="14" x14ac:dyDescent="0.2">
      <c r="A203" s="55"/>
      <c r="B203" s="19"/>
      <c r="C203" s="19"/>
      <c r="D203" s="19"/>
      <c r="F203" s="19"/>
      <c r="G203" s="19"/>
      <c r="H203" s="19"/>
      <c r="J203" s="19"/>
      <c r="K203" s="19"/>
      <c r="L203" s="19"/>
      <c r="M203" s="21"/>
      <c r="N203" s="19"/>
      <c r="O203" s="19"/>
      <c r="P203" s="19"/>
      <c r="Q203" s="21"/>
      <c r="R203" s="19"/>
      <c r="S203" s="19"/>
      <c r="T203" s="19"/>
      <c r="U203" s="19"/>
      <c r="V203" s="19"/>
      <c r="W203" s="19"/>
      <c r="X203" s="19"/>
      <c r="Y203" s="19"/>
      <c r="Z203" s="19"/>
      <c r="AA203" s="19"/>
      <c r="AB203" s="19"/>
      <c r="AC203" s="19"/>
      <c r="AD203" s="19"/>
      <c r="AE203" s="19"/>
    </row>
    <row r="204" spans="1:34" ht="14" x14ac:dyDescent="0.2">
      <c r="A204" s="47">
        <v>45717</v>
      </c>
      <c r="B204" s="33"/>
      <c r="C204" s="33"/>
      <c r="D204" s="33"/>
      <c r="F204" s="33"/>
      <c r="G204" s="33"/>
      <c r="H204" s="33"/>
      <c r="J204" s="33"/>
      <c r="K204" s="33"/>
      <c r="L204" s="33"/>
      <c r="N204" s="33"/>
      <c r="O204" s="33"/>
      <c r="P204" s="33"/>
      <c r="R204" s="33"/>
      <c r="S204" s="33"/>
      <c r="T204" s="33"/>
      <c r="V204" s="33"/>
      <c r="W204" s="33"/>
      <c r="X204" s="33"/>
      <c r="Z204" s="33"/>
      <c r="AA204" s="33"/>
      <c r="AB204" s="33"/>
      <c r="AC204" s="33"/>
      <c r="AE204" s="33"/>
    </row>
    <row r="205" spans="1:34" ht="14" x14ac:dyDescent="0.2">
      <c r="A205" s="50">
        <v>45718</v>
      </c>
      <c r="B205" s="49"/>
      <c r="C205" s="49"/>
      <c r="D205" s="49"/>
      <c r="F205" s="33"/>
      <c r="G205" s="49"/>
      <c r="H205" s="49"/>
      <c r="J205" s="33"/>
      <c r="K205" s="49"/>
      <c r="L205" s="49"/>
      <c r="M205" s="21"/>
      <c r="N205" s="33"/>
      <c r="O205" s="49"/>
      <c r="P205" s="49"/>
      <c r="Q205" s="21"/>
      <c r="R205" s="33"/>
      <c r="S205" s="49"/>
      <c r="T205" s="49"/>
      <c r="U205" s="19"/>
      <c r="V205" s="33"/>
      <c r="W205" s="33"/>
      <c r="X205" s="33"/>
      <c r="Y205" s="19"/>
      <c r="Z205" s="33"/>
      <c r="AA205" s="33"/>
      <c r="AB205" s="33"/>
      <c r="AC205" s="33"/>
      <c r="AD205" s="19"/>
      <c r="AE205" s="33"/>
      <c r="AF205" s="19"/>
      <c r="AG205" s="19"/>
      <c r="AH205" s="19"/>
    </row>
    <row r="206" spans="1:34" ht="14" x14ac:dyDescent="0.2">
      <c r="A206" s="50">
        <v>45719</v>
      </c>
      <c r="B206" s="49">
        <v>4</v>
      </c>
      <c r="C206" s="49">
        <v>19</v>
      </c>
      <c r="D206" s="49">
        <v>5</v>
      </c>
      <c r="F206" s="33">
        <v>2</v>
      </c>
      <c r="G206" s="49">
        <v>7</v>
      </c>
      <c r="H206" s="49">
        <v>5</v>
      </c>
      <c r="J206" s="33">
        <v>0</v>
      </c>
      <c r="K206" s="33">
        <f>J206+L205+3.1</f>
        <v>3.1</v>
      </c>
      <c r="L206" s="49">
        <v>5.0999999999999996</v>
      </c>
      <c r="M206" s="21"/>
      <c r="N206" s="33">
        <v>1.8</v>
      </c>
      <c r="O206" s="49">
        <v>1</v>
      </c>
      <c r="P206" s="49">
        <v>3</v>
      </c>
      <c r="Q206" s="21"/>
      <c r="R206" s="33">
        <v>1</v>
      </c>
      <c r="S206" s="49">
        <v>6</v>
      </c>
      <c r="T206" s="49">
        <v>2</v>
      </c>
      <c r="U206" s="19"/>
      <c r="V206" s="33">
        <f>(1*28)+41</f>
        <v>69</v>
      </c>
      <c r="W206" s="33">
        <f t="shared" ref="W206:W207" si="187">(3*28)+18</f>
        <v>102</v>
      </c>
      <c r="X206" s="33">
        <f t="shared" ref="X206:X207" si="188">(4*28)+33</f>
        <v>145</v>
      </c>
      <c r="Y206" s="19"/>
      <c r="Z206" s="33">
        <f>(0*28)+22</f>
        <v>22</v>
      </c>
      <c r="AA206" s="33">
        <f t="shared" ref="AA206:AA208" si="189">(0*28)+0</f>
        <v>0</v>
      </c>
      <c r="AB206" s="33">
        <f>(0*28)+9</f>
        <v>9</v>
      </c>
      <c r="AC206" s="33">
        <f>(1*28)+13</f>
        <v>41</v>
      </c>
      <c r="AD206" s="19"/>
      <c r="AE206" s="33">
        <f>444+35</f>
        <v>479</v>
      </c>
      <c r="AF206" s="19"/>
      <c r="AG206" s="19"/>
      <c r="AH206" s="19"/>
    </row>
    <row r="207" spans="1:34" ht="14" x14ac:dyDescent="0.2">
      <c r="A207" s="50">
        <v>45720</v>
      </c>
      <c r="B207" s="49">
        <v>3</v>
      </c>
      <c r="C207" s="49">
        <v>13</v>
      </c>
      <c r="D207" s="49">
        <v>5</v>
      </c>
      <c r="F207" s="33">
        <v>2</v>
      </c>
      <c r="G207" s="49">
        <v>5</v>
      </c>
      <c r="H207" s="49">
        <v>7</v>
      </c>
      <c r="J207" s="33">
        <v>11.5</v>
      </c>
      <c r="K207" s="33">
        <f t="shared" ref="K207:K234" si="190">J207+L206-L207</f>
        <v>6.5000000000000018</v>
      </c>
      <c r="L207" s="49">
        <f>3.4+6.7</f>
        <v>10.1</v>
      </c>
      <c r="M207" s="21"/>
      <c r="N207" s="33">
        <v>0</v>
      </c>
      <c r="O207" s="49">
        <v>3</v>
      </c>
      <c r="P207" s="49">
        <v>2.1</v>
      </c>
      <c r="Q207" s="21"/>
      <c r="R207" s="33">
        <v>0</v>
      </c>
      <c r="S207" s="49">
        <v>7</v>
      </c>
      <c r="T207" s="49">
        <v>1.4</v>
      </c>
      <c r="U207" s="19"/>
      <c r="V207" s="33">
        <f>(1*28)+35</f>
        <v>63</v>
      </c>
      <c r="W207" s="33">
        <f t="shared" si="187"/>
        <v>102</v>
      </c>
      <c r="X207" s="33">
        <f t="shared" si="188"/>
        <v>145</v>
      </c>
      <c r="Y207" s="19"/>
      <c r="Z207" s="33">
        <f t="shared" ref="Z207:Z208" si="191">(0*28)+20</f>
        <v>20</v>
      </c>
      <c r="AA207" s="33">
        <f t="shared" si="189"/>
        <v>0</v>
      </c>
      <c r="AB207" s="33">
        <f>(0*28)+7</f>
        <v>7</v>
      </c>
      <c r="AC207" s="33">
        <f t="shared" ref="AC207:AC208" si="192">(1*28)+10</f>
        <v>38</v>
      </c>
      <c r="AD207" s="19"/>
      <c r="AE207" s="33">
        <f>444+21</f>
        <v>465</v>
      </c>
      <c r="AF207" s="19"/>
      <c r="AG207" s="19"/>
      <c r="AH207" s="19"/>
    </row>
    <row r="208" spans="1:34" ht="14" x14ac:dyDescent="0.2">
      <c r="A208" s="50">
        <v>45721</v>
      </c>
      <c r="B208" s="49">
        <v>3</v>
      </c>
      <c r="C208" s="49">
        <v>7</v>
      </c>
      <c r="D208" s="49">
        <v>11</v>
      </c>
      <c r="F208" s="33">
        <v>2</v>
      </c>
      <c r="G208" s="49">
        <v>10</v>
      </c>
      <c r="H208" s="49">
        <v>2</v>
      </c>
      <c r="J208" s="33">
        <v>15.7</v>
      </c>
      <c r="K208" s="33">
        <f t="shared" si="190"/>
        <v>6.0999999999999979</v>
      </c>
      <c r="L208" s="49">
        <f>8.7+11</f>
        <v>19.7</v>
      </c>
      <c r="M208" s="21"/>
      <c r="N208" s="33">
        <v>0</v>
      </c>
      <c r="O208" s="49">
        <v>2</v>
      </c>
      <c r="P208" s="49">
        <v>1.8</v>
      </c>
      <c r="Q208" s="21"/>
      <c r="R208" s="33">
        <v>1</v>
      </c>
      <c r="S208" s="49">
        <v>8</v>
      </c>
      <c r="T208" s="49">
        <v>2</v>
      </c>
      <c r="U208" s="19"/>
      <c r="V208" s="33">
        <f>(1*28)+28</f>
        <v>56</v>
      </c>
      <c r="W208" s="33">
        <f>(3*28)+13</f>
        <v>97</v>
      </c>
      <c r="X208" s="33">
        <f>(4*28)+32</f>
        <v>144</v>
      </c>
      <c r="Y208" s="19"/>
      <c r="Z208" s="33">
        <f t="shared" si="191"/>
        <v>20</v>
      </c>
      <c r="AA208" s="33">
        <f t="shared" si="189"/>
        <v>0</v>
      </c>
      <c r="AB208" s="33">
        <f>(0*28)+6</f>
        <v>6</v>
      </c>
      <c r="AC208" s="33">
        <f t="shared" si="192"/>
        <v>38</v>
      </c>
      <c r="AD208" s="19"/>
      <c r="AE208" s="33">
        <f>444+11</f>
        <v>455</v>
      </c>
      <c r="AF208" s="19"/>
      <c r="AG208" s="19"/>
      <c r="AH208" s="19"/>
    </row>
    <row r="209" spans="1:34" ht="14" x14ac:dyDescent="0.2">
      <c r="A209" s="50">
        <v>45722</v>
      </c>
      <c r="B209" s="49">
        <v>0</v>
      </c>
      <c r="C209" s="49">
        <v>0</v>
      </c>
      <c r="D209" s="49">
        <v>0</v>
      </c>
      <c r="F209" s="33">
        <v>0</v>
      </c>
      <c r="G209" s="49">
        <v>0</v>
      </c>
      <c r="H209" s="49">
        <v>0</v>
      </c>
      <c r="J209" s="33">
        <v>0</v>
      </c>
      <c r="K209" s="33">
        <f t="shared" si="190"/>
        <v>19.7</v>
      </c>
      <c r="L209" s="49">
        <v>0</v>
      </c>
      <c r="M209" s="21"/>
      <c r="N209" s="33">
        <v>0</v>
      </c>
      <c r="O209" s="49">
        <v>0</v>
      </c>
      <c r="P209" s="49">
        <v>0</v>
      </c>
      <c r="Q209" s="21"/>
      <c r="R209" s="33">
        <v>0</v>
      </c>
      <c r="S209" s="49">
        <v>0</v>
      </c>
      <c r="T209" s="49">
        <v>0</v>
      </c>
      <c r="U209" s="19"/>
      <c r="V209" s="33">
        <v>0</v>
      </c>
      <c r="W209" s="33">
        <v>0</v>
      </c>
      <c r="X209" s="33">
        <v>0</v>
      </c>
      <c r="Y209" s="19"/>
      <c r="Z209" s="33">
        <v>0</v>
      </c>
      <c r="AA209" s="33">
        <v>0</v>
      </c>
      <c r="AB209" s="33">
        <v>0</v>
      </c>
      <c r="AC209" s="33">
        <v>0</v>
      </c>
      <c r="AD209" s="19"/>
      <c r="AE209" s="33">
        <v>0</v>
      </c>
      <c r="AF209" s="19"/>
      <c r="AG209" s="19"/>
      <c r="AH209" s="19"/>
    </row>
    <row r="210" spans="1:34" ht="14" x14ac:dyDescent="0.2">
      <c r="A210" s="50">
        <v>45723</v>
      </c>
      <c r="B210" s="49">
        <v>3.5</v>
      </c>
      <c r="C210" s="49">
        <v>16</v>
      </c>
      <c r="D210" s="49">
        <v>5</v>
      </c>
      <c r="F210" s="33">
        <v>2</v>
      </c>
      <c r="G210" s="49">
        <v>3</v>
      </c>
      <c r="H210" s="49">
        <v>9</v>
      </c>
      <c r="J210" s="33">
        <v>0</v>
      </c>
      <c r="K210" s="33">
        <f t="shared" si="190"/>
        <v>-13</v>
      </c>
      <c r="L210" s="49">
        <v>13</v>
      </c>
      <c r="M210" s="21"/>
      <c r="N210" s="33">
        <v>0</v>
      </c>
      <c r="O210" s="49">
        <v>4</v>
      </c>
      <c r="P210" s="49">
        <v>0.9</v>
      </c>
      <c r="Q210" s="21"/>
      <c r="R210" s="33">
        <v>0</v>
      </c>
      <c r="S210" s="49">
        <v>6</v>
      </c>
      <c r="T210" s="49">
        <v>1.2</v>
      </c>
      <c r="U210" s="19"/>
      <c r="V210" s="33">
        <f>(1*28)+28</f>
        <v>56</v>
      </c>
      <c r="W210" s="33">
        <f t="shared" ref="W210:W212" si="193">(3*28)+13</f>
        <v>97</v>
      </c>
      <c r="X210" s="33">
        <f t="shared" ref="X210:X213" si="194">(4*28)+32</f>
        <v>144</v>
      </c>
      <c r="Y210" s="19"/>
      <c r="Z210" s="33">
        <f>(0*28)+20</f>
        <v>20</v>
      </c>
      <c r="AA210" s="33">
        <f t="shared" ref="AA210:AA218" si="195">(0*28)+0</f>
        <v>0</v>
      </c>
      <c r="AB210" s="33">
        <f t="shared" ref="AB210:AB218" si="196">(0*28)+6</f>
        <v>6</v>
      </c>
      <c r="AC210" s="33">
        <f t="shared" ref="AC210:AC213" si="197">(1*28)+10</f>
        <v>38</v>
      </c>
      <c r="AD210" s="19"/>
      <c r="AE210" s="33">
        <f>444+11</f>
        <v>455</v>
      </c>
      <c r="AF210" s="19"/>
      <c r="AG210" s="19"/>
      <c r="AH210" s="19"/>
    </row>
    <row r="211" spans="1:34" ht="14" x14ac:dyDescent="0.2">
      <c r="A211" s="50">
        <v>45724</v>
      </c>
      <c r="B211" s="49">
        <v>3.5</v>
      </c>
      <c r="C211" s="49">
        <v>26</v>
      </c>
      <c r="D211" s="49">
        <v>0</v>
      </c>
      <c r="F211" s="33">
        <v>2</v>
      </c>
      <c r="G211" s="49">
        <v>6</v>
      </c>
      <c r="H211" s="49">
        <v>6</v>
      </c>
      <c r="J211" s="33">
        <v>5.8</v>
      </c>
      <c r="K211" s="33">
        <f t="shared" si="190"/>
        <v>5.1000000000000014</v>
      </c>
      <c r="L211" s="49">
        <f>4.7+9</f>
        <v>13.7</v>
      </c>
      <c r="M211" s="21"/>
      <c r="N211" s="33">
        <v>1</v>
      </c>
      <c r="O211" s="49">
        <v>4</v>
      </c>
      <c r="P211" s="49">
        <v>0.2</v>
      </c>
      <c r="Q211" s="21"/>
      <c r="R211" s="33">
        <v>1.1000000000000001</v>
      </c>
      <c r="S211" s="49">
        <v>7</v>
      </c>
      <c r="T211" s="49">
        <v>1.9</v>
      </c>
      <c r="U211" s="19"/>
      <c r="V211" s="33">
        <f>(1*28)+23</f>
        <v>51</v>
      </c>
      <c r="W211" s="33">
        <f t="shared" si="193"/>
        <v>97</v>
      </c>
      <c r="X211" s="33">
        <f t="shared" si="194"/>
        <v>144</v>
      </c>
      <c r="Y211" s="19"/>
      <c r="Z211" s="33">
        <f>(0*28)+18</f>
        <v>18</v>
      </c>
      <c r="AA211" s="33">
        <f t="shared" si="195"/>
        <v>0</v>
      </c>
      <c r="AB211" s="33">
        <f t="shared" si="196"/>
        <v>6</v>
      </c>
      <c r="AC211" s="33">
        <f t="shared" si="197"/>
        <v>38</v>
      </c>
      <c r="AD211" s="19"/>
      <c r="AE211" s="33">
        <f>408+12</f>
        <v>420</v>
      </c>
      <c r="AF211" s="19"/>
      <c r="AG211" s="19"/>
      <c r="AH211" s="19"/>
    </row>
    <row r="212" spans="1:34" ht="14" x14ac:dyDescent="0.2">
      <c r="A212" s="50">
        <v>45725</v>
      </c>
      <c r="B212" s="49">
        <v>6</v>
      </c>
      <c r="C212" s="49">
        <v>30</v>
      </c>
      <c r="D212" s="49">
        <v>6</v>
      </c>
      <c r="F212" s="33">
        <v>2.5</v>
      </c>
      <c r="G212" s="49">
        <v>10</v>
      </c>
      <c r="H212" s="49">
        <v>5</v>
      </c>
      <c r="J212" s="33">
        <v>5.4</v>
      </c>
      <c r="K212" s="33">
        <f t="shared" si="190"/>
        <v>8.3000000000000007</v>
      </c>
      <c r="L212" s="49">
        <f>6.8+4</f>
        <v>10.8</v>
      </c>
      <c r="M212" s="21"/>
      <c r="N212" s="33">
        <v>2</v>
      </c>
      <c r="O212" s="49">
        <v>3.5</v>
      </c>
      <c r="P212" s="49">
        <v>0.7</v>
      </c>
      <c r="Q212" s="21"/>
      <c r="R212" s="33">
        <v>1</v>
      </c>
      <c r="S212" s="49">
        <v>3</v>
      </c>
      <c r="T212" s="49">
        <v>1.4</v>
      </c>
      <c r="U212" s="19"/>
      <c r="V212" s="33">
        <f t="shared" ref="V212:V213" si="198">(1*28)+19</f>
        <v>47</v>
      </c>
      <c r="W212" s="33">
        <f t="shared" si="193"/>
        <v>97</v>
      </c>
      <c r="X212" s="33">
        <f t="shared" si="194"/>
        <v>144</v>
      </c>
      <c r="Y212" s="19"/>
      <c r="Z212" s="33">
        <f>(0*28)+11</f>
        <v>11</v>
      </c>
      <c r="AA212" s="33">
        <f t="shared" si="195"/>
        <v>0</v>
      </c>
      <c r="AB212" s="33">
        <f t="shared" si="196"/>
        <v>6</v>
      </c>
      <c r="AC212" s="33">
        <f t="shared" si="197"/>
        <v>38</v>
      </c>
      <c r="AD212" s="19"/>
      <c r="AE212" s="33">
        <f>372+30</f>
        <v>402</v>
      </c>
      <c r="AF212" s="19"/>
      <c r="AG212" s="19"/>
      <c r="AH212" s="19"/>
    </row>
    <row r="213" spans="1:34" ht="14" x14ac:dyDescent="0.2">
      <c r="A213" s="50">
        <v>45726</v>
      </c>
      <c r="B213" s="49">
        <v>3</v>
      </c>
      <c r="C213" s="49">
        <v>13</v>
      </c>
      <c r="D213" s="49">
        <v>5</v>
      </c>
      <c r="F213" s="33">
        <v>2</v>
      </c>
      <c r="G213" s="49">
        <v>6</v>
      </c>
      <c r="H213" s="49">
        <v>6</v>
      </c>
      <c r="J213" s="33">
        <v>6.1</v>
      </c>
      <c r="K213" s="33">
        <f t="shared" si="190"/>
        <v>4.3999999999999986</v>
      </c>
      <c r="L213" s="49">
        <f>6.8+5.7</f>
        <v>12.5</v>
      </c>
      <c r="M213" s="21"/>
      <c r="N213" s="33">
        <v>1</v>
      </c>
      <c r="O213" s="49">
        <v>1</v>
      </c>
      <c r="P213" s="49">
        <v>1.5</v>
      </c>
      <c r="Q213" s="21"/>
      <c r="R213" s="33">
        <v>0</v>
      </c>
      <c r="S213" s="49">
        <v>8</v>
      </c>
      <c r="T213" s="49">
        <v>0.5</v>
      </c>
      <c r="U213" s="19"/>
      <c r="V213" s="33">
        <f t="shared" si="198"/>
        <v>47</v>
      </c>
      <c r="W213" s="33">
        <f>(3*28)+12</f>
        <v>96</v>
      </c>
      <c r="X213" s="33">
        <f t="shared" si="194"/>
        <v>144</v>
      </c>
      <c r="Y213" s="19"/>
      <c r="Z213" s="33">
        <f t="shared" ref="Z213:Z215" si="199">(0*28)+7</f>
        <v>7</v>
      </c>
      <c r="AA213" s="33">
        <f t="shared" si="195"/>
        <v>0</v>
      </c>
      <c r="AB213" s="33">
        <f t="shared" si="196"/>
        <v>6</v>
      </c>
      <c r="AC213" s="33">
        <f t="shared" si="197"/>
        <v>38</v>
      </c>
      <c r="AD213" s="19"/>
      <c r="AE213" s="33">
        <f>372+19</f>
        <v>391</v>
      </c>
      <c r="AF213" s="19"/>
      <c r="AG213" s="19"/>
      <c r="AH213" s="19"/>
    </row>
    <row r="214" spans="1:34" ht="14" x14ac:dyDescent="0.2">
      <c r="A214" s="50">
        <v>45727</v>
      </c>
      <c r="B214" s="49">
        <v>2</v>
      </c>
      <c r="C214" s="49">
        <v>16</v>
      </c>
      <c r="D214" s="49">
        <v>0</v>
      </c>
      <c r="F214" s="33">
        <v>2</v>
      </c>
      <c r="G214" s="49">
        <v>12</v>
      </c>
      <c r="H214" s="49">
        <v>0</v>
      </c>
      <c r="J214" s="33">
        <v>7.3</v>
      </c>
      <c r="K214" s="33">
        <f t="shared" si="190"/>
        <v>5.0000000000000018</v>
      </c>
      <c r="L214" s="49">
        <f>3.1+11.7</f>
        <v>14.799999999999999</v>
      </c>
      <c r="M214" s="21"/>
      <c r="N214" s="33">
        <v>0</v>
      </c>
      <c r="O214" s="49">
        <v>2</v>
      </c>
      <c r="P214" s="49">
        <v>0.7</v>
      </c>
      <c r="Q214" s="21"/>
      <c r="R214" s="33">
        <v>2</v>
      </c>
      <c r="S214" s="49">
        <v>6</v>
      </c>
      <c r="T214" s="49">
        <v>1.7</v>
      </c>
      <c r="U214" s="19"/>
      <c r="V214" s="33">
        <f>(1*28)+16</f>
        <v>44</v>
      </c>
      <c r="W214" s="33">
        <f>(3*28)+11</f>
        <v>95</v>
      </c>
      <c r="X214" s="33">
        <f>(4*28)+29</f>
        <v>141</v>
      </c>
      <c r="Y214" s="19"/>
      <c r="Z214" s="33">
        <f t="shared" si="199"/>
        <v>7</v>
      </c>
      <c r="AA214" s="33">
        <f t="shared" si="195"/>
        <v>0</v>
      </c>
      <c r="AB214" s="33">
        <f t="shared" si="196"/>
        <v>6</v>
      </c>
      <c r="AC214" s="33">
        <f>(1*28)+9</f>
        <v>37</v>
      </c>
      <c r="AD214" s="19"/>
      <c r="AE214" s="33">
        <f>348+30</f>
        <v>378</v>
      </c>
      <c r="AF214" s="19"/>
      <c r="AG214" s="19"/>
      <c r="AH214" s="19"/>
    </row>
    <row r="215" spans="1:34" ht="14" x14ac:dyDescent="0.2">
      <c r="A215" s="50">
        <v>45728</v>
      </c>
      <c r="B215" s="49">
        <v>4</v>
      </c>
      <c r="C215" s="49">
        <v>23</v>
      </c>
      <c r="D215" s="49">
        <v>1</v>
      </c>
      <c r="F215" s="33">
        <v>2</v>
      </c>
      <c r="G215" s="49">
        <v>9</v>
      </c>
      <c r="H215" s="49">
        <v>3</v>
      </c>
      <c r="J215" s="33">
        <v>0</v>
      </c>
      <c r="K215" s="33">
        <f t="shared" si="190"/>
        <v>8.6999999999999993</v>
      </c>
      <c r="L215" s="49">
        <v>6.1</v>
      </c>
      <c r="M215" s="21"/>
      <c r="N215" s="33">
        <v>2.2000000000000002</v>
      </c>
      <c r="O215" s="49">
        <v>2</v>
      </c>
      <c r="P215" s="49">
        <v>2.7</v>
      </c>
      <c r="Q215" s="21"/>
      <c r="R215" s="33">
        <v>0</v>
      </c>
      <c r="S215" s="49">
        <v>12</v>
      </c>
      <c r="T215" s="49">
        <v>0.9</v>
      </c>
      <c r="U215" s="19"/>
      <c r="V215" s="33">
        <f>(0*28)+33</f>
        <v>33</v>
      </c>
      <c r="W215" s="33">
        <f>(2*28)+39</f>
        <v>95</v>
      </c>
      <c r="X215" s="33">
        <f>(4*28)+27</f>
        <v>139</v>
      </c>
      <c r="Y215" s="19"/>
      <c r="Z215" s="33">
        <f t="shared" si="199"/>
        <v>7</v>
      </c>
      <c r="AA215" s="33">
        <f t="shared" si="195"/>
        <v>0</v>
      </c>
      <c r="AB215" s="33">
        <f t="shared" si="196"/>
        <v>6</v>
      </c>
      <c r="AC215" s="33">
        <f>(1*28)+7</f>
        <v>35</v>
      </c>
      <c r="AD215" s="19"/>
      <c r="AE215" s="33">
        <f>312+39</f>
        <v>351</v>
      </c>
      <c r="AF215" s="19"/>
      <c r="AG215" s="19"/>
      <c r="AH215" s="19"/>
    </row>
    <row r="216" spans="1:34" ht="14" x14ac:dyDescent="0.2">
      <c r="A216" s="50">
        <v>45729</v>
      </c>
      <c r="B216" s="49">
        <v>3</v>
      </c>
      <c r="C216" s="49">
        <v>21</v>
      </c>
      <c r="D216" s="49">
        <v>0</v>
      </c>
      <c r="F216" s="33">
        <v>2</v>
      </c>
      <c r="G216" s="49">
        <v>9</v>
      </c>
      <c r="H216" s="49">
        <v>3</v>
      </c>
      <c r="J216" s="33">
        <v>4.3</v>
      </c>
      <c r="K216" s="33">
        <f t="shared" si="190"/>
        <v>6.0999999999999988</v>
      </c>
      <c r="L216" s="49">
        <v>4.3</v>
      </c>
      <c r="M216" s="21"/>
      <c r="N216" s="33">
        <v>0</v>
      </c>
      <c r="O216" s="49">
        <v>3</v>
      </c>
      <c r="P216" s="49">
        <v>1.4</v>
      </c>
      <c r="Q216" s="21"/>
      <c r="R216" s="33">
        <v>1</v>
      </c>
      <c r="S216" s="49">
        <v>12</v>
      </c>
      <c r="T216" s="49">
        <v>0.4</v>
      </c>
      <c r="U216" s="19"/>
      <c r="V216" s="33">
        <f>(0*28)+30</f>
        <v>30</v>
      </c>
      <c r="W216" s="33">
        <f>(2*28)+36</f>
        <v>92</v>
      </c>
      <c r="X216" s="33">
        <f>(4*28)+23</f>
        <v>135</v>
      </c>
      <c r="Y216" s="19"/>
      <c r="Z216" s="33">
        <f>(0*28)+5</f>
        <v>5</v>
      </c>
      <c r="AA216" s="33">
        <f t="shared" si="195"/>
        <v>0</v>
      </c>
      <c r="AB216" s="33">
        <f t="shared" si="196"/>
        <v>6</v>
      </c>
      <c r="AC216" s="33">
        <f>(1*28)+6</f>
        <v>34</v>
      </c>
      <c r="AD216" s="19"/>
      <c r="AE216" s="33">
        <f>312+24</f>
        <v>336</v>
      </c>
      <c r="AF216" s="19"/>
      <c r="AG216" s="19"/>
      <c r="AH216" s="19"/>
    </row>
    <row r="217" spans="1:34" ht="14" x14ac:dyDescent="0.2">
      <c r="A217" s="50">
        <v>45730</v>
      </c>
      <c r="B217" s="49">
        <v>8</v>
      </c>
      <c r="C217" s="49">
        <v>43</v>
      </c>
      <c r="D217" s="49">
        <v>5</v>
      </c>
      <c r="F217" s="33">
        <v>3.5</v>
      </c>
      <c r="G217" s="49">
        <v>15</v>
      </c>
      <c r="H217" s="49">
        <v>5</v>
      </c>
      <c r="J217" s="33">
        <v>10.9</v>
      </c>
      <c r="K217" s="33">
        <f t="shared" si="190"/>
        <v>7.1999999999999993</v>
      </c>
      <c r="L217" s="49">
        <v>8</v>
      </c>
      <c r="M217" s="21"/>
      <c r="N217" s="33">
        <v>0</v>
      </c>
      <c r="O217" s="49">
        <v>1</v>
      </c>
      <c r="P217" s="49">
        <v>1.1000000000000001</v>
      </c>
      <c r="Q217" s="21"/>
      <c r="R217" s="33">
        <v>2</v>
      </c>
      <c r="S217" s="49">
        <v>24</v>
      </c>
      <c r="T217" s="49">
        <v>0</v>
      </c>
      <c r="U217" s="19"/>
      <c r="V217" s="33">
        <f>(0*28)+23</f>
        <v>23</v>
      </c>
      <c r="W217" s="33">
        <f>(2*28)+28</f>
        <v>84</v>
      </c>
      <c r="X217" s="33">
        <f t="shared" ref="X217:X219" si="200">(4*28)+20</f>
        <v>132</v>
      </c>
      <c r="Y217" s="19"/>
      <c r="Z217" s="33">
        <v>0</v>
      </c>
      <c r="AA217" s="33">
        <f t="shared" si="195"/>
        <v>0</v>
      </c>
      <c r="AB217" s="33">
        <f t="shared" si="196"/>
        <v>6</v>
      </c>
      <c r="AC217" s="33">
        <f>(1*28)+4</f>
        <v>32</v>
      </c>
      <c r="AD217" s="19"/>
      <c r="AE217" s="33">
        <f>288+14</f>
        <v>302</v>
      </c>
      <c r="AF217" s="19"/>
      <c r="AG217" s="19"/>
      <c r="AH217" s="19"/>
    </row>
    <row r="218" spans="1:34" ht="14" x14ac:dyDescent="0.2">
      <c r="A218" s="50">
        <v>45731</v>
      </c>
      <c r="B218" s="49">
        <v>5</v>
      </c>
      <c r="C218" s="49">
        <v>33</v>
      </c>
      <c r="D218" s="49">
        <v>0</v>
      </c>
      <c r="F218" s="33">
        <v>2</v>
      </c>
      <c r="G218" s="49">
        <v>12</v>
      </c>
      <c r="H218" s="49">
        <v>0</v>
      </c>
      <c r="J218" s="33">
        <v>5.7</v>
      </c>
      <c r="K218" s="33">
        <f t="shared" si="190"/>
        <v>6.4999999999999991</v>
      </c>
      <c r="L218" s="49">
        <v>7.2</v>
      </c>
      <c r="M218" s="21"/>
      <c r="N218" s="33">
        <v>0</v>
      </c>
      <c r="O218" s="49">
        <v>5</v>
      </c>
      <c r="P218" s="49">
        <v>0</v>
      </c>
      <c r="Q218" s="21"/>
      <c r="R218" s="33">
        <v>2</v>
      </c>
      <c r="S218" s="49">
        <v>18</v>
      </c>
      <c r="T218" s="49">
        <v>0</v>
      </c>
      <c r="U218" s="19"/>
      <c r="V218" s="33">
        <f>(0*28)+15</f>
        <v>15</v>
      </c>
      <c r="W218" s="33">
        <f>(2*28)+27</f>
        <v>83</v>
      </c>
      <c r="X218" s="33">
        <f t="shared" si="200"/>
        <v>132</v>
      </c>
      <c r="Y218" s="19"/>
      <c r="Z218" s="33">
        <v>0</v>
      </c>
      <c r="AA218" s="33">
        <f t="shared" si="195"/>
        <v>0</v>
      </c>
      <c r="AB218" s="33">
        <f t="shared" si="196"/>
        <v>6</v>
      </c>
      <c r="AC218" s="33">
        <f>(1*28)+3</f>
        <v>31</v>
      </c>
      <c r="AD218" s="19"/>
      <c r="AE218" s="33">
        <f>252+23</f>
        <v>275</v>
      </c>
      <c r="AF218" s="19"/>
      <c r="AG218" s="19"/>
      <c r="AH218" s="19"/>
    </row>
    <row r="219" spans="1:34" ht="14" x14ac:dyDescent="0.2">
      <c r="A219" s="50">
        <v>45732</v>
      </c>
      <c r="B219" s="49">
        <v>6</v>
      </c>
      <c r="C219" s="49">
        <v>36</v>
      </c>
      <c r="D219" s="49">
        <v>0</v>
      </c>
      <c r="F219" s="33">
        <v>2.5</v>
      </c>
      <c r="G219" s="49">
        <v>13</v>
      </c>
      <c r="H219" s="49">
        <v>2</v>
      </c>
      <c r="J219" s="33">
        <v>9.4</v>
      </c>
      <c r="K219" s="33">
        <f t="shared" si="190"/>
        <v>9.5000000000000018</v>
      </c>
      <c r="L219" s="49">
        <v>7.1</v>
      </c>
      <c r="M219" s="21"/>
      <c r="N219" s="33">
        <v>2</v>
      </c>
      <c r="O219" s="49">
        <v>6</v>
      </c>
      <c r="P219" s="49">
        <v>0</v>
      </c>
      <c r="Q219" s="21"/>
      <c r="R219" s="33">
        <v>4</v>
      </c>
      <c r="S219" s="49">
        <v>30</v>
      </c>
      <c r="T219" s="49">
        <v>0</v>
      </c>
      <c r="U219" s="19"/>
      <c r="V219" s="33">
        <f>(0*28)+12</f>
        <v>12</v>
      </c>
      <c r="W219" s="33">
        <f>(2*28)+23</f>
        <v>79</v>
      </c>
      <c r="X219" s="33">
        <f t="shared" si="200"/>
        <v>132</v>
      </c>
      <c r="Y219" s="19"/>
      <c r="Z219" s="33">
        <v>0</v>
      </c>
      <c r="AA219" s="33">
        <v>0</v>
      </c>
      <c r="AB219" s="33">
        <v>0</v>
      </c>
      <c r="AC219" s="33">
        <f>(1*28)+1</f>
        <v>29</v>
      </c>
      <c r="AD219" s="19"/>
      <c r="AE219" s="33">
        <f>228+18</f>
        <v>246</v>
      </c>
      <c r="AF219" s="19"/>
      <c r="AG219" s="19"/>
      <c r="AH219" s="19"/>
    </row>
    <row r="220" spans="1:34" ht="14" x14ac:dyDescent="0.2">
      <c r="A220" s="50">
        <v>45733</v>
      </c>
      <c r="B220" s="49">
        <v>0</v>
      </c>
      <c r="C220" s="49">
        <v>0</v>
      </c>
      <c r="D220" s="49">
        <v>0</v>
      </c>
      <c r="F220" s="33">
        <v>0</v>
      </c>
      <c r="G220" s="49">
        <v>0</v>
      </c>
      <c r="H220" s="49">
        <v>0</v>
      </c>
      <c r="J220" s="33">
        <v>0</v>
      </c>
      <c r="K220" s="33">
        <f t="shared" si="190"/>
        <v>0</v>
      </c>
      <c r="L220" s="49">
        <v>7.1</v>
      </c>
      <c r="M220" s="21"/>
      <c r="N220" s="33">
        <v>0</v>
      </c>
      <c r="O220" s="49">
        <v>0</v>
      </c>
      <c r="P220" s="49">
        <v>0</v>
      </c>
      <c r="Q220" s="21"/>
      <c r="R220" s="33">
        <v>0</v>
      </c>
      <c r="S220" s="49">
        <v>0</v>
      </c>
      <c r="T220" s="49">
        <v>0</v>
      </c>
      <c r="U220" s="19"/>
      <c r="V220" s="33">
        <v>0</v>
      </c>
      <c r="W220" s="49">
        <v>0</v>
      </c>
      <c r="X220" s="49">
        <v>0</v>
      </c>
      <c r="Y220" s="19"/>
      <c r="Z220" s="33">
        <v>0</v>
      </c>
      <c r="AA220" s="49">
        <v>0</v>
      </c>
      <c r="AB220" s="49">
        <v>0</v>
      </c>
      <c r="AC220" s="49">
        <v>0</v>
      </c>
      <c r="AD220" s="19"/>
      <c r="AE220" s="33">
        <v>0</v>
      </c>
      <c r="AF220" s="19"/>
      <c r="AG220" s="19"/>
      <c r="AH220" s="19"/>
    </row>
    <row r="221" spans="1:34" ht="14" x14ac:dyDescent="0.2">
      <c r="A221" s="50">
        <v>45734</v>
      </c>
      <c r="B221" s="49">
        <v>4</v>
      </c>
      <c r="C221" s="49">
        <v>16</v>
      </c>
      <c r="D221" s="49">
        <v>8</v>
      </c>
      <c r="F221" s="33">
        <v>2</v>
      </c>
      <c r="G221" s="49">
        <v>5</v>
      </c>
      <c r="H221" s="49">
        <v>7</v>
      </c>
      <c r="J221" s="33">
        <v>4.5</v>
      </c>
      <c r="K221" s="33">
        <f t="shared" si="190"/>
        <v>5</v>
      </c>
      <c r="L221" s="49">
        <v>6.6</v>
      </c>
      <c r="M221" s="21"/>
      <c r="N221" s="33">
        <v>3</v>
      </c>
      <c r="O221" s="49">
        <v>4</v>
      </c>
      <c r="P221" s="49">
        <v>0.9</v>
      </c>
      <c r="Q221" s="21"/>
      <c r="R221" s="33">
        <v>2</v>
      </c>
      <c r="S221" s="49">
        <v>9</v>
      </c>
      <c r="T221" s="49">
        <v>1.7</v>
      </c>
      <c r="U221" s="19"/>
      <c r="V221" s="33">
        <f t="shared" ref="V221:V222" si="201">(0*28)+12</f>
        <v>12</v>
      </c>
      <c r="W221" s="33">
        <f t="shared" ref="W221:W224" si="202">(1*28)+50</f>
        <v>78</v>
      </c>
      <c r="X221" s="33">
        <f>(3*28)+48</f>
        <v>132</v>
      </c>
      <c r="Y221" s="19"/>
      <c r="Z221" s="33">
        <v>0</v>
      </c>
      <c r="AA221" s="49">
        <v>0</v>
      </c>
      <c r="AB221" s="49">
        <v>0</v>
      </c>
      <c r="AC221" s="33">
        <f>(0*28)+20</f>
        <v>20</v>
      </c>
      <c r="AD221" s="19"/>
      <c r="AE221" s="33">
        <f>192+44</f>
        <v>236</v>
      </c>
      <c r="AF221" s="19"/>
      <c r="AG221" s="19"/>
      <c r="AH221" s="19"/>
    </row>
    <row r="222" spans="1:34" ht="14" x14ac:dyDescent="0.2">
      <c r="A222" s="50">
        <v>45735</v>
      </c>
      <c r="B222" s="49">
        <v>3</v>
      </c>
      <c r="C222" s="49">
        <v>12</v>
      </c>
      <c r="D222" s="49">
        <v>6</v>
      </c>
      <c r="F222" s="33">
        <v>2</v>
      </c>
      <c r="G222" s="49">
        <v>4</v>
      </c>
      <c r="H222" s="49">
        <v>8</v>
      </c>
      <c r="J222" s="33">
        <v>4.3</v>
      </c>
      <c r="K222" s="33">
        <f t="shared" si="190"/>
        <v>3.9999999999999982</v>
      </c>
      <c r="L222" s="49">
        <v>6.9</v>
      </c>
      <c r="M222" s="21"/>
      <c r="N222" s="33">
        <v>1</v>
      </c>
      <c r="O222" s="49">
        <v>3</v>
      </c>
      <c r="P222" s="49">
        <v>0.8</v>
      </c>
      <c r="Q222" s="21"/>
      <c r="R222" s="33">
        <v>1.3</v>
      </c>
      <c r="S222" s="49">
        <v>7</v>
      </c>
      <c r="T222" s="49">
        <v>2.4</v>
      </c>
      <c r="U222" s="19"/>
      <c r="V222" s="33">
        <f t="shared" si="201"/>
        <v>12</v>
      </c>
      <c r="W222" s="33">
        <f t="shared" si="202"/>
        <v>78</v>
      </c>
      <c r="X222" s="33">
        <f>(3*28)+46</f>
        <v>130</v>
      </c>
      <c r="Y222" s="19"/>
      <c r="Z222" s="33">
        <v>0</v>
      </c>
      <c r="AA222" s="49">
        <v>0</v>
      </c>
      <c r="AB222" s="49">
        <v>0</v>
      </c>
      <c r="AC222" s="33">
        <f>(0*28)+18</f>
        <v>18</v>
      </c>
      <c r="AD222" s="19"/>
      <c r="AE222" s="33">
        <f t="shared" ref="AE222:AE223" si="203">192+32</f>
        <v>224</v>
      </c>
      <c r="AF222" s="19"/>
      <c r="AG222" s="19"/>
      <c r="AH222" s="19"/>
    </row>
    <row r="223" spans="1:34" ht="14" x14ac:dyDescent="0.2">
      <c r="A223" s="50">
        <v>45736</v>
      </c>
      <c r="B223" s="49">
        <v>3</v>
      </c>
      <c r="C223" s="49">
        <v>19</v>
      </c>
      <c r="D223" s="49">
        <v>0</v>
      </c>
      <c r="F223" s="33">
        <v>2</v>
      </c>
      <c r="G223" s="49">
        <v>12</v>
      </c>
      <c r="H223" s="49">
        <v>0</v>
      </c>
      <c r="J223" s="33">
        <v>4.5999999999999996</v>
      </c>
      <c r="K223" s="33">
        <f t="shared" si="190"/>
        <v>4.7</v>
      </c>
      <c r="L223" s="49">
        <v>6.8</v>
      </c>
      <c r="M223" s="21"/>
      <c r="N223" s="33">
        <v>1</v>
      </c>
      <c r="O223" s="49">
        <v>3</v>
      </c>
      <c r="P223" s="49">
        <v>1</v>
      </c>
      <c r="Q223" s="21"/>
      <c r="R223" s="33">
        <v>1</v>
      </c>
      <c r="S223" s="49">
        <v>25</v>
      </c>
      <c r="T223" s="49">
        <v>0</v>
      </c>
      <c r="U223" s="19"/>
      <c r="V223" s="33">
        <f t="shared" ref="V223:V224" si="204">(0*28)+0</f>
        <v>0</v>
      </c>
      <c r="W223" s="33">
        <f t="shared" si="202"/>
        <v>78</v>
      </c>
      <c r="X223" s="33">
        <f t="shared" ref="X223:X224" si="205">(3*28)+43</f>
        <v>127</v>
      </c>
      <c r="Y223" s="19"/>
      <c r="Z223" s="33">
        <v>0</v>
      </c>
      <c r="AA223" s="49">
        <v>0</v>
      </c>
      <c r="AB223" s="49">
        <v>0</v>
      </c>
      <c r="AC223" s="33">
        <f t="shared" ref="AC223:AC224" si="206">(0*28)+13</f>
        <v>13</v>
      </c>
      <c r="AD223" s="19"/>
      <c r="AE223" s="33">
        <f t="shared" si="203"/>
        <v>224</v>
      </c>
      <c r="AF223" s="19"/>
      <c r="AG223" s="19"/>
      <c r="AH223" s="19"/>
    </row>
    <row r="224" spans="1:34" ht="14" x14ac:dyDescent="0.2">
      <c r="A224" s="50">
        <v>45737</v>
      </c>
      <c r="B224" s="49">
        <v>4</v>
      </c>
      <c r="C224" s="49">
        <v>19</v>
      </c>
      <c r="D224" s="49">
        <v>5</v>
      </c>
      <c r="F224" s="33">
        <v>2</v>
      </c>
      <c r="G224" s="49">
        <v>5</v>
      </c>
      <c r="H224" s="49">
        <v>7</v>
      </c>
      <c r="J224" s="33">
        <v>14</v>
      </c>
      <c r="K224" s="33">
        <f t="shared" si="190"/>
        <v>8.2000000000000011</v>
      </c>
      <c r="L224" s="49">
        <f>3.5+9.1</f>
        <v>12.6</v>
      </c>
      <c r="M224" s="21"/>
      <c r="N224" s="33">
        <v>1</v>
      </c>
      <c r="O224" s="49">
        <v>3</v>
      </c>
      <c r="P224" s="49">
        <v>0.4</v>
      </c>
      <c r="Q224" s="21"/>
      <c r="R224" s="33">
        <v>2</v>
      </c>
      <c r="S224" s="49">
        <v>15</v>
      </c>
      <c r="T224" s="49">
        <v>0.8</v>
      </c>
      <c r="U224" s="19"/>
      <c r="V224" s="33">
        <f t="shared" si="204"/>
        <v>0</v>
      </c>
      <c r="W224" s="33">
        <f t="shared" si="202"/>
        <v>78</v>
      </c>
      <c r="X224" s="33">
        <f t="shared" si="205"/>
        <v>127</v>
      </c>
      <c r="Y224" s="19"/>
      <c r="Z224" s="33">
        <v>0</v>
      </c>
      <c r="AA224" s="49">
        <v>0</v>
      </c>
      <c r="AB224" s="49">
        <v>0</v>
      </c>
      <c r="AC224" s="33">
        <f t="shared" si="206"/>
        <v>13</v>
      </c>
      <c r="AD224" s="19"/>
      <c r="AE224" s="33">
        <f>156+44</f>
        <v>200</v>
      </c>
      <c r="AF224" s="19"/>
      <c r="AG224" s="19"/>
      <c r="AH224" s="19"/>
    </row>
    <row r="225" spans="1:34" ht="14" x14ac:dyDescent="0.2">
      <c r="A225" s="50">
        <v>45738</v>
      </c>
      <c r="B225" s="49">
        <v>4</v>
      </c>
      <c r="C225" s="49">
        <v>19</v>
      </c>
      <c r="D225" s="49">
        <v>5</v>
      </c>
      <c r="F225" s="33">
        <v>2</v>
      </c>
      <c r="G225" s="49">
        <v>11</v>
      </c>
      <c r="H225" s="49">
        <v>1</v>
      </c>
      <c r="J225" s="33">
        <v>8.4</v>
      </c>
      <c r="K225" s="33">
        <f t="shared" si="190"/>
        <v>5.9</v>
      </c>
      <c r="L225" s="49">
        <f>8.5+6.6</f>
        <v>15.1</v>
      </c>
      <c r="M225" s="21"/>
      <c r="N225" s="33">
        <v>0</v>
      </c>
      <c r="O225" s="49">
        <v>1</v>
      </c>
      <c r="P225" s="49">
        <v>0</v>
      </c>
      <c r="Q225" s="21"/>
      <c r="R225" s="33">
        <v>2</v>
      </c>
      <c r="S225" s="49">
        <v>16</v>
      </c>
      <c r="T225" s="49">
        <v>1</v>
      </c>
      <c r="U225" s="19"/>
      <c r="V225" s="33">
        <f>(4*28)+28</f>
        <v>140</v>
      </c>
      <c r="W225" s="33">
        <f>(4*28)+37</f>
        <v>149</v>
      </c>
      <c r="X225" s="33">
        <f>(3*28)+41</f>
        <v>125</v>
      </c>
      <c r="Y225" s="19"/>
      <c r="Z225" s="33">
        <f>(1*24)+18</f>
        <v>42</v>
      </c>
      <c r="AA225" s="33">
        <f>(1*24)+23</f>
        <v>47</v>
      </c>
      <c r="AB225" s="33">
        <f>(1*24)+20</f>
        <v>44</v>
      </c>
      <c r="AC225" s="33">
        <f>(1*24)+32</f>
        <v>56</v>
      </c>
      <c r="AD225" s="19"/>
      <c r="AE225" s="33">
        <f>120+32</f>
        <v>152</v>
      </c>
      <c r="AF225" s="19"/>
      <c r="AG225" s="19"/>
      <c r="AH225" s="19"/>
    </row>
    <row r="226" spans="1:34" ht="14" x14ac:dyDescent="0.2">
      <c r="A226" s="50">
        <v>45739</v>
      </c>
      <c r="B226" s="49">
        <v>6</v>
      </c>
      <c r="C226" s="49">
        <v>22</v>
      </c>
      <c r="D226" s="49">
        <v>14</v>
      </c>
      <c r="F226" s="33">
        <v>2.5</v>
      </c>
      <c r="G226" s="49">
        <v>10</v>
      </c>
      <c r="H226" s="49">
        <v>5</v>
      </c>
      <c r="J226" s="33">
        <v>7.8</v>
      </c>
      <c r="K226" s="33">
        <f t="shared" si="190"/>
        <v>14</v>
      </c>
      <c r="L226" s="49">
        <f>4.8+4.1</f>
        <v>8.8999999999999986</v>
      </c>
      <c r="M226" s="21"/>
      <c r="N226" s="33">
        <v>2</v>
      </c>
      <c r="O226" s="49">
        <v>4</v>
      </c>
      <c r="P226" s="49">
        <v>1.5</v>
      </c>
      <c r="Q226" s="21"/>
      <c r="R226" s="33">
        <v>2</v>
      </c>
      <c r="S226" s="49">
        <v>9</v>
      </c>
      <c r="T226" s="49">
        <v>2.5</v>
      </c>
      <c r="U226" s="19"/>
      <c r="V226" s="33">
        <f>(4*28)+26</f>
        <v>138</v>
      </c>
      <c r="W226" s="33">
        <f>(4*28)+35</f>
        <v>147</v>
      </c>
      <c r="X226" s="33">
        <f t="shared" ref="X226:X231" si="207">(3*28)+33</f>
        <v>117</v>
      </c>
      <c r="Y226" s="19"/>
      <c r="Z226" s="33">
        <f>(1*24)+16</f>
        <v>40</v>
      </c>
      <c r="AA226" s="33">
        <f>(1*24)+20</f>
        <v>44</v>
      </c>
      <c r="AB226" s="33">
        <f t="shared" ref="AB226:AB227" si="208">(1*24)+16</f>
        <v>40</v>
      </c>
      <c r="AC226" s="33">
        <f>(1*24)+29</f>
        <v>53</v>
      </c>
      <c r="AD226" s="19"/>
      <c r="AE226" s="33">
        <f>108+23</f>
        <v>131</v>
      </c>
      <c r="AF226" s="19"/>
      <c r="AG226" s="19"/>
      <c r="AH226" s="19"/>
    </row>
    <row r="227" spans="1:34" ht="14" x14ac:dyDescent="0.2">
      <c r="A227" s="50">
        <v>45740</v>
      </c>
      <c r="B227" s="49">
        <v>3</v>
      </c>
      <c r="C227" s="49">
        <v>17</v>
      </c>
      <c r="D227" s="49">
        <v>1</v>
      </c>
      <c r="F227" s="33">
        <v>2</v>
      </c>
      <c r="G227" s="49">
        <v>11</v>
      </c>
      <c r="H227" s="49">
        <v>1</v>
      </c>
      <c r="J227" s="33">
        <v>4.0999999999999996</v>
      </c>
      <c r="K227" s="33">
        <f t="shared" si="190"/>
        <v>4.7999999999999989</v>
      </c>
      <c r="L227" s="49">
        <f>3+5.2</f>
        <v>8.1999999999999993</v>
      </c>
      <c r="M227" s="21"/>
      <c r="N227" s="33">
        <v>0</v>
      </c>
      <c r="O227" s="49">
        <v>1.5</v>
      </c>
      <c r="P227" s="49">
        <v>0.3</v>
      </c>
      <c r="Q227" s="21"/>
      <c r="R227" s="33">
        <v>0</v>
      </c>
      <c r="S227" s="49">
        <v>15</v>
      </c>
      <c r="T227" s="49">
        <v>1</v>
      </c>
      <c r="U227" s="19"/>
      <c r="V227" s="33">
        <f t="shared" ref="V227:V228" si="209">(4*28)+16</f>
        <v>128</v>
      </c>
      <c r="W227" s="33">
        <f>(4*28)+32</f>
        <v>144</v>
      </c>
      <c r="X227" s="33">
        <f t="shared" si="207"/>
        <v>117</v>
      </c>
      <c r="Y227" s="19"/>
      <c r="Z227" s="33">
        <f t="shared" ref="Z227:Z229" si="210">(1*24)+9</f>
        <v>33</v>
      </c>
      <c r="AA227" s="33">
        <f>(1*24)+19</f>
        <v>43</v>
      </c>
      <c r="AB227" s="33">
        <f t="shared" si="208"/>
        <v>40</v>
      </c>
      <c r="AC227" s="33">
        <f t="shared" ref="AC227:AC229" si="211">(1*24)+27</f>
        <v>51</v>
      </c>
      <c r="AD227" s="19"/>
      <c r="AE227" s="33">
        <f>60+51</f>
        <v>111</v>
      </c>
      <c r="AF227" s="19"/>
      <c r="AG227" s="19"/>
      <c r="AH227" s="19"/>
    </row>
    <row r="228" spans="1:34" ht="14" x14ac:dyDescent="0.2">
      <c r="A228" s="50">
        <v>45741</v>
      </c>
      <c r="B228" s="49">
        <v>3</v>
      </c>
      <c r="C228" s="49">
        <v>17</v>
      </c>
      <c r="D228" s="49">
        <v>0</v>
      </c>
      <c r="F228" s="33">
        <v>2</v>
      </c>
      <c r="G228" s="49">
        <v>11</v>
      </c>
      <c r="H228" s="49">
        <v>0</v>
      </c>
      <c r="J228" s="33">
        <v>5.3</v>
      </c>
      <c r="K228" s="33">
        <f t="shared" si="190"/>
        <v>4.8000000000000007</v>
      </c>
      <c r="L228" s="49">
        <f>7.7+1</f>
        <v>8.6999999999999993</v>
      </c>
      <c r="M228" s="21"/>
      <c r="N228" s="33">
        <v>2</v>
      </c>
      <c r="O228" s="49">
        <v>1.5</v>
      </c>
      <c r="P228" s="49">
        <v>1.4</v>
      </c>
      <c r="Q228" s="21"/>
      <c r="R228" s="33">
        <v>1</v>
      </c>
      <c r="S228" s="49">
        <v>8</v>
      </c>
      <c r="T228" s="49">
        <v>1</v>
      </c>
      <c r="U228" s="19"/>
      <c r="V228" s="33">
        <f t="shared" si="209"/>
        <v>128</v>
      </c>
      <c r="W228" s="33">
        <f>(4*28)+28</f>
        <v>140</v>
      </c>
      <c r="X228" s="33">
        <f t="shared" si="207"/>
        <v>117</v>
      </c>
      <c r="Y228" s="19"/>
      <c r="Z228" s="33">
        <f t="shared" si="210"/>
        <v>33</v>
      </c>
      <c r="AA228" s="33">
        <f>(1*24)+18</f>
        <v>42</v>
      </c>
      <c r="AB228" s="33">
        <f>(1*24)+15</f>
        <v>39</v>
      </c>
      <c r="AC228" s="33">
        <f t="shared" si="211"/>
        <v>51</v>
      </c>
      <c r="AD228" s="19"/>
      <c r="AE228" s="33">
        <f>60+29</f>
        <v>89</v>
      </c>
      <c r="AF228" s="19"/>
      <c r="AG228" s="19"/>
      <c r="AH228" s="19"/>
    </row>
    <row r="229" spans="1:34" ht="14" x14ac:dyDescent="0.2">
      <c r="A229" s="50">
        <v>45742</v>
      </c>
      <c r="B229" s="49">
        <v>3</v>
      </c>
      <c r="C229" s="49">
        <v>21</v>
      </c>
      <c r="D229" s="49">
        <v>0</v>
      </c>
      <c r="F229" s="33">
        <v>2</v>
      </c>
      <c r="G229" s="49">
        <v>7</v>
      </c>
      <c r="H229" s="49">
        <v>5</v>
      </c>
      <c r="J229" s="33">
        <v>11</v>
      </c>
      <c r="K229" s="33">
        <f t="shared" si="190"/>
        <v>5.1999999999999993</v>
      </c>
      <c r="L229" s="49">
        <f>10.5+4</f>
        <v>14.5</v>
      </c>
      <c r="M229" s="21"/>
      <c r="N229" s="33">
        <v>0</v>
      </c>
      <c r="O229" s="49">
        <v>1</v>
      </c>
      <c r="P229" s="49">
        <v>1.1000000000000001</v>
      </c>
      <c r="Q229" s="21"/>
      <c r="R229" s="33">
        <v>0</v>
      </c>
      <c r="S229" s="49">
        <v>7</v>
      </c>
      <c r="T229" s="49">
        <v>0.6</v>
      </c>
      <c r="U229" s="19"/>
      <c r="V229" s="33">
        <f>(4*28)+13</f>
        <v>125</v>
      </c>
      <c r="W229" s="33">
        <f>(4*28)+25</f>
        <v>137</v>
      </c>
      <c r="X229" s="33">
        <f t="shared" si="207"/>
        <v>117</v>
      </c>
      <c r="Y229" s="19"/>
      <c r="Z229" s="33">
        <f t="shared" si="210"/>
        <v>33</v>
      </c>
      <c r="AA229" s="33">
        <f>(1*24)+16</f>
        <v>40</v>
      </c>
      <c r="AB229" s="33">
        <f>(1*24)+10</f>
        <v>34</v>
      </c>
      <c r="AC229" s="33">
        <f t="shared" si="211"/>
        <v>51</v>
      </c>
      <c r="AD229" s="19"/>
      <c r="AE229" s="33">
        <f>648+21</f>
        <v>669</v>
      </c>
      <c r="AF229" s="19"/>
      <c r="AG229" s="19"/>
      <c r="AH229" s="19"/>
    </row>
    <row r="230" spans="1:34" ht="14" x14ac:dyDescent="0.2">
      <c r="A230" s="50">
        <v>45743</v>
      </c>
      <c r="B230" s="49">
        <v>6</v>
      </c>
      <c r="C230" s="49">
        <v>28</v>
      </c>
      <c r="D230" s="49">
        <v>8</v>
      </c>
      <c r="F230" s="33">
        <v>3.5</v>
      </c>
      <c r="G230" s="49">
        <v>19</v>
      </c>
      <c r="H230" s="49">
        <v>3</v>
      </c>
      <c r="J230" s="33">
        <v>4.4000000000000004</v>
      </c>
      <c r="K230" s="33">
        <f t="shared" si="190"/>
        <v>9.1999999999999975</v>
      </c>
      <c r="L230" s="49">
        <f>8.4+1.3</f>
        <v>9.7000000000000011</v>
      </c>
      <c r="M230" s="21"/>
      <c r="N230" s="33">
        <v>1</v>
      </c>
      <c r="O230" s="49">
        <v>0</v>
      </c>
      <c r="P230" s="49">
        <v>2.7</v>
      </c>
      <c r="Q230" s="21"/>
      <c r="R230" s="33">
        <v>2</v>
      </c>
      <c r="S230" s="49">
        <v>14</v>
      </c>
      <c r="T230" s="49">
        <v>1.4</v>
      </c>
      <c r="U230" s="19"/>
      <c r="V230" s="33">
        <f>(4*28)+8</f>
        <v>120</v>
      </c>
      <c r="W230" s="33">
        <f>(4*28)+24</f>
        <v>136</v>
      </c>
      <c r="X230" s="33">
        <f t="shared" si="207"/>
        <v>117</v>
      </c>
      <c r="Y230" s="19"/>
      <c r="Z230" s="33">
        <f>(1*24)+0</f>
        <v>24</v>
      </c>
      <c r="AA230" s="33">
        <f>(1*24)+13</f>
        <v>37</v>
      </c>
      <c r="AB230" s="33">
        <f>(1*24)+7</f>
        <v>31</v>
      </c>
      <c r="AC230" s="33">
        <f t="shared" ref="AC230:AC231" si="212">(1*24)+20</f>
        <v>44</v>
      </c>
      <c r="AD230" s="19"/>
      <c r="AE230" s="33">
        <f>624+14</f>
        <v>638</v>
      </c>
      <c r="AF230" s="19"/>
      <c r="AG230" s="19"/>
      <c r="AH230" s="19"/>
    </row>
    <row r="231" spans="1:34" ht="14" x14ac:dyDescent="0.2">
      <c r="A231" s="50">
        <v>45744</v>
      </c>
      <c r="B231" s="49">
        <v>3</v>
      </c>
      <c r="C231" s="49">
        <v>23</v>
      </c>
      <c r="D231" s="49">
        <v>0</v>
      </c>
      <c r="F231" s="33">
        <v>2</v>
      </c>
      <c r="G231" s="49">
        <v>10</v>
      </c>
      <c r="H231" s="49">
        <v>2</v>
      </c>
      <c r="J231" s="33">
        <v>0</v>
      </c>
      <c r="K231" s="33">
        <f t="shared" si="190"/>
        <v>4.8000000000000007</v>
      </c>
      <c r="L231" s="49">
        <v>4.9000000000000004</v>
      </c>
      <c r="M231" s="21"/>
      <c r="N231" s="33">
        <v>0</v>
      </c>
      <c r="O231" s="49">
        <v>4</v>
      </c>
      <c r="P231" s="49">
        <v>1.6</v>
      </c>
      <c r="Q231" s="21"/>
      <c r="R231" s="33">
        <v>1</v>
      </c>
      <c r="S231" s="49">
        <v>18</v>
      </c>
      <c r="T231" s="49">
        <v>0.5</v>
      </c>
      <c r="U231" s="19"/>
      <c r="V231" s="33">
        <f>(4*28)+4</f>
        <v>116</v>
      </c>
      <c r="W231" s="33">
        <f>(4*28)+21</f>
        <v>133</v>
      </c>
      <c r="X231" s="33">
        <f t="shared" si="207"/>
        <v>117</v>
      </c>
      <c r="Y231" s="19"/>
      <c r="Z231" s="33">
        <f>(0*24)+19</f>
        <v>19</v>
      </c>
      <c r="AA231" s="33">
        <f>(1*24)+11</f>
        <v>35</v>
      </c>
      <c r="AB231" s="33">
        <f>(1*24)+6</f>
        <v>30</v>
      </c>
      <c r="AC231" s="33">
        <f t="shared" si="212"/>
        <v>44</v>
      </c>
      <c r="AD231" s="19"/>
      <c r="AE231" s="33">
        <f>588+25</f>
        <v>613</v>
      </c>
      <c r="AF231" s="19"/>
      <c r="AG231" s="19"/>
      <c r="AH231" s="19"/>
    </row>
    <row r="232" spans="1:34" ht="14" x14ac:dyDescent="0.2">
      <c r="A232" s="50">
        <v>45745</v>
      </c>
      <c r="B232" s="49">
        <v>5</v>
      </c>
      <c r="C232" s="49">
        <v>28</v>
      </c>
      <c r="D232" s="49">
        <v>2</v>
      </c>
      <c r="F232" s="33">
        <v>2</v>
      </c>
      <c r="G232" s="49">
        <v>12</v>
      </c>
      <c r="H232" s="49">
        <v>0</v>
      </c>
      <c r="J232" s="33">
        <v>6.9</v>
      </c>
      <c r="K232" s="33">
        <f t="shared" si="190"/>
        <v>5.7000000000000011</v>
      </c>
      <c r="L232" s="49">
        <v>6.1</v>
      </c>
      <c r="M232" s="21"/>
      <c r="N232" s="33">
        <v>0</v>
      </c>
      <c r="O232" s="49">
        <v>4</v>
      </c>
      <c r="P232" s="49">
        <v>0.5</v>
      </c>
      <c r="Q232" s="21"/>
      <c r="R232" s="33">
        <v>2</v>
      </c>
      <c r="S232" s="49">
        <v>12</v>
      </c>
      <c r="T232" s="49">
        <v>0</v>
      </c>
      <c r="U232" s="19"/>
      <c r="V232" s="33">
        <f t="shared" ref="V232:V233" si="213">(3*28)+22</f>
        <v>106</v>
      </c>
      <c r="W232" s="33">
        <f t="shared" ref="W232:W233" si="214">(4*28)+18</f>
        <v>130</v>
      </c>
      <c r="X232" s="33">
        <f t="shared" ref="X232:X233" si="215">(3*28)+31</f>
        <v>115</v>
      </c>
      <c r="Y232" s="19"/>
      <c r="Z232" s="33">
        <f t="shared" ref="Z232:Z233" si="216">(0*24)+16</f>
        <v>16</v>
      </c>
      <c r="AA232" s="33">
        <f t="shared" ref="AA232:AA233" si="217">(1*24)+10</f>
        <v>34</v>
      </c>
      <c r="AB232" s="33">
        <f t="shared" ref="AB232:AB233" si="218">(1*24)+5</f>
        <v>29</v>
      </c>
      <c r="AC232" s="33">
        <f t="shared" ref="AC232:AC233" si="219">(1*24)+19</f>
        <v>43</v>
      </c>
      <c r="AD232" s="19"/>
      <c r="AE232" s="33">
        <f>564+24</f>
        <v>588</v>
      </c>
      <c r="AF232" s="19"/>
      <c r="AG232" s="19"/>
      <c r="AH232" s="19"/>
    </row>
    <row r="233" spans="1:34" ht="14" x14ac:dyDescent="0.2">
      <c r="A233" s="50">
        <v>45746</v>
      </c>
      <c r="B233" s="49">
        <v>7</v>
      </c>
      <c r="C233" s="49">
        <v>19</v>
      </c>
      <c r="D233" s="49">
        <v>23</v>
      </c>
      <c r="F233" s="33">
        <v>2.5</v>
      </c>
      <c r="G233" s="49">
        <v>7</v>
      </c>
      <c r="H233" s="49">
        <v>8</v>
      </c>
      <c r="J233" s="33">
        <v>9.3000000000000007</v>
      </c>
      <c r="K233" s="33">
        <f t="shared" si="190"/>
        <v>8.1000000000000014</v>
      </c>
      <c r="L233" s="49">
        <v>7.3</v>
      </c>
      <c r="M233" s="21"/>
      <c r="N233" s="33">
        <v>0</v>
      </c>
      <c r="O233" s="49">
        <v>3</v>
      </c>
      <c r="P233" s="49">
        <v>0</v>
      </c>
      <c r="Q233" s="21"/>
      <c r="R233" s="33">
        <v>0</v>
      </c>
      <c r="S233" s="49">
        <v>14</v>
      </c>
      <c r="T233" s="49">
        <v>0.2</v>
      </c>
      <c r="U233" s="19"/>
      <c r="V233" s="33">
        <f t="shared" si="213"/>
        <v>106</v>
      </c>
      <c r="W233" s="33">
        <f t="shared" si="214"/>
        <v>130</v>
      </c>
      <c r="X233" s="33">
        <f t="shared" si="215"/>
        <v>115</v>
      </c>
      <c r="Y233" s="19"/>
      <c r="Z233" s="33">
        <f t="shared" si="216"/>
        <v>16</v>
      </c>
      <c r="AA233" s="33">
        <f t="shared" si="217"/>
        <v>34</v>
      </c>
      <c r="AB233" s="33">
        <f t="shared" si="218"/>
        <v>29</v>
      </c>
      <c r="AC233" s="33">
        <f t="shared" si="219"/>
        <v>43</v>
      </c>
      <c r="AD233" s="19"/>
      <c r="AE233" s="33">
        <f>540+18</f>
        <v>558</v>
      </c>
      <c r="AF233" s="19"/>
      <c r="AG233" s="19"/>
      <c r="AH233" s="19"/>
    </row>
    <row r="234" spans="1:34" ht="14" x14ac:dyDescent="0.2">
      <c r="A234" s="50">
        <v>45747</v>
      </c>
      <c r="B234" s="49">
        <v>9</v>
      </c>
      <c r="C234" s="49">
        <v>32</v>
      </c>
      <c r="D234" s="49"/>
      <c r="F234" s="33">
        <v>4</v>
      </c>
      <c r="G234" s="49">
        <v>15</v>
      </c>
      <c r="H234" s="49"/>
      <c r="J234" s="33">
        <v>14.6</v>
      </c>
      <c r="K234" s="33">
        <f t="shared" si="190"/>
        <v>21.9</v>
      </c>
      <c r="L234" s="49"/>
      <c r="M234" s="21"/>
      <c r="N234" s="33">
        <v>3</v>
      </c>
      <c r="O234" s="49">
        <v>4</v>
      </c>
      <c r="P234" s="49"/>
      <c r="Q234" s="21"/>
      <c r="R234" s="33">
        <v>3</v>
      </c>
      <c r="S234" s="49">
        <v>30</v>
      </c>
      <c r="T234" s="49"/>
      <c r="U234" s="19"/>
      <c r="V234" s="33">
        <f>(3*28)+13</f>
        <v>97</v>
      </c>
      <c r="W234" s="33">
        <f>(4*28)+9</f>
        <v>121</v>
      </c>
      <c r="X234" s="33">
        <f>(3*28)+28</f>
        <v>112</v>
      </c>
      <c r="Y234" s="19"/>
      <c r="Z234" s="33">
        <f>(0*24)+3</f>
        <v>3</v>
      </c>
      <c r="AA234" s="33">
        <f>(0*24)+30</f>
        <v>30</v>
      </c>
      <c r="AB234" s="33">
        <f>(1*24)+0</f>
        <v>24</v>
      </c>
      <c r="AC234" s="33">
        <f>(1*24)+15</f>
        <v>39</v>
      </c>
      <c r="AD234" s="19"/>
      <c r="AE234" s="33">
        <f>468+57</f>
        <v>525</v>
      </c>
      <c r="AF234" s="19"/>
      <c r="AG234" s="19"/>
      <c r="AH234" s="19"/>
    </row>
    <row r="235" spans="1:34" ht="14" x14ac:dyDescent="0.2">
      <c r="A235" s="14" t="s">
        <v>0</v>
      </c>
      <c r="B235" s="52">
        <f t="shared" ref="B235:D235" si="220">SUM(B204:B234)</f>
        <v>117</v>
      </c>
      <c r="C235" s="52">
        <f t="shared" si="220"/>
        <v>588</v>
      </c>
      <c r="D235" s="52">
        <f t="shared" si="220"/>
        <v>115</v>
      </c>
      <c r="F235" s="52">
        <f>SUM(F204:F234)</f>
        <v>61</v>
      </c>
      <c r="G235" s="52">
        <f>SUM(G206:G234)</f>
        <v>256</v>
      </c>
      <c r="H235" s="52">
        <f>SUM(H206:H233)</f>
        <v>100</v>
      </c>
      <c r="J235" s="52">
        <f>SUM(J204:J234)</f>
        <v>181.30000000000004</v>
      </c>
      <c r="K235" s="52">
        <f>SUM(K206:K234)</f>
        <v>189.5</v>
      </c>
      <c r="N235" s="52">
        <f>SUM(N204:N234)</f>
        <v>24</v>
      </c>
      <c r="O235" s="52">
        <f>SUM(O206:O234)</f>
        <v>74.5</v>
      </c>
      <c r="R235" s="52">
        <f>SUM(R204:R234)</f>
        <v>34.400000000000006</v>
      </c>
      <c r="S235" s="52">
        <f>SUM(S206:S234)</f>
        <v>346</v>
      </c>
    </row>
    <row r="236" spans="1:34" ht="14" x14ac:dyDescent="0.2">
      <c r="A236" s="5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row>
    <row r="237" spans="1:34" ht="14" x14ac:dyDescent="0.2">
      <c r="A237" s="5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row>
    <row r="238" spans="1:34" ht="14" x14ac:dyDescent="0.2">
      <c r="A238" s="50">
        <v>45689</v>
      </c>
      <c r="B238" s="33">
        <v>4</v>
      </c>
      <c r="C238" s="33">
        <v>25</v>
      </c>
      <c r="D238" s="33">
        <v>0</v>
      </c>
      <c r="F238" s="33">
        <v>2</v>
      </c>
      <c r="G238" s="33">
        <v>4</v>
      </c>
      <c r="H238" s="33">
        <v>8</v>
      </c>
      <c r="J238" s="33">
        <v>9.9</v>
      </c>
      <c r="K238" s="33">
        <f>J238-L238+10.3</f>
        <v>7.3000000000000025</v>
      </c>
      <c r="L238" s="33">
        <f>9.1+3.8</f>
        <v>12.899999999999999</v>
      </c>
      <c r="M238" s="21"/>
      <c r="N238" s="33">
        <v>0</v>
      </c>
      <c r="O238" s="33">
        <v>6</v>
      </c>
      <c r="P238" s="33">
        <v>1.3</v>
      </c>
      <c r="Q238" s="21"/>
      <c r="R238" s="33">
        <v>1</v>
      </c>
      <c r="S238" s="33">
        <v>6</v>
      </c>
      <c r="T238" s="33">
        <v>1.6</v>
      </c>
      <c r="U238" s="19"/>
      <c r="V238" s="33">
        <f>(1*28)+40</f>
        <v>68</v>
      </c>
      <c r="W238" s="33">
        <f>(1*28)+34</f>
        <v>62</v>
      </c>
      <c r="X238" s="33">
        <f>(2*28)+45</f>
        <v>101</v>
      </c>
      <c r="Y238" s="19"/>
      <c r="Z238" s="33">
        <f>(0*24)+0</f>
        <v>0</v>
      </c>
      <c r="AA238" s="33">
        <f>(0*24)+28</f>
        <v>28</v>
      </c>
      <c r="AB238" s="33">
        <f>(0*24)+25</f>
        <v>25</v>
      </c>
      <c r="AC238" s="33">
        <f>(0*24)+0</f>
        <v>0</v>
      </c>
      <c r="AD238" s="19"/>
      <c r="AE238" s="33">
        <v>527</v>
      </c>
      <c r="AF238" s="19"/>
      <c r="AG238" s="19"/>
      <c r="AH238" s="19"/>
    </row>
    <row r="239" spans="1:34" ht="14" x14ac:dyDescent="0.2">
      <c r="A239" s="50">
        <v>45690</v>
      </c>
      <c r="B239" s="49">
        <v>8</v>
      </c>
      <c r="C239" s="49">
        <v>31</v>
      </c>
      <c r="D239" s="49">
        <v>11</v>
      </c>
      <c r="F239" s="33">
        <v>3</v>
      </c>
      <c r="G239" s="49">
        <v>17</v>
      </c>
      <c r="H239" s="49">
        <v>1</v>
      </c>
      <c r="J239" s="33">
        <v>7.2</v>
      </c>
      <c r="K239" s="33">
        <f t="shared" ref="K239:K266" si="221">J239+L238-L239</f>
        <v>11.699999999999998</v>
      </c>
      <c r="L239" s="49">
        <f>2.7+5.7</f>
        <v>8.4</v>
      </c>
      <c r="M239" s="21"/>
      <c r="N239" s="33">
        <v>2</v>
      </c>
      <c r="O239" s="49">
        <v>5</v>
      </c>
      <c r="P239" s="49">
        <v>1.5</v>
      </c>
      <c r="Q239" s="21"/>
      <c r="R239" s="33">
        <v>2</v>
      </c>
      <c r="S239" s="49">
        <v>23</v>
      </c>
      <c r="T239" s="49">
        <v>2.7</v>
      </c>
      <c r="U239" s="19"/>
      <c r="V239" s="33">
        <f t="shared" ref="V239:V240" si="222">(4*28)+30</f>
        <v>142</v>
      </c>
      <c r="W239" s="33">
        <f>(4*28)+34</f>
        <v>146</v>
      </c>
      <c r="X239" s="33">
        <f>(5*28)+42</f>
        <v>182</v>
      </c>
      <c r="Y239" s="19"/>
      <c r="Z239" s="33">
        <f t="shared" ref="Z239:Z245" si="223">(3*24)+0</f>
        <v>72</v>
      </c>
      <c r="AA239" s="33">
        <f>(1*24)+25</f>
        <v>49</v>
      </c>
      <c r="AB239" s="33">
        <f>(2*24)+22</f>
        <v>70</v>
      </c>
      <c r="AC239" s="33">
        <f t="shared" ref="AC239:AC250" si="224">(3*24)+0</f>
        <v>72</v>
      </c>
      <c r="AD239" s="19"/>
      <c r="AE239" s="33">
        <f>480+14</f>
        <v>494</v>
      </c>
      <c r="AF239" s="19"/>
      <c r="AG239" s="19"/>
      <c r="AH239" s="19"/>
    </row>
    <row r="240" spans="1:34" ht="14" x14ac:dyDescent="0.2">
      <c r="A240" s="50">
        <v>45691</v>
      </c>
      <c r="B240" s="49">
        <v>3</v>
      </c>
      <c r="C240" s="49">
        <v>10</v>
      </c>
      <c r="D240" s="49">
        <v>8</v>
      </c>
      <c r="F240" s="33">
        <v>2</v>
      </c>
      <c r="G240" s="49">
        <v>7</v>
      </c>
      <c r="H240" s="49">
        <v>5</v>
      </c>
      <c r="J240" s="33">
        <v>6.6</v>
      </c>
      <c r="K240" s="33">
        <f t="shared" si="221"/>
        <v>4.4000000000000004</v>
      </c>
      <c r="L240" s="49">
        <f>6.6+4</f>
        <v>10.6</v>
      </c>
      <c r="M240" s="21"/>
      <c r="N240" s="33">
        <v>0.5</v>
      </c>
      <c r="O240" s="49">
        <v>1</v>
      </c>
      <c r="P240" s="49">
        <v>1.9</v>
      </c>
      <c r="Q240" s="21"/>
      <c r="R240" s="33">
        <v>2</v>
      </c>
      <c r="S240" s="49">
        <v>6</v>
      </c>
      <c r="T240" s="49">
        <v>2.7</v>
      </c>
      <c r="U240" s="19"/>
      <c r="V240" s="33">
        <f t="shared" si="222"/>
        <v>142</v>
      </c>
      <c r="W240" s="33">
        <f t="shared" ref="W240:W241" si="225">(4*28)+33</f>
        <v>145</v>
      </c>
      <c r="X240" s="33">
        <f t="shared" ref="X240:X241" si="226">(5*28)+37</f>
        <v>177</v>
      </c>
      <c r="Y240" s="19"/>
      <c r="Z240" s="33">
        <f t="shared" si="223"/>
        <v>72</v>
      </c>
      <c r="AA240" s="33">
        <f t="shared" ref="AA240:AA242" si="227">(1*24)+24</f>
        <v>48</v>
      </c>
      <c r="AB240" s="33">
        <f t="shared" ref="AB240:AB241" si="228">(2*24)+20</f>
        <v>68</v>
      </c>
      <c r="AC240" s="33">
        <f t="shared" si="224"/>
        <v>72</v>
      </c>
      <c r="AD240" s="19"/>
      <c r="AE240" s="33">
        <f>444+36</f>
        <v>480</v>
      </c>
      <c r="AF240" s="19"/>
      <c r="AG240" s="19"/>
      <c r="AH240" s="19"/>
    </row>
    <row r="241" spans="1:34" ht="14" x14ac:dyDescent="0.2">
      <c r="A241" s="50">
        <v>45692</v>
      </c>
      <c r="B241" s="49">
        <v>2.5</v>
      </c>
      <c r="C241" s="49">
        <v>21</v>
      </c>
      <c r="D241" s="49">
        <v>0</v>
      </c>
      <c r="F241" s="33">
        <v>2</v>
      </c>
      <c r="G241" s="49">
        <v>5</v>
      </c>
      <c r="H241" s="49">
        <v>7</v>
      </c>
      <c r="J241" s="33">
        <v>9.5</v>
      </c>
      <c r="K241" s="33">
        <f t="shared" si="221"/>
        <v>4.6000000000000014</v>
      </c>
      <c r="L241" s="49">
        <f>11+4.5</f>
        <v>15.5</v>
      </c>
      <c r="M241" s="21"/>
      <c r="N241" s="33">
        <v>1</v>
      </c>
      <c r="O241" s="49">
        <v>0</v>
      </c>
      <c r="P241" s="49">
        <v>2.8</v>
      </c>
      <c r="Q241" s="21"/>
      <c r="R241" s="33">
        <v>0</v>
      </c>
      <c r="S241" s="49">
        <v>13</v>
      </c>
      <c r="T241" s="49">
        <v>0.8</v>
      </c>
      <c r="U241" s="19"/>
      <c r="V241" s="33">
        <f t="shared" ref="V241:V242" si="229">(4*28)+25</f>
        <v>137</v>
      </c>
      <c r="W241" s="33">
        <f t="shared" si="225"/>
        <v>145</v>
      </c>
      <c r="X241" s="33">
        <f t="shared" si="226"/>
        <v>177</v>
      </c>
      <c r="Y241" s="19"/>
      <c r="Z241" s="33">
        <f t="shared" si="223"/>
        <v>72</v>
      </c>
      <c r="AA241" s="33">
        <f t="shared" si="227"/>
        <v>48</v>
      </c>
      <c r="AB241" s="33">
        <f t="shared" si="228"/>
        <v>68</v>
      </c>
      <c r="AC241" s="33">
        <f t="shared" si="224"/>
        <v>72</v>
      </c>
      <c r="AD241" s="19"/>
      <c r="AE241" s="33">
        <f>432+34</f>
        <v>466</v>
      </c>
      <c r="AF241" s="19"/>
      <c r="AG241" s="19"/>
      <c r="AH241" s="19"/>
    </row>
    <row r="242" spans="1:34" ht="14" x14ac:dyDescent="0.2">
      <c r="A242" s="50">
        <v>45693</v>
      </c>
      <c r="B242" s="49">
        <v>4</v>
      </c>
      <c r="C242" s="49">
        <v>20</v>
      </c>
      <c r="D242" s="49">
        <v>4</v>
      </c>
      <c r="F242" s="33">
        <v>2</v>
      </c>
      <c r="G242" s="49">
        <v>5</v>
      </c>
      <c r="H242" s="49">
        <v>7</v>
      </c>
      <c r="J242" s="33">
        <v>4.5999999999999996</v>
      </c>
      <c r="K242" s="33">
        <f t="shared" si="221"/>
        <v>4.9000000000000004</v>
      </c>
      <c r="L242" s="49">
        <f>8.8+6.4</f>
        <v>15.200000000000001</v>
      </c>
      <c r="M242" s="21"/>
      <c r="N242" s="33">
        <v>0</v>
      </c>
      <c r="O242" s="49">
        <v>2</v>
      </c>
      <c r="P242" s="49">
        <v>2.5</v>
      </c>
      <c r="Q242" s="21"/>
      <c r="R242" s="33">
        <v>2</v>
      </c>
      <c r="S242" s="49">
        <v>9</v>
      </c>
      <c r="T242" s="49">
        <v>1.8</v>
      </c>
      <c r="U242" s="19"/>
      <c r="V242" s="33">
        <f t="shared" si="229"/>
        <v>137</v>
      </c>
      <c r="W242" s="33">
        <f>(4*28)+31</f>
        <v>143</v>
      </c>
      <c r="X242" s="33">
        <f t="shared" ref="X242:X243" si="230">(5*28)+35</f>
        <v>175</v>
      </c>
      <c r="Y242" s="19"/>
      <c r="Z242" s="33">
        <f t="shared" si="223"/>
        <v>72</v>
      </c>
      <c r="AA242" s="33">
        <f t="shared" si="227"/>
        <v>48</v>
      </c>
      <c r="AB242" s="33">
        <f>(2*24)+18</f>
        <v>66</v>
      </c>
      <c r="AC242" s="33">
        <f t="shared" si="224"/>
        <v>72</v>
      </c>
      <c r="AD242" s="19"/>
      <c r="AE242" s="33">
        <f>432+23</f>
        <v>455</v>
      </c>
      <c r="AF242" s="19"/>
      <c r="AG242" s="19"/>
      <c r="AH242" s="19"/>
    </row>
    <row r="243" spans="1:34" ht="14" x14ac:dyDescent="0.2">
      <c r="A243" s="50">
        <v>45694</v>
      </c>
      <c r="B243" s="49">
        <v>4</v>
      </c>
      <c r="C243" s="49">
        <v>12</v>
      </c>
      <c r="D243" s="49">
        <v>12</v>
      </c>
      <c r="F243" s="33">
        <v>2</v>
      </c>
      <c r="G243" s="49">
        <v>4</v>
      </c>
      <c r="H243" s="49">
        <v>8</v>
      </c>
      <c r="J243" s="33">
        <v>6.4</v>
      </c>
      <c r="K243" s="33">
        <f t="shared" si="221"/>
        <v>6.7000000000000028</v>
      </c>
      <c r="L243" s="49">
        <f>7.1+7.8</f>
        <v>14.899999999999999</v>
      </c>
      <c r="M243" s="21"/>
      <c r="N243" s="33">
        <v>0</v>
      </c>
      <c r="O243" s="49">
        <v>2</v>
      </c>
      <c r="P243" s="49">
        <v>2.2000000000000002</v>
      </c>
      <c r="Q243" s="21"/>
      <c r="R243" s="33">
        <v>2</v>
      </c>
      <c r="S243" s="49">
        <v>7</v>
      </c>
      <c r="T243" s="49">
        <v>3.6</v>
      </c>
      <c r="U243" s="19"/>
      <c r="V243" s="33">
        <f>(4*28)+20</f>
        <v>132</v>
      </c>
      <c r="W243" s="33">
        <f>(4*28)+30</f>
        <v>142</v>
      </c>
      <c r="X243" s="33">
        <f t="shared" si="230"/>
        <v>175</v>
      </c>
      <c r="Y243" s="19"/>
      <c r="Z243" s="33">
        <f t="shared" si="223"/>
        <v>72</v>
      </c>
      <c r="AA243" s="33">
        <f>(1*24)+22</f>
        <v>46</v>
      </c>
      <c r="AB243" s="33">
        <f>(2*24)+16</f>
        <v>64</v>
      </c>
      <c r="AC243" s="33">
        <f t="shared" si="224"/>
        <v>72</v>
      </c>
      <c r="AD243" s="19"/>
      <c r="AE243" s="33">
        <f>408+35</f>
        <v>443</v>
      </c>
      <c r="AF243" s="19"/>
      <c r="AG243" s="19"/>
      <c r="AH243" s="19"/>
    </row>
    <row r="244" spans="1:34" ht="14" x14ac:dyDescent="0.2">
      <c r="A244" s="50">
        <v>45695</v>
      </c>
      <c r="B244" s="49">
        <v>4</v>
      </c>
      <c r="C244" s="49">
        <v>19</v>
      </c>
      <c r="D244" s="49">
        <v>5</v>
      </c>
      <c r="F244" s="33">
        <v>2</v>
      </c>
      <c r="G244" s="49">
        <v>11</v>
      </c>
      <c r="H244" s="49">
        <v>1</v>
      </c>
      <c r="J244" s="33">
        <v>0</v>
      </c>
      <c r="K244" s="33">
        <f t="shared" si="221"/>
        <v>4.5</v>
      </c>
      <c r="L244" s="49">
        <f>4.6+5.8</f>
        <v>10.399999999999999</v>
      </c>
      <c r="M244" s="21"/>
      <c r="N244" s="33">
        <v>0</v>
      </c>
      <c r="O244" s="49">
        <v>6</v>
      </c>
      <c r="P244" s="49">
        <v>0</v>
      </c>
      <c r="Q244" s="21"/>
      <c r="R244" s="33">
        <v>0</v>
      </c>
      <c r="S244" s="49">
        <v>11</v>
      </c>
      <c r="T244" s="49">
        <v>2</v>
      </c>
      <c r="U244" s="19"/>
      <c r="V244" s="33">
        <f>(4*28)+13</f>
        <v>125</v>
      </c>
      <c r="W244" s="33">
        <f t="shared" ref="W244:W248" si="231">(4*28)+25</f>
        <v>137</v>
      </c>
      <c r="X244" s="33">
        <f>(5*28)+32</f>
        <v>172</v>
      </c>
      <c r="Y244" s="19"/>
      <c r="Z244" s="33">
        <f t="shared" si="223"/>
        <v>72</v>
      </c>
      <c r="AA244" s="33">
        <f>(1*24)+21</f>
        <v>45</v>
      </c>
      <c r="AB244" s="33">
        <f>(2*24)+14</f>
        <v>62</v>
      </c>
      <c r="AC244" s="33">
        <f t="shared" si="224"/>
        <v>72</v>
      </c>
      <c r="AD244" s="19"/>
      <c r="AE244" s="33">
        <f>408+19</f>
        <v>427</v>
      </c>
      <c r="AF244" s="19"/>
      <c r="AG244" s="19"/>
      <c r="AH244" s="19"/>
    </row>
    <row r="245" spans="1:34" ht="14" x14ac:dyDescent="0.2">
      <c r="A245" s="50">
        <v>45696</v>
      </c>
      <c r="B245" s="49">
        <v>4</v>
      </c>
      <c r="C245" s="49">
        <v>21</v>
      </c>
      <c r="D245" s="49">
        <v>3</v>
      </c>
      <c r="F245" s="33">
        <v>2</v>
      </c>
      <c r="G245" s="49">
        <v>12</v>
      </c>
      <c r="H245" s="49">
        <v>0</v>
      </c>
      <c r="J245" s="33">
        <v>6.5</v>
      </c>
      <c r="K245" s="33">
        <f t="shared" si="221"/>
        <v>5.9999999999999982</v>
      </c>
      <c r="L245" s="49">
        <f>4.5+6.4</f>
        <v>10.9</v>
      </c>
      <c r="M245" s="21"/>
      <c r="N245" s="33">
        <v>1</v>
      </c>
      <c r="O245" s="49">
        <v>3</v>
      </c>
      <c r="P245" s="49">
        <v>0.7</v>
      </c>
      <c r="Q245" s="21"/>
      <c r="R245" s="33">
        <v>2</v>
      </c>
      <c r="S245" s="49">
        <v>10</v>
      </c>
      <c r="T245" s="49">
        <v>3.5</v>
      </c>
      <c r="U245" s="19"/>
      <c r="V245" s="33">
        <f>(4*28)+8</f>
        <v>120</v>
      </c>
      <c r="W245" s="33">
        <f t="shared" si="231"/>
        <v>137</v>
      </c>
      <c r="X245" s="33">
        <f>(5*28)+30</f>
        <v>170</v>
      </c>
      <c r="Y245" s="19"/>
      <c r="Z245" s="33">
        <f t="shared" si="223"/>
        <v>72</v>
      </c>
      <c r="AA245" s="33">
        <f>(1*24)+18</f>
        <v>42</v>
      </c>
      <c r="AB245" s="33">
        <f>(2*24)+10</f>
        <v>58</v>
      </c>
      <c r="AC245" s="33">
        <f t="shared" si="224"/>
        <v>72</v>
      </c>
      <c r="AD245" s="19"/>
      <c r="AE245" s="33">
        <f>384+24</f>
        <v>408</v>
      </c>
      <c r="AF245" s="19"/>
      <c r="AG245" s="19"/>
      <c r="AH245" s="19"/>
    </row>
    <row r="246" spans="1:34" ht="14" x14ac:dyDescent="0.2">
      <c r="A246" s="50">
        <v>45697</v>
      </c>
      <c r="B246" s="49">
        <v>7.5</v>
      </c>
      <c r="C246" s="49">
        <v>38</v>
      </c>
      <c r="D246" s="49">
        <v>7</v>
      </c>
      <c r="F246" s="33">
        <v>2.2999999999999998</v>
      </c>
      <c r="G246" s="49">
        <v>15</v>
      </c>
      <c r="H246" s="49">
        <v>0</v>
      </c>
      <c r="J246" s="33">
        <v>6.5</v>
      </c>
      <c r="K246" s="33">
        <f t="shared" si="221"/>
        <v>9.7999999999999972</v>
      </c>
      <c r="L246" s="49">
        <f>1.7+5.9</f>
        <v>7.6000000000000005</v>
      </c>
      <c r="M246" s="21"/>
      <c r="N246" s="33">
        <v>3</v>
      </c>
      <c r="O246" s="49">
        <v>4</v>
      </c>
      <c r="P246" s="49">
        <v>1.9</v>
      </c>
      <c r="Q246" s="21"/>
      <c r="R246" s="33">
        <v>2</v>
      </c>
      <c r="S246" s="49">
        <v>21</v>
      </c>
      <c r="T246" s="49">
        <v>2.8</v>
      </c>
      <c r="U246" s="19"/>
      <c r="V246" s="33">
        <f t="shared" ref="V246:V248" si="232">(3*28)+30</f>
        <v>114</v>
      </c>
      <c r="W246" s="33">
        <f t="shared" si="231"/>
        <v>137</v>
      </c>
      <c r="X246" s="33">
        <f t="shared" ref="X246:X248" si="233">(5*28)+29</f>
        <v>169</v>
      </c>
      <c r="Y246" s="19"/>
      <c r="Z246" s="33">
        <f t="shared" ref="Z246:Z248" si="234">(2*24)+21</f>
        <v>69</v>
      </c>
      <c r="AA246" s="33">
        <f t="shared" ref="AA246:AA248" si="235">(0*24)+32</f>
        <v>32</v>
      </c>
      <c r="AB246" s="33">
        <f t="shared" ref="AB246:AB248" si="236">(1*24)+34</f>
        <v>58</v>
      </c>
      <c r="AC246" s="33">
        <f t="shared" si="224"/>
        <v>72</v>
      </c>
      <c r="AD246" s="19"/>
      <c r="AE246" s="33">
        <f t="shared" ref="AE246:AE248" si="237">360+12</f>
        <v>372</v>
      </c>
      <c r="AF246" s="19"/>
      <c r="AG246" s="19"/>
      <c r="AH246" s="19"/>
    </row>
    <row r="247" spans="1:34" ht="14" x14ac:dyDescent="0.2">
      <c r="A247" s="50">
        <v>45698</v>
      </c>
      <c r="B247" s="49">
        <v>3</v>
      </c>
      <c r="C247" s="49">
        <v>8</v>
      </c>
      <c r="D247" s="49">
        <v>10</v>
      </c>
      <c r="F247" s="33">
        <v>2</v>
      </c>
      <c r="G247" s="49">
        <v>7</v>
      </c>
      <c r="H247" s="49">
        <v>5</v>
      </c>
      <c r="J247" s="33">
        <v>13.7</v>
      </c>
      <c r="K247" s="33">
        <f t="shared" si="221"/>
        <v>5.5</v>
      </c>
      <c r="L247" s="49">
        <f>6.3+9.5</f>
        <v>15.8</v>
      </c>
      <c r="M247" s="21"/>
      <c r="N247" s="33">
        <v>0</v>
      </c>
      <c r="O247" s="49">
        <v>0</v>
      </c>
      <c r="P247" s="49">
        <v>2</v>
      </c>
      <c r="Q247" s="21"/>
      <c r="R247" s="33">
        <v>0</v>
      </c>
      <c r="S247" s="49">
        <v>4</v>
      </c>
      <c r="T247" s="49">
        <v>2.1</v>
      </c>
      <c r="U247" s="19"/>
      <c r="V247" s="33">
        <f t="shared" si="232"/>
        <v>114</v>
      </c>
      <c r="W247" s="33">
        <f t="shared" si="231"/>
        <v>137</v>
      </c>
      <c r="X247" s="33">
        <f t="shared" si="233"/>
        <v>169</v>
      </c>
      <c r="Y247" s="19"/>
      <c r="Z247" s="33">
        <f t="shared" si="234"/>
        <v>69</v>
      </c>
      <c r="AA247" s="33">
        <f t="shared" si="235"/>
        <v>32</v>
      </c>
      <c r="AB247" s="33">
        <f t="shared" si="236"/>
        <v>58</v>
      </c>
      <c r="AC247" s="33">
        <f t="shared" si="224"/>
        <v>72</v>
      </c>
      <c r="AD247" s="19"/>
      <c r="AE247" s="33">
        <f t="shared" si="237"/>
        <v>372</v>
      </c>
      <c r="AF247" s="19"/>
      <c r="AG247" s="19"/>
      <c r="AH247" s="19"/>
    </row>
    <row r="248" spans="1:34" ht="14" x14ac:dyDescent="0.2">
      <c r="A248" s="50">
        <v>45699</v>
      </c>
      <c r="B248" s="49">
        <v>3</v>
      </c>
      <c r="C248" s="49">
        <v>11</v>
      </c>
      <c r="D248" s="49">
        <v>8</v>
      </c>
      <c r="F248" s="33">
        <v>2</v>
      </c>
      <c r="G248" s="49">
        <v>5</v>
      </c>
      <c r="H248" s="49">
        <v>7</v>
      </c>
      <c r="J248" s="33">
        <v>0</v>
      </c>
      <c r="K248" s="33">
        <f t="shared" si="221"/>
        <v>6.1000000000000014</v>
      </c>
      <c r="L248" s="49">
        <f>6.8+2.9</f>
        <v>9.6999999999999993</v>
      </c>
      <c r="M248" s="21"/>
      <c r="N248" s="33">
        <v>0</v>
      </c>
      <c r="O248" s="49">
        <v>1</v>
      </c>
      <c r="P248" s="49">
        <v>2.1</v>
      </c>
      <c r="Q248" s="21"/>
      <c r="R248" s="33">
        <v>0</v>
      </c>
      <c r="S248" s="49">
        <v>8</v>
      </c>
      <c r="T248" s="49">
        <v>1.5</v>
      </c>
      <c r="U248" s="19"/>
      <c r="V248" s="33">
        <f t="shared" si="232"/>
        <v>114</v>
      </c>
      <c r="W248" s="33">
        <f t="shared" si="231"/>
        <v>137</v>
      </c>
      <c r="X248" s="33">
        <f t="shared" si="233"/>
        <v>169</v>
      </c>
      <c r="Y248" s="19"/>
      <c r="Z248" s="33">
        <f t="shared" si="234"/>
        <v>69</v>
      </c>
      <c r="AA248" s="33">
        <f t="shared" si="235"/>
        <v>32</v>
      </c>
      <c r="AB248" s="33">
        <f t="shared" si="236"/>
        <v>58</v>
      </c>
      <c r="AC248" s="33">
        <f t="shared" si="224"/>
        <v>72</v>
      </c>
      <c r="AD248" s="19"/>
      <c r="AE248" s="33">
        <f t="shared" si="237"/>
        <v>372</v>
      </c>
      <c r="AF248" s="19"/>
      <c r="AG248" s="19"/>
      <c r="AH248" s="19"/>
    </row>
    <row r="249" spans="1:34" ht="14" x14ac:dyDescent="0.2">
      <c r="A249" s="50">
        <v>45700</v>
      </c>
      <c r="B249" s="49">
        <v>0</v>
      </c>
      <c r="C249" s="49">
        <v>0</v>
      </c>
      <c r="D249" s="49">
        <v>0</v>
      </c>
      <c r="F249" s="33">
        <v>0</v>
      </c>
      <c r="G249" s="33">
        <v>0</v>
      </c>
      <c r="H249" s="33">
        <v>0</v>
      </c>
      <c r="J249" s="33">
        <v>3.8</v>
      </c>
      <c r="K249" s="33">
        <f t="shared" si="221"/>
        <v>3.5</v>
      </c>
      <c r="L249" s="49">
        <f>6.7+3.3</f>
        <v>10</v>
      </c>
      <c r="M249" s="21"/>
      <c r="N249" s="33">
        <v>1.3</v>
      </c>
      <c r="O249" s="49">
        <v>1</v>
      </c>
      <c r="P249" s="49">
        <v>3</v>
      </c>
      <c r="Q249" s="21"/>
      <c r="R249" s="33">
        <v>0</v>
      </c>
      <c r="S249" s="49">
        <v>11</v>
      </c>
      <c r="T249" s="49">
        <v>0</v>
      </c>
      <c r="U249" s="19"/>
      <c r="V249" s="33">
        <f>(3*28)+24</f>
        <v>108</v>
      </c>
      <c r="W249" s="33">
        <f>(4*28)+18</f>
        <v>130</v>
      </c>
      <c r="X249" s="33">
        <f>(5*28)+26</f>
        <v>166</v>
      </c>
      <c r="Y249" s="19"/>
      <c r="Z249" s="33">
        <f>(2*24)+8</f>
        <v>56</v>
      </c>
      <c r="AA249" s="33">
        <f t="shared" ref="AA249:AA251" si="238">(0*24)+21</f>
        <v>21</v>
      </c>
      <c r="AB249" s="33">
        <f>(1*24)+26</f>
        <v>50</v>
      </c>
      <c r="AC249" s="33">
        <f t="shared" si="224"/>
        <v>72</v>
      </c>
      <c r="AD249" s="19"/>
      <c r="AE249" s="33">
        <f>288+25</f>
        <v>313</v>
      </c>
      <c r="AF249" s="19"/>
      <c r="AG249" s="19"/>
      <c r="AH249" s="19"/>
    </row>
    <row r="250" spans="1:34" ht="14" x14ac:dyDescent="0.2">
      <c r="A250" s="50">
        <v>45701</v>
      </c>
      <c r="B250" s="49">
        <v>3</v>
      </c>
      <c r="C250" s="49">
        <v>13</v>
      </c>
      <c r="D250" s="49">
        <v>5</v>
      </c>
      <c r="F250" s="33">
        <v>2</v>
      </c>
      <c r="G250" s="49">
        <v>6</v>
      </c>
      <c r="H250" s="49">
        <v>6</v>
      </c>
      <c r="J250" s="33">
        <v>5.2</v>
      </c>
      <c r="K250" s="33">
        <f t="shared" si="221"/>
        <v>5.5</v>
      </c>
      <c r="L250" s="49">
        <f>5.2+4.5</f>
        <v>9.6999999999999993</v>
      </c>
      <c r="M250" s="21"/>
      <c r="N250" s="33">
        <v>0</v>
      </c>
      <c r="O250" s="49">
        <v>3</v>
      </c>
      <c r="P250" s="49">
        <v>2.4</v>
      </c>
      <c r="Q250" s="21"/>
      <c r="R250" s="33">
        <v>2</v>
      </c>
      <c r="S250" s="49">
        <v>10</v>
      </c>
      <c r="T250" s="49">
        <v>0.8</v>
      </c>
      <c r="U250" s="19"/>
      <c r="V250" s="33">
        <f t="shared" ref="V250:V251" si="239">(3*28)+22</f>
        <v>106</v>
      </c>
      <c r="W250" s="33">
        <f t="shared" ref="W250:W251" si="240">(4*28)+17</f>
        <v>129</v>
      </c>
      <c r="X250" s="33">
        <f t="shared" ref="X250:X251" si="241">(5*28)+25</f>
        <v>165</v>
      </c>
      <c r="Y250" s="19"/>
      <c r="Z250" s="33">
        <f>(2*24)+4</f>
        <v>52</v>
      </c>
      <c r="AA250" s="33">
        <f t="shared" si="238"/>
        <v>21</v>
      </c>
      <c r="AB250" s="33">
        <f>(1*24)+25</f>
        <v>49</v>
      </c>
      <c r="AC250" s="33">
        <f t="shared" si="224"/>
        <v>72</v>
      </c>
      <c r="AD250" s="19"/>
      <c r="AE250" s="33">
        <f>276+10</f>
        <v>286</v>
      </c>
      <c r="AF250" s="19"/>
      <c r="AG250" s="19"/>
      <c r="AH250" s="19"/>
    </row>
    <row r="251" spans="1:34" ht="14" x14ac:dyDescent="0.2">
      <c r="A251" s="50">
        <v>45702</v>
      </c>
      <c r="B251" s="49">
        <v>3</v>
      </c>
      <c r="C251" s="49">
        <v>16</v>
      </c>
      <c r="D251" s="49">
        <v>2</v>
      </c>
      <c r="F251" s="33">
        <v>2</v>
      </c>
      <c r="G251" s="49">
        <v>12</v>
      </c>
      <c r="H251" s="49">
        <v>0</v>
      </c>
      <c r="J251" s="33">
        <v>6.5</v>
      </c>
      <c r="K251" s="33">
        <f t="shared" si="221"/>
        <v>6</v>
      </c>
      <c r="L251" s="49">
        <f>7.6+2.6</f>
        <v>10.199999999999999</v>
      </c>
      <c r="M251" s="21"/>
      <c r="N251" s="33">
        <v>0</v>
      </c>
      <c r="O251" s="49">
        <v>6</v>
      </c>
      <c r="P251" s="49">
        <v>0.9</v>
      </c>
      <c r="Q251" s="21"/>
      <c r="R251" s="33">
        <v>2.5</v>
      </c>
      <c r="S251" s="49">
        <v>7</v>
      </c>
      <c r="T251" s="49">
        <v>2.5</v>
      </c>
      <c r="U251" s="19"/>
      <c r="V251" s="33">
        <f t="shared" si="239"/>
        <v>106</v>
      </c>
      <c r="W251" s="33">
        <f t="shared" si="240"/>
        <v>129</v>
      </c>
      <c r="X251" s="33">
        <f t="shared" si="241"/>
        <v>165</v>
      </c>
      <c r="Y251" s="19"/>
      <c r="Z251" s="33">
        <f>(1*24)+26</f>
        <v>50</v>
      </c>
      <c r="AA251" s="33">
        <f t="shared" si="238"/>
        <v>21</v>
      </c>
      <c r="AB251" s="33">
        <f>(1*24)+24</f>
        <v>48</v>
      </c>
      <c r="AC251" s="33">
        <f>(2*24)+24</f>
        <v>72</v>
      </c>
      <c r="AD251" s="19"/>
      <c r="AE251" s="33">
        <f>252+24</f>
        <v>276</v>
      </c>
      <c r="AF251" s="19"/>
      <c r="AG251" s="19"/>
      <c r="AH251" s="19"/>
    </row>
    <row r="252" spans="1:34" ht="14" x14ac:dyDescent="0.2">
      <c r="A252" s="50">
        <v>45703</v>
      </c>
      <c r="B252" s="49">
        <v>5</v>
      </c>
      <c r="C252" s="49">
        <v>19</v>
      </c>
      <c r="D252" s="49">
        <v>11</v>
      </c>
      <c r="F252" s="33">
        <v>2</v>
      </c>
      <c r="G252" s="49">
        <v>4</v>
      </c>
      <c r="H252" s="49">
        <v>8</v>
      </c>
      <c r="J252" s="33">
        <v>11.5</v>
      </c>
      <c r="K252" s="33">
        <f t="shared" si="221"/>
        <v>8.6999999999999993</v>
      </c>
      <c r="L252" s="49">
        <f>11+2</f>
        <v>13</v>
      </c>
      <c r="M252" s="21"/>
      <c r="N252" s="33">
        <v>0.75</v>
      </c>
      <c r="O252" s="49">
        <v>5</v>
      </c>
      <c r="P252" s="49">
        <v>0</v>
      </c>
      <c r="Q252" s="21"/>
      <c r="R252" s="33">
        <v>1.5</v>
      </c>
      <c r="S252" s="49">
        <v>18</v>
      </c>
      <c r="T252" s="49">
        <v>1.8</v>
      </c>
      <c r="U252" s="19"/>
      <c r="V252" s="33">
        <f t="shared" ref="V252:V254" si="242">(3*28)+18</f>
        <v>102</v>
      </c>
      <c r="W252" s="33">
        <f t="shared" ref="W252:W253" si="243">(4*28)+9</f>
        <v>121</v>
      </c>
      <c r="X252" s="33">
        <f t="shared" ref="X252:X253" si="244">(5*28)+21</f>
        <v>161</v>
      </c>
      <c r="Y252" s="19"/>
      <c r="Z252" s="33">
        <f>(1*24)+21</f>
        <v>45</v>
      </c>
      <c r="AA252" s="33">
        <f t="shared" ref="AA252:AA253" si="245">(0*24)+19</f>
        <v>19</v>
      </c>
      <c r="AB252" s="33">
        <f>(1*24)+16</f>
        <v>40</v>
      </c>
      <c r="AC252" s="33">
        <f>(2*24)+21</f>
        <v>69</v>
      </c>
      <c r="AD252" s="19"/>
      <c r="AE252" s="33">
        <f>228+19</f>
        <v>247</v>
      </c>
      <c r="AF252" s="19"/>
      <c r="AG252" s="19"/>
      <c r="AH252" s="19"/>
    </row>
    <row r="253" spans="1:34" ht="14" x14ac:dyDescent="0.2">
      <c r="A253" s="50">
        <v>45704</v>
      </c>
      <c r="B253" s="49">
        <v>5</v>
      </c>
      <c r="C253" s="49">
        <v>29</v>
      </c>
      <c r="D253" s="49">
        <v>1</v>
      </c>
      <c r="F253" s="33">
        <v>2.5</v>
      </c>
      <c r="G253" s="49">
        <v>12</v>
      </c>
      <c r="H253" s="49">
        <v>3</v>
      </c>
      <c r="J253" s="33">
        <v>6.2</v>
      </c>
      <c r="K253" s="33">
        <f t="shared" si="221"/>
        <v>3.5</v>
      </c>
      <c r="L253" s="49">
        <f>11+4.7</f>
        <v>15.7</v>
      </c>
      <c r="M253" s="21"/>
      <c r="N253" s="33">
        <v>0</v>
      </c>
      <c r="O253" s="49">
        <v>0</v>
      </c>
      <c r="P253" s="49">
        <v>0</v>
      </c>
      <c r="Q253" s="21"/>
      <c r="R253" s="33">
        <v>1</v>
      </c>
      <c r="S253" s="49">
        <v>2</v>
      </c>
      <c r="T253" s="49">
        <v>2.5</v>
      </c>
      <c r="U253" s="19"/>
      <c r="V253" s="33">
        <f t="shared" si="242"/>
        <v>102</v>
      </c>
      <c r="W253" s="33">
        <f t="shared" si="243"/>
        <v>121</v>
      </c>
      <c r="X253" s="33">
        <f t="shared" si="244"/>
        <v>161</v>
      </c>
      <c r="Y253" s="19"/>
      <c r="Z253" s="33">
        <f t="shared" ref="Z253:Z254" si="246">(1*24)+19</f>
        <v>43</v>
      </c>
      <c r="AA253" s="33">
        <f t="shared" si="245"/>
        <v>19</v>
      </c>
      <c r="AB253" s="33">
        <f>(1*24)+13</f>
        <v>37</v>
      </c>
      <c r="AC253" s="33">
        <f t="shared" ref="AC253:AC255" si="247">(2*24)+17</f>
        <v>65</v>
      </c>
      <c r="AD253" s="19"/>
      <c r="AE253" s="33">
        <f>204+36</f>
        <v>240</v>
      </c>
      <c r="AF253" s="19"/>
      <c r="AG253" s="19"/>
      <c r="AH253" s="19"/>
    </row>
    <row r="254" spans="1:34" ht="14" x14ac:dyDescent="0.2">
      <c r="A254" s="50">
        <v>45705</v>
      </c>
      <c r="B254" s="49">
        <v>3</v>
      </c>
      <c r="C254" s="49">
        <v>6</v>
      </c>
      <c r="D254" s="49">
        <v>12</v>
      </c>
      <c r="F254" s="33">
        <v>2</v>
      </c>
      <c r="G254" s="49">
        <v>4</v>
      </c>
      <c r="H254" s="49">
        <v>8</v>
      </c>
      <c r="J254" s="33">
        <v>0</v>
      </c>
      <c r="K254" s="33">
        <f t="shared" si="221"/>
        <v>1.5</v>
      </c>
      <c r="L254" s="49">
        <f>11+3.2</f>
        <v>14.2</v>
      </c>
      <c r="M254" s="21"/>
      <c r="N254" s="33">
        <v>0</v>
      </c>
      <c r="O254" s="49">
        <v>1</v>
      </c>
      <c r="P254" s="49">
        <v>0</v>
      </c>
      <c r="Q254" s="21"/>
      <c r="R254" s="33">
        <v>0</v>
      </c>
      <c r="S254" s="49">
        <v>2</v>
      </c>
      <c r="T254" s="49">
        <v>2.5</v>
      </c>
      <c r="U254" s="19"/>
      <c r="V254" s="33">
        <f t="shared" si="242"/>
        <v>102</v>
      </c>
      <c r="W254" s="33">
        <f>(4*28)+7</f>
        <v>119</v>
      </c>
      <c r="X254" s="33">
        <f t="shared" ref="X254:X255" si="248">(5*28)+18</f>
        <v>158</v>
      </c>
      <c r="Y254" s="19"/>
      <c r="Z254" s="33">
        <f t="shared" si="246"/>
        <v>43</v>
      </c>
      <c r="AA254" s="33">
        <f>(0*24)+18</f>
        <v>18</v>
      </c>
      <c r="AB254" s="33">
        <f>(1*24)+10</f>
        <v>34</v>
      </c>
      <c r="AC254" s="33">
        <f t="shared" si="247"/>
        <v>65</v>
      </c>
      <c r="AD254" s="33"/>
      <c r="AE254" s="33">
        <f>204+24</f>
        <v>228</v>
      </c>
      <c r="AF254" s="19"/>
      <c r="AG254" s="19"/>
      <c r="AH254" s="19"/>
    </row>
    <row r="255" spans="1:34" ht="14" x14ac:dyDescent="0.2">
      <c r="A255" s="50">
        <v>45706</v>
      </c>
      <c r="B255" s="49">
        <v>2</v>
      </c>
      <c r="C255" s="49">
        <v>18</v>
      </c>
      <c r="D255" s="49">
        <v>0</v>
      </c>
      <c r="F255" s="33">
        <v>2</v>
      </c>
      <c r="G255" s="49">
        <v>1</v>
      </c>
      <c r="H255" s="49">
        <v>11</v>
      </c>
      <c r="J255" s="33">
        <v>0</v>
      </c>
      <c r="K255" s="33">
        <f t="shared" si="221"/>
        <v>5.1999999999999993</v>
      </c>
      <c r="L255" s="49">
        <v>9</v>
      </c>
      <c r="M255" s="21"/>
      <c r="N255" s="33">
        <v>0</v>
      </c>
      <c r="O255" s="49">
        <v>0</v>
      </c>
      <c r="P255" s="49">
        <v>0</v>
      </c>
      <c r="Q255" s="21"/>
      <c r="R255" s="33">
        <v>0</v>
      </c>
      <c r="S255" s="49">
        <v>8</v>
      </c>
      <c r="T255" s="49">
        <v>1.2</v>
      </c>
      <c r="U255" s="19"/>
      <c r="V255" s="33">
        <f t="shared" ref="V255:V256" si="249">(3*28)+13</f>
        <v>97</v>
      </c>
      <c r="W255" s="33">
        <f>(4*28)+6</f>
        <v>118</v>
      </c>
      <c r="X255" s="33">
        <f t="shared" si="248"/>
        <v>158</v>
      </c>
      <c r="Y255" s="19"/>
      <c r="Z255" s="33">
        <f>(1*24)+14</f>
        <v>38</v>
      </c>
      <c r="AA255" s="33">
        <f>(0*24)+17</f>
        <v>17</v>
      </c>
      <c r="AB255" s="33">
        <f>(1*24)+7</f>
        <v>31</v>
      </c>
      <c r="AC255" s="33">
        <f t="shared" si="247"/>
        <v>65</v>
      </c>
      <c r="AD255" s="19"/>
      <c r="AE255" s="33">
        <f>180+27</f>
        <v>207</v>
      </c>
      <c r="AF255" s="19"/>
      <c r="AG255" s="19"/>
      <c r="AH255" s="19"/>
    </row>
    <row r="256" spans="1:34" ht="14" x14ac:dyDescent="0.2">
      <c r="A256" s="50">
        <v>45707</v>
      </c>
      <c r="B256" s="49">
        <v>4</v>
      </c>
      <c r="C256" s="49">
        <v>24</v>
      </c>
      <c r="D256" s="49">
        <v>0</v>
      </c>
      <c r="F256" s="33">
        <v>2</v>
      </c>
      <c r="G256" s="49">
        <v>9</v>
      </c>
      <c r="H256" s="49">
        <v>3</v>
      </c>
      <c r="J256" s="33">
        <v>7.4</v>
      </c>
      <c r="K256" s="33">
        <f t="shared" si="221"/>
        <v>6.1999999999999993</v>
      </c>
      <c r="L256" s="49">
        <f>6.7+3.5</f>
        <v>10.199999999999999</v>
      </c>
      <c r="M256" s="21"/>
      <c r="N256" s="33">
        <v>0</v>
      </c>
      <c r="O256" s="49">
        <v>0</v>
      </c>
      <c r="P256" s="49">
        <v>0</v>
      </c>
      <c r="Q256" s="21"/>
      <c r="R256" s="33">
        <v>1</v>
      </c>
      <c r="S256" s="49">
        <v>4</v>
      </c>
      <c r="T256" s="49">
        <v>2</v>
      </c>
      <c r="U256" s="19"/>
      <c r="V256" s="33">
        <f t="shared" si="249"/>
        <v>97</v>
      </c>
      <c r="W256" s="33">
        <f>(4*28)+4</f>
        <v>116</v>
      </c>
      <c r="X256" s="33">
        <f t="shared" ref="X256:X258" si="250">(5*28)+17</f>
        <v>157</v>
      </c>
      <c r="Y256" s="19"/>
      <c r="Z256" s="33">
        <f>(1*24)+11</f>
        <v>35</v>
      </c>
      <c r="AA256" s="33">
        <f>(0*24)+14</f>
        <v>14</v>
      </c>
      <c r="AB256" s="33">
        <f>(1*24)+6</f>
        <v>30</v>
      </c>
      <c r="AC256" s="33">
        <f>(2*24)+12</f>
        <v>60</v>
      </c>
      <c r="AD256" s="19"/>
      <c r="AE256" s="33">
        <f>180+13</f>
        <v>193</v>
      </c>
      <c r="AF256" s="19"/>
      <c r="AG256" s="19"/>
      <c r="AH256" s="19"/>
    </row>
    <row r="257" spans="1:34" ht="14" x14ac:dyDescent="0.2">
      <c r="A257" s="50">
        <v>45708</v>
      </c>
      <c r="B257" s="49">
        <v>3</v>
      </c>
      <c r="C257" s="49">
        <v>14</v>
      </c>
      <c r="D257" s="49">
        <v>6</v>
      </c>
      <c r="F257" s="33">
        <v>2</v>
      </c>
      <c r="G257" s="49">
        <v>9</v>
      </c>
      <c r="H257" s="49">
        <v>3</v>
      </c>
      <c r="J257" s="33">
        <v>4.5</v>
      </c>
      <c r="K257" s="33">
        <f t="shared" si="221"/>
        <v>6.1</v>
      </c>
      <c r="L257" s="49">
        <f>4.1+4.5</f>
        <v>8.6</v>
      </c>
      <c r="M257" s="21"/>
      <c r="N257" s="33">
        <v>1</v>
      </c>
      <c r="O257" s="49">
        <v>3</v>
      </c>
      <c r="P257" s="49">
        <v>0.9</v>
      </c>
      <c r="Q257" s="21"/>
      <c r="R257" s="33">
        <v>0</v>
      </c>
      <c r="S257" s="49">
        <v>5</v>
      </c>
      <c r="T257" s="49">
        <v>1.8</v>
      </c>
      <c r="U257" s="19"/>
      <c r="V257" s="33">
        <f>(2*28)+41</f>
        <v>97</v>
      </c>
      <c r="W257" s="33">
        <f>(3*28)+32</f>
        <v>116</v>
      </c>
      <c r="X257" s="33">
        <f t="shared" si="250"/>
        <v>157</v>
      </c>
      <c r="Y257" s="19"/>
      <c r="Z257" s="33">
        <f t="shared" ref="Z257:Z258" si="251">(0*24)+35</f>
        <v>35</v>
      </c>
      <c r="AA257" s="33">
        <f>(0*24)+10</f>
        <v>10</v>
      </c>
      <c r="AB257" s="33">
        <f>(1*24)+4</f>
        <v>28</v>
      </c>
      <c r="AC257" s="33">
        <f>(2*24)+11</f>
        <v>59</v>
      </c>
      <c r="AD257" s="19"/>
      <c r="AE257" s="33">
        <f>144+39</f>
        <v>183</v>
      </c>
      <c r="AF257" s="19"/>
      <c r="AG257" s="19"/>
      <c r="AH257" s="19"/>
    </row>
    <row r="258" spans="1:34" ht="14" x14ac:dyDescent="0.2">
      <c r="A258" s="50">
        <v>45709</v>
      </c>
      <c r="B258" s="49">
        <v>3.5</v>
      </c>
      <c r="C258" s="49">
        <v>10</v>
      </c>
      <c r="D258" s="49">
        <v>11</v>
      </c>
      <c r="F258" s="33">
        <v>2</v>
      </c>
      <c r="G258" s="49">
        <v>2</v>
      </c>
      <c r="H258" s="49">
        <v>10</v>
      </c>
      <c r="J258" s="33">
        <v>3.6</v>
      </c>
      <c r="K258" s="33">
        <f t="shared" si="221"/>
        <v>3</v>
      </c>
      <c r="L258" s="49">
        <f>4.1+5.1</f>
        <v>9.1999999999999993</v>
      </c>
      <c r="M258" s="21"/>
      <c r="N258" s="33">
        <v>0</v>
      </c>
      <c r="O258" s="49">
        <v>1</v>
      </c>
      <c r="P258" s="49">
        <v>0.4</v>
      </c>
      <c r="Q258" s="21"/>
      <c r="R258" s="33">
        <v>0</v>
      </c>
      <c r="S258" s="49">
        <v>9</v>
      </c>
      <c r="T258" s="49">
        <v>1.5</v>
      </c>
      <c r="U258" s="19"/>
      <c r="V258" s="33">
        <f>(2*28)+39</f>
        <v>95</v>
      </c>
      <c r="W258" s="33">
        <f>(3*28)+25</f>
        <v>109</v>
      </c>
      <c r="X258" s="33">
        <f t="shared" si="250"/>
        <v>157</v>
      </c>
      <c r="Y258" s="19"/>
      <c r="Z258" s="33">
        <f t="shared" si="251"/>
        <v>35</v>
      </c>
      <c r="AA258" s="33">
        <f>(0*24)+9</f>
        <v>9</v>
      </c>
      <c r="AB258" s="33">
        <f>(1*24)+2</f>
        <v>26</v>
      </c>
      <c r="AC258" s="33">
        <f>(2*24)+9</f>
        <v>57</v>
      </c>
      <c r="AD258" s="19"/>
      <c r="AE258" s="33">
        <f>144+22</f>
        <v>166</v>
      </c>
      <c r="AF258" s="19"/>
      <c r="AG258" s="19"/>
      <c r="AH258" s="19"/>
    </row>
    <row r="259" spans="1:34" ht="14" x14ac:dyDescent="0.2">
      <c r="A259" s="50">
        <v>45710</v>
      </c>
      <c r="B259" s="49">
        <v>4.5</v>
      </c>
      <c r="C259" s="49">
        <v>18</v>
      </c>
      <c r="D259" s="49">
        <v>9</v>
      </c>
      <c r="F259" s="33">
        <v>2</v>
      </c>
      <c r="G259" s="49">
        <v>10</v>
      </c>
      <c r="H259" s="49">
        <v>2</v>
      </c>
      <c r="J259" s="33">
        <v>3.9</v>
      </c>
      <c r="K259" s="33">
        <f t="shared" si="221"/>
        <v>10.6</v>
      </c>
      <c r="L259" s="49">
        <f>1.5+1</f>
        <v>2.5</v>
      </c>
      <c r="M259" s="21"/>
      <c r="N259" s="33">
        <v>2.6</v>
      </c>
      <c r="O259" s="49">
        <v>2</v>
      </c>
      <c r="P259" s="49">
        <v>2.2999999999999998</v>
      </c>
      <c r="Q259" s="21"/>
      <c r="R259" s="33">
        <v>2</v>
      </c>
      <c r="S259" s="49">
        <v>8</v>
      </c>
      <c r="T259" s="49">
        <v>2.8</v>
      </c>
      <c r="U259" s="19"/>
      <c r="V259" s="33">
        <f>(2*28)+36</f>
        <v>92</v>
      </c>
      <c r="W259" s="33">
        <f>(3*28)+21</f>
        <v>105</v>
      </c>
      <c r="X259" s="33">
        <f>(5*28)+13</f>
        <v>153</v>
      </c>
      <c r="Y259" s="19"/>
      <c r="Z259" s="33">
        <f>(0*24)+32</f>
        <v>32</v>
      </c>
      <c r="AA259" s="33">
        <f>(0*24)+7</f>
        <v>7</v>
      </c>
      <c r="AB259" s="33">
        <f>(1*24)+1</f>
        <v>25</v>
      </c>
      <c r="AC259" s="33">
        <f>(2*24)+3</f>
        <v>51</v>
      </c>
      <c r="AD259" s="19"/>
      <c r="AE259" s="33">
        <f>120+21</f>
        <v>141</v>
      </c>
      <c r="AF259" s="19"/>
      <c r="AG259" s="19"/>
      <c r="AH259" s="19"/>
    </row>
    <row r="260" spans="1:34" ht="14" x14ac:dyDescent="0.2">
      <c r="A260" s="50">
        <v>45711</v>
      </c>
      <c r="B260" s="49">
        <v>5</v>
      </c>
      <c r="C260" s="49">
        <v>17</v>
      </c>
      <c r="D260" s="49">
        <v>12</v>
      </c>
      <c r="F260" s="33">
        <v>2.5</v>
      </c>
      <c r="G260" s="49">
        <v>11</v>
      </c>
      <c r="H260" s="49">
        <v>4</v>
      </c>
      <c r="J260" s="33">
        <v>5</v>
      </c>
      <c r="K260" s="33">
        <f t="shared" si="221"/>
        <v>3.3</v>
      </c>
      <c r="L260" s="49">
        <v>4.2</v>
      </c>
      <c r="M260" s="21"/>
      <c r="N260" s="33">
        <v>0</v>
      </c>
      <c r="O260" s="49">
        <v>2</v>
      </c>
      <c r="P260" s="49">
        <v>1.9</v>
      </c>
      <c r="Q260" s="21"/>
      <c r="R260" s="33">
        <v>0</v>
      </c>
      <c r="S260" s="49">
        <v>11</v>
      </c>
      <c r="T260" s="49">
        <v>1.8</v>
      </c>
      <c r="U260" s="19"/>
      <c r="V260" s="33"/>
      <c r="W260" s="49"/>
      <c r="X260" s="49"/>
      <c r="Y260" s="19"/>
      <c r="Z260" s="33"/>
      <c r="AA260" s="49"/>
      <c r="AB260" s="49"/>
      <c r="AC260" s="49"/>
      <c r="AD260" s="19"/>
      <c r="AE260" s="33"/>
      <c r="AF260" s="19"/>
      <c r="AG260" s="19"/>
      <c r="AH260" s="19"/>
    </row>
    <row r="261" spans="1:34" ht="14" x14ac:dyDescent="0.2">
      <c r="A261" s="50">
        <v>45712</v>
      </c>
      <c r="B261" s="49">
        <v>3.5</v>
      </c>
      <c r="C261" s="49">
        <v>25</v>
      </c>
      <c r="D261" s="49"/>
      <c r="F261" s="33">
        <v>2</v>
      </c>
      <c r="G261" s="49">
        <v>8</v>
      </c>
      <c r="H261" s="49">
        <v>0</v>
      </c>
      <c r="J261" s="33">
        <v>0</v>
      </c>
      <c r="K261" s="33">
        <f t="shared" si="221"/>
        <v>4.2</v>
      </c>
      <c r="L261" s="33"/>
      <c r="M261" s="21"/>
      <c r="N261" s="33"/>
      <c r="O261" s="49"/>
      <c r="P261" s="49"/>
      <c r="Q261" s="21"/>
      <c r="R261" s="33"/>
      <c r="S261" s="49"/>
      <c r="T261" s="49"/>
      <c r="U261" s="19"/>
      <c r="V261" s="33"/>
      <c r="W261" s="49"/>
      <c r="X261" s="49"/>
      <c r="Y261" s="19"/>
      <c r="Z261" s="33"/>
      <c r="AA261" s="49"/>
      <c r="AB261" s="49"/>
      <c r="AC261" s="49"/>
      <c r="AD261" s="19"/>
      <c r="AE261" s="33"/>
      <c r="AF261" s="19"/>
      <c r="AG261" s="19"/>
      <c r="AH261" s="19"/>
    </row>
    <row r="262" spans="1:34" ht="14" x14ac:dyDescent="0.2">
      <c r="A262" s="50">
        <v>45713</v>
      </c>
      <c r="B262" s="33">
        <v>0</v>
      </c>
      <c r="C262" s="33">
        <v>0</v>
      </c>
      <c r="D262" s="33">
        <v>0</v>
      </c>
      <c r="F262" s="33">
        <v>0</v>
      </c>
      <c r="G262" s="33">
        <v>0</v>
      </c>
      <c r="H262" s="33">
        <v>0</v>
      </c>
      <c r="J262" s="33">
        <v>0</v>
      </c>
      <c r="K262" s="33">
        <f t="shared" si="221"/>
        <v>0</v>
      </c>
      <c r="L262" s="49"/>
      <c r="M262" s="21"/>
      <c r="N262" s="33">
        <v>0</v>
      </c>
      <c r="O262" s="33">
        <v>0</v>
      </c>
      <c r="P262" s="33">
        <v>0</v>
      </c>
      <c r="Q262" s="21"/>
      <c r="R262" s="33">
        <v>0</v>
      </c>
      <c r="S262" s="33">
        <v>0</v>
      </c>
      <c r="T262" s="33">
        <v>0</v>
      </c>
      <c r="U262" s="19"/>
      <c r="V262" s="33"/>
      <c r="W262" s="49"/>
      <c r="X262" s="49"/>
      <c r="Y262" s="19"/>
      <c r="Z262" s="33"/>
      <c r="AA262" s="49"/>
      <c r="AB262" s="49"/>
      <c r="AC262" s="49"/>
      <c r="AD262" s="19"/>
      <c r="AE262" s="33"/>
      <c r="AF262" s="19"/>
      <c r="AG262" s="19"/>
      <c r="AH262" s="19"/>
    </row>
    <row r="263" spans="1:34" ht="14" x14ac:dyDescent="0.2">
      <c r="A263" s="50">
        <v>45714</v>
      </c>
      <c r="B263" s="33">
        <v>0</v>
      </c>
      <c r="C263" s="33">
        <v>0</v>
      </c>
      <c r="D263" s="33">
        <v>0</v>
      </c>
      <c r="F263" s="33">
        <v>0</v>
      </c>
      <c r="G263" s="33">
        <v>0</v>
      </c>
      <c r="H263" s="33">
        <v>0</v>
      </c>
      <c r="J263" s="33">
        <v>0</v>
      </c>
      <c r="K263" s="33">
        <f t="shared" si="221"/>
        <v>0</v>
      </c>
      <c r="L263" s="49"/>
      <c r="M263" s="21"/>
      <c r="N263" s="33">
        <v>0</v>
      </c>
      <c r="O263" s="33">
        <v>0</v>
      </c>
      <c r="P263" s="33">
        <v>0</v>
      </c>
      <c r="Q263" s="21"/>
      <c r="R263" s="33">
        <v>0</v>
      </c>
      <c r="S263" s="33">
        <v>0</v>
      </c>
      <c r="T263" s="33">
        <v>0</v>
      </c>
      <c r="U263" s="19"/>
      <c r="V263" s="33"/>
      <c r="W263" s="49"/>
      <c r="X263" s="49"/>
      <c r="Y263" s="19"/>
      <c r="Z263" s="33"/>
      <c r="AA263" s="49"/>
      <c r="AB263" s="49"/>
      <c r="AC263" s="49"/>
      <c r="AD263" s="19"/>
      <c r="AE263" s="33"/>
      <c r="AF263" s="19"/>
      <c r="AG263" s="19"/>
      <c r="AH263" s="19"/>
    </row>
    <row r="264" spans="1:34" ht="14" x14ac:dyDescent="0.2">
      <c r="A264" s="50">
        <v>45715</v>
      </c>
      <c r="B264" s="49"/>
      <c r="C264" s="49"/>
      <c r="D264" s="49"/>
      <c r="F264" s="33"/>
      <c r="G264" s="49"/>
      <c r="H264" s="49"/>
      <c r="J264" s="33"/>
      <c r="K264" s="33">
        <f t="shared" si="221"/>
        <v>0</v>
      </c>
      <c r="L264" s="49"/>
      <c r="M264" s="21"/>
      <c r="N264" s="33"/>
      <c r="O264" s="49"/>
      <c r="P264" s="49"/>
      <c r="Q264" s="21"/>
      <c r="R264" s="33"/>
      <c r="S264" s="49"/>
      <c r="T264" s="49"/>
      <c r="U264" s="19"/>
      <c r="V264" s="33"/>
      <c r="W264" s="49"/>
      <c r="X264" s="49"/>
      <c r="Y264" s="19"/>
      <c r="Z264" s="33"/>
      <c r="AA264" s="49"/>
      <c r="AB264" s="49"/>
      <c r="AC264" s="49"/>
      <c r="AD264" s="19"/>
      <c r="AE264" s="33"/>
      <c r="AF264" s="19"/>
      <c r="AG264" s="19"/>
      <c r="AH264" s="19"/>
    </row>
    <row r="265" spans="1:34" ht="14" x14ac:dyDescent="0.2">
      <c r="A265" s="50">
        <v>45716</v>
      </c>
      <c r="B265" s="49">
        <v>3</v>
      </c>
      <c r="C265" s="49">
        <v>20</v>
      </c>
      <c r="D265" s="49">
        <v>0</v>
      </c>
      <c r="F265" s="33">
        <v>2</v>
      </c>
      <c r="G265" s="49">
        <v>11</v>
      </c>
      <c r="H265" s="49">
        <v>1</v>
      </c>
      <c r="J265" s="33"/>
      <c r="K265" s="33">
        <f t="shared" si="221"/>
        <v>-3.1</v>
      </c>
      <c r="L265" s="49">
        <v>3.1</v>
      </c>
      <c r="M265" s="21"/>
      <c r="N265" s="33">
        <v>2</v>
      </c>
      <c r="O265" s="49">
        <v>5.5</v>
      </c>
      <c r="P265" s="49">
        <v>0.9</v>
      </c>
      <c r="Q265" s="21"/>
      <c r="R265" s="33">
        <v>2</v>
      </c>
      <c r="S265" s="49">
        <v>20</v>
      </c>
      <c r="T265" s="49">
        <v>0</v>
      </c>
      <c r="U265" s="19"/>
      <c r="V265" s="33">
        <f>(2*28)+20</f>
        <v>76</v>
      </c>
      <c r="W265" s="33">
        <f>(3*28)+19</f>
        <v>103</v>
      </c>
      <c r="X265" s="33">
        <f>(5*28)+5</f>
        <v>145</v>
      </c>
      <c r="Y265" s="19"/>
      <c r="Z265" s="33">
        <f>(0*28)+30</f>
        <v>30</v>
      </c>
      <c r="AA265" s="33">
        <f>(0*28)+4</f>
        <v>4</v>
      </c>
      <c r="AB265" s="33">
        <f>(0*28)+16</f>
        <v>16</v>
      </c>
      <c r="AC265" s="33">
        <f>(1*28)+19</f>
        <v>47</v>
      </c>
      <c r="AD265" s="19"/>
      <c r="AE265" s="33">
        <f>60+20</f>
        <v>80</v>
      </c>
      <c r="AF265" s="19"/>
      <c r="AG265" s="19"/>
      <c r="AH265" s="19"/>
    </row>
    <row r="266" spans="1:34" ht="14" x14ac:dyDescent="0.2">
      <c r="A266" s="50"/>
      <c r="B266" s="49"/>
      <c r="C266" s="49"/>
      <c r="D266" s="49"/>
      <c r="F266" s="33"/>
      <c r="G266" s="49"/>
      <c r="H266" s="49"/>
      <c r="J266" s="33"/>
      <c r="K266" s="33">
        <f t="shared" si="221"/>
        <v>3.1</v>
      </c>
      <c r="L266" s="49"/>
      <c r="M266" s="21"/>
      <c r="N266" s="33"/>
      <c r="O266" s="49"/>
      <c r="P266" s="49"/>
      <c r="Q266" s="21"/>
      <c r="R266" s="33"/>
      <c r="S266" s="49"/>
      <c r="T266" s="49"/>
      <c r="U266" s="19"/>
      <c r="V266" s="33"/>
      <c r="W266" s="49"/>
      <c r="X266" s="49"/>
      <c r="Y266" s="19"/>
      <c r="Z266" s="33"/>
      <c r="AA266" s="49"/>
      <c r="AB266" s="49"/>
      <c r="AC266" s="49"/>
      <c r="AD266" s="19"/>
      <c r="AE266" s="33"/>
      <c r="AF266" s="19"/>
      <c r="AG266" s="19"/>
      <c r="AH266" s="19"/>
    </row>
    <row r="267" spans="1:34" ht="14" x14ac:dyDescent="0.2">
      <c r="A267" s="14" t="s">
        <v>0</v>
      </c>
      <c r="B267" s="52">
        <f t="shared" ref="B267:D267" si="252">SUM(B238:B265)</f>
        <v>94.5</v>
      </c>
      <c r="C267" s="52">
        <f t="shared" si="252"/>
        <v>445</v>
      </c>
      <c r="D267" s="52">
        <f t="shared" si="252"/>
        <v>137</v>
      </c>
      <c r="F267" s="52">
        <f t="shared" ref="F267:H267" si="253">SUM(F238:F265)</f>
        <v>50.3</v>
      </c>
      <c r="G267" s="52">
        <f t="shared" si="253"/>
        <v>191</v>
      </c>
      <c r="H267" s="52">
        <f t="shared" si="253"/>
        <v>108</v>
      </c>
      <c r="J267" s="52">
        <f t="shared" ref="J267:K267" si="254">SUM(J238:J265)</f>
        <v>128.5</v>
      </c>
      <c r="K267" s="52">
        <f t="shared" si="254"/>
        <v>135.70000000000002</v>
      </c>
      <c r="N267" s="52">
        <f t="shared" ref="N267:O267" si="255">SUM(N238:N265)</f>
        <v>15.15</v>
      </c>
      <c r="O267" s="52">
        <f t="shared" si="255"/>
        <v>59.5</v>
      </c>
      <c r="R267" s="52">
        <f t="shared" ref="R267:S267" si="256">SUM(R238:R265)</f>
        <v>25</v>
      </c>
      <c r="S267" s="52">
        <f t="shared" si="256"/>
        <v>233</v>
      </c>
    </row>
    <row r="268" spans="1:34" ht="14" x14ac:dyDescent="0.2">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row>
    <row r="269" spans="1:34" ht="14" x14ac:dyDescent="0.2">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row>
    <row r="270" spans="1:34" ht="14" x14ac:dyDescent="0.2">
      <c r="A270" s="50">
        <v>45292</v>
      </c>
      <c r="B270" s="49">
        <v>21</v>
      </c>
      <c r="C270" s="49">
        <v>126</v>
      </c>
      <c r="D270" s="49">
        <v>5</v>
      </c>
      <c r="F270" s="33">
        <v>9</v>
      </c>
      <c r="G270" s="33">
        <v>55</v>
      </c>
      <c r="H270" s="33">
        <v>0</v>
      </c>
      <c r="J270" s="33">
        <v>17.5</v>
      </c>
      <c r="K270" s="33">
        <v>15</v>
      </c>
      <c r="L270" s="33">
        <v>2.5</v>
      </c>
      <c r="M270" s="21"/>
      <c r="N270" s="33">
        <v>2.6</v>
      </c>
      <c r="O270" s="33">
        <v>15</v>
      </c>
      <c r="P270" s="33">
        <v>0</v>
      </c>
      <c r="Q270" s="21"/>
      <c r="R270" s="33">
        <v>1.7</v>
      </c>
      <c r="S270" s="33">
        <v>40</v>
      </c>
      <c r="T270" s="33">
        <v>1</v>
      </c>
      <c r="U270" s="19"/>
      <c r="V270" s="33"/>
      <c r="W270" s="33"/>
      <c r="X270" s="33"/>
      <c r="Y270" s="19"/>
      <c r="Z270" s="33"/>
      <c r="AA270" s="33"/>
      <c r="AB270" s="33"/>
      <c r="AC270" s="33"/>
      <c r="AD270" s="19"/>
      <c r="AE270" s="33"/>
      <c r="AF270" s="19"/>
      <c r="AG270" s="19"/>
      <c r="AH270" s="19"/>
    </row>
    <row r="271" spans="1:34" ht="14" x14ac:dyDescent="0.2">
      <c r="A271" s="50">
        <v>45293</v>
      </c>
      <c r="B271" s="49">
        <v>6</v>
      </c>
      <c r="C271" s="49">
        <v>21</v>
      </c>
      <c r="D271" s="49">
        <v>15</v>
      </c>
      <c r="F271" s="33">
        <v>2</v>
      </c>
      <c r="G271" s="33">
        <v>7</v>
      </c>
      <c r="H271" s="33">
        <v>5</v>
      </c>
      <c r="J271" s="33">
        <v>15.8</v>
      </c>
      <c r="K271" s="33">
        <f t="shared" ref="K271:K274" si="257">J271+L270-L271</f>
        <v>7.5</v>
      </c>
      <c r="L271" s="33">
        <f>3.8+7</f>
        <v>10.8</v>
      </c>
      <c r="M271" s="21"/>
      <c r="N271" s="33">
        <v>2.1</v>
      </c>
      <c r="O271" s="33">
        <v>3</v>
      </c>
      <c r="P271" s="33">
        <v>1.4</v>
      </c>
      <c r="Q271" s="21"/>
      <c r="R271" s="33">
        <v>4.2</v>
      </c>
      <c r="S271" s="33">
        <v>7</v>
      </c>
      <c r="T271" s="33">
        <v>3.5</v>
      </c>
      <c r="U271" s="19"/>
      <c r="V271" s="33">
        <f>(3*28)+18</f>
        <v>102</v>
      </c>
      <c r="W271" s="33">
        <f>(4*28)+0</f>
        <v>112</v>
      </c>
      <c r="X271" s="33">
        <f>(5*28)+7</f>
        <v>147</v>
      </c>
      <c r="Y271" s="19"/>
      <c r="Z271" s="33">
        <f>(0*24)+28</f>
        <v>28</v>
      </c>
      <c r="AA271" s="33">
        <f>(2*24)+35</f>
        <v>83</v>
      </c>
      <c r="AB271" s="33">
        <f t="shared" ref="AB271:AB272" si="258">(3*24)+0</f>
        <v>72</v>
      </c>
      <c r="AC271" s="33">
        <f>(0*24)+8</f>
        <v>8</v>
      </c>
      <c r="AD271" s="19"/>
      <c r="AE271" s="33">
        <f>(52*12)+31</f>
        <v>655</v>
      </c>
      <c r="AF271" s="19"/>
      <c r="AG271" s="19"/>
      <c r="AH271" s="19"/>
    </row>
    <row r="272" spans="1:34" ht="14" x14ac:dyDescent="0.2">
      <c r="A272" s="50">
        <v>45294</v>
      </c>
      <c r="B272" s="49">
        <v>4</v>
      </c>
      <c r="C272" s="49">
        <v>21</v>
      </c>
      <c r="D272" s="49">
        <v>3</v>
      </c>
      <c r="F272" s="33">
        <v>4</v>
      </c>
      <c r="G272" s="33">
        <v>10</v>
      </c>
      <c r="H272" s="33">
        <v>14</v>
      </c>
      <c r="J272" s="33">
        <v>0</v>
      </c>
      <c r="K272" s="33">
        <f t="shared" si="257"/>
        <v>8</v>
      </c>
      <c r="L272" s="33">
        <v>2.8</v>
      </c>
      <c r="M272" s="21"/>
      <c r="N272" s="33">
        <v>0</v>
      </c>
      <c r="O272" s="33">
        <v>3</v>
      </c>
      <c r="P272" s="33">
        <v>0.5</v>
      </c>
      <c r="Q272" s="21"/>
      <c r="R272" s="33">
        <v>0</v>
      </c>
      <c r="S272" s="33">
        <v>5</v>
      </c>
      <c r="T272" s="33">
        <v>2.2999999999999998</v>
      </c>
      <c r="U272" s="19"/>
      <c r="V272" s="33">
        <v>193</v>
      </c>
      <c r="W272" s="33">
        <v>111</v>
      </c>
      <c r="X272" s="33">
        <v>147</v>
      </c>
      <c r="Y272" s="19"/>
      <c r="Z272" s="33">
        <v>22</v>
      </c>
      <c r="AA272" s="33">
        <v>33</v>
      </c>
      <c r="AB272" s="33">
        <f t="shared" si="258"/>
        <v>72</v>
      </c>
      <c r="AC272" s="33">
        <v>6</v>
      </c>
      <c r="AD272" s="19"/>
      <c r="AE272" s="33"/>
      <c r="AF272" s="19"/>
      <c r="AG272" s="19"/>
      <c r="AH272" s="19"/>
    </row>
    <row r="273" spans="1:31" ht="14" x14ac:dyDescent="0.2">
      <c r="A273" s="50">
        <v>45295</v>
      </c>
      <c r="B273" s="4">
        <v>4</v>
      </c>
      <c r="C273" s="4">
        <v>20</v>
      </c>
      <c r="D273" s="4">
        <v>4</v>
      </c>
      <c r="F273" s="4">
        <v>2.5</v>
      </c>
      <c r="G273" s="4">
        <v>13</v>
      </c>
      <c r="H273" s="4">
        <v>2</v>
      </c>
      <c r="J273" s="4">
        <v>9.6999999999999993</v>
      </c>
      <c r="K273" s="33">
        <f t="shared" si="257"/>
        <v>7</v>
      </c>
      <c r="L273" s="4">
        <v>5.5</v>
      </c>
      <c r="N273" s="4">
        <v>2.1</v>
      </c>
      <c r="O273" s="4">
        <v>4</v>
      </c>
      <c r="P273" s="4">
        <v>1.3</v>
      </c>
      <c r="R273" s="4">
        <v>2</v>
      </c>
      <c r="S273" s="4">
        <v>15</v>
      </c>
      <c r="T273" s="4">
        <v>2.6</v>
      </c>
      <c r="V273" s="33">
        <f>(6*28)+17</f>
        <v>185</v>
      </c>
      <c r="W273" s="33">
        <f>(3*28)+25</f>
        <v>109</v>
      </c>
      <c r="X273" s="33">
        <f>(5*28)+7</f>
        <v>147</v>
      </c>
      <c r="Z273" s="33">
        <f>(0*24)+22</f>
        <v>22</v>
      </c>
      <c r="AA273" s="33">
        <f>(3*24)+31</f>
        <v>103</v>
      </c>
      <c r="AB273" s="33">
        <f>(2*24)+23</f>
        <v>71</v>
      </c>
      <c r="AC273" s="33">
        <f>(0*24)+6</f>
        <v>6</v>
      </c>
      <c r="AE273" s="4"/>
    </row>
    <row r="274" spans="1:31" ht="14" x14ac:dyDescent="0.2">
      <c r="A274" s="50">
        <v>45296</v>
      </c>
      <c r="B274" s="4">
        <v>8</v>
      </c>
      <c r="C274" s="4">
        <v>43</v>
      </c>
      <c r="D274" s="4">
        <v>5</v>
      </c>
      <c r="F274" s="4">
        <v>4.5</v>
      </c>
      <c r="G274" s="4">
        <v>23</v>
      </c>
      <c r="H274" s="4">
        <v>4</v>
      </c>
      <c r="J274" s="4">
        <v>8.1</v>
      </c>
      <c r="K274" s="33">
        <f t="shared" si="257"/>
        <v>9.3000000000000007</v>
      </c>
      <c r="L274" s="4">
        <v>4.3</v>
      </c>
      <c r="N274" s="4">
        <v>2</v>
      </c>
      <c r="O274" s="4">
        <v>11</v>
      </c>
      <c r="P274" s="4">
        <v>0</v>
      </c>
      <c r="R274" s="4">
        <v>2</v>
      </c>
      <c r="S274" s="4">
        <v>18</v>
      </c>
      <c r="T274" s="4">
        <v>3.5</v>
      </c>
      <c r="V274" s="4"/>
      <c r="W274" s="4"/>
      <c r="X274" s="4"/>
      <c r="Z274" s="4"/>
      <c r="AA274" s="4"/>
      <c r="AB274" s="4"/>
      <c r="AC274" s="4"/>
      <c r="AE274" s="4"/>
    </row>
    <row r="275" spans="1:31" ht="14" x14ac:dyDescent="0.2">
      <c r="A275" s="50">
        <v>45297</v>
      </c>
      <c r="B275" s="4">
        <v>0</v>
      </c>
      <c r="C275" s="4">
        <v>0</v>
      </c>
      <c r="D275" s="4">
        <v>0</v>
      </c>
      <c r="F275" s="4">
        <v>0</v>
      </c>
      <c r="G275" s="4">
        <v>0</v>
      </c>
      <c r="H275" s="4">
        <v>0</v>
      </c>
      <c r="J275" s="4">
        <v>0</v>
      </c>
      <c r="K275" s="33">
        <v>0</v>
      </c>
      <c r="L275" s="4">
        <v>4.3</v>
      </c>
      <c r="N275" s="4">
        <v>0</v>
      </c>
      <c r="O275" s="4">
        <v>0</v>
      </c>
      <c r="P275" s="4">
        <v>0</v>
      </c>
      <c r="R275" s="4">
        <v>0</v>
      </c>
      <c r="S275" s="4">
        <v>0</v>
      </c>
      <c r="T275" s="4">
        <v>0</v>
      </c>
      <c r="V275" s="4"/>
      <c r="W275" s="4"/>
      <c r="X275" s="4"/>
      <c r="Z275" s="4"/>
      <c r="AA275" s="4"/>
      <c r="AB275" s="4"/>
      <c r="AC275" s="4"/>
      <c r="AE275" s="4"/>
    </row>
    <row r="276" spans="1:31" ht="14" x14ac:dyDescent="0.2">
      <c r="A276" s="50">
        <v>45298</v>
      </c>
      <c r="B276" s="4">
        <v>4</v>
      </c>
      <c r="C276" s="4">
        <v>16</v>
      </c>
      <c r="D276" s="4">
        <v>8</v>
      </c>
      <c r="F276" s="4">
        <v>2</v>
      </c>
      <c r="G276" s="4">
        <v>14</v>
      </c>
      <c r="H276" s="4">
        <v>0</v>
      </c>
      <c r="J276" s="4">
        <v>8.1999999999999993</v>
      </c>
      <c r="K276" s="33">
        <f t="shared" ref="K276:K300" si="259">J276+L275-L276</f>
        <v>9.1</v>
      </c>
      <c r="L276" s="4">
        <v>3.4</v>
      </c>
      <c r="N276" s="4">
        <v>3</v>
      </c>
      <c r="O276" s="4">
        <v>1</v>
      </c>
      <c r="P276" s="4">
        <v>2.2999999999999998</v>
      </c>
      <c r="R276" s="4">
        <v>2</v>
      </c>
      <c r="S276" s="4">
        <v>7</v>
      </c>
      <c r="T276" s="4">
        <v>4.3</v>
      </c>
      <c r="V276" s="33">
        <f>(6*28)+13</f>
        <v>181</v>
      </c>
      <c r="W276" s="33">
        <f>(3*28)+21</f>
        <v>105</v>
      </c>
      <c r="X276" s="33">
        <f>(5*28)+2</f>
        <v>142</v>
      </c>
      <c r="Z276" s="33">
        <f t="shared" ref="Z276:Z278" si="260">(0*24)+12</f>
        <v>12</v>
      </c>
      <c r="AA276" s="33">
        <f>(3*24)+24</f>
        <v>96</v>
      </c>
      <c r="AB276" s="33">
        <f>(2*24)+14</f>
        <v>62</v>
      </c>
      <c r="AC276" s="33">
        <f t="shared" ref="AC276:AC280" si="261">(0*24)+5</f>
        <v>5</v>
      </c>
      <c r="AE276" s="33">
        <f>(52*12)+54</f>
        <v>678</v>
      </c>
    </row>
    <row r="277" spans="1:31" ht="14" x14ac:dyDescent="0.2">
      <c r="A277" s="50">
        <v>45299</v>
      </c>
      <c r="B277" s="4">
        <v>5</v>
      </c>
      <c r="C277" s="4">
        <v>20</v>
      </c>
      <c r="D277" s="4">
        <v>10</v>
      </c>
      <c r="F277" s="4">
        <v>2</v>
      </c>
      <c r="G277" s="4">
        <v>4</v>
      </c>
      <c r="H277" s="4">
        <v>8</v>
      </c>
      <c r="J277" s="4">
        <v>14.2</v>
      </c>
      <c r="K277" s="33">
        <f t="shared" si="259"/>
        <v>8.5999999999999979</v>
      </c>
      <c r="L277" s="4">
        <v>9</v>
      </c>
      <c r="N277" s="4">
        <v>1</v>
      </c>
      <c r="O277" s="4">
        <v>3</v>
      </c>
      <c r="P277" s="4">
        <v>2.2999999999999998</v>
      </c>
      <c r="R277" s="4">
        <v>2</v>
      </c>
      <c r="S277" s="4">
        <v>9</v>
      </c>
      <c r="T277" s="4">
        <v>5</v>
      </c>
      <c r="V277" s="33">
        <f>(6*28)+7</f>
        <v>175</v>
      </c>
      <c r="W277" s="33">
        <f t="shared" ref="W277:W279" si="262">(3*28)+19</f>
        <v>103</v>
      </c>
      <c r="X277" s="33">
        <f>(5*28)+1</f>
        <v>141</v>
      </c>
      <c r="Z277" s="33">
        <f t="shared" si="260"/>
        <v>12</v>
      </c>
      <c r="AA277" s="33">
        <f t="shared" ref="AA277:AA278" si="263">(3*24)+22</f>
        <v>94</v>
      </c>
      <c r="AB277" s="33">
        <f t="shared" ref="AB277:AB278" si="264">(2*24)+10</f>
        <v>58</v>
      </c>
      <c r="AC277" s="33">
        <f t="shared" si="261"/>
        <v>5</v>
      </c>
      <c r="AE277" s="4"/>
    </row>
    <row r="278" spans="1:31" ht="14" x14ac:dyDescent="0.2">
      <c r="A278" s="50">
        <v>45300</v>
      </c>
      <c r="B278" s="4">
        <v>4</v>
      </c>
      <c r="C278" s="4">
        <v>18</v>
      </c>
      <c r="D278" s="4">
        <v>6</v>
      </c>
      <c r="F278" s="4">
        <v>2</v>
      </c>
      <c r="G278" s="4">
        <v>10</v>
      </c>
      <c r="H278" s="4">
        <v>2</v>
      </c>
      <c r="J278" s="4">
        <v>11.3</v>
      </c>
      <c r="K278" s="33">
        <f t="shared" si="259"/>
        <v>7.7000000000000011</v>
      </c>
      <c r="L278" s="4">
        <f>4.6+8</f>
        <v>12.6</v>
      </c>
      <c r="N278" s="4">
        <v>0</v>
      </c>
      <c r="O278" s="4">
        <v>3</v>
      </c>
      <c r="P278" s="4">
        <v>1.2</v>
      </c>
      <c r="R278" s="4">
        <v>0</v>
      </c>
      <c r="S278" s="4">
        <v>4</v>
      </c>
      <c r="T278" s="4">
        <v>5.3</v>
      </c>
      <c r="V278" s="33">
        <f>(5*28)+35</f>
        <v>175</v>
      </c>
      <c r="W278" s="33">
        <f t="shared" si="262"/>
        <v>103</v>
      </c>
      <c r="X278" s="33">
        <f t="shared" ref="X278:X279" si="265">(4*28)+29</f>
        <v>141</v>
      </c>
      <c r="Z278" s="33">
        <f t="shared" si="260"/>
        <v>12</v>
      </c>
      <c r="AA278" s="33">
        <f t="shared" si="263"/>
        <v>94</v>
      </c>
      <c r="AB278" s="33">
        <f t="shared" si="264"/>
        <v>58</v>
      </c>
      <c r="AC278" s="33">
        <f t="shared" si="261"/>
        <v>5</v>
      </c>
      <c r="AE278" s="4"/>
    </row>
    <row r="279" spans="1:31" ht="14" x14ac:dyDescent="0.2">
      <c r="A279" s="50">
        <v>45301</v>
      </c>
      <c r="B279" s="4">
        <v>5</v>
      </c>
      <c r="C279" s="4">
        <v>27</v>
      </c>
      <c r="D279" s="4">
        <v>3</v>
      </c>
      <c r="F279" s="4">
        <v>2</v>
      </c>
      <c r="G279" s="4">
        <v>12</v>
      </c>
      <c r="H279" s="4">
        <v>0</v>
      </c>
      <c r="J279" s="4">
        <v>5.2</v>
      </c>
      <c r="K279" s="33">
        <f t="shared" si="259"/>
        <v>9.6000000000000014</v>
      </c>
      <c r="L279" s="4">
        <f>3.5+4.7</f>
        <v>8.1999999999999993</v>
      </c>
      <c r="N279" s="4">
        <v>2.5</v>
      </c>
      <c r="O279" s="4">
        <v>2</v>
      </c>
      <c r="P279" s="4">
        <v>3.2</v>
      </c>
      <c r="R279" s="4">
        <v>0</v>
      </c>
      <c r="S279" s="4">
        <v>7</v>
      </c>
      <c r="T279" s="4">
        <v>5.3</v>
      </c>
      <c r="V279" s="33">
        <f>(5*28)+29</f>
        <v>169</v>
      </c>
      <c r="W279" s="33">
        <f t="shared" si="262"/>
        <v>103</v>
      </c>
      <c r="X279" s="33">
        <f t="shared" si="265"/>
        <v>141</v>
      </c>
      <c r="Z279" s="33">
        <f t="shared" ref="Z279:Z280" si="266">(0*24)+11</f>
        <v>11</v>
      </c>
      <c r="AA279" s="33">
        <f t="shared" ref="AA279:AA280" si="267">(3*24)+21</f>
        <v>93</v>
      </c>
      <c r="AB279" s="33">
        <f t="shared" ref="AB279:AB280" si="268">(2*24)+8</f>
        <v>56</v>
      </c>
      <c r="AC279" s="33">
        <f t="shared" si="261"/>
        <v>5</v>
      </c>
      <c r="AE279" s="4"/>
    </row>
    <row r="280" spans="1:31" ht="14" x14ac:dyDescent="0.2">
      <c r="A280" s="50">
        <v>45302</v>
      </c>
      <c r="B280" s="4">
        <v>5</v>
      </c>
      <c r="C280" s="4">
        <v>12</v>
      </c>
      <c r="D280" s="4">
        <v>18</v>
      </c>
      <c r="F280" s="4">
        <v>2</v>
      </c>
      <c r="G280" s="4">
        <v>11</v>
      </c>
      <c r="H280" s="4">
        <v>1</v>
      </c>
      <c r="J280" s="4">
        <v>10.6</v>
      </c>
      <c r="K280" s="33">
        <f t="shared" si="259"/>
        <v>5.4999999999999964</v>
      </c>
      <c r="L280" s="4">
        <f>10.5+2.8</f>
        <v>13.3</v>
      </c>
      <c r="N280" s="4">
        <v>0</v>
      </c>
      <c r="O280" s="4">
        <v>2</v>
      </c>
      <c r="P280" s="4">
        <v>2.5</v>
      </c>
      <c r="R280" s="4">
        <v>0</v>
      </c>
      <c r="S280" s="4">
        <v>10</v>
      </c>
      <c r="T280" s="4">
        <v>2.8</v>
      </c>
      <c r="V280" s="33">
        <f>(5*28)+24</f>
        <v>164</v>
      </c>
      <c r="W280" s="33">
        <f>(3*28)+18</f>
        <v>102</v>
      </c>
      <c r="X280" s="33">
        <f>(4*28)+26</f>
        <v>138</v>
      </c>
      <c r="Z280" s="33">
        <f t="shared" si="266"/>
        <v>11</v>
      </c>
      <c r="AA280" s="33">
        <f t="shared" si="267"/>
        <v>93</v>
      </c>
      <c r="AB280" s="33">
        <f t="shared" si="268"/>
        <v>56</v>
      </c>
      <c r="AC280" s="33">
        <f t="shared" si="261"/>
        <v>5</v>
      </c>
      <c r="AE280" s="4"/>
    </row>
    <row r="281" spans="1:31" ht="14" x14ac:dyDescent="0.2">
      <c r="A281" s="50">
        <v>45303</v>
      </c>
      <c r="B281" s="4">
        <v>8</v>
      </c>
      <c r="C281" s="4">
        <v>55</v>
      </c>
      <c r="D281" s="4">
        <v>0</v>
      </c>
      <c r="F281" s="4">
        <v>4.5</v>
      </c>
      <c r="G281" s="4">
        <v>23</v>
      </c>
      <c r="H281" s="4">
        <v>4</v>
      </c>
      <c r="J281" s="4">
        <v>8.8000000000000007</v>
      </c>
      <c r="K281" s="33">
        <f t="shared" si="259"/>
        <v>10.000000000000002</v>
      </c>
      <c r="L281" s="4">
        <f>3.9+8.2</f>
        <v>12.1</v>
      </c>
      <c r="N281" s="4">
        <v>2</v>
      </c>
      <c r="O281" s="4">
        <v>13</v>
      </c>
      <c r="P281" s="4">
        <v>0.9</v>
      </c>
      <c r="R281" s="4">
        <v>2</v>
      </c>
      <c r="S281" s="4">
        <v>35</v>
      </c>
      <c r="T281" s="4">
        <v>1.4</v>
      </c>
      <c r="V281" s="4"/>
      <c r="W281" s="4"/>
      <c r="X281" s="4"/>
      <c r="Z281" s="4"/>
      <c r="AA281" s="4"/>
      <c r="AB281" s="4"/>
      <c r="AC281" s="4"/>
      <c r="AE281" s="4"/>
    </row>
    <row r="282" spans="1:31" ht="14" x14ac:dyDescent="0.2">
      <c r="A282" s="50">
        <v>45304</v>
      </c>
      <c r="B282" s="4">
        <v>5</v>
      </c>
      <c r="C282" s="4">
        <v>35</v>
      </c>
      <c r="D282" s="4">
        <v>0</v>
      </c>
      <c r="F282" s="4">
        <v>3.5</v>
      </c>
      <c r="G282" s="4">
        <v>22</v>
      </c>
      <c r="H282" s="4">
        <v>0</v>
      </c>
      <c r="J282" s="4">
        <v>7.1</v>
      </c>
      <c r="K282" s="33">
        <f t="shared" si="259"/>
        <v>7.3999999999999986</v>
      </c>
      <c r="L282" s="4">
        <f>5+6.8</f>
        <v>11.8</v>
      </c>
      <c r="N282" s="4">
        <v>1.4</v>
      </c>
      <c r="O282" s="4">
        <v>2</v>
      </c>
      <c r="P282" s="4">
        <v>1</v>
      </c>
      <c r="R282" s="4">
        <v>2</v>
      </c>
      <c r="S282" s="4">
        <v>14</v>
      </c>
      <c r="T282" s="4">
        <v>1.5</v>
      </c>
      <c r="V282" s="33">
        <f>(5*28)+14</f>
        <v>154</v>
      </c>
      <c r="W282" s="33">
        <f>(3*28)+18</f>
        <v>102</v>
      </c>
      <c r="X282" s="33">
        <f>(4*28)+20</f>
        <v>132</v>
      </c>
      <c r="Z282" s="33">
        <f>(0*24)+7</f>
        <v>7</v>
      </c>
      <c r="AA282" s="33">
        <f>(3*24)+18</f>
        <v>90</v>
      </c>
      <c r="AB282" s="33">
        <f>(2*24)+7</f>
        <v>55</v>
      </c>
      <c r="AC282" s="33">
        <f t="shared" ref="AC282:AC283" si="269">(0*24)+5</f>
        <v>5</v>
      </c>
      <c r="AE282" s="4"/>
    </row>
    <row r="283" spans="1:31" ht="14" x14ac:dyDescent="0.2">
      <c r="A283" s="50">
        <v>45305</v>
      </c>
      <c r="B283" s="4">
        <v>4</v>
      </c>
      <c r="C283" s="4">
        <v>15</v>
      </c>
      <c r="D283" s="4">
        <v>9</v>
      </c>
      <c r="F283" s="4">
        <v>2</v>
      </c>
      <c r="G283" s="4">
        <v>2</v>
      </c>
      <c r="H283" s="4">
        <v>10</v>
      </c>
      <c r="J283" s="4">
        <v>5</v>
      </c>
      <c r="K283" s="33">
        <f t="shared" si="259"/>
        <v>7.8000000000000007</v>
      </c>
      <c r="L283" s="4">
        <f>5+4</f>
        <v>9</v>
      </c>
      <c r="N283" s="4">
        <v>1.4</v>
      </c>
      <c r="O283" s="4">
        <v>1</v>
      </c>
      <c r="P283" s="4">
        <v>2.2000000000000002</v>
      </c>
      <c r="R283" s="4">
        <v>0</v>
      </c>
      <c r="S283" s="4">
        <v>4</v>
      </c>
      <c r="T283" s="4">
        <v>1.5</v>
      </c>
      <c r="V283" s="33">
        <f>(4*28)+36</f>
        <v>148</v>
      </c>
      <c r="W283" s="33">
        <f>(2*28)+43</f>
        <v>99</v>
      </c>
      <c r="X283" s="33">
        <f t="shared" ref="X283:X284" si="270">(4*28)+19</f>
        <v>131</v>
      </c>
      <c r="Z283" s="33">
        <f>(0*24)+1</f>
        <v>1</v>
      </c>
      <c r="AA283" s="33">
        <f>(2*24)+41</f>
        <v>89</v>
      </c>
      <c r="AB283" s="33">
        <f>(1*24)+29</f>
        <v>53</v>
      </c>
      <c r="AC283" s="33">
        <f t="shared" si="269"/>
        <v>5</v>
      </c>
      <c r="AE283" s="4"/>
    </row>
    <row r="284" spans="1:31" ht="14" x14ac:dyDescent="0.2">
      <c r="A284" s="50">
        <v>45306</v>
      </c>
      <c r="B284" s="4">
        <v>6</v>
      </c>
      <c r="C284" s="4">
        <v>39</v>
      </c>
      <c r="D284" s="4">
        <v>0</v>
      </c>
      <c r="F284" s="4">
        <v>3.5</v>
      </c>
      <c r="G284" s="4">
        <v>16</v>
      </c>
      <c r="H284" s="4">
        <v>5</v>
      </c>
      <c r="J284" s="4">
        <v>5.4</v>
      </c>
      <c r="K284" s="33">
        <f t="shared" si="259"/>
        <v>7</v>
      </c>
      <c r="L284" s="4">
        <f>2+5.4</f>
        <v>7.4</v>
      </c>
      <c r="N284" s="4">
        <v>0</v>
      </c>
      <c r="O284" s="4">
        <v>4.5</v>
      </c>
      <c r="P284" s="4">
        <v>1.4</v>
      </c>
      <c r="R284" s="4">
        <v>3</v>
      </c>
      <c r="S284" s="4">
        <v>16</v>
      </c>
      <c r="T284" s="4">
        <v>2.4</v>
      </c>
      <c r="V284" s="33">
        <f>(4*28)+27</f>
        <v>139</v>
      </c>
      <c r="W284" s="33">
        <f>(2*28)+41</f>
        <v>97</v>
      </c>
      <c r="X284" s="33">
        <f t="shared" si="270"/>
        <v>131</v>
      </c>
      <c r="Z284" s="33">
        <v>0</v>
      </c>
      <c r="AA284" s="33">
        <f>(2*24)+32</f>
        <v>80</v>
      </c>
      <c r="AB284" s="33">
        <f t="shared" ref="AB284:AB286" si="271">(1*24)+21</f>
        <v>45</v>
      </c>
      <c r="AC284" s="33">
        <v>0</v>
      </c>
      <c r="AE284" s="4"/>
    </row>
    <row r="285" spans="1:31" ht="14" x14ac:dyDescent="0.2">
      <c r="A285" s="50">
        <v>45307</v>
      </c>
      <c r="B285" s="4">
        <v>6</v>
      </c>
      <c r="C285" s="4">
        <v>27</v>
      </c>
      <c r="D285" s="4">
        <v>9</v>
      </c>
      <c r="F285" s="4">
        <v>3.5</v>
      </c>
      <c r="G285" s="4">
        <v>22</v>
      </c>
      <c r="H285" s="4">
        <v>0</v>
      </c>
      <c r="J285" s="4">
        <v>15.3</v>
      </c>
      <c r="K285" s="33">
        <f t="shared" si="259"/>
        <v>7.3000000000000025</v>
      </c>
      <c r="L285" s="4">
        <f>10+5.4</f>
        <v>15.4</v>
      </c>
      <c r="N285" s="4">
        <v>1.1000000000000001</v>
      </c>
      <c r="O285" s="4">
        <v>6</v>
      </c>
      <c r="P285" s="4">
        <v>0</v>
      </c>
      <c r="R285" s="4">
        <v>0</v>
      </c>
      <c r="S285" s="4">
        <v>20</v>
      </c>
      <c r="T285" s="4">
        <v>0.6</v>
      </c>
      <c r="V285" s="33">
        <f>(4*28)+17</f>
        <v>129</v>
      </c>
      <c r="W285" s="33">
        <f t="shared" ref="W285:W286" si="272">(2*28)+31</f>
        <v>87</v>
      </c>
      <c r="X285" s="33">
        <f>(4*28)+16</f>
        <v>128</v>
      </c>
      <c r="Z285" s="33">
        <v>0</v>
      </c>
      <c r="AA285" s="33">
        <f>(2*24)+24</f>
        <v>72</v>
      </c>
      <c r="AB285" s="33">
        <f t="shared" si="271"/>
        <v>45</v>
      </c>
      <c r="AC285" s="33">
        <v>0</v>
      </c>
      <c r="AE285" s="4"/>
    </row>
    <row r="286" spans="1:31" ht="14" x14ac:dyDescent="0.2">
      <c r="A286" s="50">
        <v>45308</v>
      </c>
      <c r="B286" s="4">
        <v>6</v>
      </c>
      <c r="C286" s="4">
        <v>32</v>
      </c>
      <c r="D286" s="4">
        <v>4</v>
      </c>
      <c r="F286" s="4">
        <v>4</v>
      </c>
      <c r="G286" s="4">
        <v>17</v>
      </c>
      <c r="H286" s="4">
        <v>7</v>
      </c>
      <c r="J286" s="4">
        <v>7.1</v>
      </c>
      <c r="K286" s="33">
        <f t="shared" si="259"/>
        <v>12.399999999999999</v>
      </c>
      <c r="L286" s="4">
        <f>7.9+2.2</f>
        <v>10.100000000000001</v>
      </c>
      <c r="N286" s="4">
        <v>1.6</v>
      </c>
      <c r="O286" s="4">
        <v>6.5</v>
      </c>
      <c r="P286" s="4">
        <v>0</v>
      </c>
      <c r="R286" s="4">
        <v>2.7</v>
      </c>
      <c r="S286" s="4">
        <v>12</v>
      </c>
      <c r="T286" s="4">
        <v>1.4</v>
      </c>
      <c r="V286" s="33">
        <f>(4*28)+13</f>
        <v>125</v>
      </c>
      <c r="W286" s="33">
        <f t="shared" si="272"/>
        <v>87</v>
      </c>
      <c r="X286" s="33">
        <f>(4*28)+13</f>
        <v>125</v>
      </c>
      <c r="Z286" s="33">
        <v>0</v>
      </c>
      <c r="AA286" s="33">
        <f>(2*24)+18</f>
        <v>66</v>
      </c>
      <c r="AB286" s="33">
        <f t="shared" si="271"/>
        <v>45</v>
      </c>
      <c r="AC286" s="33">
        <v>0</v>
      </c>
      <c r="AE286" s="4"/>
    </row>
    <row r="287" spans="1:31" ht="14" x14ac:dyDescent="0.2">
      <c r="A287" s="50">
        <v>45309</v>
      </c>
      <c r="B287" s="4">
        <v>5.5</v>
      </c>
      <c r="C287" s="4">
        <v>28</v>
      </c>
      <c r="D287" s="4">
        <v>5</v>
      </c>
      <c r="F287" s="4">
        <v>2.5</v>
      </c>
      <c r="G287" s="4">
        <v>13</v>
      </c>
      <c r="H287" s="4">
        <v>2</v>
      </c>
      <c r="J287" s="4">
        <v>6.5</v>
      </c>
      <c r="K287" s="33">
        <f t="shared" si="259"/>
        <v>10.900000000000002</v>
      </c>
      <c r="L287" s="4">
        <f>3.6+2.1</f>
        <v>5.7</v>
      </c>
      <c r="N287" s="4">
        <v>1</v>
      </c>
      <c r="O287" s="4">
        <v>1.5</v>
      </c>
      <c r="P287" s="4">
        <v>0.2</v>
      </c>
      <c r="R287" s="4">
        <v>2</v>
      </c>
      <c r="S287" s="4">
        <v>12</v>
      </c>
      <c r="T287" s="4">
        <v>2.5</v>
      </c>
      <c r="V287" s="33">
        <f>(3*28)+32</f>
        <v>116</v>
      </c>
      <c r="W287" s="33">
        <f>(2*28)+27</f>
        <v>83</v>
      </c>
      <c r="X287" s="33">
        <f>(4*28)+12</f>
        <v>124</v>
      </c>
      <c r="Z287" s="33">
        <v>0</v>
      </c>
      <c r="AA287" s="33">
        <f>(0*24)+59</f>
        <v>59</v>
      </c>
      <c r="AB287" s="33">
        <f>(1*24)+18</f>
        <v>42</v>
      </c>
      <c r="AC287" s="33">
        <v>0</v>
      </c>
      <c r="AE287" s="4"/>
    </row>
    <row r="288" spans="1:31" ht="14" x14ac:dyDescent="0.2">
      <c r="A288" s="50">
        <v>45310</v>
      </c>
      <c r="B288" s="4">
        <v>8</v>
      </c>
      <c r="C288" s="4">
        <v>23</v>
      </c>
      <c r="D288" s="4">
        <v>25</v>
      </c>
      <c r="F288" s="4">
        <v>3</v>
      </c>
      <c r="G288" s="4">
        <v>11</v>
      </c>
      <c r="H288" s="4">
        <v>7</v>
      </c>
      <c r="J288" s="4">
        <v>20</v>
      </c>
      <c r="K288" s="33">
        <f t="shared" si="259"/>
        <v>8.3000000000000007</v>
      </c>
      <c r="L288" s="4">
        <f>15.1+2.3</f>
        <v>17.399999999999999</v>
      </c>
      <c r="N288" s="4">
        <v>2.4</v>
      </c>
      <c r="O288" s="4">
        <v>6.5</v>
      </c>
      <c r="P288" s="4">
        <v>0.4</v>
      </c>
      <c r="R288" s="4">
        <v>2</v>
      </c>
      <c r="S288" s="4">
        <v>17</v>
      </c>
      <c r="T288" s="4">
        <v>3</v>
      </c>
      <c r="V288" s="33">
        <f>(3*28)+29</f>
        <v>113</v>
      </c>
      <c r="W288" s="33">
        <f>(2*28)+23</f>
        <v>79</v>
      </c>
      <c r="X288" s="33">
        <f>(4*28)+7</f>
        <v>119</v>
      </c>
      <c r="Z288" s="33">
        <v>0</v>
      </c>
      <c r="AA288" s="33">
        <f t="shared" ref="AA288:AA291" si="273">(0*24)+42</f>
        <v>42</v>
      </c>
      <c r="AB288" s="33">
        <f t="shared" ref="AB288:AB291" si="274">(1*24)+14</f>
        <v>38</v>
      </c>
      <c r="AC288" s="33">
        <v>0</v>
      </c>
      <c r="AE288" s="4"/>
    </row>
    <row r="289" spans="1:31" ht="14" x14ac:dyDescent="0.2">
      <c r="A289" s="50">
        <v>45311</v>
      </c>
      <c r="B289" s="4">
        <v>1</v>
      </c>
      <c r="C289" s="4">
        <v>24</v>
      </c>
      <c r="D289" s="4">
        <v>2</v>
      </c>
      <c r="F289" s="4">
        <v>2</v>
      </c>
      <c r="G289" s="4">
        <v>9</v>
      </c>
      <c r="H289" s="4">
        <v>3</v>
      </c>
      <c r="J289" s="4">
        <v>6.9</v>
      </c>
      <c r="K289" s="33">
        <f t="shared" si="259"/>
        <v>0.89999999999999858</v>
      </c>
      <c r="L289" s="4">
        <f>17.3+6.1</f>
        <v>23.4</v>
      </c>
      <c r="N289" s="4">
        <v>2</v>
      </c>
      <c r="O289" s="4">
        <v>4</v>
      </c>
      <c r="P289" s="4">
        <v>0.8</v>
      </c>
      <c r="R289" s="4">
        <v>0</v>
      </c>
      <c r="S289" s="4">
        <v>8</v>
      </c>
      <c r="T289" s="4">
        <v>1.7</v>
      </c>
      <c r="V289" s="33">
        <f t="shared" ref="V289:V291" si="275">(3*28)+26</f>
        <v>110</v>
      </c>
      <c r="W289" s="33">
        <f t="shared" ref="W289:W291" si="276">(2*28)+22</f>
        <v>78</v>
      </c>
      <c r="X289" s="33">
        <f t="shared" ref="X289:X291" si="277">(4*28)+4</f>
        <v>116</v>
      </c>
      <c r="Z289" s="33">
        <v>0</v>
      </c>
      <c r="AA289" s="33">
        <f t="shared" si="273"/>
        <v>42</v>
      </c>
      <c r="AB289" s="33">
        <f t="shared" si="274"/>
        <v>38</v>
      </c>
      <c r="AC289" s="33">
        <v>0</v>
      </c>
      <c r="AE289" s="4"/>
    </row>
    <row r="290" spans="1:31" ht="14" x14ac:dyDescent="0.2">
      <c r="A290" s="50">
        <v>45312</v>
      </c>
      <c r="B290" s="4">
        <v>0</v>
      </c>
      <c r="C290" s="4">
        <v>0</v>
      </c>
      <c r="D290" s="4">
        <v>0</v>
      </c>
      <c r="F290" s="4">
        <v>0</v>
      </c>
      <c r="G290" s="4">
        <v>0</v>
      </c>
      <c r="H290" s="4">
        <v>0</v>
      </c>
      <c r="J290" s="4">
        <v>0</v>
      </c>
      <c r="K290" s="33">
        <f t="shared" si="259"/>
        <v>0</v>
      </c>
      <c r="L290" s="4">
        <v>23.4</v>
      </c>
      <c r="N290" s="4">
        <v>0</v>
      </c>
      <c r="O290" s="4">
        <v>0</v>
      </c>
      <c r="P290" s="4">
        <v>0.8</v>
      </c>
      <c r="R290" s="4">
        <v>0</v>
      </c>
      <c r="S290" s="4">
        <v>0</v>
      </c>
      <c r="T290" s="4">
        <v>1.7</v>
      </c>
      <c r="V290" s="33">
        <f t="shared" si="275"/>
        <v>110</v>
      </c>
      <c r="W290" s="33">
        <f t="shared" si="276"/>
        <v>78</v>
      </c>
      <c r="X290" s="33">
        <f t="shared" si="277"/>
        <v>116</v>
      </c>
      <c r="Z290" s="33">
        <v>0</v>
      </c>
      <c r="AA290" s="33">
        <f t="shared" si="273"/>
        <v>42</v>
      </c>
      <c r="AB290" s="33">
        <f t="shared" si="274"/>
        <v>38</v>
      </c>
      <c r="AC290" s="33">
        <v>0</v>
      </c>
      <c r="AE290" s="4"/>
    </row>
    <row r="291" spans="1:31" ht="14" x14ac:dyDescent="0.2">
      <c r="A291" s="50">
        <v>45313</v>
      </c>
      <c r="B291" s="4">
        <v>4</v>
      </c>
      <c r="C291" s="4">
        <v>15</v>
      </c>
      <c r="D291" s="4">
        <v>9</v>
      </c>
      <c r="F291" s="4">
        <v>2</v>
      </c>
      <c r="G291" s="4">
        <v>5</v>
      </c>
      <c r="H291" s="4">
        <v>7</v>
      </c>
      <c r="J291" s="4">
        <v>7.7</v>
      </c>
      <c r="K291" s="33">
        <f t="shared" si="259"/>
        <v>9.0999999999999979</v>
      </c>
      <c r="L291" s="4">
        <f>10.5+11.5</f>
        <v>22</v>
      </c>
      <c r="N291" s="4">
        <v>2</v>
      </c>
      <c r="O291" s="4">
        <v>1</v>
      </c>
      <c r="P291" s="4">
        <v>2.2999999999999998</v>
      </c>
      <c r="R291" s="4">
        <v>1</v>
      </c>
      <c r="S291" s="4">
        <v>8</v>
      </c>
      <c r="T291" s="4">
        <v>2.2999999999999998</v>
      </c>
      <c r="V291" s="33">
        <f t="shared" si="275"/>
        <v>110</v>
      </c>
      <c r="W291" s="33">
        <f t="shared" si="276"/>
        <v>78</v>
      </c>
      <c r="X291" s="33">
        <f t="shared" si="277"/>
        <v>116</v>
      </c>
      <c r="Z291" s="33">
        <v>0</v>
      </c>
      <c r="AA291" s="33">
        <f t="shared" si="273"/>
        <v>42</v>
      </c>
      <c r="AB291" s="33">
        <f t="shared" si="274"/>
        <v>38</v>
      </c>
      <c r="AC291" s="33">
        <v>0</v>
      </c>
      <c r="AE291" s="4"/>
    </row>
    <row r="292" spans="1:31" ht="14" x14ac:dyDescent="0.2">
      <c r="A292" s="50">
        <v>45314</v>
      </c>
      <c r="B292" s="4">
        <v>4</v>
      </c>
      <c r="C292" s="4">
        <v>14</v>
      </c>
      <c r="D292" s="4">
        <v>10</v>
      </c>
      <c r="F292" s="4">
        <v>3.5</v>
      </c>
      <c r="G292" s="4">
        <v>17</v>
      </c>
      <c r="H292" s="4">
        <v>4</v>
      </c>
      <c r="J292" s="4">
        <v>0</v>
      </c>
      <c r="K292" s="33">
        <f t="shared" si="259"/>
        <v>7.2000000000000011</v>
      </c>
      <c r="L292" s="4">
        <f>6.6+8.2</f>
        <v>14.799999999999999</v>
      </c>
      <c r="N292" s="4">
        <v>0</v>
      </c>
      <c r="O292" s="4">
        <v>5</v>
      </c>
      <c r="P292" s="4">
        <v>0.8</v>
      </c>
      <c r="R292" s="4">
        <v>0</v>
      </c>
      <c r="S292" s="4">
        <v>9</v>
      </c>
      <c r="T292" s="4">
        <v>1.3</v>
      </c>
      <c r="V292" s="33">
        <f>(3*28)+22</f>
        <v>106</v>
      </c>
      <c r="W292" s="33">
        <f>(2*28)+20</f>
        <v>76</v>
      </c>
      <c r="X292" s="33">
        <f t="shared" ref="X292:X293" si="278">(4*28)+3</f>
        <v>115</v>
      </c>
      <c r="Z292" s="33">
        <v>0</v>
      </c>
      <c r="AA292" s="33">
        <f>(0*24)+39</f>
        <v>39</v>
      </c>
      <c r="AB292" s="33">
        <f t="shared" ref="AB292:AB293" si="279">(1*24)+13</f>
        <v>37</v>
      </c>
      <c r="AC292" s="33">
        <v>0</v>
      </c>
      <c r="AE292" s="4"/>
    </row>
    <row r="293" spans="1:31" ht="14" x14ac:dyDescent="0.2">
      <c r="A293" s="50">
        <v>45315</v>
      </c>
      <c r="B293" s="4">
        <v>4</v>
      </c>
      <c r="C293" s="4">
        <v>19</v>
      </c>
      <c r="D293" s="4">
        <v>5</v>
      </c>
      <c r="F293" s="4">
        <v>2</v>
      </c>
      <c r="G293" s="4">
        <v>7</v>
      </c>
      <c r="H293" s="4">
        <v>5</v>
      </c>
      <c r="J293" s="4">
        <v>5.0999999999999996</v>
      </c>
      <c r="K293" s="33">
        <f t="shared" si="259"/>
        <v>4.6999999999999993</v>
      </c>
      <c r="L293" s="4">
        <f>6.7+8.5</f>
        <v>15.2</v>
      </c>
      <c r="N293" s="4">
        <v>1</v>
      </c>
      <c r="O293" s="4">
        <v>3.5</v>
      </c>
      <c r="P293" s="4">
        <v>0.7</v>
      </c>
      <c r="R293" s="4">
        <v>2</v>
      </c>
      <c r="S293" s="4">
        <v>3</v>
      </c>
      <c r="T293" s="4">
        <v>1.2</v>
      </c>
      <c r="V293" s="33">
        <f>(3*28)+13</f>
        <v>97</v>
      </c>
      <c r="W293" s="33">
        <f t="shared" ref="W293:W294" si="280">(2*28)+18</f>
        <v>74</v>
      </c>
      <c r="X293" s="33">
        <f t="shared" si="278"/>
        <v>115</v>
      </c>
      <c r="Z293" s="33">
        <v>0</v>
      </c>
      <c r="AA293" s="33">
        <f t="shared" ref="AA293:AA294" si="281">(0*24)+37</f>
        <v>37</v>
      </c>
      <c r="AB293" s="33">
        <f t="shared" si="279"/>
        <v>37</v>
      </c>
      <c r="AC293" s="33">
        <v>0</v>
      </c>
      <c r="AE293" s="4"/>
    </row>
    <row r="294" spans="1:31" ht="14" x14ac:dyDescent="0.2">
      <c r="A294" s="50">
        <v>45316</v>
      </c>
      <c r="B294" s="4">
        <v>3</v>
      </c>
      <c r="C294" s="4">
        <v>18</v>
      </c>
      <c r="D294" s="4">
        <v>0</v>
      </c>
      <c r="F294" s="4">
        <v>2</v>
      </c>
      <c r="G294" s="4">
        <v>12</v>
      </c>
      <c r="H294" s="4">
        <v>0</v>
      </c>
      <c r="J294" s="4">
        <v>7.6</v>
      </c>
      <c r="K294" s="33">
        <f t="shared" si="259"/>
        <v>4.7999999999999972</v>
      </c>
      <c r="L294" s="4">
        <f>13.5+4.5</f>
        <v>18</v>
      </c>
      <c r="N294" s="4">
        <v>1.7</v>
      </c>
      <c r="O294" s="4">
        <v>1</v>
      </c>
      <c r="P294" s="4">
        <v>2</v>
      </c>
      <c r="R294" s="4">
        <v>4</v>
      </c>
      <c r="S294" s="4">
        <v>4</v>
      </c>
      <c r="T294" s="4">
        <v>4</v>
      </c>
      <c r="V294" s="33">
        <f>(2*28)+41</f>
        <v>97</v>
      </c>
      <c r="W294" s="33">
        <f t="shared" si="280"/>
        <v>74</v>
      </c>
      <c r="X294" s="33">
        <f>(3*28)+31</f>
        <v>115</v>
      </c>
      <c r="Z294" s="33">
        <v>0</v>
      </c>
      <c r="AA294" s="33">
        <f t="shared" si="281"/>
        <v>37</v>
      </c>
      <c r="AB294" s="33">
        <f>(1*24)+10</f>
        <v>34</v>
      </c>
      <c r="AC294" s="33">
        <v>0</v>
      </c>
      <c r="AE294" s="4"/>
    </row>
    <row r="295" spans="1:31" ht="14" x14ac:dyDescent="0.2">
      <c r="A295" s="50">
        <v>45317</v>
      </c>
      <c r="B295" s="4">
        <v>8</v>
      </c>
      <c r="C295" s="4">
        <v>41</v>
      </c>
      <c r="D295" s="4">
        <v>7</v>
      </c>
      <c r="F295" s="4">
        <v>5</v>
      </c>
      <c r="G295" s="4">
        <v>27</v>
      </c>
      <c r="H295" s="4">
        <v>3</v>
      </c>
      <c r="J295" s="4">
        <v>0</v>
      </c>
      <c r="K295" s="33">
        <f t="shared" si="259"/>
        <v>12.1</v>
      </c>
      <c r="L295" s="4">
        <v>5.9</v>
      </c>
      <c r="N295" s="4">
        <v>0</v>
      </c>
      <c r="O295" s="4">
        <v>8</v>
      </c>
      <c r="P295" s="4">
        <v>0.3</v>
      </c>
      <c r="R295" s="4">
        <v>0</v>
      </c>
      <c r="S295" s="4">
        <v>21</v>
      </c>
      <c r="T295" s="4">
        <v>1.9</v>
      </c>
      <c r="V295" s="33">
        <f t="shared" ref="V295:V296" si="282">(2*28)+31</f>
        <v>87</v>
      </c>
      <c r="W295" s="33">
        <f>(2*28)+17</f>
        <v>73</v>
      </c>
      <c r="X295" s="33">
        <f t="shared" ref="X295:X296" si="283">(3*28)+25</f>
        <v>109</v>
      </c>
      <c r="Z295" s="33">
        <v>0</v>
      </c>
      <c r="AA295" s="33">
        <f>(0*24)+35</f>
        <v>35</v>
      </c>
      <c r="AB295" s="33">
        <f>(1*24)+6</f>
        <v>30</v>
      </c>
      <c r="AC295" s="33">
        <v>0</v>
      </c>
      <c r="AE295" s="4"/>
    </row>
    <row r="296" spans="1:31" ht="14" x14ac:dyDescent="0.2">
      <c r="A296" s="50">
        <v>45318</v>
      </c>
      <c r="B296" s="4">
        <v>3</v>
      </c>
      <c r="C296" s="4">
        <v>15</v>
      </c>
      <c r="D296" s="4">
        <v>3</v>
      </c>
      <c r="F296" s="4">
        <v>2</v>
      </c>
      <c r="G296" s="4">
        <v>5</v>
      </c>
      <c r="H296" s="4">
        <v>7</v>
      </c>
      <c r="J296" s="4">
        <v>12.2</v>
      </c>
      <c r="K296" s="33">
        <f t="shared" si="259"/>
        <v>6.0000000000000018</v>
      </c>
      <c r="L296" s="4">
        <f>7.8+4.3</f>
        <v>12.1</v>
      </c>
      <c r="N296" s="4">
        <v>1.4</v>
      </c>
      <c r="O296" s="4">
        <v>2</v>
      </c>
      <c r="P296" s="4">
        <v>1</v>
      </c>
      <c r="R296" s="4">
        <v>1.3</v>
      </c>
      <c r="S296" s="4">
        <v>4</v>
      </c>
      <c r="T296" s="4">
        <v>2.5</v>
      </c>
      <c r="V296" s="33">
        <f t="shared" si="282"/>
        <v>87</v>
      </c>
      <c r="W296" s="33">
        <f t="shared" ref="W296:W297" si="284">(2*28)+13</f>
        <v>69</v>
      </c>
      <c r="X296" s="33">
        <f t="shared" si="283"/>
        <v>109</v>
      </c>
      <c r="Z296" s="33">
        <v>0</v>
      </c>
      <c r="AA296" s="33">
        <f t="shared" ref="AA296:AA300" si="285">(0*24)+30</f>
        <v>30</v>
      </c>
      <c r="AB296" s="33">
        <f>(1*24)+5</f>
        <v>29</v>
      </c>
      <c r="AC296" s="33">
        <v>0</v>
      </c>
      <c r="AE296" s="4"/>
    </row>
    <row r="297" spans="1:31" ht="14" x14ac:dyDescent="0.2">
      <c r="A297" s="50">
        <v>45319</v>
      </c>
      <c r="B297" s="4">
        <v>5</v>
      </c>
      <c r="C297" s="4">
        <v>21</v>
      </c>
      <c r="D297" s="4">
        <v>9</v>
      </c>
      <c r="F297" s="4">
        <v>2</v>
      </c>
      <c r="G297" s="4">
        <v>6</v>
      </c>
      <c r="H297" s="4">
        <v>6</v>
      </c>
      <c r="J297" s="4">
        <v>9.6</v>
      </c>
      <c r="K297" s="33">
        <f t="shared" si="259"/>
        <v>7.5</v>
      </c>
      <c r="L297" s="4">
        <f>7.8+6.4</f>
        <v>14.2</v>
      </c>
      <c r="N297" s="4">
        <v>2.2999999999999998</v>
      </c>
      <c r="O297" s="4">
        <v>0</v>
      </c>
      <c r="P297" s="4">
        <v>3</v>
      </c>
      <c r="R297" s="4">
        <v>0</v>
      </c>
      <c r="S297" s="4">
        <v>5</v>
      </c>
      <c r="T297" s="4">
        <v>2.2000000000000002</v>
      </c>
      <c r="V297" s="33">
        <f>(2*28)+27</f>
        <v>83</v>
      </c>
      <c r="W297" s="33">
        <f t="shared" si="284"/>
        <v>69</v>
      </c>
      <c r="X297" s="33">
        <f>(3*28)+23</f>
        <v>107</v>
      </c>
      <c r="Z297" s="33">
        <v>0</v>
      </c>
      <c r="AA297" s="33">
        <f t="shared" si="285"/>
        <v>30</v>
      </c>
      <c r="AB297" s="33">
        <f>(1*24)+4</f>
        <v>28</v>
      </c>
      <c r="AC297" s="33">
        <v>0</v>
      </c>
      <c r="AE297" s="4"/>
    </row>
    <row r="298" spans="1:31" ht="14" x14ac:dyDescent="0.2">
      <c r="A298" s="50">
        <v>45320</v>
      </c>
      <c r="B298" s="4">
        <v>3</v>
      </c>
      <c r="C298" s="4">
        <v>18</v>
      </c>
      <c r="D298" s="4">
        <v>0</v>
      </c>
      <c r="F298" s="4">
        <v>2</v>
      </c>
      <c r="G298" s="4">
        <v>5</v>
      </c>
      <c r="H298" s="4">
        <v>7</v>
      </c>
      <c r="J298" s="4">
        <v>5.8</v>
      </c>
      <c r="K298" s="33">
        <f t="shared" si="259"/>
        <v>6.6000000000000014</v>
      </c>
      <c r="L298" s="4">
        <f>8.7+4.7</f>
        <v>13.399999999999999</v>
      </c>
      <c r="N298" s="4">
        <v>0</v>
      </c>
      <c r="O298" s="4">
        <v>5.5</v>
      </c>
      <c r="P298" s="4">
        <v>1.9</v>
      </c>
      <c r="R298" s="4">
        <v>2</v>
      </c>
      <c r="S298" s="4">
        <v>12</v>
      </c>
      <c r="T298" s="4">
        <v>3.1</v>
      </c>
      <c r="V298" s="33">
        <f>(2*28)+24</f>
        <v>80</v>
      </c>
      <c r="W298" s="33">
        <f t="shared" ref="W298:W299" si="286">(2*28)+11</f>
        <v>67</v>
      </c>
      <c r="X298" s="33">
        <f t="shared" ref="X298:X299" si="287">(3*28)+22</f>
        <v>106</v>
      </c>
      <c r="Z298" s="33">
        <v>0</v>
      </c>
      <c r="AA298" s="33">
        <f t="shared" si="285"/>
        <v>30</v>
      </c>
      <c r="AB298" s="33">
        <f t="shared" ref="AB298:AB300" si="288">(1*24)+3</f>
        <v>27</v>
      </c>
      <c r="AC298" s="33">
        <v>0</v>
      </c>
      <c r="AE298" s="4"/>
    </row>
    <row r="299" spans="1:31" ht="14" x14ac:dyDescent="0.2">
      <c r="A299" s="50">
        <v>45321</v>
      </c>
      <c r="B299" s="4">
        <v>3</v>
      </c>
      <c r="C299" s="4">
        <v>4</v>
      </c>
      <c r="D299" s="4">
        <v>14</v>
      </c>
      <c r="F299" s="4">
        <v>2</v>
      </c>
      <c r="G299" s="4">
        <v>7</v>
      </c>
      <c r="H299" s="4">
        <v>5</v>
      </c>
      <c r="J299" s="4">
        <v>6.9</v>
      </c>
      <c r="K299" s="33">
        <f t="shared" si="259"/>
        <v>3.3999999999999986</v>
      </c>
      <c r="L299" s="4">
        <f>12.2+4.7</f>
        <v>16.899999999999999</v>
      </c>
      <c r="N299" s="4">
        <v>1.6</v>
      </c>
      <c r="O299" s="4">
        <v>2</v>
      </c>
      <c r="P299" s="4">
        <v>3</v>
      </c>
      <c r="R299" s="4">
        <v>0</v>
      </c>
      <c r="S299" s="4">
        <v>2</v>
      </c>
      <c r="T299" s="4">
        <v>3</v>
      </c>
      <c r="V299" s="33">
        <f>(2*28)+20</f>
        <v>76</v>
      </c>
      <c r="W299" s="33">
        <f t="shared" si="286"/>
        <v>67</v>
      </c>
      <c r="X299" s="33">
        <f t="shared" si="287"/>
        <v>106</v>
      </c>
      <c r="Z299" s="33">
        <v>0</v>
      </c>
      <c r="AA299" s="33">
        <f t="shared" si="285"/>
        <v>30</v>
      </c>
      <c r="AB299" s="33">
        <f t="shared" si="288"/>
        <v>27</v>
      </c>
      <c r="AC299" s="33">
        <v>0</v>
      </c>
      <c r="AE299" s="4"/>
    </row>
    <row r="300" spans="1:31" ht="14" x14ac:dyDescent="0.2">
      <c r="A300" s="50">
        <v>45322</v>
      </c>
      <c r="B300" s="4">
        <v>3</v>
      </c>
      <c r="C300" s="4">
        <v>18</v>
      </c>
      <c r="D300" s="4">
        <v>0</v>
      </c>
      <c r="F300" s="4">
        <v>2</v>
      </c>
      <c r="G300" s="4">
        <v>10</v>
      </c>
      <c r="H300" s="4">
        <v>2</v>
      </c>
      <c r="J300" s="4">
        <v>0</v>
      </c>
      <c r="K300" s="33">
        <f t="shared" si="259"/>
        <v>6.6</v>
      </c>
      <c r="L300" s="4">
        <f>9.2+1.1</f>
        <v>10.299999999999999</v>
      </c>
      <c r="N300" s="4">
        <v>0</v>
      </c>
      <c r="O300" s="4">
        <v>3</v>
      </c>
      <c r="P300" s="4">
        <v>2.2999999999999998</v>
      </c>
      <c r="R300" s="4">
        <v>0</v>
      </c>
      <c r="S300" s="4">
        <v>12</v>
      </c>
      <c r="T300" s="4">
        <v>2.2000000000000002</v>
      </c>
      <c r="V300" s="33">
        <f>(2*28)+16</f>
        <v>72</v>
      </c>
      <c r="W300" s="33">
        <f>(2*28)+6</f>
        <v>62</v>
      </c>
      <c r="X300" s="33">
        <f>(3*28)+17</f>
        <v>101</v>
      </c>
      <c r="Z300" s="33">
        <v>0</v>
      </c>
      <c r="AA300" s="33">
        <f t="shared" si="285"/>
        <v>30</v>
      </c>
      <c r="AB300" s="33">
        <f t="shared" si="288"/>
        <v>27</v>
      </c>
      <c r="AC300" s="33">
        <v>0</v>
      </c>
      <c r="AE300" s="4">
        <v>549</v>
      </c>
    </row>
    <row r="302" spans="1:31" ht="14" x14ac:dyDescent="0.2">
      <c r="A302" s="14" t="s">
        <v>0</v>
      </c>
      <c r="B302" s="52">
        <f t="shared" ref="B302:D302" si="289">SUM(B270:B300)</f>
        <v>155.5</v>
      </c>
      <c r="C302" s="52">
        <f t="shared" si="289"/>
        <v>785</v>
      </c>
      <c r="D302" s="52">
        <f t="shared" si="289"/>
        <v>188</v>
      </c>
      <c r="F302" s="52">
        <f t="shared" ref="F302:H302" si="290">SUM(F270:F300)</f>
        <v>85</v>
      </c>
      <c r="G302" s="52">
        <f t="shared" si="290"/>
        <v>395</v>
      </c>
      <c r="H302" s="52">
        <f t="shared" si="290"/>
        <v>120</v>
      </c>
      <c r="J302" s="52">
        <f t="shared" ref="J302:K302" si="291">SUM(J270:J300)</f>
        <v>237.59999999999997</v>
      </c>
      <c r="K302" s="52">
        <f t="shared" si="291"/>
        <v>227.3</v>
      </c>
      <c r="N302" s="52">
        <f t="shared" ref="N302:O302" si="292">SUM(N270:N300)</f>
        <v>38.199999999999996</v>
      </c>
      <c r="O302" s="52">
        <f t="shared" si="292"/>
        <v>123</v>
      </c>
      <c r="R302" s="52">
        <f t="shared" ref="R302:S302" si="293">SUM(R270:R300)</f>
        <v>37.899999999999991</v>
      </c>
      <c r="S302" s="52">
        <f t="shared" si="293"/>
        <v>340</v>
      </c>
    </row>
  </sheetData>
  <mergeCells count="7">
    <mergeCell ref="V1:X1"/>
    <mergeCell ref="Z1:AC1"/>
    <mergeCell ref="B1:D1"/>
    <mergeCell ref="F1:H1"/>
    <mergeCell ref="J1:L1"/>
    <mergeCell ref="N1:P1"/>
    <mergeCell ref="R1:T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outlinePr summaryBelow="0" summaryRight="0"/>
  </sheetPr>
  <dimension ref="B2:V132"/>
  <sheetViews>
    <sheetView workbookViewId="0"/>
  </sheetViews>
  <sheetFormatPr baseColWidth="10" defaultColWidth="12.796875" defaultRowHeight="15.75" customHeight="1" x14ac:dyDescent="0.2"/>
  <sheetData>
    <row r="2" spans="2:8" ht="15.75" customHeight="1" x14ac:dyDescent="0.2">
      <c r="B2" s="7"/>
      <c r="C2" s="104" t="s">
        <v>1</v>
      </c>
      <c r="D2" s="99"/>
      <c r="E2" s="99"/>
      <c r="F2" s="99"/>
      <c r="G2" s="99"/>
      <c r="H2" s="96"/>
    </row>
    <row r="3" spans="2:8" ht="15.75" customHeight="1" x14ac:dyDescent="0.2">
      <c r="C3" s="56" t="s">
        <v>148</v>
      </c>
      <c r="D3" s="56" t="s">
        <v>149</v>
      </c>
      <c r="E3" s="56" t="s">
        <v>150</v>
      </c>
      <c r="F3" s="56" t="s">
        <v>151</v>
      </c>
      <c r="G3" s="56" t="s">
        <v>152</v>
      </c>
      <c r="H3" s="57" t="s">
        <v>153</v>
      </c>
    </row>
    <row r="4" spans="2:8" ht="15.75" customHeight="1" x14ac:dyDescent="0.2">
      <c r="B4" s="58" t="s">
        <v>154</v>
      </c>
      <c r="C4" s="4"/>
      <c r="D4" s="59">
        <v>0</v>
      </c>
      <c r="E4" s="59">
        <v>15935</v>
      </c>
      <c r="F4" s="59">
        <v>10005</v>
      </c>
      <c r="G4" s="59">
        <v>7835</v>
      </c>
      <c r="H4" s="57">
        <f t="shared" ref="H4:H11" si="0">AVERAGEIF(C4:G4,"&lt;&gt;0")</f>
        <v>11258.333333333334</v>
      </c>
    </row>
    <row r="5" spans="2:8" ht="15.75" customHeight="1" x14ac:dyDescent="0.2">
      <c r="B5" s="60" t="s">
        <v>155</v>
      </c>
      <c r="C5" s="4"/>
      <c r="D5" s="59">
        <v>6040</v>
      </c>
      <c r="E5" s="59">
        <v>5745</v>
      </c>
      <c r="F5" s="59">
        <v>0</v>
      </c>
      <c r="G5" s="59">
        <v>5490</v>
      </c>
      <c r="H5" s="57">
        <f t="shared" si="0"/>
        <v>5758.333333333333</v>
      </c>
    </row>
    <row r="6" spans="2:8" ht="15.75" customHeight="1" x14ac:dyDescent="0.2">
      <c r="B6" s="60" t="s">
        <v>156</v>
      </c>
      <c r="C6" s="59">
        <v>61365</v>
      </c>
      <c r="D6" s="59">
        <v>8355</v>
      </c>
      <c r="E6" s="59">
        <v>23905</v>
      </c>
      <c r="F6" s="59">
        <v>3955</v>
      </c>
      <c r="G6" s="59">
        <v>8230</v>
      </c>
      <c r="H6" s="57">
        <f t="shared" si="0"/>
        <v>21162</v>
      </c>
    </row>
    <row r="7" spans="2:8" ht="15.75" customHeight="1" x14ac:dyDescent="0.2">
      <c r="B7" s="60" t="s">
        <v>157</v>
      </c>
      <c r="C7" s="59">
        <v>8220</v>
      </c>
      <c r="D7" s="59">
        <v>7730</v>
      </c>
      <c r="E7" s="59">
        <v>18595</v>
      </c>
      <c r="F7" s="59">
        <v>10095</v>
      </c>
      <c r="G7" s="59">
        <v>8435</v>
      </c>
      <c r="H7" s="57">
        <f t="shared" si="0"/>
        <v>10615</v>
      </c>
    </row>
    <row r="8" spans="2:8" ht="15.75" customHeight="1" x14ac:dyDescent="0.2">
      <c r="B8" s="60" t="s">
        <v>158</v>
      </c>
      <c r="C8" s="59">
        <v>8845</v>
      </c>
      <c r="D8" s="59">
        <v>10740</v>
      </c>
      <c r="E8" s="59">
        <v>14687</v>
      </c>
      <c r="F8" s="59">
        <v>9455</v>
      </c>
      <c r="G8" s="4"/>
      <c r="H8" s="57">
        <f t="shared" si="0"/>
        <v>10931.75</v>
      </c>
    </row>
    <row r="9" spans="2:8" ht="15.75" customHeight="1" x14ac:dyDescent="0.2">
      <c r="B9" s="60" t="s">
        <v>159</v>
      </c>
      <c r="C9" s="59">
        <v>11950</v>
      </c>
      <c r="D9" s="59">
        <v>7190</v>
      </c>
      <c r="E9" s="59">
        <v>14549</v>
      </c>
      <c r="F9" s="59">
        <v>8035</v>
      </c>
      <c r="G9" s="4"/>
      <c r="H9" s="57">
        <f t="shared" si="0"/>
        <v>10431</v>
      </c>
    </row>
    <row r="10" spans="2:8" ht="15.75" customHeight="1" x14ac:dyDescent="0.2">
      <c r="B10" s="60" t="s">
        <v>160</v>
      </c>
      <c r="C10" s="59">
        <v>19770</v>
      </c>
      <c r="D10" s="59">
        <v>24865</v>
      </c>
      <c r="E10" s="59">
        <v>13435</v>
      </c>
      <c r="F10" s="59">
        <v>16780</v>
      </c>
      <c r="G10" s="4"/>
      <c r="H10" s="57">
        <f t="shared" si="0"/>
        <v>18712.5</v>
      </c>
    </row>
    <row r="11" spans="2:8" ht="15.75" customHeight="1" x14ac:dyDescent="0.2">
      <c r="B11" s="61" t="s">
        <v>153</v>
      </c>
      <c r="C11" s="61">
        <f>AVERAGE(C4:C10)</f>
        <v>22030</v>
      </c>
      <c r="D11" s="61">
        <f>AVERAGE(D5:D10)</f>
        <v>10820</v>
      </c>
      <c r="E11" s="61">
        <f t="shared" ref="E11:G11" si="1">AVERAGE(E4:E10)</f>
        <v>15264.428571428571</v>
      </c>
      <c r="F11" s="61">
        <f t="shared" si="1"/>
        <v>8332.1428571428569</v>
      </c>
      <c r="G11" s="61">
        <f t="shared" si="1"/>
        <v>7497.5</v>
      </c>
      <c r="H11" s="62">
        <f t="shared" si="0"/>
        <v>12788.814285714285</v>
      </c>
    </row>
    <row r="13" spans="2:8" ht="15.75" customHeight="1" x14ac:dyDescent="0.2">
      <c r="B13" s="7"/>
      <c r="C13" s="104" t="s">
        <v>25</v>
      </c>
      <c r="D13" s="99"/>
      <c r="E13" s="99"/>
      <c r="F13" s="99"/>
      <c r="G13" s="99"/>
      <c r="H13" s="96"/>
    </row>
    <row r="14" spans="2:8" ht="15.75" customHeight="1" x14ac:dyDescent="0.2">
      <c r="C14" s="56" t="s">
        <v>148</v>
      </c>
      <c r="D14" s="56" t="s">
        <v>149</v>
      </c>
      <c r="E14" s="56" t="s">
        <v>150</v>
      </c>
      <c r="F14" s="56" t="s">
        <v>151</v>
      </c>
      <c r="G14" s="56" t="s">
        <v>152</v>
      </c>
      <c r="H14" s="57" t="s">
        <v>153</v>
      </c>
    </row>
    <row r="15" spans="2:8" ht="15.75" customHeight="1" x14ac:dyDescent="0.2">
      <c r="B15" s="58" t="s">
        <v>154</v>
      </c>
      <c r="C15" s="4"/>
      <c r="D15" s="59">
        <v>8155</v>
      </c>
      <c r="E15" s="59">
        <v>4785</v>
      </c>
      <c r="F15" s="59">
        <v>2815</v>
      </c>
      <c r="G15" s="59">
        <v>8340</v>
      </c>
      <c r="H15" s="57">
        <f t="shared" ref="H15:H21" si="2">AVERAGE(C15:G15)</f>
        <v>6023.75</v>
      </c>
    </row>
    <row r="16" spans="2:8" ht="15.75" customHeight="1" x14ac:dyDescent="0.2">
      <c r="B16" s="60" t="s">
        <v>155</v>
      </c>
      <c r="C16" s="4"/>
      <c r="D16" s="59">
        <v>7270</v>
      </c>
      <c r="E16" s="59">
        <v>4800</v>
      </c>
      <c r="F16" s="59">
        <v>5565</v>
      </c>
      <c r="G16" s="59">
        <v>0</v>
      </c>
      <c r="H16" s="57">
        <f t="shared" si="2"/>
        <v>4408.75</v>
      </c>
    </row>
    <row r="17" spans="2:16" ht="15.75" customHeight="1" x14ac:dyDescent="0.2">
      <c r="B17" s="60" t="s">
        <v>156</v>
      </c>
      <c r="C17" s="4"/>
      <c r="D17" s="59">
        <v>5095</v>
      </c>
      <c r="E17" s="59">
        <v>0</v>
      </c>
      <c r="F17" s="59">
        <v>8775</v>
      </c>
      <c r="G17" s="59">
        <v>0</v>
      </c>
      <c r="H17" s="57">
        <f t="shared" si="2"/>
        <v>3467.5</v>
      </c>
    </row>
    <row r="18" spans="2:16" ht="15.75" customHeight="1" x14ac:dyDescent="0.2">
      <c r="B18" s="60" t="s">
        <v>157</v>
      </c>
      <c r="C18" s="4"/>
      <c r="D18" s="59">
        <v>5750</v>
      </c>
      <c r="E18" s="59">
        <v>7850</v>
      </c>
      <c r="F18" s="59">
        <v>6485</v>
      </c>
      <c r="G18" s="59">
        <v>7075</v>
      </c>
      <c r="H18" s="57">
        <f t="shared" si="2"/>
        <v>6790</v>
      </c>
    </row>
    <row r="19" spans="2:16" ht="15.75" customHeight="1" x14ac:dyDescent="0.2">
      <c r="B19" s="60" t="s">
        <v>158</v>
      </c>
      <c r="C19" s="4"/>
      <c r="D19" s="59">
        <v>9505</v>
      </c>
      <c r="E19" s="59">
        <v>8595</v>
      </c>
      <c r="F19" s="59">
        <v>3890</v>
      </c>
      <c r="G19" s="59">
        <v>10275</v>
      </c>
      <c r="H19" s="57">
        <f t="shared" si="2"/>
        <v>8066.25</v>
      </c>
    </row>
    <row r="20" spans="2:16" ht="15.75" customHeight="1" x14ac:dyDescent="0.2">
      <c r="B20" s="60" t="s">
        <v>159</v>
      </c>
      <c r="C20" s="59">
        <v>9440</v>
      </c>
      <c r="D20" s="59">
        <v>9455</v>
      </c>
      <c r="E20" s="59">
        <v>7925</v>
      </c>
      <c r="F20" s="59">
        <v>7145</v>
      </c>
      <c r="G20" s="4"/>
      <c r="H20" s="57">
        <f t="shared" si="2"/>
        <v>8491.25</v>
      </c>
    </row>
    <row r="21" spans="2:16" ht="15.75" customHeight="1" x14ac:dyDescent="0.2">
      <c r="B21" s="60" t="s">
        <v>160</v>
      </c>
      <c r="C21" s="59">
        <v>15705</v>
      </c>
      <c r="D21" s="59">
        <v>19395</v>
      </c>
      <c r="E21" s="59">
        <v>15155</v>
      </c>
      <c r="F21" s="59">
        <v>11125</v>
      </c>
      <c r="G21" s="4"/>
      <c r="H21" s="57">
        <f t="shared" si="2"/>
        <v>15345</v>
      </c>
    </row>
    <row r="22" spans="2:16" ht="15.75" customHeight="1" x14ac:dyDescent="0.2">
      <c r="B22" s="61" t="s">
        <v>153</v>
      </c>
      <c r="C22" s="61">
        <f>AVERAGE(C15:C21)</f>
        <v>12572.5</v>
      </c>
      <c r="D22" s="61">
        <f>AVERAGE(D16:D21)</f>
        <v>9411.6666666666661</v>
      </c>
      <c r="E22" s="61">
        <f t="shared" ref="E22:H22" si="3">AVERAGE(E15:E21)</f>
        <v>7015.7142857142853</v>
      </c>
      <c r="F22" s="61">
        <f t="shared" si="3"/>
        <v>6542.8571428571431</v>
      </c>
      <c r="G22" s="61">
        <f t="shared" si="3"/>
        <v>5138</v>
      </c>
      <c r="H22" s="63">
        <f t="shared" si="3"/>
        <v>7513.2142857142853</v>
      </c>
    </row>
    <row r="24" spans="2:16" ht="15.75" customHeight="1" x14ac:dyDescent="0.2">
      <c r="B24" s="7"/>
      <c r="C24" s="104" t="s">
        <v>3</v>
      </c>
      <c r="D24" s="99"/>
      <c r="E24" s="99"/>
      <c r="F24" s="99"/>
      <c r="G24" s="99"/>
      <c r="H24" s="96"/>
    </row>
    <row r="25" spans="2:16" ht="15.75" customHeight="1" x14ac:dyDescent="0.2">
      <c r="C25" s="56" t="s">
        <v>148</v>
      </c>
      <c r="D25" s="56" t="s">
        <v>149</v>
      </c>
      <c r="E25" s="56" t="s">
        <v>150</v>
      </c>
      <c r="F25" s="56" t="s">
        <v>151</v>
      </c>
      <c r="G25" s="56" t="s">
        <v>152</v>
      </c>
      <c r="H25" s="57" t="s">
        <v>153</v>
      </c>
      <c r="I25" s="1"/>
      <c r="P25" s="1"/>
    </row>
    <row r="26" spans="2:16" ht="15.75" customHeight="1" x14ac:dyDescent="0.2">
      <c r="B26" s="58" t="s">
        <v>154</v>
      </c>
      <c r="C26" s="59">
        <v>16455</v>
      </c>
      <c r="D26" s="59">
        <v>6700</v>
      </c>
      <c r="E26" s="59">
        <v>4665</v>
      </c>
      <c r="F26" s="59">
        <v>0</v>
      </c>
      <c r="G26" s="59">
        <v>9100</v>
      </c>
      <c r="H26" s="57">
        <f t="shared" ref="H26:H32" si="4">AVERAGE(C26:G26)</f>
        <v>7384</v>
      </c>
    </row>
    <row r="27" spans="2:16" ht="15.75" customHeight="1" x14ac:dyDescent="0.2">
      <c r="B27" s="60" t="s">
        <v>155</v>
      </c>
      <c r="C27" s="4"/>
      <c r="D27" s="59">
        <v>7520</v>
      </c>
      <c r="E27" s="59">
        <v>7245</v>
      </c>
      <c r="F27" s="59">
        <v>6850</v>
      </c>
      <c r="G27" s="59">
        <v>7830</v>
      </c>
      <c r="H27" s="57">
        <f t="shared" si="4"/>
        <v>7361.25</v>
      </c>
    </row>
    <row r="28" spans="2:16" ht="15.75" customHeight="1" x14ac:dyDescent="0.2">
      <c r="B28" s="60" t="s">
        <v>156</v>
      </c>
      <c r="C28" s="4"/>
      <c r="D28" s="59">
        <v>7445</v>
      </c>
      <c r="E28" s="59">
        <v>11270</v>
      </c>
      <c r="F28" s="59">
        <v>5445</v>
      </c>
      <c r="G28" s="59">
        <v>8385</v>
      </c>
      <c r="H28" s="57">
        <f t="shared" si="4"/>
        <v>8136.25</v>
      </c>
    </row>
    <row r="29" spans="2:16" ht="15.75" customHeight="1" x14ac:dyDescent="0.2">
      <c r="B29" s="60" t="s">
        <v>157</v>
      </c>
      <c r="C29" s="4"/>
      <c r="D29" s="59">
        <v>0</v>
      </c>
      <c r="E29" s="59">
        <v>7780</v>
      </c>
      <c r="F29" s="59">
        <v>11460</v>
      </c>
      <c r="G29" s="59">
        <v>13380</v>
      </c>
      <c r="H29" s="57">
        <f t="shared" si="4"/>
        <v>8155</v>
      </c>
    </row>
    <row r="30" spans="2:16" ht="15.75" customHeight="1" x14ac:dyDescent="0.2">
      <c r="B30" s="60" t="s">
        <v>158</v>
      </c>
      <c r="C30" s="4"/>
      <c r="D30" s="59">
        <v>5725</v>
      </c>
      <c r="E30" s="59">
        <v>17470</v>
      </c>
      <c r="F30" s="59">
        <v>9305</v>
      </c>
      <c r="G30" s="59">
        <v>11105</v>
      </c>
      <c r="H30" s="57">
        <f t="shared" si="4"/>
        <v>10901.25</v>
      </c>
    </row>
    <row r="31" spans="2:16" ht="15.75" customHeight="1" x14ac:dyDescent="0.2">
      <c r="B31" s="60" t="s">
        <v>159</v>
      </c>
      <c r="C31" s="59">
        <v>8727</v>
      </c>
      <c r="D31" s="59">
        <v>9815</v>
      </c>
      <c r="E31" s="59">
        <v>12475</v>
      </c>
      <c r="F31" s="59">
        <v>13715</v>
      </c>
      <c r="G31" s="59">
        <v>12735</v>
      </c>
      <c r="H31" s="57">
        <f t="shared" si="4"/>
        <v>11493.4</v>
      </c>
    </row>
    <row r="32" spans="2:16" ht="15.75" customHeight="1" x14ac:dyDescent="0.2">
      <c r="B32" s="60" t="s">
        <v>160</v>
      </c>
      <c r="C32" s="59">
        <v>10190</v>
      </c>
      <c r="D32" s="59">
        <v>11325</v>
      </c>
      <c r="E32" s="59">
        <v>15785</v>
      </c>
      <c r="F32" s="59">
        <v>10055</v>
      </c>
      <c r="G32" s="59">
        <v>16455</v>
      </c>
      <c r="H32" s="57">
        <f t="shared" si="4"/>
        <v>12762</v>
      </c>
    </row>
    <row r="33" spans="2:20" ht="15.75" customHeight="1" x14ac:dyDescent="0.2">
      <c r="B33" s="61" t="s">
        <v>153</v>
      </c>
      <c r="C33" s="61">
        <f>AVERAGE(C26:C32)</f>
        <v>11790.666666666666</v>
      </c>
      <c r="D33" s="61">
        <f>AVERAGE(D27:D32)</f>
        <v>6971.666666666667</v>
      </c>
      <c r="E33" s="61">
        <f t="shared" ref="E33:H33" si="5">AVERAGE(E26:E32)</f>
        <v>10955.714285714286</v>
      </c>
      <c r="F33" s="61">
        <f t="shared" si="5"/>
        <v>8118.5714285714284</v>
      </c>
      <c r="G33" s="61">
        <f t="shared" si="5"/>
        <v>11284.285714285714</v>
      </c>
      <c r="H33" s="63">
        <f t="shared" si="5"/>
        <v>9456.1642857142851</v>
      </c>
    </row>
    <row r="34" spans="2:20" ht="15.75" customHeight="1" x14ac:dyDescent="0.2">
      <c r="B34" s="7"/>
      <c r="C34" s="7"/>
      <c r="D34" s="7"/>
      <c r="E34" s="7"/>
      <c r="F34" s="7"/>
      <c r="G34" s="6"/>
      <c r="H34" s="6"/>
      <c r="I34" s="6"/>
      <c r="J34" s="6"/>
      <c r="K34" s="6"/>
      <c r="L34" s="6"/>
      <c r="M34" s="6"/>
      <c r="N34" s="6"/>
      <c r="O34" s="6"/>
      <c r="P34" s="6"/>
      <c r="Q34" s="6"/>
      <c r="R34" s="6"/>
      <c r="S34" s="6"/>
      <c r="T34" s="6"/>
    </row>
    <row r="35" spans="2:20" ht="15.75" customHeight="1" x14ac:dyDescent="0.2">
      <c r="C35" s="104" t="s">
        <v>4</v>
      </c>
      <c r="D35" s="99"/>
      <c r="E35" s="99"/>
      <c r="F35" s="99"/>
      <c r="G35" s="99"/>
      <c r="H35" s="96"/>
    </row>
    <row r="36" spans="2:20" ht="15.75" customHeight="1" x14ac:dyDescent="0.2">
      <c r="B36" s="58" t="s">
        <v>154</v>
      </c>
      <c r="C36" s="56" t="s">
        <v>148</v>
      </c>
      <c r="D36" s="56" t="s">
        <v>149</v>
      </c>
      <c r="E36" s="56" t="s">
        <v>150</v>
      </c>
      <c r="F36" s="56" t="s">
        <v>151</v>
      </c>
      <c r="G36" s="56" t="s">
        <v>152</v>
      </c>
      <c r="H36" s="57" t="s">
        <v>153</v>
      </c>
    </row>
    <row r="37" spans="2:20" ht="15.75" customHeight="1" x14ac:dyDescent="0.2">
      <c r="B37" s="60" t="s">
        <v>155</v>
      </c>
      <c r="C37" s="4"/>
      <c r="D37" s="59">
        <v>11140</v>
      </c>
      <c r="E37" s="59">
        <v>6135</v>
      </c>
      <c r="F37" s="59">
        <v>0</v>
      </c>
      <c r="G37" s="59">
        <v>19400</v>
      </c>
      <c r="H37" s="57">
        <f t="shared" ref="H37:H43" si="6">AVERAGE(C37:G37)</f>
        <v>9168.75</v>
      </c>
    </row>
    <row r="38" spans="2:20" ht="15.75" customHeight="1" x14ac:dyDescent="0.2">
      <c r="B38" s="60" t="s">
        <v>156</v>
      </c>
      <c r="C38" s="59">
        <v>18920</v>
      </c>
      <c r="D38" s="59">
        <v>13857</v>
      </c>
      <c r="E38" s="59">
        <v>12050</v>
      </c>
      <c r="F38" s="59">
        <v>15580</v>
      </c>
      <c r="G38" s="59">
        <v>9118</v>
      </c>
      <c r="H38" s="57">
        <f t="shared" si="6"/>
        <v>13905</v>
      </c>
    </row>
    <row r="39" spans="2:20" ht="15.75" customHeight="1" x14ac:dyDescent="0.2">
      <c r="B39" s="60" t="s">
        <v>157</v>
      </c>
      <c r="C39" s="59">
        <v>15950</v>
      </c>
      <c r="D39" s="59">
        <v>9775</v>
      </c>
      <c r="E39" s="59">
        <v>11100</v>
      </c>
      <c r="F39" s="59">
        <v>9200</v>
      </c>
      <c r="G39" s="59">
        <v>7055</v>
      </c>
      <c r="H39" s="57">
        <f t="shared" si="6"/>
        <v>10616</v>
      </c>
    </row>
    <row r="40" spans="2:20" ht="15.75" customHeight="1" x14ac:dyDescent="0.2">
      <c r="B40" s="60" t="s">
        <v>158</v>
      </c>
      <c r="C40" s="59">
        <v>15345</v>
      </c>
      <c r="D40" s="59">
        <v>8452</v>
      </c>
      <c r="E40" s="59">
        <v>6645</v>
      </c>
      <c r="F40" s="59">
        <v>7705</v>
      </c>
      <c r="G40" s="4"/>
      <c r="H40" s="57">
        <f t="shared" si="6"/>
        <v>9536.75</v>
      </c>
    </row>
    <row r="41" spans="2:20" ht="15.75" customHeight="1" x14ac:dyDescent="0.2">
      <c r="B41" s="60" t="s">
        <v>159</v>
      </c>
      <c r="C41" s="59">
        <v>16087</v>
      </c>
      <c r="D41" s="59">
        <v>13210</v>
      </c>
      <c r="E41" s="59">
        <v>15540</v>
      </c>
      <c r="F41" s="59">
        <v>17280</v>
      </c>
      <c r="G41" s="4"/>
      <c r="H41" s="57">
        <f t="shared" si="6"/>
        <v>15529.25</v>
      </c>
    </row>
    <row r="42" spans="2:20" ht="15.75" customHeight="1" x14ac:dyDescent="0.2">
      <c r="B42" s="60" t="s">
        <v>160</v>
      </c>
      <c r="C42" s="59">
        <v>10485</v>
      </c>
      <c r="D42" s="59">
        <v>12055</v>
      </c>
      <c r="E42" s="59">
        <v>16905</v>
      </c>
      <c r="F42" s="59">
        <v>14560</v>
      </c>
      <c r="G42" s="4"/>
      <c r="H42" s="57">
        <f t="shared" si="6"/>
        <v>13501.25</v>
      </c>
    </row>
    <row r="43" spans="2:20" ht="15.75" customHeight="1" x14ac:dyDescent="0.2">
      <c r="B43" s="61" t="s">
        <v>153</v>
      </c>
      <c r="C43" s="59">
        <v>0</v>
      </c>
      <c r="D43" s="59">
        <v>16660</v>
      </c>
      <c r="E43" s="59">
        <v>8783</v>
      </c>
      <c r="F43" s="59">
        <v>14920</v>
      </c>
      <c r="G43" s="4"/>
      <c r="H43" s="57">
        <f t="shared" si="6"/>
        <v>10090.75</v>
      </c>
    </row>
    <row r="44" spans="2:20" ht="15.75" customHeight="1" x14ac:dyDescent="0.2">
      <c r="C44" s="61">
        <f t="shared" ref="C44:H44" si="7">AVERAGE(C37:C43)</f>
        <v>12797.833333333334</v>
      </c>
      <c r="D44" s="61">
        <f t="shared" si="7"/>
        <v>12164.142857142857</v>
      </c>
      <c r="E44" s="61">
        <f t="shared" si="7"/>
        <v>11022.571428571429</v>
      </c>
      <c r="F44" s="61">
        <f t="shared" si="7"/>
        <v>11320.714285714286</v>
      </c>
      <c r="G44" s="61">
        <f t="shared" si="7"/>
        <v>11857.666666666666</v>
      </c>
      <c r="H44" s="63">
        <f t="shared" si="7"/>
        <v>11763.964285714286</v>
      </c>
    </row>
    <row r="46" spans="2:20" ht="15.75" customHeight="1" x14ac:dyDescent="0.2">
      <c r="C46" s="104" t="s">
        <v>5</v>
      </c>
      <c r="D46" s="99"/>
      <c r="E46" s="99"/>
      <c r="F46" s="99"/>
      <c r="G46" s="99"/>
      <c r="H46" s="96"/>
    </row>
    <row r="47" spans="2:20" ht="15.75" customHeight="1" x14ac:dyDescent="0.2">
      <c r="C47" s="56" t="s">
        <v>148</v>
      </c>
      <c r="D47" s="56" t="s">
        <v>149</v>
      </c>
      <c r="E47" s="56" t="s">
        <v>150</v>
      </c>
      <c r="F47" s="56" t="s">
        <v>151</v>
      </c>
      <c r="G47" s="56" t="s">
        <v>152</v>
      </c>
      <c r="H47" s="57" t="s">
        <v>153</v>
      </c>
    </row>
    <row r="48" spans="2:20" ht="15.75" customHeight="1" x14ac:dyDescent="0.2">
      <c r="B48" s="58" t="s">
        <v>154</v>
      </c>
      <c r="C48" s="4"/>
      <c r="D48" s="59">
        <v>8990</v>
      </c>
      <c r="E48" s="59">
        <v>12325</v>
      </c>
      <c r="F48" s="59">
        <v>0</v>
      </c>
      <c r="G48" s="59">
        <v>10985</v>
      </c>
      <c r="H48" s="57">
        <f t="shared" ref="H48:H54" si="8">AVERAGE(C48:G48)</f>
        <v>8075</v>
      </c>
    </row>
    <row r="49" spans="2:8" ht="15.75" customHeight="1" x14ac:dyDescent="0.2">
      <c r="B49" s="60" t="s">
        <v>155</v>
      </c>
      <c r="C49" s="4"/>
      <c r="D49" s="59">
        <v>15050</v>
      </c>
      <c r="E49" s="59">
        <v>9670</v>
      </c>
      <c r="F49" s="59">
        <v>15725</v>
      </c>
      <c r="G49" s="59">
        <v>12170</v>
      </c>
      <c r="H49" s="57">
        <f t="shared" si="8"/>
        <v>13153.75</v>
      </c>
    </row>
    <row r="50" spans="2:8" ht="15.75" customHeight="1" x14ac:dyDescent="0.2">
      <c r="B50" s="60" t="s">
        <v>156</v>
      </c>
      <c r="C50" s="4"/>
      <c r="D50" s="59">
        <v>18205</v>
      </c>
      <c r="E50" s="59">
        <v>17220</v>
      </c>
      <c r="F50" s="59">
        <v>5715</v>
      </c>
      <c r="G50" s="59">
        <v>12115</v>
      </c>
      <c r="H50" s="57">
        <f t="shared" si="8"/>
        <v>13313.75</v>
      </c>
    </row>
    <row r="51" spans="2:8" ht="15.75" customHeight="1" x14ac:dyDescent="0.2">
      <c r="B51" s="60" t="s">
        <v>157</v>
      </c>
      <c r="C51" s="59">
        <v>15360</v>
      </c>
      <c r="D51" s="59">
        <v>16730</v>
      </c>
      <c r="E51" s="59">
        <v>6245</v>
      </c>
      <c r="F51" s="59">
        <v>10575</v>
      </c>
      <c r="G51" s="59">
        <v>9245</v>
      </c>
      <c r="H51" s="57">
        <f t="shared" si="8"/>
        <v>11631</v>
      </c>
    </row>
    <row r="52" spans="2:8" ht="15.75" customHeight="1" x14ac:dyDescent="0.2">
      <c r="B52" s="60" t="s">
        <v>158</v>
      </c>
      <c r="C52" s="59">
        <v>8306</v>
      </c>
      <c r="D52" s="59">
        <v>18965</v>
      </c>
      <c r="E52" s="59">
        <v>16490</v>
      </c>
      <c r="F52" s="59">
        <v>16060</v>
      </c>
      <c r="G52" s="59">
        <v>16241</v>
      </c>
      <c r="H52" s="57">
        <f t="shared" si="8"/>
        <v>15212.4</v>
      </c>
    </row>
    <row r="53" spans="2:8" ht="15.75" customHeight="1" x14ac:dyDescent="0.2">
      <c r="B53" s="60" t="s">
        <v>159</v>
      </c>
      <c r="C53" s="59">
        <v>9295</v>
      </c>
      <c r="D53" s="59">
        <v>11876</v>
      </c>
      <c r="E53" s="59">
        <v>13615</v>
      </c>
      <c r="F53" s="59">
        <v>12481</v>
      </c>
      <c r="G53" s="59">
        <v>15790</v>
      </c>
      <c r="H53" s="57">
        <f t="shared" si="8"/>
        <v>12611.4</v>
      </c>
    </row>
    <row r="54" spans="2:8" ht="15.75" customHeight="1" x14ac:dyDescent="0.2">
      <c r="B54" s="60" t="s">
        <v>160</v>
      </c>
      <c r="C54" s="59">
        <v>13465</v>
      </c>
      <c r="D54" s="59">
        <v>14060</v>
      </c>
      <c r="E54" s="59">
        <v>14345</v>
      </c>
      <c r="F54" s="59">
        <v>13960</v>
      </c>
      <c r="G54" s="4"/>
      <c r="H54" s="57">
        <f t="shared" si="8"/>
        <v>13957.5</v>
      </c>
    </row>
    <row r="55" spans="2:8" ht="15.75" customHeight="1" x14ac:dyDescent="0.2">
      <c r="B55" s="61" t="s">
        <v>153</v>
      </c>
      <c r="C55" s="61">
        <f t="shared" ref="C55:H55" si="9">AVERAGE(C48:C54)</f>
        <v>11606.5</v>
      </c>
      <c r="D55" s="61">
        <f t="shared" si="9"/>
        <v>14839.428571428571</v>
      </c>
      <c r="E55" s="61">
        <f t="shared" si="9"/>
        <v>12844.285714285714</v>
      </c>
      <c r="F55" s="61">
        <f t="shared" si="9"/>
        <v>10645.142857142857</v>
      </c>
      <c r="G55" s="61">
        <f t="shared" si="9"/>
        <v>12757.666666666666</v>
      </c>
      <c r="H55" s="63">
        <f t="shared" si="9"/>
        <v>12564.971428571429</v>
      </c>
    </row>
    <row r="57" spans="2:8" ht="15.75" customHeight="1" x14ac:dyDescent="0.2">
      <c r="C57" s="104" t="s">
        <v>6</v>
      </c>
      <c r="D57" s="99"/>
      <c r="E57" s="99"/>
      <c r="F57" s="99"/>
      <c r="G57" s="99"/>
      <c r="H57" s="96"/>
    </row>
    <row r="58" spans="2:8" ht="15.75" customHeight="1" x14ac:dyDescent="0.2">
      <c r="C58" s="56" t="s">
        <v>148</v>
      </c>
      <c r="D58" s="56" t="s">
        <v>149</v>
      </c>
      <c r="E58" s="56" t="s">
        <v>150</v>
      </c>
      <c r="F58" s="56" t="s">
        <v>151</v>
      </c>
      <c r="G58" s="56" t="s">
        <v>152</v>
      </c>
      <c r="H58" s="57" t="s">
        <v>153</v>
      </c>
    </row>
    <row r="59" spans="2:8" ht="15.75" customHeight="1" x14ac:dyDescent="0.2">
      <c r="B59" s="58" t="s">
        <v>154</v>
      </c>
      <c r="C59" s="4">
        <v>0</v>
      </c>
      <c r="D59" s="59">
        <v>15090</v>
      </c>
      <c r="E59" s="59">
        <v>0</v>
      </c>
      <c r="F59" s="59">
        <v>9940</v>
      </c>
      <c r="G59" s="59">
        <v>6680</v>
      </c>
      <c r="H59" s="57">
        <f t="shared" ref="H59:H65" si="10">AVERAGE(C59:G59)</f>
        <v>6342</v>
      </c>
    </row>
    <row r="60" spans="2:8" ht="15.75" customHeight="1" x14ac:dyDescent="0.2">
      <c r="B60" s="60" t="s">
        <v>155</v>
      </c>
      <c r="C60" s="4"/>
      <c r="D60" s="59">
        <v>11711</v>
      </c>
      <c r="E60" s="59">
        <v>10875</v>
      </c>
      <c r="F60" s="59">
        <v>6085</v>
      </c>
      <c r="G60" s="59">
        <v>11824</v>
      </c>
      <c r="H60" s="57">
        <f t="shared" si="10"/>
        <v>10123.75</v>
      </c>
    </row>
    <row r="61" spans="2:8" ht="15.75" customHeight="1" x14ac:dyDescent="0.2">
      <c r="B61" s="60" t="s">
        <v>156</v>
      </c>
      <c r="C61" s="4"/>
      <c r="D61" s="59">
        <v>11100</v>
      </c>
      <c r="E61" s="59">
        <v>11695</v>
      </c>
      <c r="F61" s="59">
        <v>16245</v>
      </c>
      <c r="G61" s="59">
        <v>5530</v>
      </c>
      <c r="H61" s="57">
        <f t="shared" si="10"/>
        <v>11142.5</v>
      </c>
    </row>
    <row r="62" spans="2:8" ht="15.75" customHeight="1" x14ac:dyDescent="0.2">
      <c r="B62" s="60" t="s">
        <v>157</v>
      </c>
      <c r="C62" s="4"/>
      <c r="D62" s="59">
        <v>6830</v>
      </c>
      <c r="E62" s="59">
        <v>8790</v>
      </c>
      <c r="F62" s="59">
        <v>11190</v>
      </c>
      <c r="G62" s="59">
        <v>9780</v>
      </c>
      <c r="H62" s="57">
        <f t="shared" si="10"/>
        <v>9147.5</v>
      </c>
    </row>
    <row r="63" spans="2:8" ht="14" x14ac:dyDescent="0.2">
      <c r="B63" s="60" t="s">
        <v>158</v>
      </c>
      <c r="C63" s="4"/>
      <c r="D63" s="59">
        <v>17690</v>
      </c>
      <c r="E63" s="59">
        <v>9350</v>
      </c>
      <c r="F63" s="59">
        <v>9980</v>
      </c>
      <c r="G63" s="59">
        <v>9625</v>
      </c>
      <c r="H63" s="57">
        <f t="shared" si="10"/>
        <v>11661.25</v>
      </c>
    </row>
    <row r="64" spans="2:8" ht="14" x14ac:dyDescent="0.2">
      <c r="B64" s="60" t="s">
        <v>159</v>
      </c>
      <c r="C64" s="4"/>
      <c r="D64" s="59">
        <v>8915</v>
      </c>
      <c r="E64" s="59">
        <v>9410</v>
      </c>
      <c r="F64" s="59">
        <v>8510</v>
      </c>
      <c r="G64" s="59">
        <v>9530</v>
      </c>
      <c r="H64" s="57">
        <f t="shared" si="10"/>
        <v>9091.25</v>
      </c>
    </row>
    <row r="65" spans="2:22" ht="14" x14ac:dyDescent="0.2">
      <c r="B65" s="60" t="s">
        <v>160</v>
      </c>
      <c r="C65" s="59">
        <v>13080</v>
      </c>
      <c r="D65" s="59">
        <v>11675</v>
      </c>
      <c r="E65" s="59">
        <v>9495</v>
      </c>
      <c r="F65" s="59">
        <v>13720</v>
      </c>
      <c r="G65" s="59">
        <v>12025</v>
      </c>
      <c r="H65" s="57">
        <f t="shared" si="10"/>
        <v>11999</v>
      </c>
      <c r="I65" s="6"/>
    </row>
    <row r="66" spans="2:22" ht="14" x14ac:dyDescent="0.2">
      <c r="B66" s="61" t="s">
        <v>153</v>
      </c>
      <c r="C66" s="61">
        <f t="shared" ref="C66:H66" si="11">AVERAGE(C59:C65)</f>
        <v>6540</v>
      </c>
      <c r="D66" s="61">
        <f t="shared" si="11"/>
        <v>11858.714285714286</v>
      </c>
      <c r="E66" s="61">
        <f t="shared" si="11"/>
        <v>8516.4285714285706</v>
      </c>
      <c r="F66" s="61">
        <f t="shared" si="11"/>
        <v>10810</v>
      </c>
      <c r="G66" s="61">
        <f t="shared" si="11"/>
        <v>9284.8571428571431</v>
      </c>
      <c r="H66" s="63">
        <f t="shared" si="11"/>
        <v>9929.6071428571431</v>
      </c>
    </row>
    <row r="68" spans="2:22" ht="14" x14ac:dyDescent="0.2">
      <c r="C68" s="104" t="s">
        <v>7</v>
      </c>
      <c r="D68" s="99"/>
      <c r="E68" s="99"/>
      <c r="F68" s="99"/>
      <c r="G68" s="99"/>
      <c r="H68" s="96"/>
    </row>
    <row r="69" spans="2:22" ht="14" x14ac:dyDescent="0.2">
      <c r="C69" s="56" t="s">
        <v>148</v>
      </c>
      <c r="D69" s="56" t="s">
        <v>149</v>
      </c>
      <c r="E69" s="56" t="s">
        <v>150</v>
      </c>
      <c r="F69" s="56" t="s">
        <v>151</v>
      </c>
      <c r="G69" s="56" t="s">
        <v>152</v>
      </c>
      <c r="H69" s="57" t="s">
        <v>153</v>
      </c>
    </row>
    <row r="70" spans="2:22" ht="14" x14ac:dyDescent="0.2">
      <c r="B70" s="58" t="s">
        <v>154</v>
      </c>
      <c r="C70" s="4"/>
      <c r="D70" s="59">
        <v>6500</v>
      </c>
      <c r="E70" s="59">
        <v>6425</v>
      </c>
      <c r="F70" s="59">
        <v>7200</v>
      </c>
      <c r="G70" s="59">
        <v>3455</v>
      </c>
      <c r="H70" s="57">
        <f t="shared" ref="H70:H76" si="12">AVERAGE(C70:G70)</f>
        <v>5895</v>
      </c>
    </row>
    <row r="71" spans="2:22" ht="14" x14ac:dyDescent="0.2">
      <c r="B71" s="60" t="s">
        <v>155</v>
      </c>
      <c r="C71" s="59">
        <v>9295</v>
      </c>
      <c r="D71" s="59">
        <v>10445</v>
      </c>
      <c r="E71" s="59">
        <v>5345</v>
      </c>
      <c r="F71" s="59">
        <v>4055</v>
      </c>
      <c r="G71" s="59">
        <v>8015</v>
      </c>
      <c r="H71" s="57">
        <f t="shared" si="12"/>
        <v>7431</v>
      </c>
    </row>
    <row r="72" spans="2:22" ht="14" x14ac:dyDescent="0.2">
      <c r="B72" s="60" t="s">
        <v>156</v>
      </c>
      <c r="C72" s="59">
        <v>7280</v>
      </c>
      <c r="D72" s="59">
        <v>10580</v>
      </c>
      <c r="E72" s="59">
        <v>7770</v>
      </c>
      <c r="F72" s="59">
        <v>11010</v>
      </c>
      <c r="G72" s="59">
        <v>8750</v>
      </c>
      <c r="H72" s="57">
        <f t="shared" si="12"/>
        <v>9078</v>
      </c>
    </row>
    <row r="73" spans="2:22" ht="14" x14ac:dyDescent="0.2">
      <c r="B73" s="60" t="s">
        <v>157</v>
      </c>
      <c r="C73" s="59">
        <v>9175</v>
      </c>
      <c r="D73" s="59">
        <v>6256</v>
      </c>
      <c r="E73" s="59">
        <v>6480</v>
      </c>
      <c r="F73" s="59">
        <v>5035</v>
      </c>
      <c r="G73" s="59">
        <v>6915</v>
      </c>
      <c r="H73" s="57">
        <f t="shared" si="12"/>
        <v>6772.2</v>
      </c>
    </row>
    <row r="74" spans="2:22" ht="14" x14ac:dyDescent="0.2">
      <c r="B74" s="60" t="s">
        <v>158</v>
      </c>
      <c r="C74" s="59">
        <v>8470</v>
      </c>
      <c r="D74" s="59">
        <v>9535</v>
      </c>
      <c r="E74" s="59">
        <v>10515</v>
      </c>
      <c r="F74" s="59">
        <v>11605</v>
      </c>
      <c r="G74" s="4"/>
      <c r="H74" s="57">
        <f t="shared" si="12"/>
        <v>10031.25</v>
      </c>
    </row>
    <row r="75" spans="2:22" ht="14" x14ac:dyDescent="0.2">
      <c r="B75" s="60" t="s">
        <v>159</v>
      </c>
      <c r="C75" s="59">
        <v>11050</v>
      </c>
      <c r="D75" s="59">
        <v>16305</v>
      </c>
      <c r="E75" s="59">
        <v>9080</v>
      </c>
      <c r="F75" s="59">
        <v>11070</v>
      </c>
      <c r="G75" s="4"/>
      <c r="H75" s="57">
        <f t="shared" si="12"/>
        <v>11876.25</v>
      </c>
      <c r="Q75" s="1"/>
      <c r="R75" s="1"/>
      <c r="S75" s="1"/>
      <c r="T75" s="1"/>
      <c r="U75" s="1"/>
      <c r="V75" s="1"/>
    </row>
    <row r="76" spans="2:22" ht="14" x14ac:dyDescent="0.2">
      <c r="B76" s="60" t="s">
        <v>160</v>
      </c>
      <c r="C76" s="59">
        <v>12095</v>
      </c>
      <c r="D76" s="59">
        <v>13085</v>
      </c>
      <c r="E76" s="59">
        <v>9810</v>
      </c>
      <c r="F76" s="59">
        <v>14635</v>
      </c>
      <c r="G76" s="4"/>
      <c r="H76" s="57">
        <f t="shared" si="12"/>
        <v>12406.25</v>
      </c>
    </row>
    <row r="77" spans="2:22" ht="14" x14ac:dyDescent="0.2">
      <c r="B77" s="61" t="s">
        <v>153</v>
      </c>
      <c r="C77" s="61">
        <f t="shared" ref="C77:H77" si="13">AVERAGE(C70:C76)</f>
        <v>9560.8333333333339</v>
      </c>
      <c r="D77" s="61">
        <f t="shared" si="13"/>
        <v>10386.571428571429</v>
      </c>
      <c r="E77" s="61">
        <f t="shared" si="13"/>
        <v>7917.8571428571431</v>
      </c>
      <c r="F77" s="61">
        <f t="shared" si="13"/>
        <v>9230</v>
      </c>
      <c r="G77" s="61">
        <f t="shared" si="13"/>
        <v>6783.75</v>
      </c>
      <c r="H77" s="63">
        <f t="shared" si="13"/>
        <v>9069.9928571428572</v>
      </c>
      <c r="Q77" s="1"/>
      <c r="R77" s="1"/>
      <c r="S77" s="1"/>
      <c r="T77" s="1"/>
      <c r="U77" s="1"/>
      <c r="V77" s="1"/>
    </row>
    <row r="78" spans="2:22" ht="14" x14ac:dyDescent="0.2">
      <c r="Q78" s="1"/>
      <c r="R78" s="1"/>
      <c r="S78" s="1"/>
      <c r="T78" s="1"/>
      <c r="U78" s="1"/>
      <c r="V78" s="1"/>
    </row>
    <row r="79" spans="2:22" ht="14" x14ac:dyDescent="0.2">
      <c r="C79" s="104" t="s">
        <v>8</v>
      </c>
      <c r="D79" s="99"/>
      <c r="E79" s="99"/>
      <c r="F79" s="99"/>
      <c r="G79" s="99"/>
      <c r="H79" s="96"/>
      <c r="Q79" s="1"/>
      <c r="R79" s="1"/>
      <c r="S79" s="1"/>
      <c r="T79" s="1"/>
      <c r="U79" s="1"/>
      <c r="V79" s="1"/>
    </row>
    <row r="80" spans="2:22" ht="14" x14ac:dyDescent="0.2">
      <c r="C80" s="56" t="s">
        <v>148</v>
      </c>
      <c r="D80" s="56" t="s">
        <v>149</v>
      </c>
      <c r="E80" s="56" t="s">
        <v>150</v>
      </c>
      <c r="F80" s="56" t="s">
        <v>151</v>
      </c>
      <c r="G80" s="56" t="s">
        <v>152</v>
      </c>
      <c r="H80" s="57" t="s">
        <v>153</v>
      </c>
      <c r="Q80" s="1"/>
      <c r="R80" s="1"/>
      <c r="S80" s="1"/>
      <c r="T80" s="1"/>
      <c r="U80" s="1"/>
      <c r="V80" s="1"/>
    </row>
    <row r="81" spans="2:22" ht="14" x14ac:dyDescent="0.2">
      <c r="B81" s="58" t="s">
        <v>154</v>
      </c>
      <c r="C81" s="4"/>
      <c r="D81" s="59">
        <v>4345</v>
      </c>
      <c r="E81" s="59">
        <v>10015</v>
      </c>
      <c r="F81" s="59">
        <v>6390</v>
      </c>
      <c r="G81" s="59">
        <v>10510</v>
      </c>
      <c r="H81" s="57">
        <f t="shared" ref="H81:H87" si="14">AVERAGE(C81:G81)</f>
        <v>7815</v>
      </c>
      <c r="Q81" s="1"/>
      <c r="R81" s="1"/>
      <c r="S81" s="1"/>
      <c r="T81" s="1"/>
      <c r="U81" s="1"/>
      <c r="V81" s="1"/>
    </row>
    <row r="82" spans="2:22" ht="14" x14ac:dyDescent="0.2">
      <c r="B82" s="60" t="s">
        <v>155</v>
      </c>
      <c r="C82" s="4"/>
      <c r="D82" s="59">
        <v>8260</v>
      </c>
      <c r="E82" s="59">
        <v>6820</v>
      </c>
      <c r="F82" s="59">
        <v>5525</v>
      </c>
      <c r="G82" s="59">
        <v>9250</v>
      </c>
      <c r="H82" s="57">
        <f t="shared" si="14"/>
        <v>7463.75</v>
      </c>
      <c r="Q82" s="1"/>
      <c r="R82" s="1"/>
      <c r="S82" s="1"/>
      <c r="T82" s="1"/>
      <c r="U82" s="1"/>
      <c r="V82" s="1"/>
    </row>
    <row r="83" spans="2:22" ht="14" x14ac:dyDescent="0.2">
      <c r="B83" s="60" t="s">
        <v>156</v>
      </c>
      <c r="C83" s="4"/>
      <c r="D83" s="59">
        <v>7275</v>
      </c>
      <c r="E83" s="59">
        <v>8605</v>
      </c>
      <c r="F83" s="59">
        <v>5750</v>
      </c>
      <c r="G83" s="59">
        <v>0</v>
      </c>
      <c r="H83" s="57">
        <f t="shared" si="14"/>
        <v>5407.5</v>
      </c>
      <c r="Q83" s="1"/>
      <c r="R83" s="1"/>
      <c r="S83" s="1"/>
      <c r="T83" s="1"/>
      <c r="U83" s="1"/>
      <c r="V83" s="1"/>
    </row>
    <row r="84" spans="2:22" ht="14" x14ac:dyDescent="0.2">
      <c r="B84" s="60" t="s">
        <v>157</v>
      </c>
      <c r="C84" s="4"/>
      <c r="D84" s="59">
        <v>11205</v>
      </c>
      <c r="E84" s="59">
        <v>5030</v>
      </c>
      <c r="F84" s="59">
        <v>4620</v>
      </c>
      <c r="G84" s="59">
        <v>3540</v>
      </c>
      <c r="H84" s="57">
        <f t="shared" si="14"/>
        <v>6098.75</v>
      </c>
    </row>
    <row r="85" spans="2:22" ht="14" x14ac:dyDescent="0.2">
      <c r="B85" s="60" t="s">
        <v>158</v>
      </c>
      <c r="C85" s="59">
        <v>8059</v>
      </c>
      <c r="D85" s="59">
        <v>8030</v>
      </c>
      <c r="E85" s="59">
        <v>22745</v>
      </c>
      <c r="F85" s="59">
        <v>3400</v>
      </c>
      <c r="G85" s="59">
        <v>3225</v>
      </c>
      <c r="H85" s="57">
        <f t="shared" si="14"/>
        <v>9091.7999999999993</v>
      </c>
    </row>
    <row r="86" spans="2:22" ht="14" x14ac:dyDescent="0.2">
      <c r="B86" s="60" t="s">
        <v>159</v>
      </c>
      <c r="C86" s="59">
        <v>12150</v>
      </c>
      <c r="D86" s="59">
        <v>13230</v>
      </c>
      <c r="E86" s="59">
        <v>0</v>
      </c>
      <c r="F86" s="59">
        <v>10845</v>
      </c>
      <c r="G86" s="59">
        <v>10720</v>
      </c>
      <c r="H86" s="57">
        <f t="shared" si="14"/>
        <v>9389</v>
      </c>
    </row>
    <row r="87" spans="2:22" ht="14" x14ac:dyDescent="0.2">
      <c r="B87" s="60" t="s">
        <v>160</v>
      </c>
      <c r="C87" s="59">
        <v>23360</v>
      </c>
      <c r="D87" s="59">
        <v>24005</v>
      </c>
      <c r="E87" s="59">
        <v>10945</v>
      </c>
      <c r="F87" s="59">
        <v>9335</v>
      </c>
      <c r="G87" s="59">
        <v>8240</v>
      </c>
      <c r="H87" s="57">
        <f t="shared" si="14"/>
        <v>15177</v>
      </c>
    </row>
    <row r="88" spans="2:22" ht="14" x14ac:dyDescent="0.2">
      <c r="B88" s="61" t="s">
        <v>153</v>
      </c>
      <c r="C88" s="61">
        <f>AVERAGE(C84:C87)</f>
        <v>14523</v>
      </c>
      <c r="D88" s="61">
        <f t="shared" ref="D88:H88" si="15">AVERAGE(D81:D87)</f>
        <v>10907.142857142857</v>
      </c>
      <c r="E88" s="61">
        <f t="shared" si="15"/>
        <v>9165.7142857142862</v>
      </c>
      <c r="F88" s="61">
        <f t="shared" si="15"/>
        <v>6552.1428571428569</v>
      </c>
      <c r="G88" s="61">
        <f t="shared" si="15"/>
        <v>6497.8571428571431</v>
      </c>
      <c r="H88" s="63">
        <f t="shared" si="15"/>
        <v>8634.6857142857152</v>
      </c>
    </row>
    <row r="90" spans="2:22" ht="14" x14ac:dyDescent="0.2">
      <c r="C90" s="104" t="s">
        <v>9</v>
      </c>
      <c r="D90" s="99"/>
      <c r="E90" s="99"/>
      <c r="F90" s="99"/>
      <c r="G90" s="99"/>
      <c r="H90" s="99"/>
    </row>
    <row r="91" spans="2:22" ht="14" x14ac:dyDescent="0.2">
      <c r="C91" s="56" t="s">
        <v>148</v>
      </c>
      <c r="D91" s="56" t="s">
        <v>149</v>
      </c>
      <c r="E91" s="56" t="s">
        <v>150</v>
      </c>
      <c r="F91" s="56" t="s">
        <v>151</v>
      </c>
      <c r="G91" s="56" t="s">
        <v>152</v>
      </c>
      <c r="H91" s="57" t="s">
        <v>153</v>
      </c>
    </row>
    <row r="92" spans="2:22" ht="14" x14ac:dyDescent="0.2">
      <c r="B92" s="58" t="s">
        <v>154</v>
      </c>
      <c r="C92" s="59">
        <v>4470</v>
      </c>
      <c r="D92" s="59">
        <v>8735</v>
      </c>
      <c r="E92" s="59">
        <v>4590</v>
      </c>
      <c r="F92" s="59">
        <v>0</v>
      </c>
      <c r="G92" s="59">
        <v>9020</v>
      </c>
      <c r="H92" s="57">
        <f t="shared" ref="H92:H98" si="16">AVERAGE(C92:G92)</f>
        <v>5363</v>
      </c>
    </row>
    <row r="93" spans="2:22" ht="14" x14ac:dyDescent="0.2">
      <c r="B93" s="60" t="s">
        <v>155</v>
      </c>
      <c r="C93" s="59">
        <v>5875</v>
      </c>
      <c r="D93" s="59">
        <v>4120</v>
      </c>
      <c r="E93" s="59">
        <v>10920</v>
      </c>
      <c r="F93" s="59">
        <v>13040</v>
      </c>
      <c r="G93" s="59">
        <v>16630</v>
      </c>
      <c r="H93" s="57">
        <f t="shared" si="16"/>
        <v>10117</v>
      </c>
    </row>
    <row r="94" spans="2:22" ht="14" x14ac:dyDescent="0.2">
      <c r="B94" s="60" t="s">
        <v>156</v>
      </c>
      <c r="C94" s="59">
        <v>5110</v>
      </c>
      <c r="D94" s="59">
        <v>7955</v>
      </c>
      <c r="E94" s="59">
        <v>5975</v>
      </c>
      <c r="F94" s="59">
        <v>10780</v>
      </c>
      <c r="G94" s="4"/>
      <c r="H94" s="57">
        <f t="shared" si="16"/>
        <v>7455</v>
      </c>
    </row>
    <row r="95" spans="2:22" ht="14" x14ac:dyDescent="0.2">
      <c r="B95" s="60" t="s">
        <v>157</v>
      </c>
      <c r="C95" s="59">
        <v>4475</v>
      </c>
      <c r="D95" s="59">
        <v>5975</v>
      </c>
      <c r="E95" s="59">
        <v>4875</v>
      </c>
      <c r="F95" s="59">
        <v>1980</v>
      </c>
      <c r="G95" s="4"/>
      <c r="H95" s="57">
        <f t="shared" si="16"/>
        <v>4326.25</v>
      </c>
    </row>
    <row r="96" spans="2:22" ht="14" x14ac:dyDescent="0.2">
      <c r="B96" s="60" t="s">
        <v>158</v>
      </c>
      <c r="C96" s="59">
        <v>11210</v>
      </c>
      <c r="D96" s="59">
        <v>4410</v>
      </c>
      <c r="E96" s="59">
        <v>4280</v>
      </c>
      <c r="F96" s="59">
        <v>9710</v>
      </c>
      <c r="G96" s="4"/>
      <c r="H96" s="57">
        <f t="shared" si="16"/>
        <v>7402.5</v>
      </c>
      <c r="J96" s="1"/>
    </row>
    <row r="97" spans="2:10" ht="14" x14ac:dyDescent="0.2">
      <c r="B97" s="60" t="s">
        <v>159</v>
      </c>
      <c r="C97" s="59">
        <v>10745</v>
      </c>
      <c r="D97" s="59">
        <v>6440</v>
      </c>
      <c r="E97" s="59">
        <v>5585</v>
      </c>
      <c r="F97" s="59">
        <v>8860</v>
      </c>
      <c r="G97" s="4"/>
      <c r="H97" s="57">
        <f t="shared" si="16"/>
        <v>7907.5</v>
      </c>
      <c r="J97" s="1"/>
    </row>
    <row r="98" spans="2:10" ht="14" x14ac:dyDescent="0.2">
      <c r="B98" s="60" t="s">
        <v>160</v>
      </c>
      <c r="C98" s="59">
        <v>14460</v>
      </c>
      <c r="D98" s="59">
        <v>9705</v>
      </c>
      <c r="E98" s="59">
        <v>8200</v>
      </c>
      <c r="F98" s="59">
        <v>9510</v>
      </c>
      <c r="G98" s="4"/>
      <c r="H98" s="57">
        <f t="shared" si="16"/>
        <v>10468.75</v>
      </c>
      <c r="J98" s="1"/>
    </row>
    <row r="99" spans="2:10" ht="14" x14ac:dyDescent="0.2">
      <c r="B99" s="61" t="s">
        <v>153</v>
      </c>
      <c r="C99" s="61">
        <f t="shared" ref="C99:H99" si="17">AVERAGE(C92:C98)</f>
        <v>8049.2857142857147</v>
      </c>
      <c r="D99" s="61">
        <f t="shared" si="17"/>
        <v>6762.8571428571431</v>
      </c>
      <c r="E99" s="61">
        <f t="shared" si="17"/>
        <v>6346.4285714285716</v>
      </c>
      <c r="F99" s="61">
        <f t="shared" si="17"/>
        <v>7697.1428571428569</v>
      </c>
      <c r="G99" s="61">
        <f t="shared" si="17"/>
        <v>12825</v>
      </c>
      <c r="H99" s="63">
        <f t="shared" si="17"/>
        <v>7577.1428571428569</v>
      </c>
      <c r="J99" s="1"/>
    </row>
    <row r="100" spans="2:10" ht="14" x14ac:dyDescent="0.2">
      <c r="J100" s="1"/>
    </row>
    <row r="101" spans="2:10" ht="14" x14ac:dyDescent="0.2">
      <c r="C101" s="104" t="s">
        <v>10</v>
      </c>
      <c r="D101" s="99"/>
      <c r="E101" s="99"/>
      <c r="F101" s="99"/>
      <c r="G101" s="99"/>
      <c r="H101" s="96"/>
      <c r="J101" s="1"/>
    </row>
    <row r="102" spans="2:10" ht="14" x14ac:dyDescent="0.2">
      <c r="C102" s="56" t="s">
        <v>148</v>
      </c>
      <c r="D102" s="56" t="s">
        <v>149</v>
      </c>
      <c r="E102" s="56" t="s">
        <v>150</v>
      </c>
      <c r="F102" s="56" t="s">
        <v>151</v>
      </c>
      <c r="G102" s="56" t="s">
        <v>152</v>
      </c>
      <c r="H102" s="57" t="s">
        <v>153</v>
      </c>
      <c r="J102" s="1"/>
    </row>
    <row r="103" spans="2:10" ht="14" x14ac:dyDescent="0.2">
      <c r="B103" s="58" t="s">
        <v>154</v>
      </c>
      <c r="C103" s="4"/>
      <c r="D103" s="59">
        <v>0</v>
      </c>
      <c r="E103" s="59">
        <v>5545</v>
      </c>
      <c r="F103" s="59">
        <v>4870</v>
      </c>
      <c r="G103" s="59">
        <v>4075</v>
      </c>
      <c r="H103" s="57">
        <f t="shared" ref="H103:H109" si="18">AVERAGE(C103:G103)</f>
        <v>3622.5</v>
      </c>
      <c r="J103" s="1"/>
    </row>
    <row r="104" spans="2:10" ht="14" x14ac:dyDescent="0.2">
      <c r="B104" s="60" t="s">
        <v>155</v>
      </c>
      <c r="C104" s="4"/>
      <c r="D104" s="59">
        <v>10345</v>
      </c>
      <c r="E104" s="59">
        <v>4460</v>
      </c>
      <c r="F104" s="59">
        <v>6970</v>
      </c>
      <c r="G104" s="59">
        <v>4560</v>
      </c>
      <c r="H104" s="57">
        <f t="shared" si="18"/>
        <v>6583.75</v>
      </c>
      <c r="J104" s="1"/>
    </row>
    <row r="105" spans="2:10" ht="14" x14ac:dyDescent="0.2">
      <c r="B105" s="60" t="s">
        <v>156</v>
      </c>
      <c r="C105" s="59">
        <v>15795</v>
      </c>
      <c r="D105" s="59">
        <v>8270</v>
      </c>
      <c r="E105" s="59">
        <v>7355</v>
      </c>
      <c r="F105" s="59">
        <v>5290</v>
      </c>
      <c r="G105" s="59">
        <v>5630</v>
      </c>
      <c r="H105" s="57">
        <f t="shared" si="18"/>
        <v>8468</v>
      </c>
    </row>
    <row r="106" spans="2:10" ht="14" x14ac:dyDescent="0.2">
      <c r="B106" s="60" t="s">
        <v>157</v>
      </c>
      <c r="C106" s="59">
        <v>66280</v>
      </c>
      <c r="D106" s="59">
        <v>6615</v>
      </c>
      <c r="E106" s="59">
        <v>4605</v>
      </c>
      <c r="F106" s="59">
        <v>6125</v>
      </c>
      <c r="G106" s="59">
        <v>5405</v>
      </c>
      <c r="H106" s="57">
        <f t="shared" si="18"/>
        <v>17806</v>
      </c>
    </row>
    <row r="107" spans="2:10" ht="14" x14ac:dyDescent="0.2">
      <c r="B107" s="60" t="s">
        <v>158</v>
      </c>
      <c r="C107" s="59">
        <v>48305</v>
      </c>
      <c r="D107" s="59">
        <v>8620</v>
      </c>
      <c r="E107" s="59">
        <v>5340</v>
      </c>
      <c r="F107" s="59">
        <v>4410</v>
      </c>
      <c r="G107" s="59">
        <v>0</v>
      </c>
      <c r="H107" s="57">
        <f t="shared" si="18"/>
        <v>13335</v>
      </c>
    </row>
    <row r="108" spans="2:10" ht="14" x14ac:dyDescent="0.2">
      <c r="B108" s="60" t="s">
        <v>159</v>
      </c>
      <c r="C108" s="59">
        <v>16760</v>
      </c>
      <c r="D108" s="59">
        <v>8895</v>
      </c>
      <c r="E108" s="59">
        <v>8565</v>
      </c>
      <c r="F108" s="59">
        <v>6040</v>
      </c>
      <c r="G108" s="4"/>
      <c r="H108" s="57">
        <f t="shared" si="18"/>
        <v>10065</v>
      </c>
    </row>
    <row r="109" spans="2:10" ht="14" x14ac:dyDescent="0.2">
      <c r="B109" s="60" t="s">
        <v>160</v>
      </c>
      <c r="C109" s="59">
        <v>19550</v>
      </c>
      <c r="D109" s="59">
        <v>11030</v>
      </c>
      <c r="E109" s="59">
        <v>11770</v>
      </c>
      <c r="F109" s="59">
        <v>15370</v>
      </c>
      <c r="G109" s="4"/>
      <c r="H109" s="57">
        <f t="shared" si="18"/>
        <v>14430</v>
      </c>
    </row>
    <row r="110" spans="2:10" ht="14" x14ac:dyDescent="0.2">
      <c r="B110" s="61" t="s">
        <v>153</v>
      </c>
      <c r="C110" s="61">
        <f t="shared" ref="C110:H110" si="19">AVERAGE(C103:C109)</f>
        <v>33338</v>
      </c>
      <c r="D110" s="61">
        <f t="shared" si="19"/>
        <v>7682.1428571428569</v>
      </c>
      <c r="E110" s="61">
        <f t="shared" si="19"/>
        <v>6805.7142857142853</v>
      </c>
      <c r="F110" s="61">
        <f t="shared" si="19"/>
        <v>7010.7142857142853</v>
      </c>
      <c r="G110" s="61">
        <f t="shared" si="19"/>
        <v>3934</v>
      </c>
      <c r="H110" s="63">
        <f t="shared" si="19"/>
        <v>10615.75</v>
      </c>
    </row>
    <row r="112" spans="2:10" ht="14" x14ac:dyDescent="0.2">
      <c r="C112" s="104" t="s">
        <v>11</v>
      </c>
      <c r="D112" s="99"/>
      <c r="E112" s="99"/>
      <c r="F112" s="99"/>
      <c r="G112" s="99"/>
      <c r="H112" s="96"/>
    </row>
    <row r="113" spans="2:8" ht="14" x14ac:dyDescent="0.2">
      <c r="C113" s="56" t="s">
        <v>148</v>
      </c>
      <c r="D113" s="56" t="s">
        <v>149</v>
      </c>
      <c r="E113" s="56" t="s">
        <v>150</v>
      </c>
      <c r="F113" s="56" t="s">
        <v>151</v>
      </c>
      <c r="G113" s="56" t="s">
        <v>152</v>
      </c>
      <c r="H113" s="57" t="s">
        <v>153</v>
      </c>
    </row>
    <row r="114" spans="2:8" ht="14" x14ac:dyDescent="0.2">
      <c r="B114" s="58" t="s">
        <v>154</v>
      </c>
      <c r="C114" s="4"/>
      <c r="D114" s="59">
        <v>7245</v>
      </c>
      <c r="E114" s="59">
        <v>3205</v>
      </c>
      <c r="F114" s="59">
        <v>6330</v>
      </c>
      <c r="G114" s="59">
        <v>5660</v>
      </c>
      <c r="H114" s="57">
        <f t="shared" ref="H114:H120" si="20">AVERAGE(C114:G114)</f>
        <v>5610</v>
      </c>
    </row>
    <row r="115" spans="2:8" ht="14" x14ac:dyDescent="0.2">
      <c r="B115" s="60" t="s">
        <v>155</v>
      </c>
      <c r="C115" s="4"/>
      <c r="D115" s="59">
        <v>7255</v>
      </c>
      <c r="E115" s="59">
        <v>4435</v>
      </c>
      <c r="F115" s="59">
        <v>2795</v>
      </c>
      <c r="G115" s="59">
        <v>7215</v>
      </c>
      <c r="H115" s="57">
        <f t="shared" si="20"/>
        <v>5425</v>
      </c>
    </row>
    <row r="116" spans="2:8" ht="14" x14ac:dyDescent="0.2">
      <c r="B116" s="60" t="s">
        <v>156</v>
      </c>
      <c r="C116" s="4"/>
      <c r="D116" s="59">
        <v>0</v>
      </c>
      <c r="E116" s="59">
        <v>2330</v>
      </c>
      <c r="F116" s="59">
        <v>6712</v>
      </c>
      <c r="G116" s="59">
        <v>7250</v>
      </c>
      <c r="H116" s="57">
        <f t="shared" si="20"/>
        <v>4073</v>
      </c>
    </row>
    <row r="117" spans="2:8" ht="14" x14ac:dyDescent="0.2">
      <c r="B117" s="60" t="s">
        <v>157</v>
      </c>
      <c r="C117" s="4"/>
      <c r="D117" s="59">
        <v>4850</v>
      </c>
      <c r="E117" s="59">
        <v>2505</v>
      </c>
      <c r="F117" s="59">
        <v>9595</v>
      </c>
      <c r="G117" s="59">
        <v>4340</v>
      </c>
      <c r="H117" s="57">
        <f t="shared" si="20"/>
        <v>5322.5</v>
      </c>
    </row>
    <row r="118" spans="2:8" ht="14" x14ac:dyDescent="0.2">
      <c r="B118" s="60" t="s">
        <v>158</v>
      </c>
      <c r="C118" s="4"/>
      <c r="D118" s="59">
        <v>4660</v>
      </c>
      <c r="E118" s="59">
        <v>5245</v>
      </c>
      <c r="F118" s="59">
        <v>7130</v>
      </c>
      <c r="G118" s="59">
        <v>4760</v>
      </c>
      <c r="H118" s="57">
        <f t="shared" si="20"/>
        <v>5448.75</v>
      </c>
    </row>
    <row r="119" spans="2:8" ht="14" x14ac:dyDescent="0.2">
      <c r="B119" s="60" t="s">
        <v>159</v>
      </c>
      <c r="C119" s="59">
        <v>7215</v>
      </c>
      <c r="D119" s="59">
        <v>6280</v>
      </c>
      <c r="E119" s="59">
        <v>0</v>
      </c>
      <c r="F119" s="59">
        <v>6845</v>
      </c>
      <c r="G119" s="59">
        <v>1990</v>
      </c>
      <c r="H119" s="57">
        <f t="shared" si="20"/>
        <v>4466</v>
      </c>
    </row>
    <row r="120" spans="2:8" ht="14" x14ac:dyDescent="0.2">
      <c r="B120" s="60" t="s">
        <v>160</v>
      </c>
      <c r="C120" s="59">
        <v>6420</v>
      </c>
      <c r="D120" s="59">
        <v>14500</v>
      </c>
      <c r="E120" s="59">
        <v>11710</v>
      </c>
      <c r="F120" s="59">
        <v>8875</v>
      </c>
      <c r="G120" s="59">
        <v>8570</v>
      </c>
      <c r="H120" s="57">
        <f t="shared" si="20"/>
        <v>10015</v>
      </c>
    </row>
    <row r="121" spans="2:8" ht="14" x14ac:dyDescent="0.2">
      <c r="B121" s="61" t="s">
        <v>153</v>
      </c>
      <c r="C121" s="61">
        <f t="shared" ref="C121:H121" si="21">AVERAGE(C114:C120)</f>
        <v>6817.5</v>
      </c>
      <c r="D121" s="61">
        <f t="shared" si="21"/>
        <v>6398.5714285714284</v>
      </c>
      <c r="E121" s="61">
        <f t="shared" si="21"/>
        <v>4204.2857142857147</v>
      </c>
      <c r="F121" s="61">
        <f t="shared" si="21"/>
        <v>6897.4285714285716</v>
      </c>
      <c r="G121" s="61">
        <f t="shared" si="21"/>
        <v>5683.5714285714284</v>
      </c>
      <c r="H121" s="63">
        <f t="shared" si="21"/>
        <v>5765.75</v>
      </c>
    </row>
    <row r="123" spans="2:8" ht="14" x14ac:dyDescent="0.2">
      <c r="C123" s="104" t="s">
        <v>12</v>
      </c>
      <c r="D123" s="99"/>
      <c r="E123" s="99"/>
      <c r="F123" s="99"/>
      <c r="G123" s="99"/>
      <c r="H123" s="96"/>
    </row>
    <row r="124" spans="2:8" ht="14" x14ac:dyDescent="0.2">
      <c r="C124" s="56" t="s">
        <v>148</v>
      </c>
      <c r="D124" s="56" t="s">
        <v>149</v>
      </c>
      <c r="E124" s="56" t="s">
        <v>150</v>
      </c>
      <c r="F124" s="56" t="s">
        <v>151</v>
      </c>
      <c r="G124" s="56" t="s">
        <v>152</v>
      </c>
      <c r="H124" s="57" t="s">
        <v>153</v>
      </c>
    </row>
    <row r="125" spans="2:8" ht="14" x14ac:dyDescent="0.2">
      <c r="B125" s="58" t="s">
        <v>154</v>
      </c>
      <c r="C125" s="59">
        <v>4135</v>
      </c>
      <c r="D125" s="59">
        <v>0</v>
      </c>
      <c r="E125" s="59">
        <v>0</v>
      </c>
      <c r="F125" s="59">
        <v>6075</v>
      </c>
      <c r="G125" s="59">
        <v>6925</v>
      </c>
      <c r="H125" s="57">
        <f t="shared" ref="H125:H131" si="22">AVERAGE(C125:G125)</f>
        <v>3427</v>
      </c>
    </row>
    <row r="126" spans="2:8" ht="14" x14ac:dyDescent="0.2">
      <c r="B126" s="60" t="s">
        <v>155</v>
      </c>
      <c r="C126" s="59">
        <v>3885</v>
      </c>
      <c r="D126" s="59">
        <v>5730</v>
      </c>
      <c r="E126" s="59">
        <v>3940</v>
      </c>
      <c r="F126" s="59">
        <v>7680</v>
      </c>
      <c r="G126" s="59">
        <v>3755</v>
      </c>
      <c r="H126" s="57">
        <f t="shared" si="22"/>
        <v>4998</v>
      </c>
    </row>
    <row r="127" spans="2:8" ht="14" x14ac:dyDescent="0.2">
      <c r="B127" s="60" t="s">
        <v>156</v>
      </c>
      <c r="C127" s="59">
        <v>6690</v>
      </c>
      <c r="D127" s="59">
        <v>4725</v>
      </c>
      <c r="E127" s="59">
        <v>6830</v>
      </c>
      <c r="F127" s="59">
        <v>9700</v>
      </c>
      <c r="G127" s="59">
        <v>5540</v>
      </c>
      <c r="H127" s="57">
        <f t="shared" si="22"/>
        <v>6697</v>
      </c>
    </row>
    <row r="128" spans="2:8" ht="14" x14ac:dyDescent="0.2">
      <c r="B128" s="60" t="s">
        <v>157</v>
      </c>
      <c r="C128" s="59">
        <v>3615</v>
      </c>
      <c r="D128" s="59">
        <v>3765</v>
      </c>
      <c r="E128" s="59">
        <v>5555</v>
      </c>
      <c r="F128" s="59">
        <v>9495</v>
      </c>
      <c r="G128" s="4"/>
      <c r="H128" s="57">
        <f t="shared" si="22"/>
        <v>5607.5</v>
      </c>
    </row>
    <row r="129" spans="2:8" ht="14" x14ac:dyDescent="0.2">
      <c r="B129" s="60" t="s">
        <v>158</v>
      </c>
      <c r="C129" s="59">
        <v>8840</v>
      </c>
      <c r="D129" s="59">
        <v>6080</v>
      </c>
      <c r="E129" s="59">
        <v>4090</v>
      </c>
      <c r="F129" s="59">
        <v>5435</v>
      </c>
      <c r="G129" s="4"/>
      <c r="H129" s="57">
        <f t="shared" si="22"/>
        <v>6111.25</v>
      </c>
    </row>
    <row r="130" spans="2:8" ht="14" x14ac:dyDescent="0.2">
      <c r="B130" s="60" t="s">
        <v>159</v>
      </c>
      <c r="C130" s="59">
        <v>7785</v>
      </c>
      <c r="D130" s="59">
        <v>4300</v>
      </c>
      <c r="E130" s="59">
        <v>14380</v>
      </c>
      <c r="F130" s="59">
        <v>3980</v>
      </c>
      <c r="G130" s="4"/>
      <c r="H130" s="57">
        <f t="shared" si="22"/>
        <v>7611.25</v>
      </c>
    </row>
    <row r="131" spans="2:8" ht="14" x14ac:dyDescent="0.2">
      <c r="B131" s="60" t="s">
        <v>160</v>
      </c>
      <c r="C131" s="59">
        <v>16255</v>
      </c>
      <c r="D131" s="59">
        <v>9080</v>
      </c>
      <c r="E131" s="59">
        <v>13615</v>
      </c>
      <c r="F131" s="59">
        <v>10975</v>
      </c>
      <c r="G131" s="4"/>
      <c r="H131" s="57">
        <f t="shared" si="22"/>
        <v>12481.25</v>
      </c>
    </row>
    <row r="132" spans="2:8" ht="14" x14ac:dyDescent="0.2">
      <c r="B132" s="61" t="s">
        <v>153</v>
      </c>
      <c r="C132" s="61">
        <f t="shared" ref="C132:H132" si="23">AVERAGE(C125:C131)</f>
        <v>7315</v>
      </c>
      <c r="D132" s="61">
        <f t="shared" si="23"/>
        <v>4811.4285714285716</v>
      </c>
      <c r="E132" s="61">
        <f t="shared" si="23"/>
        <v>6915.7142857142853</v>
      </c>
      <c r="F132" s="61">
        <f t="shared" si="23"/>
        <v>7620</v>
      </c>
      <c r="G132" s="61">
        <f t="shared" si="23"/>
        <v>5406.666666666667</v>
      </c>
      <c r="H132" s="63">
        <f t="shared" si="23"/>
        <v>6704.75</v>
      </c>
    </row>
  </sheetData>
  <mergeCells count="12">
    <mergeCell ref="C57:H57"/>
    <mergeCell ref="C68:H68"/>
    <mergeCell ref="C2:H2"/>
    <mergeCell ref="C13:H13"/>
    <mergeCell ref="C24:H24"/>
    <mergeCell ref="C35:H35"/>
    <mergeCell ref="C46:H46"/>
    <mergeCell ref="C79:H79"/>
    <mergeCell ref="C90:H90"/>
    <mergeCell ref="C101:H101"/>
    <mergeCell ref="C112:H112"/>
    <mergeCell ref="C123:H12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outlinePr summaryBelow="0" summaryRight="0"/>
  </sheetPr>
  <dimension ref="A1:BG1007"/>
  <sheetViews>
    <sheetView workbookViewId="0">
      <pane xSplit="1" ySplit="1" topLeftCell="B2" activePane="bottomRight" state="frozen"/>
      <selection pane="topRight" activeCell="B1" sqref="B1"/>
      <selection pane="bottomLeft" activeCell="A2" sqref="A2"/>
      <selection pane="bottomRight" activeCell="R28" sqref="R28"/>
    </sheetView>
  </sheetViews>
  <sheetFormatPr baseColWidth="10" defaultColWidth="12.796875" defaultRowHeight="15.75" customHeight="1" x14ac:dyDescent="0.2"/>
  <cols>
    <col min="1" max="1" width="21" customWidth="1"/>
    <col min="2" max="15" width="9" customWidth="1"/>
    <col min="16" max="16" width="9.796875" customWidth="1"/>
    <col min="17" max="17" width="10.59765625" customWidth="1"/>
    <col min="18" max="59" width="9" customWidth="1"/>
  </cols>
  <sheetData>
    <row r="1" spans="1:59" ht="15.75" customHeight="1" x14ac:dyDescent="0.2">
      <c r="A1" s="8" t="s">
        <v>127</v>
      </c>
      <c r="B1" s="64">
        <v>45658</v>
      </c>
      <c r="C1" s="64">
        <v>45659</v>
      </c>
      <c r="D1" s="64">
        <v>45660</v>
      </c>
      <c r="E1" s="64">
        <v>45661</v>
      </c>
      <c r="F1" s="64">
        <v>45662</v>
      </c>
      <c r="G1" s="64">
        <v>45663</v>
      </c>
      <c r="H1" s="64">
        <v>45664</v>
      </c>
      <c r="I1" s="64">
        <v>45665</v>
      </c>
      <c r="J1" s="64">
        <v>45666</v>
      </c>
      <c r="K1" s="64">
        <v>45667</v>
      </c>
      <c r="L1" s="64">
        <v>45668</v>
      </c>
      <c r="M1" s="64">
        <v>45669</v>
      </c>
      <c r="N1" s="64">
        <v>45670</v>
      </c>
      <c r="O1" s="64">
        <v>45671</v>
      </c>
      <c r="P1" s="64">
        <v>45672</v>
      </c>
      <c r="Q1" s="64">
        <v>45673</v>
      </c>
      <c r="R1" s="64">
        <v>45674</v>
      </c>
      <c r="S1" s="64">
        <v>45675</v>
      </c>
      <c r="T1" s="64">
        <v>45676</v>
      </c>
      <c r="U1" s="64">
        <v>45677</v>
      </c>
      <c r="V1" s="64">
        <v>45678</v>
      </c>
      <c r="W1" s="64">
        <v>45679</v>
      </c>
      <c r="X1" s="64">
        <v>45680</v>
      </c>
      <c r="Y1" s="64">
        <v>45681</v>
      </c>
      <c r="Z1" s="64">
        <v>45682</v>
      </c>
      <c r="AA1" s="64">
        <v>45683</v>
      </c>
      <c r="AB1" s="64">
        <v>45684</v>
      </c>
      <c r="AC1" s="64">
        <v>45685</v>
      </c>
      <c r="AD1" s="64">
        <v>45686</v>
      </c>
      <c r="AE1" s="64">
        <v>45687</v>
      </c>
      <c r="AF1" s="64">
        <v>45688</v>
      </c>
      <c r="AG1" s="22" t="s">
        <v>0</v>
      </c>
      <c r="AH1" s="22" t="s">
        <v>153</v>
      </c>
      <c r="AI1" s="8" t="s">
        <v>161</v>
      </c>
      <c r="AJ1" s="65"/>
      <c r="AK1" s="65"/>
      <c r="AL1" s="65"/>
      <c r="AM1" s="65"/>
      <c r="AN1" s="65"/>
      <c r="AO1" s="65"/>
      <c r="AP1" s="65"/>
      <c r="AQ1" s="65"/>
      <c r="AR1" s="65"/>
      <c r="AS1" s="65"/>
      <c r="AT1" s="65"/>
      <c r="AU1" s="65"/>
      <c r="AV1" s="65"/>
      <c r="AW1" s="65"/>
      <c r="AX1" s="65"/>
      <c r="AY1" s="65"/>
      <c r="AZ1" s="65"/>
      <c r="BA1" s="65"/>
      <c r="BB1" s="65"/>
      <c r="BC1" s="65"/>
      <c r="BD1" s="65"/>
      <c r="BE1" s="65"/>
      <c r="BF1" s="65"/>
      <c r="BG1" s="65"/>
    </row>
    <row r="2" spans="1:59" ht="15.75" customHeight="1" x14ac:dyDescent="0.2">
      <c r="A2" s="4" t="s">
        <v>162</v>
      </c>
      <c r="B2" s="66">
        <f>3900+1700</f>
        <v>5600</v>
      </c>
      <c r="C2" s="66">
        <v>3900</v>
      </c>
      <c r="D2" s="66">
        <v>3900</v>
      </c>
      <c r="E2" s="66">
        <v>3900</v>
      </c>
      <c r="F2" s="66">
        <v>3200</v>
      </c>
      <c r="G2" s="66">
        <v>0</v>
      </c>
      <c r="H2" s="66">
        <v>3200</v>
      </c>
      <c r="I2" s="66">
        <v>3200</v>
      </c>
      <c r="J2" s="66">
        <v>3200</v>
      </c>
      <c r="K2" s="66">
        <v>3200</v>
      </c>
      <c r="L2" s="66">
        <v>3200</v>
      </c>
      <c r="M2" s="66">
        <v>3200</v>
      </c>
      <c r="N2" s="66">
        <v>3200</v>
      </c>
      <c r="O2" s="66">
        <v>3200</v>
      </c>
      <c r="P2" s="66">
        <v>3200</v>
      </c>
      <c r="Q2" s="66">
        <v>3200</v>
      </c>
      <c r="R2" s="66">
        <v>3200</v>
      </c>
      <c r="S2" s="66">
        <v>3200</v>
      </c>
      <c r="T2" s="66">
        <v>3200</v>
      </c>
      <c r="U2" s="66">
        <v>3200</v>
      </c>
      <c r="V2" s="66">
        <v>0</v>
      </c>
      <c r="W2" s="66">
        <v>3200</v>
      </c>
      <c r="X2" s="66">
        <v>3200</v>
      </c>
      <c r="Y2" s="66">
        <v>3200</v>
      </c>
      <c r="Z2" s="66">
        <v>3200</v>
      </c>
      <c r="AA2" s="66">
        <v>3200</v>
      </c>
      <c r="AB2" s="66">
        <v>3200</v>
      </c>
      <c r="AC2" s="66">
        <v>3200</v>
      </c>
      <c r="AD2" s="66">
        <v>3200</v>
      </c>
      <c r="AE2" s="66">
        <v>3200</v>
      </c>
      <c r="AF2" s="66">
        <v>3200</v>
      </c>
      <c r="AG2" s="56">
        <f t="shared" ref="AG2:AG4" si="0">SUM(B2:AF2)</f>
        <v>97300</v>
      </c>
      <c r="AH2" s="67">
        <f t="shared" ref="AH2:AH4" si="1">IFERROR(AVERAGE(B2:AF2),0)</f>
        <v>3138.7096774193546</v>
      </c>
      <c r="AI2" s="68">
        <f t="shared" ref="AI2:AI4" si="2">(AH2/$AH$29)*100</f>
        <v>21.812279887643228</v>
      </c>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ht="15.75" customHeight="1" x14ac:dyDescent="0.2">
      <c r="A3" s="4" t="s">
        <v>163</v>
      </c>
      <c r="B3" s="59">
        <f t="shared" ref="B3:F3" si="3">$B$39/$B$59</f>
        <v>3068</v>
      </c>
      <c r="C3" s="59">
        <f t="shared" si="3"/>
        <v>3068</v>
      </c>
      <c r="D3" s="59">
        <f t="shared" si="3"/>
        <v>3068</v>
      </c>
      <c r="E3" s="59">
        <f t="shared" si="3"/>
        <v>3068</v>
      </c>
      <c r="F3" s="59">
        <f t="shared" si="3"/>
        <v>3068</v>
      </c>
      <c r="G3" s="59">
        <v>0</v>
      </c>
      <c r="H3" s="59">
        <f t="shared" ref="H3:U3" si="4">$B$39/$B$59</f>
        <v>3068</v>
      </c>
      <c r="I3" s="59">
        <f t="shared" si="4"/>
        <v>3068</v>
      </c>
      <c r="J3" s="59">
        <f t="shared" si="4"/>
        <v>3068</v>
      </c>
      <c r="K3" s="59">
        <f t="shared" si="4"/>
        <v>3068</v>
      </c>
      <c r="L3" s="59">
        <f t="shared" si="4"/>
        <v>3068</v>
      </c>
      <c r="M3" s="59">
        <f t="shared" si="4"/>
        <v>3068</v>
      </c>
      <c r="N3" s="59">
        <f t="shared" si="4"/>
        <v>3068</v>
      </c>
      <c r="O3" s="59">
        <f t="shared" si="4"/>
        <v>3068</v>
      </c>
      <c r="P3" s="59">
        <f t="shared" si="4"/>
        <v>3068</v>
      </c>
      <c r="Q3" s="59">
        <f t="shared" si="4"/>
        <v>3068</v>
      </c>
      <c r="R3" s="59">
        <f t="shared" si="4"/>
        <v>3068</v>
      </c>
      <c r="S3" s="59">
        <f t="shared" si="4"/>
        <v>3068</v>
      </c>
      <c r="T3" s="59">
        <f t="shared" si="4"/>
        <v>3068</v>
      </c>
      <c r="U3" s="59">
        <f t="shared" si="4"/>
        <v>3068</v>
      </c>
      <c r="V3" s="59">
        <v>0</v>
      </c>
      <c r="W3" s="59">
        <f t="shared" ref="W3:AF3" si="5">$B$39/$B$59</f>
        <v>3068</v>
      </c>
      <c r="X3" s="59">
        <f t="shared" si="5"/>
        <v>3068</v>
      </c>
      <c r="Y3" s="59">
        <f t="shared" si="5"/>
        <v>3068</v>
      </c>
      <c r="Z3" s="59">
        <f t="shared" si="5"/>
        <v>3068</v>
      </c>
      <c r="AA3" s="59">
        <f t="shared" si="5"/>
        <v>3068</v>
      </c>
      <c r="AB3" s="59">
        <f t="shared" si="5"/>
        <v>3068</v>
      </c>
      <c r="AC3" s="59">
        <f t="shared" si="5"/>
        <v>3068</v>
      </c>
      <c r="AD3" s="59">
        <f t="shared" si="5"/>
        <v>3068</v>
      </c>
      <c r="AE3" s="59">
        <f t="shared" si="5"/>
        <v>3068</v>
      </c>
      <c r="AF3" s="59">
        <f t="shared" si="5"/>
        <v>3068</v>
      </c>
      <c r="AG3" s="56">
        <f t="shared" si="0"/>
        <v>88972</v>
      </c>
      <c r="AH3" s="67">
        <f t="shared" si="1"/>
        <v>2870.0645161290322</v>
      </c>
      <c r="AI3" s="68">
        <f t="shared" si="2"/>
        <v>19.945346003734777</v>
      </c>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ht="15.75" customHeight="1" x14ac:dyDescent="0.2">
      <c r="A4" s="4" t="s">
        <v>20</v>
      </c>
      <c r="B4" s="69">
        <f t="shared" ref="B4:F4" si="6">$B$42/$B$59</f>
        <v>3285.1034482758619</v>
      </c>
      <c r="C4" s="69">
        <f t="shared" si="6"/>
        <v>3285.1034482758619</v>
      </c>
      <c r="D4" s="69">
        <f t="shared" si="6"/>
        <v>3285.1034482758619</v>
      </c>
      <c r="E4" s="69">
        <f t="shared" si="6"/>
        <v>3285.1034482758619</v>
      </c>
      <c r="F4" s="69">
        <f t="shared" si="6"/>
        <v>3285.1034482758619</v>
      </c>
      <c r="G4" s="59">
        <v>0</v>
      </c>
      <c r="H4" s="69">
        <f t="shared" ref="H4:U4" si="7">$B$42/$B$59</f>
        <v>3285.1034482758619</v>
      </c>
      <c r="I4" s="69">
        <f t="shared" si="7"/>
        <v>3285.1034482758619</v>
      </c>
      <c r="J4" s="69">
        <f t="shared" si="7"/>
        <v>3285.1034482758619</v>
      </c>
      <c r="K4" s="69">
        <f t="shared" si="7"/>
        <v>3285.1034482758619</v>
      </c>
      <c r="L4" s="69">
        <f t="shared" si="7"/>
        <v>3285.1034482758619</v>
      </c>
      <c r="M4" s="69">
        <f t="shared" si="7"/>
        <v>3285.1034482758619</v>
      </c>
      <c r="N4" s="69">
        <f t="shared" si="7"/>
        <v>3285.1034482758619</v>
      </c>
      <c r="O4" s="69">
        <f t="shared" si="7"/>
        <v>3285.1034482758619</v>
      </c>
      <c r="P4" s="69">
        <f t="shared" si="7"/>
        <v>3285.1034482758619</v>
      </c>
      <c r="Q4" s="69">
        <f t="shared" si="7"/>
        <v>3285.1034482758619</v>
      </c>
      <c r="R4" s="69">
        <f t="shared" si="7"/>
        <v>3285.1034482758619</v>
      </c>
      <c r="S4" s="69">
        <f t="shared" si="7"/>
        <v>3285.1034482758619</v>
      </c>
      <c r="T4" s="69">
        <f t="shared" si="7"/>
        <v>3285.1034482758619</v>
      </c>
      <c r="U4" s="69">
        <f t="shared" si="7"/>
        <v>3285.1034482758619</v>
      </c>
      <c r="V4" s="66">
        <v>0</v>
      </c>
      <c r="W4" s="69">
        <f t="shared" ref="W4:AF4" si="8">$B$42/$B$59</f>
        <v>3285.1034482758619</v>
      </c>
      <c r="X4" s="69">
        <f t="shared" si="8"/>
        <v>3285.1034482758619</v>
      </c>
      <c r="Y4" s="69">
        <f t="shared" si="8"/>
        <v>3285.1034482758619</v>
      </c>
      <c r="Z4" s="69">
        <f t="shared" si="8"/>
        <v>3285.1034482758619</v>
      </c>
      <c r="AA4" s="69">
        <f t="shared" si="8"/>
        <v>3285.1034482758619</v>
      </c>
      <c r="AB4" s="69">
        <f t="shared" si="8"/>
        <v>3285.1034482758619</v>
      </c>
      <c r="AC4" s="69">
        <f t="shared" si="8"/>
        <v>3285.1034482758619</v>
      </c>
      <c r="AD4" s="69">
        <f t="shared" si="8"/>
        <v>3285.1034482758619</v>
      </c>
      <c r="AE4" s="69">
        <f t="shared" si="8"/>
        <v>3285.1034482758619</v>
      </c>
      <c r="AF4" s="69">
        <f t="shared" si="8"/>
        <v>3285.1034482758619</v>
      </c>
      <c r="AG4" s="56">
        <f t="shared" si="0"/>
        <v>95267.999999999927</v>
      </c>
      <c r="AH4" s="67">
        <f t="shared" si="1"/>
        <v>3073.1612903225782</v>
      </c>
      <c r="AI4" s="68">
        <f t="shared" si="2"/>
        <v>21.356755193586782</v>
      </c>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1"/>
      <c r="AH5" s="71"/>
      <c r="AI5" s="72"/>
      <c r="AJ5" s="14"/>
      <c r="AK5" s="14"/>
      <c r="AL5" s="14"/>
      <c r="AM5" s="14"/>
      <c r="AN5" s="14"/>
      <c r="AO5" s="14"/>
      <c r="AP5" s="14"/>
      <c r="AQ5" s="14"/>
      <c r="AR5" s="14"/>
      <c r="AS5" s="14"/>
      <c r="AT5" s="14"/>
      <c r="AU5" s="14"/>
      <c r="AV5" s="14"/>
      <c r="AW5" s="73"/>
      <c r="AX5" s="73"/>
      <c r="AY5" s="73"/>
      <c r="AZ5" s="73"/>
      <c r="BA5" s="73"/>
      <c r="BB5" s="73"/>
      <c r="BC5" s="73"/>
      <c r="BD5" s="73"/>
      <c r="BE5" s="73"/>
      <c r="BF5" s="73"/>
      <c r="BG5" s="73"/>
    </row>
    <row r="6" spans="1:59" ht="15.75" customHeight="1" x14ac:dyDescent="0.2">
      <c r="A6" s="4" t="s">
        <v>165</v>
      </c>
      <c r="B6" s="69">
        <v>7000</v>
      </c>
      <c r="C6" s="69">
        <v>3000</v>
      </c>
      <c r="D6" s="69">
        <v>0</v>
      </c>
      <c r="E6" s="69">
        <v>3000</v>
      </c>
      <c r="F6" s="69">
        <v>3000</v>
      </c>
      <c r="G6" s="69">
        <v>0</v>
      </c>
      <c r="H6" s="69">
        <v>1900</v>
      </c>
      <c r="I6" s="69">
        <v>2500</v>
      </c>
      <c r="J6" s="69">
        <v>2000</v>
      </c>
      <c r="K6" s="69">
        <v>2000</v>
      </c>
      <c r="L6" s="69">
        <v>1500</v>
      </c>
      <c r="M6" s="69">
        <v>3000</v>
      </c>
      <c r="N6" s="69">
        <v>2000</v>
      </c>
      <c r="O6" s="69">
        <v>2000</v>
      </c>
      <c r="P6" s="69">
        <v>1500</v>
      </c>
      <c r="Q6" s="69">
        <v>3620</v>
      </c>
      <c r="R6" s="69">
        <v>2500</v>
      </c>
      <c r="S6" s="69">
        <v>1800</v>
      </c>
      <c r="T6" s="69">
        <v>2000</v>
      </c>
      <c r="U6" s="69">
        <v>2000</v>
      </c>
      <c r="V6" s="69">
        <v>0</v>
      </c>
      <c r="W6" s="69">
        <v>2000</v>
      </c>
      <c r="X6" s="69">
        <v>2000</v>
      </c>
      <c r="Y6" s="69">
        <v>2000</v>
      </c>
      <c r="Z6" s="69">
        <v>2000</v>
      </c>
      <c r="AA6" s="69">
        <v>1520</v>
      </c>
      <c r="AB6" s="69">
        <v>2000</v>
      </c>
      <c r="AC6" s="69">
        <v>2000</v>
      </c>
      <c r="AD6" s="69">
        <v>1500</v>
      </c>
      <c r="AE6" s="69">
        <v>1500</v>
      </c>
      <c r="AF6" s="69">
        <v>1200</v>
      </c>
      <c r="AG6" s="56">
        <f t="shared" ref="AG6:AG8" si="9">SUM(B6:AF6)</f>
        <v>64040</v>
      </c>
      <c r="AH6" s="67">
        <f t="shared" ref="AH6:AH8" si="10">IFERROR(AVERAGE(B6:AF6),0)</f>
        <v>2065.8064516129034</v>
      </c>
      <c r="AI6" s="68">
        <f t="shared" ref="AI6:AI8" si="11">(AH6/$AH$29)*100</f>
        <v>14.356201480006913</v>
      </c>
      <c r="AJ6" s="14"/>
      <c r="AK6" s="14"/>
      <c r="AS6" s="14"/>
      <c r="AT6" s="14"/>
      <c r="AU6" s="14"/>
      <c r="AV6" s="14"/>
      <c r="AW6" s="14"/>
      <c r="AX6" s="14"/>
      <c r="AY6" s="14"/>
      <c r="AZ6" s="14"/>
      <c r="BA6" s="14"/>
      <c r="BB6" s="14"/>
      <c r="BC6" s="14"/>
      <c r="BD6" s="14"/>
      <c r="BE6" s="14"/>
      <c r="BF6" s="14"/>
      <c r="BG6" s="14"/>
    </row>
    <row r="7" spans="1:59" ht="15.75" customHeight="1" x14ac:dyDescent="0.2">
      <c r="A7" s="4" t="s">
        <v>166</v>
      </c>
      <c r="B7" s="69">
        <f t="shared" ref="B7:F7" si="12">$B$51/$B$59</f>
        <v>168.9655172413793</v>
      </c>
      <c r="C7" s="69">
        <f t="shared" si="12"/>
        <v>168.9655172413793</v>
      </c>
      <c r="D7" s="69">
        <f t="shared" si="12"/>
        <v>168.9655172413793</v>
      </c>
      <c r="E7" s="69">
        <f t="shared" si="12"/>
        <v>168.9655172413793</v>
      </c>
      <c r="F7" s="69">
        <f t="shared" si="12"/>
        <v>168.9655172413793</v>
      </c>
      <c r="G7" s="59">
        <v>0</v>
      </c>
      <c r="H7" s="69">
        <f t="shared" ref="H7:U7" si="13">$B$51/$B$59</f>
        <v>168.9655172413793</v>
      </c>
      <c r="I7" s="69">
        <f t="shared" si="13"/>
        <v>168.9655172413793</v>
      </c>
      <c r="J7" s="69">
        <f t="shared" si="13"/>
        <v>168.9655172413793</v>
      </c>
      <c r="K7" s="69">
        <f t="shared" si="13"/>
        <v>168.9655172413793</v>
      </c>
      <c r="L7" s="69">
        <f t="shared" si="13"/>
        <v>168.9655172413793</v>
      </c>
      <c r="M7" s="69">
        <f t="shared" si="13"/>
        <v>168.9655172413793</v>
      </c>
      <c r="N7" s="69">
        <f t="shared" si="13"/>
        <v>168.9655172413793</v>
      </c>
      <c r="O7" s="69">
        <f t="shared" si="13"/>
        <v>168.9655172413793</v>
      </c>
      <c r="P7" s="69">
        <f t="shared" si="13"/>
        <v>168.9655172413793</v>
      </c>
      <c r="Q7" s="69">
        <f t="shared" si="13"/>
        <v>168.9655172413793</v>
      </c>
      <c r="R7" s="69">
        <f t="shared" si="13"/>
        <v>168.9655172413793</v>
      </c>
      <c r="S7" s="69">
        <f t="shared" si="13"/>
        <v>168.9655172413793</v>
      </c>
      <c r="T7" s="69">
        <f t="shared" si="13"/>
        <v>168.9655172413793</v>
      </c>
      <c r="U7" s="69">
        <f t="shared" si="13"/>
        <v>168.9655172413793</v>
      </c>
      <c r="V7" s="66">
        <v>0</v>
      </c>
      <c r="W7" s="69">
        <f t="shared" ref="W7:AF7" si="14">$B$51/$B$59</f>
        <v>168.9655172413793</v>
      </c>
      <c r="X7" s="69">
        <f t="shared" si="14"/>
        <v>168.9655172413793</v>
      </c>
      <c r="Y7" s="69">
        <f t="shared" si="14"/>
        <v>168.9655172413793</v>
      </c>
      <c r="Z7" s="69">
        <f t="shared" si="14"/>
        <v>168.9655172413793</v>
      </c>
      <c r="AA7" s="69">
        <f t="shared" si="14"/>
        <v>168.9655172413793</v>
      </c>
      <c r="AB7" s="69">
        <f t="shared" si="14"/>
        <v>168.9655172413793</v>
      </c>
      <c r="AC7" s="69">
        <f t="shared" si="14"/>
        <v>168.9655172413793</v>
      </c>
      <c r="AD7" s="69">
        <f t="shared" si="14"/>
        <v>168.9655172413793</v>
      </c>
      <c r="AE7" s="69">
        <f t="shared" si="14"/>
        <v>168.9655172413793</v>
      </c>
      <c r="AF7" s="69">
        <f t="shared" si="14"/>
        <v>168.9655172413793</v>
      </c>
      <c r="AG7" s="56">
        <f t="shared" si="9"/>
        <v>4900.0000000000036</v>
      </c>
      <c r="AH7" s="67">
        <f t="shared" si="10"/>
        <v>158.06451612903237</v>
      </c>
      <c r="AI7" s="68">
        <f t="shared" si="11"/>
        <v>1.0984601382266383</v>
      </c>
      <c r="AJ7" s="14"/>
      <c r="AK7" s="14"/>
      <c r="AS7" s="14"/>
      <c r="AT7" s="14"/>
      <c r="AU7" s="14"/>
      <c r="AV7" s="14"/>
      <c r="AW7" s="14"/>
      <c r="AX7" s="14"/>
      <c r="AY7" s="14"/>
      <c r="AZ7" s="14"/>
      <c r="BA7" s="14"/>
      <c r="BB7" s="14"/>
      <c r="BC7" s="14"/>
      <c r="BD7" s="14"/>
      <c r="BE7" s="14"/>
      <c r="BF7" s="14"/>
      <c r="BG7" s="14"/>
    </row>
    <row r="8" spans="1:59" ht="15.75" customHeight="1" x14ac:dyDescent="0.2">
      <c r="A8" s="4" t="s">
        <v>167</v>
      </c>
      <c r="B8" s="69">
        <f t="shared" ref="B8:F8" si="15">$B$52/$B$59</f>
        <v>213.79310344827587</v>
      </c>
      <c r="C8" s="69">
        <f t="shared" si="15"/>
        <v>213.79310344827587</v>
      </c>
      <c r="D8" s="69">
        <f t="shared" si="15"/>
        <v>213.79310344827587</v>
      </c>
      <c r="E8" s="69">
        <f t="shared" si="15"/>
        <v>213.79310344827587</v>
      </c>
      <c r="F8" s="69">
        <f t="shared" si="15"/>
        <v>213.79310344827587</v>
      </c>
      <c r="G8" s="59">
        <v>0</v>
      </c>
      <c r="H8" s="69">
        <f t="shared" ref="H8:U8" si="16">$B$52/$B$59</f>
        <v>213.79310344827587</v>
      </c>
      <c r="I8" s="69">
        <f t="shared" si="16"/>
        <v>213.79310344827587</v>
      </c>
      <c r="J8" s="69">
        <f t="shared" si="16"/>
        <v>213.79310344827587</v>
      </c>
      <c r="K8" s="69">
        <f t="shared" si="16"/>
        <v>213.79310344827587</v>
      </c>
      <c r="L8" s="69">
        <f t="shared" si="16"/>
        <v>213.79310344827587</v>
      </c>
      <c r="M8" s="69">
        <f t="shared" si="16"/>
        <v>213.79310344827587</v>
      </c>
      <c r="N8" s="69">
        <f t="shared" si="16"/>
        <v>213.79310344827587</v>
      </c>
      <c r="O8" s="69">
        <f t="shared" si="16"/>
        <v>213.79310344827587</v>
      </c>
      <c r="P8" s="69">
        <f t="shared" si="16"/>
        <v>213.79310344827587</v>
      </c>
      <c r="Q8" s="69">
        <f t="shared" si="16"/>
        <v>213.79310344827587</v>
      </c>
      <c r="R8" s="69">
        <f t="shared" si="16"/>
        <v>213.79310344827587</v>
      </c>
      <c r="S8" s="69">
        <f t="shared" si="16"/>
        <v>213.79310344827587</v>
      </c>
      <c r="T8" s="69">
        <f t="shared" si="16"/>
        <v>213.79310344827587</v>
      </c>
      <c r="U8" s="69">
        <f t="shared" si="16"/>
        <v>213.79310344827587</v>
      </c>
      <c r="V8" s="66">
        <v>0</v>
      </c>
      <c r="W8" s="69">
        <f t="shared" ref="W8:AF8" si="17">$B$52/$B$59</f>
        <v>213.79310344827587</v>
      </c>
      <c r="X8" s="69">
        <f t="shared" si="17"/>
        <v>213.79310344827587</v>
      </c>
      <c r="Y8" s="69">
        <f t="shared" si="17"/>
        <v>213.79310344827587</v>
      </c>
      <c r="Z8" s="69">
        <f t="shared" si="17"/>
        <v>213.79310344827587</v>
      </c>
      <c r="AA8" s="69">
        <f t="shared" si="17"/>
        <v>213.79310344827587</v>
      </c>
      <c r="AB8" s="69">
        <f t="shared" si="17"/>
        <v>213.79310344827587</v>
      </c>
      <c r="AC8" s="69">
        <f t="shared" si="17"/>
        <v>213.79310344827587</v>
      </c>
      <c r="AD8" s="69">
        <f t="shared" si="17"/>
        <v>213.79310344827587</v>
      </c>
      <c r="AE8" s="69">
        <f t="shared" si="17"/>
        <v>213.79310344827587</v>
      </c>
      <c r="AF8" s="69">
        <f t="shared" si="17"/>
        <v>213.79310344827587</v>
      </c>
      <c r="AG8" s="56">
        <f t="shared" si="9"/>
        <v>6200.0000000000036</v>
      </c>
      <c r="AH8" s="67">
        <f t="shared" si="10"/>
        <v>200.00000000000011</v>
      </c>
      <c r="AI8" s="68">
        <f t="shared" si="11"/>
        <v>1.3898883381643179</v>
      </c>
      <c r="AJ8" s="14"/>
      <c r="AK8" s="14"/>
      <c r="AN8" s="74"/>
      <c r="AS8" s="14"/>
      <c r="AT8" s="14"/>
      <c r="AU8" s="14"/>
      <c r="AV8" s="14"/>
      <c r="AW8" s="14"/>
      <c r="AX8" s="14"/>
      <c r="AY8" s="14"/>
      <c r="AZ8" s="14"/>
      <c r="BA8" s="14"/>
      <c r="BB8" s="14"/>
      <c r="BC8" s="14"/>
      <c r="BD8" s="14"/>
      <c r="BE8" s="14"/>
      <c r="BF8" s="14"/>
      <c r="BG8" s="14"/>
    </row>
    <row r="9" spans="1:59"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1"/>
      <c r="AH9" s="71"/>
      <c r="AI9" s="72"/>
      <c r="AJ9" s="14"/>
      <c r="AK9" s="14"/>
      <c r="AN9" s="74"/>
      <c r="AS9" s="14"/>
      <c r="AT9" s="14"/>
      <c r="AU9" s="14"/>
      <c r="AV9" s="14"/>
      <c r="AW9" s="73"/>
      <c r="AX9" s="73"/>
      <c r="AY9" s="73"/>
      <c r="AZ9" s="73"/>
      <c r="BA9" s="73"/>
      <c r="BB9" s="73"/>
      <c r="BC9" s="73"/>
      <c r="BD9" s="73"/>
      <c r="BE9" s="73"/>
      <c r="BF9" s="73"/>
      <c r="BG9" s="73"/>
    </row>
    <row r="10" spans="1:59" ht="15.75" customHeight="1" x14ac:dyDescent="0.2">
      <c r="A10" s="4" t="s">
        <v>169</v>
      </c>
      <c r="B10" s="69">
        <f>40+10+40+30+40+220+80+50+50</f>
        <v>560</v>
      </c>
      <c r="C10" s="69">
        <f>90+30+50+550+40+40+60+50+20+50+30</f>
        <v>1010</v>
      </c>
      <c r="D10" s="69">
        <f>40+20+30+40+150+30+50+50</f>
        <v>410</v>
      </c>
      <c r="E10" s="69">
        <f>20+10+150+20+30+50</f>
        <v>280</v>
      </c>
      <c r="F10" s="69">
        <f>40+20+40+50+40+30+40+180+50+30</f>
        <v>520</v>
      </c>
      <c r="G10" s="69">
        <v>0</v>
      </c>
      <c r="H10" s="69">
        <f>40+10+20+40+40+40+500+60+125</f>
        <v>875</v>
      </c>
      <c r="I10" s="69">
        <f>40+20+20+150+60+20+40+50</f>
        <v>400</v>
      </c>
      <c r="J10" s="69">
        <f>20+20+30+110+40+40+50+50</f>
        <v>360</v>
      </c>
      <c r="K10" s="69">
        <f>40+150+20+40+50+20+50+50+30</f>
        <v>450</v>
      </c>
      <c r="L10" s="69">
        <f>50+10+40+30+50+40+220+20</f>
        <v>460</v>
      </c>
      <c r="M10" s="69">
        <f>40+40+50+50+50+40+50+40+10+50+40+100</f>
        <v>560</v>
      </c>
      <c r="N10" s="69">
        <f>20+20+270+40+20+110+40+20+120+60+40</f>
        <v>760</v>
      </c>
      <c r="O10" s="69">
        <f>130+40+50+25+25+50+40+50</f>
        <v>410</v>
      </c>
      <c r="P10" s="69">
        <f>60+30+40+50+60+50+230+40+10</f>
        <v>570</v>
      </c>
      <c r="Q10" s="69">
        <f>200+30+40+20+50+40+20+60</f>
        <v>460</v>
      </c>
      <c r="R10" s="69">
        <f>2280+50+70+20+100+40+40+50+20+40+40+40</f>
        <v>2790</v>
      </c>
      <c r="S10" s="69">
        <f>120+30+30+20+50+20+10+30</f>
        <v>310</v>
      </c>
      <c r="T10" s="69">
        <f>220+30+60+40+30+50+30+40+20+50+40</f>
        <v>610</v>
      </c>
      <c r="U10" s="69">
        <f>30+20+270+40+30+40+40+50</f>
        <v>520</v>
      </c>
      <c r="V10" s="69">
        <v>0</v>
      </c>
      <c r="W10" s="69">
        <f>200+30+20+40+50+20+40+80+40+40</f>
        <v>560</v>
      </c>
      <c r="X10" s="69">
        <f>30+20+50+130+40+40+50+40</f>
        <v>400</v>
      </c>
      <c r="Y10" s="69">
        <f>10+10+130+30+20+30+50+50+30</f>
        <v>360</v>
      </c>
      <c r="Z10" s="69">
        <f>40+10+30+20+30+40+45+20+130+10</f>
        <v>375</v>
      </c>
      <c r="AA10" s="69">
        <f>40+20+20+40+20+30+160+30+50+40</f>
        <v>450</v>
      </c>
      <c r="AB10" s="69">
        <f>10+10+440+50+50+30+30+40+50</f>
        <v>710</v>
      </c>
      <c r="AC10" s="69">
        <f>30+20+50+40+20+100+50+120</f>
        <v>430</v>
      </c>
      <c r="AD10" s="69">
        <f>10+10+50+40+30+120+40</f>
        <v>300</v>
      </c>
      <c r="AE10" s="69">
        <f>20+350+40+20+30+30+20+50+50</f>
        <v>610</v>
      </c>
      <c r="AF10" s="69">
        <f>30+10+200+50+30+40+30+40+40</f>
        <v>470</v>
      </c>
      <c r="AG10" s="56">
        <f t="shared" ref="AG10:AG18" si="18">SUM(B10:AD10)</f>
        <v>15900</v>
      </c>
      <c r="AH10" s="67">
        <f t="shared" ref="AH10:AH18" si="19">IFERROR(AVERAGE(B10:AD10),0)</f>
        <v>548.27586206896547</v>
      </c>
      <c r="AI10" s="68">
        <f t="shared" ref="AI10:AI18" si="20">(AH10/$AH$29)*100</f>
        <v>3.8102111339332132</v>
      </c>
      <c r="AJ10" s="14"/>
      <c r="AK10" s="14"/>
      <c r="AN10" s="74"/>
      <c r="AS10" s="14"/>
      <c r="AT10" s="14"/>
      <c r="AU10" s="14"/>
      <c r="AV10" s="14"/>
      <c r="AW10" s="14"/>
      <c r="AX10" s="14"/>
      <c r="AY10" s="14"/>
      <c r="AZ10" s="14"/>
      <c r="BA10" s="14"/>
      <c r="BB10" s="14"/>
      <c r="BC10" s="14"/>
      <c r="BD10" s="14"/>
      <c r="BE10" s="14"/>
      <c r="BF10" s="14"/>
      <c r="BG10" s="14"/>
    </row>
    <row r="11" spans="1:59" ht="15.75" customHeight="1" x14ac:dyDescent="0.2">
      <c r="A11" s="4" t="s">
        <v>170</v>
      </c>
      <c r="B11" s="69">
        <v>350</v>
      </c>
      <c r="C11" s="69">
        <v>200</v>
      </c>
      <c r="D11" s="69">
        <v>150</v>
      </c>
      <c r="E11" s="69">
        <v>100</v>
      </c>
      <c r="F11" s="69">
        <v>150</v>
      </c>
      <c r="G11" s="69">
        <v>0</v>
      </c>
      <c r="H11" s="69">
        <v>150</v>
      </c>
      <c r="I11" s="69">
        <v>150</v>
      </c>
      <c r="J11" s="69">
        <v>150</v>
      </c>
      <c r="K11" s="69">
        <v>150</v>
      </c>
      <c r="L11" s="69">
        <v>150</v>
      </c>
      <c r="M11" s="69">
        <v>100</v>
      </c>
      <c r="N11" s="69">
        <v>200</v>
      </c>
      <c r="O11" s="69">
        <v>150</v>
      </c>
      <c r="P11" s="69">
        <v>250</v>
      </c>
      <c r="Q11" s="69">
        <v>200</v>
      </c>
      <c r="R11" s="69">
        <v>200</v>
      </c>
      <c r="S11" s="69">
        <v>150</v>
      </c>
      <c r="T11" s="69">
        <v>150</v>
      </c>
      <c r="U11" s="69">
        <v>150</v>
      </c>
      <c r="V11" s="69">
        <v>0</v>
      </c>
      <c r="W11" s="69">
        <v>150</v>
      </c>
      <c r="X11" s="69">
        <v>100</v>
      </c>
      <c r="Y11" s="69">
        <v>150</v>
      </c>
      <c r="Z11" s="69">
        <v>150</v>
      </c>
      <c r="AA11" s="69">
        <v>200</v>
      </c>
      <c r="AB11" s="69">
        <v>150</v>
      </c>
      <c r="AC11" s="69">
        <v>100</v>
      </c>
      <c r="AD11" s="69">
        <v>150</v>
      </c>
      <c r="AE11" s="69">
        <v>150</v>
      </c>
      <c r="AF11" s="69">
        <v>100</v>
      </c>
      <c r="AG11" s="56">
        <f t="shared" si="18"/>
        <v>4400</v>
      </c>
      <c r="AH11" s="67">
        <f t="shared" si="19"/>
        <v>151.72413793103448</v>
      </c>
      <c r="AI11" s="68">
        <f t="shared" si="20"/>
        <v>1.0543980496418957</v>
      </c>
      <c r="AJ11" s="14"/>
      <c r="AK11" s="14"/>
      <c r="AN11" s="74"/>
      <c r="AS11" s="14"/>
      <c r="AT11" s="14"/>
      <c r="AU11" s="14"/>
      <c r="AV11" s="14"/>
      <c r="AW11" s="14"/>
      <c r="AX11" s="14"/>
      <c r="AY11" s="14"/>
      <c r="AZ11" s="14"/>
      <c r="BA11" s="14"/>
      <c r="BB11" s="14"/>
      <c r="BC11" s="14"/>
      <c r="BD11" s="14"/>
      <c r="BE11" s="14"/>
      <c r="BF11" s="14"/>
      <c r="BG11" s="14"/>
    </row>
    <row r="12" spans="1:59" ht="15.75" customHeight="1" x14ac:dyDescent="0.2">
      <c r="A12" s="4" t="s">
        <v>171</v>
      </c>
      <c r="B12" s="69">
        <v>130</v>
      </c>
      <c r="C12" s="69">
        <v>130</v>
      </c>
      <c r="D12" s="69">
        <v>130</v>
      </c>
      <c r="E12" s="69">
        <v>65</v>
      </c>
      <c r="F12" s="69">
        <v>130</v>
      </c>
      <c r="G12" s="69">
        <v>0</v>
      </c>
      <c r="H12" s="69">
        <v>130</v>
      </c>
      <c r="I12" s="69">
        <v>65</v>
      </c>
      <c r="J12" s="69">
        <v>65</v>
      </c>
      <c r="K12" s="69">
        <v>130</v>
      </c>
      <c r="L12" s="69">
        <v>130</v>
      </c>
      <c r="M12" s="69">
        <v>65</v>
      </c>
      <c r="N12" s="69">
        <v>130</v>
      </c>
      <c r="O12" s="69">
        <v>130</v>
      </c>
      <c r="P12" s="69">
        <v>130</v>
      </c>
      <c r="Q12" s="69">
        <v>65</v>
      </c>
      <c r="R12" s="69">
        <v>130</v>
      </c>
      <c r="S12" s="69">
        <v>130</v>
      </c>
      <c r="T12" s="69">
        <v>130</v>
      </c>
      <c r="U12" s="69">
        <v>165</v>
      </c>
      <c r="V12" s="69">
        <v>0</v>
      </c>
      <c r="W12" s="69">
        <v>130</v>
      </c>
      <c r="X12" s="69">
        <v>65</v>
      </c>
      <c r="Y12" s="69">
        <v>130</v>
      </c>
      <c r="Z12" s="69">
        <v>130</v>
      </c>
      <c r="AA12" s="69">
        <v>100</v>
      </c>
      <c r="AB12" s="69">
        <v>130</v>
      </c>
      <c r="AC12" s="69">
        <v>100</v>
      </c>
      <c r="AD12" s="69">
        <v>100</v>
      </c>
      <c r="AE12" s="69">
        <v>130</v>
      </c>
      <c r="AF12" s="69">
        <v>100</v>
      </c>
      <c r="AG12" s="56">
        <f t="shared" si="18"/>
        <v>3065</v>
      </c>
      <c r="AH12" s="67">
        <f t="shared" si="19"/>
        <v>105.68965517241379</v>
      </c>
      <c r="AI12" s="68">
        <f t="shared" si="20"/>
        <v>0.73448409594372954</v>
      </c>
      <c r="AJ12" s="14"/>
      <c r="AK12" s="14"/>
      <c r="AN12" s="74"/>
      <c r="AS12" s="14"/>
      <c r="AT12" s="14"/>
      <c r="AU12" s="14"/>
      <c r="AV12" s="14"/>
      <c r="AW12" s="14"/>
      <c r="AX12" s="14"/>
      <c r="AY12" s="14"/>
      <c r="AZ12" s="14"/>
      <c r="BA12" s="14"/>
      <c r="BB12" s="14"/>
      <c r="BC12" s="14"/>
      <c r="BD12" s="14"/>
      <c r="BE12" s="14"/>
      <c r="BF12" s="14"/>
      <c r="BG12" s="14"/>
    </row>
    <row r="13" spans="1:59" ht="15.75" customHeight="1" x14ac:dyDescent="0.2">
      <c r="A13" s="4" t="s">
        <v>172</v>
      </c>
      <c r="B13" s="69">
        <v>0</v>
      </c>
      <c r="C13" s="69">
        <v>350</v>
      </c>
      <c r="D13" s="69">
        <v>0</v>
      </c>
      <c r="E13" s="69">
        <v>0</v>
      </c>
      <c r="F13" s="69">
        <v>350</v>
      </c>
      <c r="G13" s="69">
        <v>0</v>
      </c>
      <c r="H13" s="69">
        <v>350</v>
      </c>
      <c r="I13" s="69">
        <v>0</v>
      </c>
      <c r="J13" s="69">
        <v>0</v>
      </c>
      <c r="K13" s="69">
        <v>370</v>
      </c>
      <c r="L13" s="69">
        <v>0</v>
      </c>
      <c r="M13" s="69">
        <v>370</v>
      </c>
      <c r="N13" s="69">
        <v>370</v>
      </c>
      <c r="O13" s="69">
        <v>370</v>
      </c>
      <c r="P13" s="69">
        <v>370</v>
      </c>
      <c r="Q13" s="69">
        <v>370</v>
      </c>
      <c r="R13" s="69">
        <v>370</v>
      </c>
      <c r="S13" s="69">
        <v>370</v>
      </c>
      <c r="T13" s="69">
        <v>0</v>
      </c>
      <c r="U13" s="69">
        <v>0</v>
      </c>
      <c r="V13" s="69">
        <v>0</v>
      </c>
      <c r="W13" s="69">
        <v>370</v>
      </c>
      <c r="X13" s="69">
        <v>0</v>
      </c>
      <c r="Y13" s="69">
        <v>0</v>
      </c>
      <c r="Z13" s="69">
        <v>370</v>
      </c>
      <c r="AA13" s="69">
        <v>370</v>
      </c>
      <c r="AB13" s="69">
        <v>0</v>
      </c>
      <c r="AC13" s="69">
        <v>0</v>
      </c>
      <c r="AD13" s="69">
        <v>0</v>
      </c>
      <c r="AE13" s="69">
        <v>0</v>
      </c>
      <c r="AF13" s="69">
        <v>370</v>
      </c>
      <c r="AG13" s="56">
        <f t="shared" si="18"/>
        <v>5120</v>
      </c>
      <c r="AH13" s="67">
        <f t="shared" si="19"/>
        <v>176.55172413793105</v>
      </c>
      <c r="AI13" s="68">
        <f t="shared" si="20"/>
        <v>1.2269359123105694</v>
      </c>
      <c r="AJ13" s="14"/>
      <c r="AK13" s="14"/>
      <c r="AN13" s="74"/>
      <c r="AS13" s="14"/>
      <c r="AT13" s="14"/>
      <c r="AU13" s="14"/>
      <c r="AV13" s="14"/>
      <c r="AW13" s="14"/>
      <c r="AX13" s="14"/>
      <c r="AY13" s="14"/>
      <c r="AZ13" s="14"/>
      <c r="BA13" s="14"/>
      <c r="BB13" s="14"/>
      <c r="BC13" s="14"/>
      <c r="BD13" s="14"/>
      <c r="BE13" s="14"/>
      <c r="BF13" s="14"/>
      <c r="BG13" s="14"/>
    </row>
    <row r="14" spans="1:59" ht="15.75" customHeight="1" x14ac:dyDescent="0.2">
      <c r="A14" s="4" t="s">
        <v>173</v>
      </c>
      <c r="B14" s="69">
        <v>0</v>
      </c>
      <c r="C14" s="69">
        <v>0</v>
      </c>
      <c r="D14" s="69">
        <v>0</v>
      </c>
      <c r="E14" s="69">
        <v>0</v>
      </c>
      <c r="F14" s="69">
        <v>160</v>
      </c>
      <c r="G14" s="69">
        <v>0</v>
      </c>
      <c r="H14" s="69">
        <v>80</v>
      </c>
      <c r="I14" s="69">
        <v>0</v>
      </c>
      <c r="J14" s="69">
        <v>0</v>
      </c>
      <c r="K14" s="69">
        <v>80</v>
      </c>
      <c r="L14" s="69">
        <v>170</v>
      </c>
      <c r="M14" s="69">
        <v>0</v>
      </c>
      <c r="N14" s="69">
        <v>200</v>
      </c>
      <c r="O14" s="69">
        <v>200</v>
      </c>
      <c r="P14" s="69">
        <v>120</v>
      </c>
      <c r="Q14" s="69">
        <v>0</v>
      </c>
      <c r="R14" s="69">
        <v>80</v>
      </c>
      <c r="S14" s="69">
        <v>190</v>
      </c>
      <c r="T14" s="69">
        <v>199</v>
      </c>
      <c r="U14" s="69">
        <v>40</v>
      </c>
      <c r="V14" s="69">
        <v>0</v>
      </c>
      <c r="W14" s="69">
        <v>160</v>
      </c>
      <c r="X14" s="69">
        <v>0</v>
      </c>
      <c r="Y14" s="69">
        <v>0</v>
      </c>
      <c r="Z14" s="69">
        <v>0</v>
      </c>
      <c r="AA14" s="69">
        <v>135</v>
      </c>
      <c r="AB14" s="69">
        <v>80</v>
      </c>
      <c r="AC14" s="69">
        <v>0</v>
      </c>
      <c r="AD14" s="69">
        <v>0</v>
      </c>
      <c r="AE14" s="69">
        <v>0</v>
      </c>
      <c r="AF14" s="69">
        <v>0</v>
      </c>
      <c r="AG14" s="56">
        <f t="shared" si="18"/>
        <v>1894</v>
      </c>
      <c r="AH14" s="67">
        <f t="shared" si="19"/>
        <v>65.310344827586206</v>
      </c>
      <c r="AI14" s="68">
        <f t="shared" si="20"/>
        <v>0.45387043318676146</v>
      </c>
      <c r="AJ14" s="14"/>
      <c r="AK14" s="14"/>
      <c r="AS14" s="14"/>
      <c r="AT14" s="14"/>
      <c r="AU14" s="14"/>
      <c r="AV14" s="14"/>
      <c r="AW14" s="14"/>
      <c r="AX14" s="14"/>
      <c r="AY14" s="14"/>
      <c r="AZ14" s="14"/>
      <c r="BA14" s="14"/>
      <c r="BB14" s="14"/>
      <c r="BC14" s="14"/>
      <c r="BD14" s="14"/>
      <c r="BE14" s="14"/>
      <c r="BF14" s="14"/>
      <c r="BG14" s="14"/>
    </row>
    <row r="15" spans="1:59" ht="15.75" customHeight="1" x14ac:dyDescent="0.2">
      <c r="A15" s="4" t="s">
        <v>174</v>
      </c>
      <c r="B15" s="69">
        <v>0</v>
      </c>
      <c r="C15" s="69">
        <v>175</v>
      </c>
      <c r="D15" s="69">
        <v>0</v>
      </c>
      <c r="E15" s="69">
        <v>0</v>
      </c>
      <c r="F15" s="69">
        <v>0</v>
      </c>
      <c r="G15" s="69">
        <v>0</v>
      </c>
      <c r="H15" s="69">
        <v>0</v>
      </c>
      <c r="I15" s="69">
        <v>0</v>
      </c>
      <c r="J15" s="69">
        <v>0</v>
      </c>
      <c r="K15" s="69">
        <v>0</v>
      </c>
      <c r="L15" s="69">
        <v>70</v>
      </c>
      <c r="M15" s="69">
        <v>0</v>
      </c>
      <c r="N15" s="69">
        <v>0</v>
      </c>
      <c r="O15" s="69">
        <v>70</v>
      </c>
      <c r="P15" s="69">
        <v>0</v>
      </c>
      <c r="Q15" s="69">
        <v>0</v>
      </c>
      <c r="R15" s="69">
        <v>70</v>
      </c>
      <c r="S15" s="69">
        <v>105</v>
      </c>
      <c r="T15" s="69">
        <v>0</v>
      </c>
      <c r="U15" s="69">
        <v>0</v>
      </c>
      <c r="V15" s="69">
        <v>0</v>
      </c>
      <c r="W15" s="69">
        <v>105</v>
      </c>
      <c r="X15" s="69">
        <v>0</v>
      </c>
      <c r="Y15" s="69">
        <v>0</v>
      </c>
      <c r="Z15" s="69">
        <v>0</v>
      </c>
      <c r="AA15" s="69">
        <v>35</v>
      </c>
      <c r="AB15" s="69">
        <v>0</v>
      </c>
      <c r="AC15" s="69">
        <v>0</v>
      </c>
      <c r="AD15" s="69">
        <v>70</v>
      </c>
      <c r="AE15" s="69">
        <v>0</v>
      </c>
      <c r="AF15" s="69">
        <v>35</v>
      </c>
      <c r="AG15" s="56">
        <f t="shared" si="18"/>
        <v>700</v>
      </c>
      <c r="AH15" s="67">
        <f t="shared" si="19"/>
        <v>24.137931034482758</v>
      </c>
      <c r="AI15" s="68">
        <f t="shared" si="20"/>
        <v>0.16774514426121068</v>
      </c>
      <c r="AJ15" s="14"/>
      <c r="AK15" s="14"/>
      <c r="AS15" s="14"/>
      <c r="AT15" s="14"/>
      <c r="AU15" s="14"/>
      <c r="AV15" s="14"/>
      <c r="AW15" s="14"/>
      <c r="AX15" s="14"/>
      <c r="AY15" s="14"/>
      <c r="AZ15" s="14"/>
      <c r="BA15" s="14"/>
      <c r="BB15" s="14"/>
      <c r="BC15" s="14"/>
      <c r="BD15" s="14"/>
      <c r="BE15" s="14"/>
      <c r="BF15" s="14"/>
      <c r="BG15" s="14"/>
    </row>
    <row r="16" spans="1:59" ht="15.75" customHeight="1" x14ac:dyDescent="0.2">
      <c r="A16" s="4" t="s">
        <v>175</v>
      </c>
      <c r="B16" s="69">
        <v>400</v>
      </c>
      <c r="C16" s="69">
        <v>200</v>
      </c>
      <c r="D16" s="69">
        <v>0</v>
      </c>
      <c r="E16" s="69">
        <v>0</v>
      </c>
      <c r="F16" s="69">
        <v>200</v>
      </c>
      <c r="G16" s="69">
        <v>0</v>
      </c>
      <c r="H16" s="69">
        <v>200</v>
      </c>
      <c r="I16" s="69">
        <v>200</v>
      </c>
      <c r="J16" s="69">
        <v>0</v>
      </c>
      <c r="K16" s="69">
        <v>200</v>
      </c>
      <c r="L16" s="69">
        <v>200</v>
      </c>
      <c r="M16" s="69">
        <v>200</v>
      </c>
      <c r="N16" s="69">
        <v>0</v>
      </c>
      <c r="O16" s="69">
        <v>180</v>
      </c>
      <c r="P16" s="69">
        <v>180</v>
      </c>
      <c r="Q16" s="69">
        <v>180</v>
      </c>
      <c r="R16" s="69">
        <v>0</v>
      </c>
      <c r="S16" s="69">
        <v>0</v>
      </c>
      <c r="T16" s="69">
        <v>180</v>
      </c>
      <c r="U16" s="69">
        <v>180</v>
      </c>
      <c r="V16" s="69">
        <v>0</v>
      </c>
      <c r="W16" s="69">
        <v>0</v>
      </c>
      <c r="X16" s="69">
        <v>180</v>
      </c>
      <c r="Y16" s="69">
        <v>180</v>
      </c>
      <c r="Z16" s="69">
        <v>0</v>
      </c>
      <c r="AA16" s="69">
        <v>180</v>
      </c>
      <c r="AB16" s="69">
        <v>170</v>
      </c>
      <c r="AC16" s="69">
        <v>0</v>
      </c>
      <c r="AD16" s="69">
        <v>170</v>
      </c>
      <c r="AE16" s="69">
        <v>0</v>
      </c>
      <c r="AF16" s="69">
        <v>170</v>
      </c>
      <c r="AG16" s="56">
        <f t="shared" si="18"/>
        <v>3580</v>
      </c>
      <c r="AH16" s="67">
        <f t="shared" si="19"/>
        <v>123.44827586206897</v>
      </c>
      <c r="AI16" s="68">
        <f t="shared" si="20"/>
        <v>0.85789659493590598</v>
      </c>
      <c r="AJ16" s="14"/>
      <c r="AK16" s="14"/>
      <c r="AS16" s="14"/>
      <c r="AT16" s="14"/>
      <c r="AU16" s="14"/>
      <c r="AV16" s="14"/>
      <c r="AW16" s="14"/>
      <c r="AX16" s="14"/>
      <c r="AY16" s="14"/>
      <c r="AZ16" s="14"/>
      <c r="BA16" s="14"/>
      <c r="BB16" s="14"/>
      <c r="BC16" s="14"/>
      <c r="BD16" s="14"/>
      <c r="BE16" s="14"/>
      <c r="BF16" s="14"/>
      <c r="BG16" s="14"/>
    </row>
    <row r="17" spans="1:59" ht="15.75" customHeight="1" x14ac:dyDescent="0.2">
      <c r="A17" s="4" t="s">
        <v>176</v>
      </c>
      <c r="B17" s="69">
        <f>45+80</f>
        <v>125</v>
      </c>
      <c r="C17" s="69">
        <f>200+98</f>
        <v>298</v>
      </c>
      <c r="D17" s="69">
        <v>0</v>
      </c>
      <c r="E17" s="69">
        <v>0</v>
      </c>
      <c r="F17" s="69">
        <f>1000+150</f>
        <v>1150</v>
      </c>
      <c r="G17" s="69">
        <v>0</v>
      </c>
      <c r="H17" s="69">
        <v>0</v>
      </c>
      <c r="I17" s="69">
        <f>100+65</f>
        <v>165</v>
      </c>
      <c r="J17" s="69">
        <v>89</v>
      </c>
      <c r="K17" s="69">
        <v>200</v>
      </c>
      <c r="L17" s="69">
        <v>0</v>
      </c>
      <c r="M17" s="69">
        <f>500+89</f>
        <v>589</v>
      </c>
      <c r="N17" s="69">
        <v>0</v>
      </c>
      <c r="O17" s="69">
        <v>89</v>
      </c>
      <c r="P17" s="69">
        <f>200+35</f>
        <v>235</v>
      </c>
      <c r="Q17" s="69">
        <f>100+75+700</f>
        <v>875</v>
      </c>
      <c r="R17" s="69">
        <v>294</v>
      </c>
      <c r="S17" s="69">
        <v>200</v>
      </c>
      <c r="T17" s="69">
        <v>0</v>
      </c>
      <c r="U17" s="69">
        <f>89+340</f>
        <v>429</v>
      </c>
      <c r="V17" s="69">
        <v>0</v>
      </c>
      <c r="W17" s="69">
        <f>130+130</f>
        <v>260</v>
      </c>
      <c r="X17" s="69">
        <v>0</v>
      </c>
      <c r="Y17" s="69">
        <v>200</v>
      </c>
      <c r="Z17" s="69">
        <v>78</v>
      </c>
      <c r="AA17" s="69">
        <v>0</v>
      </c>
      <c r="AB17" s="69">
        <v>0</v>
      </c>
      <c r="AC17" s="69">
        <f>89+75</f>
        <v>164</v>
      </c>
      <c r="AD17" s="69">
        <v>200</v>
      </c>
      <c r="AE17" s="69">
        <v>100</v>
      </c>
      <c r="AF17" s="69">
        <v>35</v>
      </c>
      <c r="AG17" s="56">
        <f t="shared" si="18"/>
        <v>5640</v>
      </c>
      <c r="AH17" s="67">
        <f t="shared" si="19"/>
        <v>194.48275862068965</v>
      </c>
      <c r="AI17" s="68">
        <f t="shared" si="20"/>
        <v>1.3515465909046116</v>
      </c>
      <c r="AJ17" s="14"/>
      <c r="AK17" s="14"/>
      <c r="AS17" s="14"/>
      <c r="AT17" s="14"/>
      <c r="AU17" s="14"/>
      <c r="AV17" s="14"/>
      <c r="AW17" s="75"/>
      <c r="AX17" s="14"/>
      <c r="AY17" s="14"/>
      <c r="AZ17" s="14"/>
      <c r="BA17" s="14"/>
      <c r="BB17" s="14"/>
      <c r="BC17" s="14"/>
      <c r="BD17" s="14"/>
      <c r="BE17" s="14"/>
      <c r="BF17" s="14"/>
      <c r="BG17" s="14"/>
    </row>
    <row r="18" spans="1:59" ht="15.75" customHeight="1" x14ac:dyDescent="0.2">
      <c r="A18" s="4" t="s">
        <v>177</v>
      </c>
      <c r="B18" s="69">
        <v>0</v>
      </c>
      <c r="C18" s="69">
        <v>190</v>
      </c>
      <c r="D18" s="69">
        <v>0</v>
      </c>
      <c r="E18" s="69">
        <v>0</v>
      </c>
      <c r="F18" s="69">
        <v>360</v>
      </c>
      <c r="G18" s="69">
        <v>0</v>
      </c>
      <c r="H18" s="69">
        <v>0</v>
      </c>
      <c r="I18" s="69">
        <v>0</v>
      </c>
      <c r="J18" s="69">
        <v>180</v>
      </c>
      <c r="K18" s="69">
        <v>180</v>
      </c>
      <c r="L18" s="69">
        <v>0</v>
      </c>
      <c r="M18" s="69">
        <v>0</v>
      </c>
      <c r="N18" s="69">
        <f>190+600</f>
        <v>790</v>
      </c>
      <c r="O18" s="69">
        <v>180</v>
      </c>
      <c r="P18" s="69">
        <v>0</v>
      </c>
      <c r="Q18" s="69">
        <v>190</v>
      </c>
      <c r="R18" s="69">
        <v>0</v>
      </c>
      <c r="S18" s="69">
        <v>240</v>
      </c>
      <c r="T18" s="69">
        <v>0</v>
      </c>
      <c r="U18" s="69">
        <v>160</v>
      </c>
      <c r="V18" s="69">
        <v>0</v>
      </c>
      <c r="W18" s="69">
        <v>0</v>
      </c>
      <c r="X18" s="69">
        <v>160</v>
      </c>
      <c r="Y18" s="69">
        <v>160</v>
      </c>
      <c r="Z18" s="69">
        <v>0</v>
      </c>
      <c r="AA18" s="69">
        <v>150</v>
      </c>
      <c r="AB18" s="69">
        <v>0</v>
      </c>
      <c r="AC18" s="69">
        <f>150+440</f>
        <v>590</v>
      </c>
      <c r="AD18" s="69">
        <v>0</v>
      </c>
      <c r="AE18" s="69">
        <v>200</v>
      </c>
      <c r="AF18" s="69">
        <v>0</v>
      </c>
      <c r="AG18" s="56">
        <f t="shared" si="18"/>
        <v>3530</v>
      </c>
      <c r="AH18" s="67">
        <f t="shared" si="19"/>
        <v>121.72413793103448</v>
      </c>
      <c r="AI18" s="68">
        <f t="shared" si="20"/>
        <v>0.84591479891724797</v>
      </c>
      <c r="AJ18" s="14"/>
      <c r="AK18" s="14"/>
      <c r="AS18" s="14"/>
      <c r="AT18" s="14"/>
      <c r="AU18" s="14"/>
      <c r="AV18" s="14"/>
      <c r="AW18" s="75"/>
      <c r="AX18" s="14"/>
      <c r="AY18" s="14"/>
      <c r="AZ18" s="14"/>
      <c r="BA18" s="14"/>
      <c r="BB18" s="14"/>
      <c r="BC18" s="14"/>
      <c r="BD18" s="14"/>
      <c r="BE18" s="14"/>
      <c r="BF18" s="14"/>
      <c r="BG18" s="14"/>
    </row>
    <row r="19" spans="1:59"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1"/>
      <c r="AH19" s="71"/>
      <c r="AI19" s="72"/>
      <c r="AJ19" s="14"/>
      <c r="AK19" s="14"/>
      <c r="AS19" s="14"/>
      <c r="AT19" s="14"/>
      <c r="AU19" s="14"/>
      <c r="AV19" s="14"/>
      <c r="AW19" s="75"/>
      <c r="AX19" s="73"/>
      <c r="AY19" s="73"/>
      <c r="AZ19" s="73"/>
      <c r="BA19" s="73"/>
      <c r="BB19" s="73"/>
      <c r="BC19" s="73"/>
      <c r="BD19" s="73"/>
      <c r="BE19" s="73"/>
      <c r="BF19" s="73"/>
      <c r="BG19" s="73"/>
    </row>
    <row r="20" spans="1:59" ht="15.75" customHeight="1" x14ac:dyDescent="0.2">
      <c r="A20" s="4" t="s">
        <v>179</v>
      </c>
      <c r="B20" s="69">
        <f t="shared" ref="B20:F20" si="21">$B$53/$B$59</f>
        <v>965.51724137931035</v>
      </c>
      <c r="C20" s="69">
        <f t="shared" si="21"/>
        <v>965.51724137931035</v>
      </c>
      <c r="D20" s="69">
        <f t="shared" si="21"/>
        <v>965.51724137931035</v>
      </c>
      <c r="E20" s="69">
        <f t="shared" si="21"/>
        <v>965.51724137931035</v>
      </c>
      <c r="F20" s="69">
        <f t="shared" si="21"/>
        <v>965.51724137931035</v>
      </c>
      <c r="G20" s="59">
        <v>0</v>
      </c>
      <c r="H20" s="69">
        <f t="shared" ref="H20:U20" si="22">$B$53/$B$59</f>
        <v>965.51724137931035</v>
      </c>
      <c r="I20" s="69">
        <f t="shared" si="22"/>
        <v>965.51724137931035</v>
      </c>
      <c r="J20" s="69">
        <f t="shared" si="22"/>
        <v>965.51724137931035</v>
      </c>
      <c r="K20" s="69">
        <f t="shared" si="22"/>
        <v>965.51724137931035</v>
      </c>
      <c r="L20" s="69">
        <f t="shared" si="22"/>
        <v>965.51724137931035</v>
      </c>
      <c r="M20" s="69">
        <f t="shared" si="22"/>
        <v>965.51724137931035</v>
      </c>
      <c r="N20" s="69">
        <f t="shared" si="22"/>
        <v>965.51724137931035</v>
      </c>
      <c r="O20" s="69">
        <f t="shared" si="22"/>
        <v>965.51724137931035</v>
      </c>
      <c r="P20" s="69">
        <f t="shared" si="22"/>
        <v>965.51724137931035</v>
      </c>
      <c r="Q20" s="69">
        <f t="shared" si="22"/>
        <v>965.51724137931035</v>
      </c>
      <c r="R20" s="69">
        <f t="shared" si="22"/>
        <v>965.51724137931035</v>
      </c>
      <c r="S20" s="69">
        <f t="shared" si="22"/>
        <v>965.51724137931035</v>
      </c>
      <c r="T20" s="69">
        <f t="shared" si="22"/>
        <v>965.51724137931035</v>
      </c>
      <c r="U20" s="69">
        <f t="shared" si="22"/>
        <v>965.51724137931035</v>
      </c>
      <c r="V20" s="66">
        <v>0</v>
      </c>
      <c r="W20" s="69">
        <f t="shared" ref="W20:AF20" si="23">$B$53/$B$59</f>
        <v>965.51724137931035</v>
      </c>
      <c r="X20" s="69">
        <f t="shared" si="23"/>
        <v>965.51724137931035</v>
      </c>
      <c r="Y20" s="69">
        <f t="shared" si="23"/>
        <v>965.51724137931035</v>
      </c>
      <c r="Z20" s="69">
        <f t="shared" si="23"/>
        <v>965.51724137931035</v>
      </c>
      <c r="AA20" s="69">
        <f t="shared" si="23"/>
        <v>965.51724137931035</v>
      </c>
      <c r="AB20" s="69">
        <f t="shared" si="23"/>
        <v>965.51724137931035</v>
      </c>
      <c r="AC20" s="69">
        <f t="shared" si="23"/>
        <v>965.51724137931035</v>
      </c>
      <c r="AD20" s="69">
        <f t="shared" si="23"/>
        <v>965.51724137931035</v>
      </c>
      <c r="AE20" s="69">
        <f t="shared" si="23"/>
        <v>965.51724137931035</v>
      </c>
      <c r="AF20" s="69">
        <f t="shared" si="23"/>
        <v>965.51724137931035</v>
      </c>
      <c r="AG20" s="56">
        <f t="shared" ref="AG20:AG22" si="24">SUM(B20:AF20)</f>
        <v>28000.000000000011</v>
      </c>
      <c r="AH20" s="67">
        <f t="shared" ref="AH20:AH22" si="25">IFERROR(AVERAGE(B20:AF20),0)</f>
        <v>903.22580645161327</v>
      </c>
      <c r="AI20" s="68">
        <f t="shared" ref="AI20:AI22" si="26">(AH20/$AH$29)*100</f>
        <v>6.2769150755807885</v>
      </c>
      <c r="AJ20" s="14"/>
      <c r="AK20" s="14"/>
      <c r="AS20" s="14"/>
      <c r="AT20" s="14"/>
      <c r="AU20" s="14"/>
      <c r="AV20" s="14"/>
      <c r="AW20" s="75"/>
      <c r="AX20" s="14"/>
      <c r="AY20" s="14"/>
      <c r="AZ20" s="14"/>
      <c r="BA20" s="14"/>
      <c r="BB20" s="14"/>
      <c r="BC20" s="14"/>
      <c r="BD20" s="14"/>
      <c r="BE20" s="14"/>
      <c r="BF20" s="14"/>
      <c r="BG20" s="14"/>
    </row>
    <row r="21" spans="1:59" ht="15.75" customHeight="1" x14ac:dyDescent="0.2">
      <c r="A21" s="4" t="s">
        <v>180</v>
      </c>
      <c r="B21" s="69">
        <f t="shared" ref="B21:F21" si="27">$B$54/$B$59</f>
        <v>172.41379310344828</v>
      </c>
      <c r="C21" s="69">
        <f t="shared" si="27"/>
        <v>172.41379310344828</v>
      </c>
      <c r="D21" s="69">
        <f t="shared" si="27"/>
        <v>172.41379310344828</v>
      </c>
      <c r="E21" s="69">
        <f t="shared" si="27"/>
        <v>172.41379310344828</v>
      </c>
      <c r="F21" s="69">
        <f t="shared" si="27"/>
        <v>172.41379310344828</v>
      </c>
      <c r="G21" s="59">
        <v>0</v>
      </c>
      <c r="H21" s="69">
        <f t="shared" ref="H21:U21" si="28">$B$54/$B$59</f>
        <v>172.41379310344828</v>
      </c>
      <c r="I21" s="69">
        <f t="shared" si="28"/>
        <v>172.41379310344828</v>
      </c>
      <c r="J21" s="69">
        <f t="shared" si="28"/>
        <v>172.41379310344828</v>
      </c>
      <c r="K21" s="69">
        <f t="shared" si="28"/>
        <v>172.41379310344828</v>
      </c>
      <c r="L21" s="69">
        <f t="shared" si="28"/>
        <v>172.41379310344828</v>
      </c>
      <c r="M21" s="69">
        <f t="shared" si="28"/>
        <v>172.41379310344828</v>
      </c>
      <c r="N21" s="69">
        <f t="shared" si="28"/>
        <v>172.41379310344828</v>
      </c>
      <c r="O21" s="69">
        <f t="shared" si="28"/>
        <v>172.41379310344828</v>
      </c>
      <c r="P21" s="69">
        <f t="shared" si="28"/>
        <v>172.41379310344828</v>
      </c>
      <c r="Q21" s="69">
        <f t="shared" si="28"/>
        <v>172.41379310344828</v>
      </c>
      <c r="R21" s="69">
        <f t="shared" si="28"/>
        <v>172.41379310344828</v>
      </c>
      <c r="S21" s="69">
        <f t="shared" si="28"/>
        <v>172.41379310344828</v>
      </c>
      <c r="T21" s="69">
        <f t="shared" si="28"/>
        <v>172.41379310344828</v>
      </c>
      <c r="U21" s="69">
        <f t="shared" si="28"/>
        <v>172.41379310344828</v>
      </c>
      <c r="V21" s="66">
        <v>0</v>
      </c>
      <c r="W21" s="69">
        <f t="shared" ref="W21:AF21" si="29">$B$54/$B$59</f>
        <v>172.41379310344828</v>
      </c>
      <c r="X21" s="69">
        <f t="shared" si="29"/>
        <v>172.41379310344828</v>
      </c>
      <c r="Y21" s="69">
        <f t="shared" si="29"/>
        <v>172.41379310344828</v>
      </c>
      <c r="Z21" s="69">
        <f t="shared" si="29"/>
        <v>172.41379310344828</v>
      </c>
      <c r="AA21" s="69">
        <f t="shared" si="29"/>
        <v>172.41379310344828</v>
      </c>
      <c r="AB21" s="69">
        <f t="shared" si="29"/>
        <v>172.41379310344828</v>
      </c>
      <c r="AC21" s="69">
        <f t="shared" si="29"/>
        <v>172.41379310344828</v>
      </c>
      <c r="AD21" s="69">
        <f t="shared" si="29"/>
        <v>172.41379310344828</v>
      </c>
      <c r="AE21" s="69">
        <f t="shared" si="29"/>
        <v>172.41379310344828</v>
      </c>
      <c r="AF21" s="69">
        <f t="shared" si="29"/>
        <v>172.41379310344828</v>
      </c>
      <c r="AG21" s="56">
        <f t="shared" si="24"/>
        <v>5000.0000000000018</v>
      </c>
      <c r="AH21" s="67">
        <f t="shared" si="25"/>
        <v>161.29032258064521</v>
      </c>
      <c r="AI21" s="68">
        <f t="shared" si="26"/>
        <v>1.1208776920679979</v>
      </c>
      <c r="AJ21" s="14"/>
      <c r="AK21" s="14"/>
      <c r="AS21" s="14"/>
      <c r="AT21" s="14"/>
      <c r="AU21" s="14"/>
      <c r="AV21" s="14"/>
      <c r="AW21" s="75"/>
      <c r="AX21" s="14"/>
      <c r="AY21" s="14"/>
      <c r="AZ21" s="14"/>
      <c r="BA21" s="14"/>
      <c r="BB21" s="14"/>
      <c r="BC21" s="14"/>
      <c r="BD21" s="14"/>
      <c r="BE21" s="14"/>
      <c r="BF21" s="14"/>
      <c r="BG21" s="14"/>
    </row>
    <row r="22" spans="1:59" ht="15.75" customHeight="1" x14ac:dyDescent="0.2">
      <c r="A22" s="4" t="s">
        <v>181</v>
      </c>
      <c r="B22" s="69">
        <f t="shared" ref="B22:F22" si="30">$B$55/$B$59</f>
        <v>137.93103448275863</v>
      </c>
      <c r="C22" s="69">
        <f t="shared" si="30"/>
        <v>137.93103448275863</v>
      </c>
      <c r="D22" s="69">
        <f t="shared" si="30"/>
        <v>137.93103448275863</v>
      </c>
      <c r="E22" s="69">
        <f t="shared" si="30"/>
        <v>137.93103448275863</v>
      </c>
      <c r="F22" s="69">
        <f t="shared" si="30"/>
        <v>137.93103448275863</v>
      </c>
      <c r="G22" s="59">
        <v>0</v>
      </c>
      <c r="H22" s="69">
        <f t="shared" ref="H22:U22" si="31">$B$55/$B$59</f>
        <v>137.93103448275863</v>
      </c>
      <c r="I22" s="69">
        <f t="shared" si="31"/>
        <v>137.93103448275863</v>
      </c>
      <c r="J22" s="69">
        <f t="shared" si="31"/>
        <v>137.93103448275863</v>
      </c>
      <c r="K22" s="69">
        <f t="shared" si="31"/>
        <v>137.93103448275863</v>
      </c>
      <c r="L22" s="69">
        <f t="shared" si="31"/>
        <v>137.93103448275863</v>
      </c>
      <c r="M22" s="69">
        <f t="shared" si="31"/>
        <v>137.93103448275863</v>
      </c>
      <c r="N22" s="69">
        <f t="shared" si="31"/>
        <v>137.93103448275863</v>
      </c>
      <c r="O22" s="69">
        <f t="shared" si="31"/>
        <v>137.93103448275863</v>
      </c>
      <c r="P22" s="69">
        <f t="shared" si="31"/>
        <v>137.93103448275863</v>
      </c>
      <c r="Q22" s="69">
        <f t="shared" si="31"/>
        <v>137.93103448275863</v>
      </c>
      <c r="R22" s="69">
        <f t="shared" si="31"/>
        <v>137.93103448275863</v>
      </c>
      <c r="S22" s="69">
        <f t="shared" si="31"/>
        <v>137.93103448275863</v>
      </c>
      <c r="T22" s="69">
        <f t="shared" si="31"/>
        <v>137.93103448275863</v>
      </c>
      <c r="U22" s="69">
        <f t="shared" si="31"/>
        <v>137.93103448275863</v>
      </c>
      <c r="V22" s="66">
        <v>0</v>
      </c>
      <c r="W22" s="69">
        <f t="shared" ref="W22:AF22" si="32">$B$55/$B$59</f>
        <v>137.93103448275863</v>
      </c>
      <c r="X22" s="69">
        <f t="shared" si="32"/>
        <v>137.93103448275863</v>
      </c>
      <c r="Y22" s="69">
        <f t="shared" si="32"/>
        <v>137.93103448275863</v>
      </c>
      <c r="Z22" s="69">
        <f t="shared" si="32"/>
        <v>137.93103448275863</v>
      </c>
      <c r="AA22" s="69">
        <f t="shared" si="32"/>
        <v>137.93103448275863</v>
      </c>
      <c r="AB22" s="69">
        <f t="shared" si="32"/>
        <v>137.93103448275863</v>
      </c>
      <c r="AC22" s="69">
        <f t="shared" si="32"/>
        <v>137.93103448275863</v>
      </c>
      <c r="AD22" s="69">
        <f t="shared" si="32"/>
        <v>137.93103448275863</v>
      </c>
      <c r="AE22" s="69">
        <f t="shared" si="32"/>
        <v>137.93103448275863</v>
      </c>
      <c r="AF22" s="69">
        <f t="shared" si="32"/>
        <v>137.93103448275863</v>
      </c>
      <c r="AG22" s="56">
        <f t="shared" si="24"/>
        <v>4000</v>
      </c>
      <c r="AH22" s="67">
        <f t="shared" si="25"/>
        <v>129.03225806451613</v>
      </c>
      <c r="AI22" s="68">
        <f t="shared" si="26"/>
        <v>0.89670215365439798</v>
      </c>
      <c r="AJ22" s="14"/>
      <c r="AK22" s="14"/>
      <c r="AS22" s="14"/>
      <c r="AT22" s="14"/>
      <c r="AU22" s="14"/>
      <c r="AV22" s="14"/>
      <c r="AW22" s="75"/>
      <c r="AX22" s="14"/>
      <c r="AY22" s="14"/>
      <c r="AZ22" s="14"/>
      <c r="BA22" s="14"/>
      <c r="BB22" s="14"/>
      <c r="BC22" s="14"/>
      <c r="BD22" s="14"/>
      <c r="BE22" s="14"/>
      <c r="BF22" s="14"/>
      <c r="BG22" s="14"/>
    </row>
    <row r="23" spans="1:59"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1"/>
      <c r="AH23" s="71"/>
      <c r="AI23" s="72"/>
      <c r="AJ23" s="14"/>
      <c r="AK23" s="14"/>
      <c r="AS23" s="14"/>
      <c r="AT23" s="14"/>
      <c r="AU23" s="14"/>
      <c r="AV23" s="14"/>
      <c r="AW23" s="75"/>
      <c r="AX23" s="73"/>
      <c r="AY23" s="73"/>
      <c r="AZ23" s="73"/>
      <c r="BA23" s="73"/>
      <c r="BB23" s="73"/>
      <c r="BC23" s="73"/>
      <c r="BD23" s="73"/>
      <c r="BE23" s="73"/>
      <c r="BF23" s="73"/>
      <c r="BG23" s="73"/>
    </row>
    <row r="24" spans="1:59" ht="15.75" customHeight="1" x14ac:dyDescent="0.2">
      <c r="A24" s="4" t="s">
        <v>183</v>
      </c>
      <c r="B24" s="69">
        <v>0</v>
      </c>
      <c r="C24" s="69">
        <v>0</v>
      </c>
      <c r="D24" s="69">
        <v>0</v>
      </c>
      <c r="E24" s="69">
        <v>0</v>
      </c>
      <c r="F24" s="69">
        <v>0</v>
      </c>
      <c r="G24" s="69">
        <v>0</v>
      </c>
      <c r="H24" s="69">
        <v>400</v>
      </c>
      <c r="I24" s="69">
        <v>0</v>
      </c>
      <c r="J24" s="69">
        <v>0</v>
      </c>
      <c r="K24" s="69">
        <v>0</v>
      </c>
      <c r="L24" s="69">
        <v>0</v>
      </c>
      <c r="M24" s="69">
        <v>0</v>
      </c>
      <c r="N24" s="69">
        <v>0</v>
      </c>
      <c r="O24" s="69">
        <v>0</v>
      </c>
      <c r="P24" s="69">
        <v>100</v>
      </c>
      <c r="Q24" s="69">
        <v>0</v>
      </c>
      <c r="R24" s="69">
        <v>0</v>
      </c>
      <c r="S24" s="69">
        <v>0</v>
      </c>
      <c r="T24" s="69">
        <v>0</v>
      </c>
      <c r="U24" s="69">
        <v>0</v>
      </c>
      <c r="V24" s="69">
        <v>0</v>
      </c>
      <c r="W24" s="69">
        <v>0</v>
      </c>
      <c r="X24" s="69">
        <v>1100</v>
      </c>
      <c r="Y24" s="69">
        <v>0</v>
      </c>
      <c r="Z24" s="69">
        <v>0</v>
      </c>
      <c r="AA24" s="69">
        <v>0</v>
      </c>
      <c r="AB24" s="69">
        <v>0</v>
      </c>
      <c r="AC24" s="69">
        <v>0</v>
      </c>
      <c r="AD24" s="69">
        <v>0</v>
      </c>
      <c r="AE24" s="69">
        <v>0</v>
      </c>
      <c r="AF24" s="69">
        <v>0</v>
      </c>
      <c r="AG24" s="56">
        <f t="shared" ref="AG24:AG32" si="33">SUM(B24:AF24)</f>
        <v>1600</v>
      </c>
      <c r="AH24" s="67">
        <f t="shared" ref="AH24:AH28" si="34">IFERROR(AVERAGE(B24:AF24),0)</f>
        <v>51.612903225806448</v>
      </c>
      <c r="AI24" s="68">
        <f t="shared" ref="AI24:AI29" si="35">(AH24/$AH$29)*100</f>
        <v>0.3586808614617592</v>
      </c>
      <c r="AJ24" s="14"/>
      <c r="AK24" s="14"/>
      <c r="AS24" s="14"/>
      <c r="AT24" s="14"/>
      <c r="AU24" s="14"/>
      <c r="AV24" s="14"/>
      <c r="AW24" s="75"/>
      <c r="AX24" s="14"/>
      <c r="AY24" s="14"/>
      <c r="AZ24" s="14"/>
      <c r="BA24" s="14"/>
      <c r="BB24" s="14"/>
      <c r="BC24" s="14"/>
      <c r="BD24" s="14"/>
      <c r="BE24" s="14"/>
      <c r="BF24" s="14"/>
      <c r="BG24" s="14"/>
    </row>
    <row r="25" spans="1:59" ht="15.75" customHeight="1" x14ac:dyDescent="0.2">
      <c r="A25" s="4" t="s">
        <v>184</v>
      </c>
      <c r="B25" s="69">
        <v>0</v>
      </c>
      <c r="C25" s="69">
        <v>0</v>
      </c>
      <c r="D25" s="69">
        <v>0</v>
      </c>
      <c r="E25" s="69">
        <v>0</v>
      </c>
      <c r="F25" s="69">
        <v>800</v>
      </c>
      <c r="G25" s="69">
        <v>0</v>
      </c>
      <c r="H25" s="69">
        <v>0</v>
      </c>
      <c r="I25" s="69">
        <v>0</v>
      </c>
      <c r="J25" s="69">
        <v>0</v>
      </c>
      <c r="K25" s="69">
        <v>0</v>
      </c>
      <c r="L25" s="69">
        <v>0</v>
      </c>
      <c r="M25" s="69">
        <v>0</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69">
        <v>0</v>
      </c>
      <c r="AG25" s="56">
        <f t="shared" si="33"/>
        <v>800</v>
      </c>
      <c r="AH25" s="67">
        <f t="shared" si="34"/>
        <v>25.806451612903224</v>
      </c>
      <c r="AI25" s="68">
        <f t="shared" si="35"/>
        <v>0.1793404307308796</v>
      </c>
      <c r="AJ25" s="14"/>
      <c r="AK25" s="14"/>
      <c r="AL25" s="14"/>
      <c r="AM25" s="14"/>
      <c r="AN25" s="14"/>
      <c r="AO25" s="14"/>
      <c r="AP25" s="14"/>
      <c r="AQ25" s="14"/>
      <c r="AR25" s="14"/>
      <c r="AS25" s="14"/>
      <c r="AT25" s="14"/>
      <c r="AU25" s="14"/>
      <c r="AV25" s="14"/>
      <c r="AW25" s="75"/>
      <c r="AX25" s="14"/>
      <c r="AY25" s="14"/>
      <c r="AZ25" s="14"/>
      <c r="BA25" s="14"/>
      <c r="BB25" s="14"/>
      <c r="BC25" s="14"/>
      <c r="BD25" s="14"/>
      <c r="BE25" s="14"/>
      <c r="BF25" s="14"/>
      <c r="BG25" s="14"/>
    </row>
    <row r="26" spans="1:59" ht="15.75" customHeight="1" x14ac:dyDescent="0.2">
      <c r="A26" s="4" t="s">
        <v>185</v>
      </c>
      <c r="B26" s="69">
        <v>50</v>
      </c>
      <c r="C26" s="69">
        <f>220+70</f>
        <v>290</v>
      </c>
      <c r="D26" s="69">
        <v>50</v>
      </c>
      <c r="E26" s="69">
        <v>0</v>
      </c>
      <c r="F26" s="69">
        <v>0</v>
      </c>
      <c r="G26" s="69">
        <v>0</v>
      </c>
      <c r="H26" s="69">
        <v>0</v>
      </c>
      <c r="I26" s="69">
        <v>100</v>
      </c>
      <c r="J26" s="69">
        <v>40</v>
      </c>
      <c r="K26" s="69">
        <v>0</v>
      </c>
      <c r="L26" s="69">
        <v>0</v>
      </c>
      <c r="M26" s="69">
        <v>220</v>
      </c>
      <c r="N26" s="69">
        <v>0</v>
      </c>
      <c r="O26" s="69">
        <v>0</v>
      </c>
      <c r="P26" s="69">
        <f>280+30</f>
        <v>310</v>
      </c>
      <c r="Q26" s="69">
        <v>0</v>
      </c>
      <c r="R26" s="69">
        <v>0</v>
      </c>
      <c r="S26" s="69">
        <v>0</v>
      </c>
      <c r="T26" s="69">
        <v>1200</v>
      </c>
      <c r="U26" s="69">
        <v>0</v>
      </c>
      <c r="V26" s="69">
        <v>0</v>
      </c>
      <c r="W26" s="69">
        <v>40</v>
      </c>
      <c r="X26" s="69">
        <v>0</v>
      </c>
      <c r="Y26" s="69">
        <v>280</v>
      </c>
      <c r="Z26" s="69">
        <v>0</v>
      </c>
      <c r="AA26" s="69">
        <v>0</v>
      </c>
      <c r="AB26" s="69">
        <v>0</v>
      </c>
      <c r="AC26" s="69">
        <v>0</v>
      </c>
      <c r="AD26" s="69">
        <v>0</v>
      </c>
      <c r="AE26" s="69">
        <v>0</v>
      </c>
      <c r="AF26" s="69">
        <v>220</v>
      </c>
      <c r="AG26" s="56">
        <f t="shared" si="33"/>
        <v>2800</v>
      </c>
      <c r="AH26" s="67">
        <f t="shared" si="34"/>
        <v>90.322580645161295</v>
      </c>
      <c r="AI26" s="68">
        <f t="shared" si="35"/>
        <v>0.62769150755807868</v>
      </c>
      <c r="AJ26" s="14"/>
      <c r="AK26" s="14"/>
      <c r="AL26" s="14"/>
      <c r="AM26" s="14"/>
      <c r="AN26" s="14"/>
      <c r="AO26" s="14"/>
      <c r="AP26" s="14"/>
      <c r="AQ26" s="14"/>
      <c r="AR26" s="14"/>
      <c r="AS26" s="14"/>
      <c r="AT26" s="14"/>
      <c r="AU26" s="14"/>
      <c r="AV26" s="14"/>
      <c r="AW26" s="75"/>
      <c r="AX26" s="14"/>
      <c r="AY26" s="14"/>
      <c r="AZ26" s="14"/>
      <c r="BA26" s="14"/>
      <c r="BB26" s="14"/>
      <c r="BC26" s="14"/>
      <c r="BD26" s="14"/>
      <c r="BE26" s="14"/>
      <c r="BF26" s="14"/>
      <c r="BG26" s="14"/>
    </row>
    <row r="27" spans="1:59" ht="15.75" customHeight="1" x14ac:dyDescent="0.2">
      <c r="A27" s="4" t="s">
        <v>186</v>
      </c>
      <c r="B27" s="69">
        <v>0</v>
      </c>
      <c r="C27" s="69">
        <v>0</v>
      </c>
      <c r="D27" s="69">
        <v>0</v>
      </c>
      <c r="E27" s="69">
        <v>0</v>
      </c>
      <c r="F27" s="69">
        <v>0</v>
      </c>
      <c r="G27" s="69">
        <v>0</v>
      </c>
      <c r="H27" s="69">
        <v>0</v>
      </c>
      <c r="I27" s="69">
        <v>0</v>
      </c>
      <c r="J27" s="69">
        <v>0</v>
      </c>
      <c r="K27" s="69">
        <v>0</v>
      </c>
      <c r="L27" s="69">
        <v>0</v>
      </c>
      <c r="M27" s="69">
        <v>400</v>
      </c>
      <c r="N27" s="69">
        <v>0</v>
      </c>
      <c r="O27" s="69">
        <v>0</v>
      </c>
      <c r="P27" s="69">
        <v>0</v>
      </c>
      <c r="Q27" s="69">
        <v>0</v>
      </c>
      <c r="R27" s="69">
        <v>0</v>
      </c>
      <c r="S27" s="69">
        <v>500</v>
      </c>
      <c r="T27" s="69">
        <v>0</v>
      </c>
      <c r="U27" s="69">
        <v>0</v>
      </c>
      <c r="V27" s="69">
        <v>0</v>
      </c>
      <c r="W27" s="69">
        <v>0</v>
      </c>
      <c r="X27" s="69">
        <v>0</v>
      </c>
      <c r="Y27" s="69">
        <v>0</v>
      </c>
      <c r="Z27" s="69">
        <v>0</v>
      </c>
      <c r="AA27" s="69">
        <v>0</v>
      </c>
      <c r="AB27" s="69">
        <v>0</v>
      </c>
      <c r="AC27" s="69">
        <v>0</v>
      </c>
      <c r="AD27" s="69">
        <v>0</v>
      </c>
      <c r="AE27" s="69">
        <v>0</v>
      </c>
      <c r="AF27" s="69">
        <v>0</v>
      </c>
      <c r="AG27" s="56">
        <f t="shared" si="33"/>
        <v>900</v>
      </c>
      <c r="AH27" s="67">
        <f t="shared" si="34"/>
        <v>29.032258064516128</v>
      </c>
      <c r="AI27" s="68">
        <f t="shared" si="35"/>
        <v>0.20175798457223956</v>
      </c>
      <c r="AJ27" s="14"/>
      <c r="AK27" s="14"/>
      <c r="AL27" s="14"/>
      <c r="AM27" s="14"/>
      <c r="AN27" s="14"/>
      <c r="AO27" s="14"/>
      <c r="AP27" s="14"/>
      <c r="AQ27" s="14"/>
      <c r="AR27" s="14"/>
      <c r="AS27" s="14"/>
      <c r="AT27" s="14"/>
      <c r="AU27" s="14"/>
      <c r="AV27" s="14"/>
      <c r="AW27" s="75"/>
      <c r="AX27" s="14"/>
      <c r="AY27" s="14"/>
      <c r="AZ27" s="14"/>
      <c r="BA27" s="14"/>
      <c r="BB27" s="14"/>
      <c r="BC27" s="14"/>
      <c r="BD27" s="14"/>
      <c r="BE27" s="14"/>
      <c r="BF27" s="14"/>
      <c r="BG27" s="14"/>
    </row>
    <row r="28" spans="1:59"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69">
        <v>0</v>
      </c>
      <c r="AG28" s="56">
        <f t="shared" si="33"/>
        <v>0</v>
      </c>
      <c r="AH28" s="67">
        <f t="shared" si="34"/>
        <v>0</v>
      </c>
      <c r="AI28" s="68">
        <f t="shared" si="35"/>
        <v>0</v>
      </c>
      <c r="AJ28" s="14"/>
      <c r="AK28" s="14"/>
      <c r="AL28" s="14"/>
      <c r="AM28" s="14"/>
      <c r="AN28" s="14"/>
      <c r="AO28" s="14"/>
      <c r="AP28" s="14"/>
      <c r="AQ28" s="14"/>
      <c r="AR28" s="14"/>
      <c r="AS28" s="14"/>
      <c r="AT28" s="14"/>
      <c r="AU28" s="14"/>
      <c r="AV28" s="14"/>
      <c r="AW28" s="75"/>
      <c r="AX28" s="14"/>
      <c r="AY28" s="14"/>
      <c r="AZ28" s="14"/>
      <c r="BA28" s="14"/>
      <c r="BB28" s="14"/>
      <c r="BC28" s="14"/>
      <c r="BD28" s="14"/>
      <c r="BE28" s="14"/>
      <c r="BF28" s="14"/>
      <c r="BG28" s="14"/>
    </row>
    <row r="29" spans="1:59" ht="15.75" customHeight="1" x14ac:dyDescent="0.2">
      <c r="A29" s="10" t="s">
        <v>0</v>
      </c>
      <c r="B29" s="76">
        <f t="shared" ref="B29:AF29" si="36">SUM(B2:B28)</f>
        <v>22226.724137931036</v>
      </c>
      <c r="C29" s="76">
        <f t="shared" si="36"/>
        <v>17754.724137931033</v>
      </c>
      <c r="D29" s="76">
        <f t="shared" si="36"/>
        <v>12651.724137931033</v>
      </c>
      <c r="E29" s="76">
        <f t="shared" si="36"/>
        <v>15356.724137931033</v>
      </c>
      <c r="F29" s="76">
        <f t="shared" si="36"/>
        <v>18031.724137931033</v>
      </c>
      <c r="G29" s="76">
        <f t="shared" si="36"/>
        <v>0</v>
      </c>
      <c r="H29" s="76">
        <f t="shared" si="36"/>
        <v>15296.724137931033</v>
      </c>
      <c r="I29" s="76">
        <f t="shared" si="36"/>
        <v>14791.724137931033</v>
      </c>
      <c r="J29" s="76">
        <f t="shared" si="36"/>
        <v>14095.724137931033</v>
      </c>
      <c r="K29" s="76">
        <f t="shared" si="36"/>
        <v>14971.724137931033</v>
      </c>
      <c r="L29" s="76">
        <f t="shared" si="36"/>
        <v>13891.724137931033</v>
      </c>
      <c r="M29" s="76">
        <f t="shared" si="36"/>
        <v>16715.724137931033</v>
      </c>
      <c r="N29" s="76">
        <f t="shared" si="36"/>
        <v>15661.724137931033</v>
      </c>
      <c r="O29" s="76">
        <f t="shared" si="36"/>
        <v>14990.724137931033</v>
      </c>
      <c r="P29" s="76">
        <f t="shared" si="36"/>
        <v>14976.724137931033</v>
      </c>
      <c r="Q29" s="76">
        <f t="shared" si="36"/>
        <v>17171.724137931033</v>
      </c>
      <c r="R29" s="76">
        <f t="shared" si="36"/>
        <v>17645.724137931033</v>
      </c>
      <c r="S29" s="76">
        <f t="shared" si="36"/>
        <v>15206.724137931033</v>
      </c>
      <c r="T29" s="76">
        <f t="shared" si="36"/>
        <v>15680.724137931033</v>
      </c>
      <c r="U29" s="76">
        <f t="shared" si="36"/>
        <v>14855.724137931033</v>
      </c>
      <c r="V29" s="76">
        <f t="shared" si="36"/>
        <v>0</v>
      </c>
      <c r="W29" s="76">
        <f t="shared" si="36"/>
        <v>14986.724137931033</v>
      </c>
      <c r="X29" s="76">
        <f t="shared" si="36"/>
        <v>15216.724137931033</v>
      </c>
      <c r="Y29" s="76">
        <f t="shared" si="36"/>
        <v>14671.724137931033</v>
      </c>
      <c r="Z29" s="76">
        <f t="shared" si="36"/>
        <v>14314.724137931033</v>
      </c>
      <c r="AA29" s="76">
        <f t="shared" si="36"/>
        <v>14351.724137931033</v>
      </c>
      <c r="AB29" s="76">
        <f t="shared" si="36"/>
        <v>14451.724137931033</v>
      </c>
      <c r="AC29" s="76">
        <f t="shared" si="36"/>
        <v>14595.724137931033</v>
      </c>
      <c r="AD29" s="76">
        <f t="shared" si="36"/>
        <v>13701.724137931033</v>
      </c>
      <c r="AE29" s="76">
        <f t="shared" si="36"/>
        <v>13901.724137931033</v>
      </c>
      <c r="AF29" s="76">
        <f t="shared" si="36"/>
        <v>13911.724137931033</v>
      </c>
      <c r="AG29" s="28">
        <f t="shared" si="33"/>
        <v>446078.99999999977</v>
      </c>
      <c r="AH29" s="28">
        <f>AVERAGE(B29:AF29)</f>
        <v>14389.645161290315</v>
      </c>
      <c r="AI29" s="77">
        <f t="shared" si="35"/>
        <v>100</v>
      </c>
      <c r="AJ29" s="14"/>
      <c r="AK29" s="14"/>
      <c r="AL29" s="14"/>
      <c r="AM29" s="14"/>
      <c r="AN29" s="14"/>
      <c r="AO29" s="14"/>
      <c r="AP29" s="14"/>
      <c r="AQ29" s="14"/>
      <c r="AR29" s="14"/>
      <c r="AS29" s="14"/>
      <c r="AT29" s="14"/>
      <c r="AU29" s="14"/>
      <c r="AV29" s="14"/>
      <c r="AW29" s="75"/>
      <c r="AX29" s="75"/>
      <c r="AY29" s="75"/>
      <c r="AZ29" s="75"/>
      <c r="BA29" s="75"/>
      <c r="BB29" s="75"/>
      <c r="BC29" s="75"/>
      <c r="BD29" s="75"/>
      <c r="BE29" s="75"/>
      <c r="BF29" s="75"/>
      <c r="BG29" s="75"/>
    </row>
    <row r="30" spans="1:59" ht="15.75" customHeight="1" x14ac:dyDescent="0.2">
      <c r="A30" s="4" t="s">
        <v>188</v>
      </c>
      <c r="B30" s="69">
        <v>26095</v>
      </c>
      <c r="C30" s="69">
        <v>4255</v>
      </c>
      <c r="D30" s="69">
        <v>6345</v>
      </c>
      <c r="E30" s="69">
        <v>9365</v>
      </c>
      <c r="F30" s="69">
        <v>10925</v>
      </c>
      <c r="G30" s="69">
        <v>0</v>
      </c>
      <c r="H30" s="69">
        <v>3460</v>
      </c>
      <c r="I30" s="69">
        <v>5200</v>
      </c>
      <c r="J30" s="69">
        <v>4930</v>
      </c>
      <c r="K30" s="69">
        <v>7665</v>
      </c>
      <c r="L30" s="69">
        <v>6155</v>
      </c>
      <c r="M30" s="69">
        <v>18450</v>
      </c>
      <c r="N30" s="69">
        <v>7095</v>
      </c>
      <c r="O30" s="69">
        <v>2925</v>
      </c>
      <c r="P30" s="69">
        <f>10670+7000</f>
        <v>17670</v>
      </c>
      <c r="Q30" s="69">
        <v>8920</v>
      </c>
      <c r="R30" s="69">
        <v>5305</v>
      </c>
      <c r="S30" s="69">
        <v>7184</v>
      </c>
      <c r="T30" s="69">
        <v>2795</v>
      </c>
      <c r="U30" s="69">
        <v>4780</v>
      </c>
      <c r="V30" s="69">
        <v>0</v>
      </c>
      <c r="W30" s="69">
        <v>890</v>
      </c>
      <c r="X30" s="69">
        <v>5527</v>
      </c>
      <c r="Y30" s="69">
        <v>6165</v>
      </c>
      <c r="Z30" s="69">
        <v>3880</v>
      </c>
      <c r="AA30" s="69">
        <v>6570</v>
      </c>
      <c r="AB30" s="69">
        <v>4825</v>
      </c>
      <c r="AC30" s="69">
        <v>2455</v>
      </c>
      <c r="AD30" s="69">
        <v>4175</v>
      </c>
      <c r="AE30" s="69">
        <v>2425</v>
      </c>
      <c r="AF30" s="69">
        <v>6280</v>
      </c>
      <c r="AG30" s="56">
        <f t="shared" si="33"/>
        <v>202711</v>
      </c>
      <c r="AH30" s="67">
        <f t="shared" ref="AH30:AH32" si="37">IFERROR(AVERAGE(B30:AF30),0)</f>
        <v>6539.0645161290322</v>
      </c>
      <c r="AI30" s="68">
        <f t="shared" ref="AI30:AI32" si="38">IFERROR((AH30/$AH$32)*100,0)</f>
        <v>54.051077763201391</v>
      </c>
      <c r="AJ30" s="14"/>
      <c r="AK30" s="14"/>
      <c r="AL30" s="14"/>
      <c r="AM30" s="14"/>
      <c r="AN30" s="14"/>
      <c r="AO30" s="14"/>
      <c r="AP30" s="14"/>
      <c r="AQ30" s="14"/>
      <c r="AR30" s="14"/>
      <c r="AS30" s="14"/>
      <c r="AT30" s="14"/>
      <c r="AU30" s="14"/>
      <c r="AV30" s="14"/>
      <c r="AW30" s="75"/>
      <c r="AX30" s="75"/>
      <c r="AY30" s="75"/>
      <c r="AZ30" s="75"/>
      <c r="BA30" s="75"/>
      <c r="BB30" s="75"/>
      <c r="BC30" s="75"/>
      <c r="BD30" s="75"/>
      <c r="BE30" s="75"/>
      <c r="BF30" s="75"/>
      <c r="BG30" s="75"/>
    </row>
    <row r="31" spans="1:59" ht="15.75" customHeight="1" x14ac:dyDescent="0.2">
      <c r="A31" s="4" t="s">
        <v>189</v>
      </c>
      <c r="B31" s="78">
        <f t="shared" ref="B31:AF31" si="39">B32-B30</f>
        <v>35270</v>
      </c>
      <c r="C31" s="78">
        <f t="shared" si="39"/>
        <v>3965</v>
      </c>
      <c r="D31" s="78">
        <f t="shared" si="39"/>
        <v>2500</v>
      </c>
      <c r="E31" s="78">
        <f t="shared" si="39"/>
        <v>2585</v>
      </c>
      <c r="F31" s="78">
        <f t="shared" si="39"/>
        <v>8845</v>
      </c>
      <c r="G31" s="78">
        <f t="shared" si="39"/>
        <v>0</v>
      </c>
      <c r="H31" s="78">
        <f t="shared" si="39"/>
        <v>2580</v>
      </c>
      <c r="I31" s="78">
        <f t="shared" si="39"/>
        <v>3155</v>
      </c>
      <c r="J31" s="78">
        <f t="shared" si="39"/>
        <v>2800</v>
      </c>
      <c r="K31" s="78">
        <f t="shared" si="39"/>
        <v>3075</v>
      </c>
      <c r="L31" s="78">
        <f t="shared" si="39"/>
        <v>1035</v>
      </c>
      <c r="M31" s="78">
        <f t="shared" si="39"/>
        <v>6415</v>
      </c>
      <c r="N31" s="78">
        <f t="shared" si="39"/>
        <v>8840</v>
      </c>
      <c r="O31" s="78">
        <f t="shared" si="39"/>
        <v>2820</v>
      </c>
      <c r="P31" s="78">
        <f t="shared" si="39"/>
        <v>6235</v>
      </c>
      <c r="Q31" s="78">
        <f t="shared" si="39"/>
        <v>9675</v>
      </c>
      <c r="R31" s="78">
        <f t="shared" si="39"/>
        <v>9382</v>
      </c>
      <c r="S31" s="78">
        <f t="shared" si="39"/>
        <v>7365</v>
      </c>
      <c r="T31" s="78">
        <f t="shared" si="39"/>
        <v>10640</v>
      </c>
      <c r="U31" s="79">
        <f t="shared" si="39"/>
        <v>5225</v>
      </c>
      <c r="V31" s="80">
        <f t="shared" si="39"/>
        <v>0</v>
      </c>
      <c r="W31" s="80">
        <f t="shared" si="39"/>
        <v>3065</v>
      </c>
      <c r="X31" s="80">
        <f t="shared" si="39"/>
        <v>4568</v>
      </c>
      <c r="Y31" s="80">
        <f t="shared" si="39"/>
        <v>3290</v>
      </c>
      <c r="Z31" s="80">
        <f t="shared" si="39"/>
        <v>4155</v>
      </c>
      <c r="AA31" s="80">
        <f t="shared" si="39"/>
        <v>10210</v>
      </c>
      <c r="AB31" s="80">
        <f t="shared" si="39"/>
        <v>3010</v>
      </c>
      <c r="AC31" s="80">
        <f t="shared" si="39"/>
        <v>3035</v>
      </c>
      <c r="AD31" s="80">
        <f t="shared" si="39"/>
        <v>4055</v>
      </c>
      <c r="AE31" s="80">
        <f t="shared" si="39"/>
        <v>2375</v>
      </c>
      <c r="AF31" s="80">
        <f t="shared" si="39"/>
        <v>2155</v>
      </c>
      <c r="AG31" s="56">
        <f t="shared" si="33"/>
        <v>172325</v>
      </c>
      <c r="AH31" s="67">
        <f t="shared" si="37"/>
        <v>5558.8709677419356</v>
      </c>
      <c r="AI31" s="68">
        <f t="shared" si="38"/>
        <v>45.948922236798602</v>
      </c>
      <c r="AJ31" s="14"/>
      <c r="AK31" s="14"/>
      <c r="AL31" s="14"/>
      <c r="AM31" s="14"/>
      <c r="AN31" s="14"/>
      <c r="AO31" s="14"/>
      <c r="AP31" s="14"/>
      <c r="AQ31" s="14"/>
      <c r="AR31" s="14"/>
      <c r="AS31" s="14"/>
      <c r="AT31" s="14"/>
      <c r="AU31" s="14"/>
      <c r="AV31" s="14"/>
      <c r="AW31" s="75"/>
      <c r="AX31" s="75"/>
      <c r="AY31" s="75"/>
      <c r="AZ31" s="75"/>
      <c r="BA31" s="75"/>
      <c r="BB31" s="75"/>
      <c r="BC31" s="75"/>
      <c r="BD31" s="75"/>
      <c r="BE31" s="75"/>
      <c r="BF31" s="75"/>
      <c r="BG31" s="75"/>
    </row>
    <row r="32" spans="1:59" ht="15.75" customHeight="1" x14ac:dyDescent="0.2">
      <c r="A32" s="4" t="s">
        <v>190</v>
      </c>
      <c r="B32" s="69">
        <v>61365</v>
      </c>
      <c r="C32" s="69">
        <v>8220</v>
      </c>
      <c r="D32" s="69">
        <v>8845</v>
      </c>
      <c r="E32" s="69">
        <v>11950</v>
      </c>
      <c r="F32" s="69">
        <v>19770</v>
      </c>
      <c r="G32" s="69">
        <v>0</v>
      </c>
      <c r="H32" s="69">
        <v>6040</v>
      </c>
      <c r="I32" s="69">
        <v>8355</v>
      </c>
      <c r="J32" s="69">
        <v>7730</v>
      </c>
      <c r="K32" s="69">
        <v>10740</v>
      </c>
      <c r="L32" s="69">
        <v>7190</v>
      </c>
      <c r="M32" s="69">
        <v>24865</v>
      </c>
      <c r="N32" s="69">
        <v>15935</v>
      </c>
      <c r="O32" s="69">
        <v>5745</v>
      </c>
      <c r="P32" s="69">
        <f>16905+7000</f>
        <v>23905</v>
      </c>
      <c r="Q32" s="69">
        <v>18595</v>
      </c>
      <c r="R32" s="69">
        <v>14687</v>
      </c>
      <c r="S32" s="69">
        <v>14549</v>
      </c>
      <c r="T32" s="69">
        <v>13435</v>
      </c>
      <c r="U32" s="69">
        <v>10005</v>
      </c>
      <c r="V32" s="69">
        <v>0</v>
      </c>
      <c r="W32" s="69">
        <v>3955</v>
      </c>
      <c r="X32" s="69">
        <v>10095</v>
      </c>
      <c r="Y32" s="69">
        <v>9455</v>
      </c>
      <c r="Z32" s="69">
        <v>8035</v>
      </c>
      <c r="AA32" s="69">
        <v>16780</v>
      </c>
      <c r="AB32" s="69">
        <v>7835</v>
      </c>
      <c r="AC32" s="69">
        <v>5490</v>
      </c>
      <c r="AD32" s="69">
        <v>8230</v>
      </c>
      <c r="AE32" s="69">
        <v>4800</v>
      </c>
      <c r="AF32" s="69">
        <v>8435</v>
      </c>
      <c r="AG32" s="56">
        <f t="shared" si="33"/>
        <v>375036</v>
      </c>
      <c r="AH32" s="67">
        <f t="shared" si="37"/>
        <v>12097.935483870968</v>
      </c>
      <c r="AI32" s="68">
        <f t="shared" si="38"/>
        <v>100</v>
      </c>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row>
    <row r="33" spans="1:35" ht="15.75" customHeight="1" x14ac:dyDescent="0.2">
      <c r="A33" s="4" t="s">
        <v>191</v>
      </c>
      <c r="B33" s="69">
        <f t="shared" ref="B33:AF33" si="40">B32-B29</f>
        <v>39138.275862068964</v>
      </c>
      <c r="C33" s="69">
        <f t="shared" si="40"/>
        <v>-9534.7241379310326</v>
      </c>
      <c r="D33" s="69">
        <f t="shared" si="40"/>
        <v>-3806.7241379310326</v>
      </c>
      <c r="E33" s="69">
        <f t="shared" si="40"/>
        <v>-3406.7241379310326</v>
      </c>
      <c r="F33" s="69">
        <f t="shared" si="40"/>
        <v>1738.2758620689674</v>
      </c>
      <c r="G33" s="69">
        <f t="shared" si="40"/>
        <v>0</v>
      </c>
      <c r="H33" s="69">
        <f t="shared" si="40"/>
        <v>-9256.7241379310326</v>
      </c>
      <c r="I33" s="69">
        <f t="shared" si="40"/>
        <v>-6436.7241379310326</v>
      </c>
      <c r="J33" s="69">
        <f t="shared" si="40"/>
        <v>-6365.7241379310326</v>
      </c>
      <c r="K33" s="69">
        <f t="shared" si="40"/>
        <v>-4231.7241379310326</v>
      </c>
      <c r="L33" s="69">
        <f t="shared" si="40"/>
        <v>-6701.7241379310326</v>
      </c>
      <c r="M33" s="69">
        <f t="shared" si="40"/>
        <v>8149.2758620689674</v>
      </c>
      <c r="N33" s="69">
        <f t="shared" si="40"/>
        <v>273.2758620689674</v>
      </c>
      <c r="O33" s="69">
        <f t="shared" si="40"/>
        <v>-9245.7241379310326</v>
      </c>
      <c r="P33" s="69">
        <f t="shared" si="40"/>
        <v>8928.2758620689674</v>
      </c>
      <c r="Q33" s="69">
        <f t="shared" si="40"/>
        <v>1423.2758620689674</v>
      </c>
      <c r="R33" s="69">
        <f t="shared" si="40"/>
        <v>-2958.7241379310326</v>
      </c>
      <c r="S33" s="69">
        <f t="shared" si="40"/>
        <v>-657.7241379310326</v>
      </c>
      <c r="T33" s="69">
        <f t="shared" si="40"/>
        <v>-2245.7241379310326</v>
      </c>
      <c r="U33" s="69">
        <f t="shared" si="40"/>
        <v>-4850.7241379310326</v>
      </c>
      <c r="V33" s="59">
        <f t="shared" si="40"/>
        <v>0</v>
      </c>
      <c r="W33" s="59">
        <f t="shared" si="40"/>
        <v>-11031.724137931033</v>
      </c>
      <c r="X33" s="59">
        <f t="shared" si="40"/>
        <v>-5121.7241379310326</v>
      </c>
      <c r="Y33" s="59">
        <f t="shared" si="40"/>
        <v>-5216.7241379310326</v>
      </c>
      <c r="Z33" s="59">
        <f t="shared" si="40"/>
        <v>-6279.7241379310326</v>
      </c>
      <c r="AA33" s="59">
        <f t="shared" si="40"/>
        <v>2428.2758620689674</v>
      </c>
      <c r="AB33" s="59">
        <f t="shared" si="40"/>
        <v>-6616.7241379310326</v>
      </c>
      <c r="AC33" s="59">
        <f t="shared" si="40"/>
        <v>-9105.7241379310326</v>
      </c>
      <c r="AD33" s="59">
        <f t="shared" si="40"/>
        <v>-5471.7241379310326</v>
      </c>
      <c r="AE33" s="59">
        <f t="shared" si="40"/>
        <v>-9101.7241379310326</v>
      </c>
      <c r="AF33" s="59">
        <f t="shared" si="40"/>
        <v>-5476.7241379310326</v>
      </c>
      <c r="AG33" s="81">
        <f>SUM(B33:AF33)+B40+B41</f>
        <v>-33705.999999999927</v>
      </c>
      <c r="AH33" s="5">
        <f>AVERAGE(B33:AF33,B40,B41)</f>
        <v>-1021.3939393939372</v>
      </c>
      <c r="AI33" s="68"/>
    </row>
    <row r="34" spans="1:35"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7"/>
      <c r="AH34" s="7"/>
    </row>
    <row r="35" spans="1:35" ht="15.75" customHeight="1" x14ac:dyDescent="0.2">
      <c r="A35" s="4" t="s">
        <v>13</v>
      </c>
      <c r="B35" s="59">
        <f t="shared" ref="B35:B38" si="41">SUM(B29:AF29)</f>
        <v>446078.99999999977</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7"/>
      <c r="AH35" s="7"/>
    </row>
    <row r="36" spans="1:35" ht="15.75" customHeight="1" x14ac:dyDescent="0.2">
      <c r="A36" s="4" t="s">
        <v>14</v>
      </c>
      <c r="B36" s="59">
        <f t="shared" si="41"/>
        <v>202711</v>
      </c>
      <c r="C36" s="6"/>
      <c r="M36" s="6"/>
      <c r="N36" s="6"/>
      <c r="O36" s="6"/>
      <c r="P36" s="6" t="s">
        <v>192</v>
      </c>
      <c r="Q36" s="6" t="s">
        <v>193</v>
      </c>
      <c r="R36" s="6"/>
      <c r="S36" s="6" t="s">
        <v>194</v>
      </c>
      <c r="T36" s="6" t="s">
        <v>195</v>
      </c>
      <c r="U36" s="6"/>
      <c r="V36" s="6"/>
      <c r="W36" s="6"/>
      <c r="X36" s="6"/>
      <c r="Y36" s="6"/>
      <c r="Z36" s="6"/>
      <c r="AA36" s="6"/>
      <c r="AB36" s="6"/>
      <c r="AC36" s="6"/>
      <c r="AD36" s="6"/>
      <c r="AE36" s="6"/>
      <c r="AF36" s="6"/>
      <c r="AG36" s="7"/>
      <c r="AH36" s="7"/>
    </row>
    <row r="37" spans="1:35" ht="15.75" customHeight="1" x14ac:dyDescent="0.2">
      <c r="A37" s="4" t="s">
        <v>15</v>
      </c>
      <c r="B37" s="59">
        <f t="shared" si="41"/>
        <v>172325</v>
      </c>
      <c r="C37" s="6" t="s">
        <v>196</v>
      </c>
      <c r="D37" s="14" t="s">
        <v>197</v>
      </c>
      <c r="F37" s="14" t="s">
        <v>198</v>
      </c>
      <c r="M37" s="6"/>
      <c r="N37" s="6"/>
      <c r="O37" s="6"/>
      <c r="P37" s="6" t="s">
        <v>199</v>
      </c>
      <c r="Q37" s="6" t="s">
        <v>200</v>
      </c>
      <c r="R37" s="6"/>
      <c r="S37" s="6"/>
      <c r="T37" s="6"/>
      <c r="U37" s="6"/>
      <c r="V37" s="6"/>
      <c r="W37" s="6"/>
      <c r="X37" s="6"/>
      <c r="Y37" s="6"/>
      <c r="Z37" s="6"/>
      <c r="AA37" s="6"/>
      <c r="AB37" s="6"/>
      <c r="AC37" s="6"/>
      <c r="AD37" s="6"/>
      <c r="AE37" s="6"/>
      <c r="AF37" s="6"/>
      <c r="AG37" s="7"/>
      <c r="AH37" s="7"/>
    </row>
    <row r="38" spans="1:35" ht="15.75" customHeight="1" x14ac:dyDescent="0.2">
      <c r="A38" s="4" t="s">
        <v>16</v>
      </c>
      <c r="B38" s="59">
        <f t="shared" si="41"/>
        <v>375036</v>
      </c>
      <c r="C38" s="6"/>
      <c r="M38" s="6"/>
      <c r="N38" s="6"/>
      <c r="O38" s="6"/>
      <c r="P38" s="6"/>
      <c r="Q38" s="6"/>
      <c r="R38" s="6"/>
      <c r="S38" s="6"/>
      <c r="T38" s="6"/>
      <c r="U38" s="6"/>
      <c r="V38" s="6"/>
      <c r="W38" s="6"/>
      <c r="X38" s="6"/>
      <c r="Y38" s="6"/>
      <c r="Z38" s="6"/>
      <c r="AA38" s="6"/>
      <c r="AB38" s="6"/>
      <c r="AC38" s="6"/>
      <c r="AD38" s="6"/>
      <c r="AE38" s="6"/>
      <c r="AF38" s="6"/>
      <c r="AG38" s="7"/>
      <c r="AH38" s="7"/>
    </row>
    <row r="39" spans="1:35" ht="15.75" customHeight="1" x14ac:dyDescent="0.2">
      <c r="A39" s="4" t="s">
        <v>17</v>
      </c>
      <c r="B39" s="80">
        <f>Expenses!E20</f>
        <v>88972</v>
      </c>
      <c r="C39" s="6"/>
      <c r="M39" s="6"/>
      <c r="O39" s="6"/>
      <c r="P39" s="6"/>
      <c r="Q39" s="6"/>
      <c r="R39" s="6"/>
      <c r="S39" s="6"/>
      <c r="T39" s="6"/>
      <c r="U39" s="6"/>
      <c r="V39" s="6"/>
      <c r="W39" s="6"/>
      <c r="X39" s="6"/>
      <c r="Y39" s="6"/>
      <c r="Z39" s="6"/>
      <c r="AA39" s="6"/>
      <c r="AB39" s="6"/>
      <c r="AC39" s="6"/>
      <c r="AD39" s="6"/>
      <c r="AE39" s="6"/>
      <c r="AF39" s="6"/>
      <c r="AG39" s="7"/>
      <c r="AH39" s="7"/>
    </row>
    <row r="40" spans="1:35" ht="15.75" customHeight="1" x14ac:dyDescent="0.2">
      <c r="A40" s="4" t="s">
        <v>18</v>
      </c>
      <c r="B40" s="32">
        <f>1912+6934+6665+3336+4823</f>
        <v>23670</v>
      </c>
      <c r="C40" s="6"/>
      <c r="M40" s="6"/>
      <c r="N40" s="6"/>
      <c r="O40" s="6"/>
      <c r="P40" s="6"/>
      <c r="Q40" s="6"/>
      <c r="R40" s="6"/>
      <c r="S40" s="6"/>
      <c r="T40" s="6" t="s">
        <v>127</v>
      </c>
      <c r="U40" s="6"/>
      <c r="V40" s="6"/>
      <c r="W40" s="6"/>
      <c r="X40" s="6"/>
      <c r="Y40" s="6"/>
      <c r="Z40" s="6"/>
      <c r="AA40" s="6"/>
      <c r="AB40" s="6"/>
      <c r="AC40" s="6"/>
      <c r="AD40" s="6"/>
      <c r="AE40" s="6"/>
      <c r="AF40" s="6"/>
      <c r="AG40" s="7"/>
      <c r="AH40" s="7"/>
    </row>
    <row r="41" spans="1:35" ht="15.75" customHeight="1" x14ac:dyDescent="0.2">
      <c r="A41" s="4" t="s">
        <v>19</v>
      </c>
      <c r="B41" s="82">
        <f>4155+2622+2895+3995</f>
        <v>13667</v>
      </c>
      <c r="C41" s="6"/>
      <c r="M41" s="6"/>
      <c r="N41" s="6"/>
      <c r="O41" s="6"/>
      <c r="P41" s="6"/>
      <c r="Q41" s="6"/>
      <c r="R41" s="6"/>
      <c r="S41" s="6"/>
      <c r="T41" s="6"/>
      <c r="U41" s="6"/>
      <c r="V41" s="6"/>
      <c r="W41" s="6"/>
      <c r="X41" s="6"/>
      <c r="Y41" s="6"/>
      <c r="Z41" s="6"/>
      <c r="AA41" s="6"/>
      <c r="AB41" s="6"/>
      <c r="AC41" s="6"/>
      <c r="AD41" s="6"/>
      <c r="AE41" s="6"/>
      <c r="AF41" s="6"/>
      <c r="AG41" s="7"/>
      <c r="AH41" s="7"/>
    </row>
    <row r="42" spans="1:35" ht="15.75" customHeight="1" x14ac:dyDescent="0.2">
      <c r="A42" s="4" t="s">
        <v>20</v>
      </c>
      <c r="B42" s="59">
        <f>Stock!C72</f>
        <v>95268</v>
      </c>
      <c r="C42" s="6"/>
      <c r="M42" s="6"/>
      <c r="N42" s="6"/>
      <c r="O42" s="6"/>
      <c r="P42" s="6"/>
      <c r="Q42" s="6"/>
      <c r="R42" s="6"/>
      <c r="S42" s="6"/>
      <c r="T42" s="6"/>
      <c r="U42" s="6"/>
      <c r="V42" s="6"/>
      <c r="W42" s="6"/>
      <c r="X42" s="6"/>
      <c r="Y42" s="6"/>
      <c r="Z42" s="6"/>
      <c r="AA42" s="6"/>
      <c r="AB42" s="6"/>
      <c r="AC42" s="6"/>
      <c r="AD42" s="6"/>
      <c r="AE42" s="6"/>
      <c r="AF42" s="6"/>
      <c r="AG42" s="7"/>
      <c r="AH42" s="7"/>
    </row>
    <row r="43" spans="1:35" ht="15.75" customHeight="1" x14ac:dyDescent="0.2">
      <c r="A43" s="4" t="s">
        <v>21</v>
      </c>
      <c r="B43" s="59">
        <f>B38-B35+B40+B41</f>
        <v>-33705.999999999767</v>
      </c>
      <c r="C43" s="6"/>
      <c r="M43" s="6"/>
      <c r="N43" s="6"/>
      <c r="O43" s="6"/>
      <c r="P43" s="6"/>
      <c r="Q43" s="6"/>
      <c r="R43" s="6"/>
      <c r="S43" s="6"/>
      <c r="T43" s="6"/>
      <c r="U43" s="6"/>
      <c r="V43" s="6"/>
      <c r="W43" s="6"/>
      <c r="X43" s="6"/>
      <c r="Y43" s="6"/>
      <c r="Z43" s="6"/>
      <c r="AA43" s="6"/>
      <c r="AB43" s="6"/>
      <c r="AC43" s="6"/>
      <c r="AD43" s="6"/>
      <c r="AE43" s="6"/>
      <c r="AF43" s="6"/>
      <c r="AG43" s="7"/>
      <c r="AH43" s="7"/>
    </row>
    <row r="44" spans="1:35" ht="15.75" customHeight="1" x14ac:dyDescent="0.2">
      <c r="B44" s="6"/>
      <c r="C44" s="6"/>
      <c r="M44" s="6"/>
      <c r="N44" s="6"/>
      <c r="O44" s="6"/>
      <c r="P44" s="6"/>
      <c r="Q44" s="6"/>
      <c r="R44" s="6"/>
      <c r="S44" s="6"/>
      <c r="T44" s="6"/>
      <c r="U44" s="6"/>
      <c r="V44" s="6"/>
      <c r="W44" s="6"/>
      <c r="X44" s="6"/>
      <c r="Y44" s="6"/>
      <c r="Z44" s="6"/>
      <c r="AA44" s="6"/>
      <c r="AB44" s="6"/>
      <c r="AC44" s="6"/>
      <c r="AD44" s="6"/>
      <c r="AE44" s="6"/>
      <c r="AF44" s="6"/>
      <c r="AG44" s="7"/>
      <c r="AH44" s="7"/>
    </row>
    <row r="45" spans="1:35" ht="15.75" customHeight="1" x14ac:dyDescent="0.2">
      <c r="A45" s="4" t="s">
        <v>201</v>
      </c>
      <c r="B45" s="59">
        <v>0</v>
      </c>
      <c r="C45" s="59">
        <v>0</v>
      </c>
      <c r="D45" s="59">
        <v>0</v>
      </c>
      <c r="E45" s="59">
        <v>0</v>
      </c>
      <c r="F45" s="59">
        <v>0</v>
      </c>
      <c r="G45" s="59">
        <v>0</v>
      </c>
      <c r="H45" s="59">
        <v>3200</v>
      </c>
      <c r="I45" s="59">
        <v>900</v>
      </c>
      <c r="J45" s="59">
        <v>3200</v>
      </c>
      <c r="K45" s="59">
        <v>3200</v>
      </c>
      <c r="L45" s="59">
        <v>3200</v>
      </c>
      <c r="M45" s="59">
        <v>1800</v>
      </c>
      <c r="N45" s="59">
        <v>1800</v>
      </c>
      <c r="O45" s="59">
        <v>1800</v>
      </c>
      <c r="P45" s="59">
        <v>1800</v>
      </c>
      <c r="Q45" s="59">
        <v>1800</v>
      </c>
      <c r="R45" s="59">
        <v>1800</v>
      </c>
      <c r="S45" s="59">
        <v>1800</v>
      </c>
      <c r="T45" s="59">
        <v>800</v>
      </c>
      <c r="U45" s="59">
        <v>800</v>
      </c>
      <c r="V45" s="59">
        <v>0</v>
      </c>
      <c r="W45" s="59">
        <v>400</v>
      </c>
      <c r="X45" s="59">
        <v>0</v>
      </c>
      <c r="Y45" s="59">
        <v>0</v>
      </c>
      <c r="Z45" s="59">
        <v>0</v>
      </c>
      <c r="AA45" s="59">
        <v>0</v>
      </c>
      <c r="AB45" s="59">
        <v>0</v>
      </c>
      <c r="AC45" s="59">
        <v>0</v>
      </c>
      <c r="AD45" s="59">
        <v>0</v>
      </c>
      <c r="AE45" s="59">
        <v>3200</v>
      </c>
      <c r="AF45" s="59">
        <v>3200</v>
      </c>
      <c r="AG45" s="56">
        <f t="shared" ref="AG45:AG47" si="42">SUM(B45:AF45)</f>
        <v>34700</v>
      </c>
      <c r="AH45" s="7"/>
    </row>
    <row r="46" spans="1:35" ht="15.75" customHeight="1" x14ac:dyDescent="0.2">
      <c r="A46" s="4" t="s">
        <v>202</v>
      </c>
      <c r="B46" s="59">
        <v>0</v>
      </c>
      <c r="C46" s="59">
        <v>0</v>
      </c>
      <c r="D46" s="59">
        <v>1000</v>
      </c>
      <c r="E46" s="59">
        <v>0</v>
      </c>
      <c r="F46" s="59">
        <v>1900</v>
      </c>
      <c r="G46" s="59">
        <v>0</v>
      </c>
      <c r="H46" s="59">
        <v>0</v>
      </c>
      <c r="I46" s="59">
        <v>1000</v>
      </c>
      <c r="J46" s="59">
        <v>900</v>
      </c>
      <c r="K46" s="59">
        <v>1800</v>
      </c>
      <c r="L46" s="59">
        <v>0</v>
      </c>
      <c r="M46" s="59">
        <v>1500</v>
      </c>
      <c r="N46" s="59">
        <v>2500</v>
      </c>
      <c r="O46" s="59">
        <v>0</v>
      </c>
      <c r="P46" s="59">
        <v>0</v>
      </c>
      <c r="Q46" s="59">
        <v>700</v>
      </c>
      <c r="R46" s="59">
        <v>0</v>
      </c>
      <c r="S46" s="59">
        <v>0</v>
      </c>
      <c r="T46" s="59">
        <v>0</v>
      </c>
      <c r="U46" s="59">
        <v>0</v>
      </c>
      <c r="V46" s="59">
        <v>0</v>
      </c>
      <c r="W46" s="59">
        <v>1900</v>
      </c>
      <c r="X46" s="59">
        <v>0</v>
      </c>
      <c r="Y46" s="59">
        <v>0</v>
      </c>
      <c r="Z46" s="59">
        <v>0</v>
      </c>
      <c r="AA46" s="59">
        <v>0</v>
      </c>
      <c r="AB46" s="59">
        <v>0</v>
      </c>
      <c r="AC46" s="59">
        <v>0</v>
      </c>
      <c r="AD46" s="59">
        <v>1100</v>
      </c>
      <c r="AE46" s="59">
        <v>1200</v>
      </c>
      <c r="AF46" s="59">
        <v>1300</v>
      </c>
      <c r="AG46" s="56">
        <f t="shared" si="42"/>
        <v>16800</v>
      </c>
      <c r="AH46" s="7"/>
    </row>
    <row r="47" spans="1:35" ht="15.75" customHeight="1" x14ac:dyDescent="0.2">
      <c r="A47" s="4" t="s">
        <v>203</v>
      </c>
      <c r="B47" s="59">
        <f t="shared" ref="B47:J47" si="43">B4+B3+B7+B8+(SUM(B20:B22))+B45+B46</f>
        <v>8011.7241379310353</v>
      </c>
      <c r="C47" s="59">
        <f t="shared" si="43"/>
        <v>8011.7241379310353</v>
      </c>
      <c r="D47" s="59">
        <f t="shared" si="43"/>
        <v>9011.7241379310362</v>
      </c>
      <c r="E47" s="59">
        <f t="shared" si="43"/>
        <v>8011.7241379310353</v>
      </c>
      <c r="F47" s="59">
        <f t="shared" si="43"/>
        <v>9911.7241379310362</v>
      </c>
      <c r="G47" s="59">
        <f t="shared" si="43"/>
        <v>0</v>
      </c>
      <c r="H47" s="59">
        <f t="shared" si="43"/>
        <v>11211.724137931036</v>
      </c>
      <c r="I47" s="59">
        <f t="shared" si="43"/>
        <v>9911.7241379310362</v>
      </c>
      <c r="J47" s="59">
        <f t="shared" si="43"/>
        <v>12111.724137931036</v>
      </c>
      <c r="K47" s="59">
        <f>K4+K3+K7+K8+(SUM(K20:K22))+K45+K46-10000</f>
        <v>3011.7241379310362</v>
      </c>
      <c r="L47" s="59">
        <f t="shared" ref="L47:AF47" si="44">L4+L3+L7+L8+(SUM(L20:L22))+L45+L46</f>
        <v>11211.724137931036</v>
      </c>
      <c r="M47" s="59">
        <f t="shared" si="44"/>
        <v>11311.724137931036</v>
      </c>
      <c r="N47" s="59">
        <f t="shared" si="44"/>
        <v>12311.724137931036</v>
      </c>
      <c r="O47" s="59">
        <f t="shared" si="44"/>
        <v>9811.7241379310362</v>
      </c>
      <c r="P47" s="59">
        <f t="shared" si="44"/>
        <v>9811.7241379310362</v>
      </c>
      <c r="Q47" s="59">
        <f t="shared" si="44"/>
        <v>10511.724137931036</v>
      </c>
      <c r="R47" s="59">
        <f t="shared" si="44"/>
        <v>9811.7241379310362</v>
      </c>
      <c r="S47" s="59">
        <f t="shared" si="44"/>
        <v>9811.7241379310362</v>
      </c>
      <c r="T47" s="59">
        <f t="shared" si="44"/>
        <v>8811.7241379310362</v>
      </c>
      <c r="U47" s="59">
        <f t="shared" si="44"/>
        <v>8811.7241379310362</v>
      </c>
      <c r="V47" s="59">
        <f t="shared" si="44"/>
        <v>0</v>
      </c>
      <c r="W47" s="59">
        <f t="shared" si="44"/>
        <v>10311.724137931036</v>
      </c>
      <c r="X47" s="59">
        <f t="shared" si="44"/>
        <v>8011.7241379310353</v>
      </c>
      <c r="Y47" s="59">
        <f t="shared" si="44"/>
        <v>8011.7241379310353</v>
      </c>
      <c r="Z47" s="59">
        <f t="shared" si="44"/>
        <v>8011.7241379310353</v>
      </c>
      <c r="AA47" s="59">
        <f t="shared" si="44"/>
        <v>8011.7241379310353</v>
      </c>
      <c r="AB47" s="59">
        <f t="shared" si="44"/>
        <v>8011.7241379310353</v>
      </c>
      <c r="AC47" s="59">
        <f t="shared" si="44"/>
        <v>8011.7241379310353</v>
      </c>
      <c r="AD47" s="59">
        <f t="shared" si="44"/>
        <v>9111.7241379310362</v>
      </c>
      <c r="AE47" s="59">
        <f t="shared" si="44"/>
        <v>12411.724137931036</v>
      </c>
      <c r="AF47" s="59">
        <f t="shared" si="44"/>
        <v>12511.724137931036</v>
      </c>
      <c r="AG47" s="67">
        <f t="shared" si="42"/>
        <v>273840.00000000017</v>
      </c>
      <c r="AH47" s="7"/>
    </row>
    <row r="48" spans="1:35" ht="15.75" customHeight="1" x14ac:dyDescent="0.2">
      <c r="A48" s="4" t="s">
        <v>204</v>
      </c>
      <c r="B48" s="59">
        <f>B31-B29+B47+6107</f>
        <v>27162</v>
      </c>
      <c r="C48" s="59">
        <f t="shared" ref="C48:AF48" si="45">B48+C31-C29+C47</f>
        <v>21384.000000000004</v>
      </c>
      <c r="D48" s="59">
        <f t="shared" si="45"/>
        <v>20244.000000000007</v>
      </c>
      <c r="E48" s="59">
        <f t="shared" si="45"/>
        <v>15484.000000000011</v>
      </c>
      <c r="F48" s="59">
        <f t="shared" si="45"/>
        <v>16209.000000000015</v>
      </c>
      <c r="G48" s="59">
        <f t="shared" si="45"/>
        <v>16209.000000000015</v>
      </c>
      <c r="H48" s="59">
        <f t="shared" si="45"/>
        <v>14704.000000000018</v>
      </c>
      <c r="I48" s="59">
        <f t="shared" si="45"/>
        <v>12979.000000000022</v>
      </c>
      <c r="J48" s="59">
        <f t="shared" si="45"/>
        <v>13795.000000000025</v>
      </c>
      <c r="K48" s="59">
        <f t="shared" si="45"/>
        <v>4910.0000000000291</v>
      </c>
      <c r="L48" s="59">
        <f t="shared" si="45"/>
        <v>3265.0000000000327</v>
      </c>
      <c r="M48" s="59">
        <f t="shared" si="45"/>
        <v>4276.0000000000364</v>
      </c>
      <c r="N48" s="59">
        <f t="shared" si="45"/>
        <v>9766.00000000004</v>
      </c>
      <c r="O48" s="59">
        <f t="shared" si="45"/>
        <v>7407.0000000000437</v>
      </c>
      <c r="P48" s="59">
        <f t="shared" si="45"/>
        <v>8477.0000000000473</v>
      </c>
      <c r="Q48" s="59">
        <f t="shared" si="45"/>
        <v>11492.000000000051</v>
      </c>
      <c r="R48" s="59">
        <f t="shared" si="45"/>
        <v>13040.000000000055</v>
      </c>
      <c r="S48" s="59">
        <f t="shared" si="45"/>
        <v>15010.000000000058</v>
      </c>
      <c r="T48" s="59">
        <f t="shared" si="45"/>
        <v>18781.000000000062</v>
      </c>
      <c r="U48" s="59">
        <f t="shared" si="45"/>
        <v>17962.000000000065</v>
      </c>
      <c r="V48" s="59">
        <f t="shared" si="45"/>
        <v>17962.000000000065</v>
      </c>
      <c r="W48" s="59">
        <f t="shared" si="45"/>
        <v>16352.000000000069</v>
      </c>
      <c r="X48" s="59">
        <f t="shared" si="45"/>
        <v>13715.000000000073</v>
      </c>
      <c r="Y48" s="59">
        <f t="shared" si="45"/>
        <v>10345.000000000076</v>
      </c>
      <c r="Z48" s="59">
        <f t="shared" si="45"/>
        <v>8197.00000000008</v>
      </c>
      <c r="AA48" s="59">
        <f t="shared" si="45"/>
        <v>12067.000000000084</v>
      </c>
      <c r="AB48" s="59">
        <f t="shared" si="45"/>
        <v>8637.0000000000873</v>
      </c>
      <c r="AC48" s="59">
        <f t="shared" si="45"/>
        <v>5088.00000000009</v>
      </c>
      <c r="AD48" s="59">
        <f t="shared" si="45"/>
        <v>4553.0000000000946</v>
      </c>
      <c r="AE48" s="59">
        <f t="shared" si="45"/>
        <v>5438.0000000000982</v>
      </c>
      <c r="AF48" s="59">
        <f t="shared" si="45"/>
        <v>6193.0000000001019</v>
      </c>
      <c r="AG48" s="7"/>
      <c r="AH48" s="7"/>
    </row>
    <row r="49" spans="1:34"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7"/>
      <c r="AH49" s="7"/>
    </row>
    <row r="50" spans="1:34" ht="15.75" customHeight="1" x14ac:dyDescent="0.2">
      <c r="AG50" s="1"/>
      <c r="AH50" s="7"/>
    </row>
    <row r="51" spans="1:34" ht="15.75" customHeight="1" x14ac:dyDescent="0.2">
      <c r="A51" s="4" t="s">
        <v>166</v>
      </c>
      <c r="B51" s="4">
        <f>3500+1400</f>
        <v>4900</v>
      </c>
      <c r="AG51" s="1"/>
      <c r="AH51" s="7"/>
    </row>
    <row r="52" spans="1:34" ht="15.75" customHeight="1" x14ac:dyDescent="0.2">
      <c r="A52" s="4" t="s">
        <v>205</v>
      </c>
      <c r="B52" s="4">
        <f>2500+1300+2400</f>
        <v>6200</v>
      </c>
      <c r="AG52" s="1"/>
      <c r="AH52" s="7"/>
    </row>
    <row r="53" spans="1:34" ht="15.75" customHeight="1" x14ac:dyDescent="0.2">
      <c r="A53" s="4" t="s">
        <v>179</v>
      </c>
      <c r="B53" s="4">
        <f>8000+8000+8000+4000</f>
        <v>28000</v>
      </c>
      <c r="I53" s="14" t="s">
        <v>206</v>
      </c>
      <c r="AG53" s="1"/>
      <c r="AH53" s="7"/>
    </row>
    <row r="54" spans="1:34" ht="15.75" customHeight="1" x14ac:dyDescent="0.2">
      <c r="A54" s="4" t="s">
        <v>180</v>
      </c>
      <c r="B54" s="4">
        <f>2500+2500</f>
        <v>5000</v>
      </c>
      <c r="G54" s="6"/>
      <c r="AG54" s="1"/>
      <c r="AH54" s="7"/>
    </row>
    <row r="55" spans="1:34" ht="15.75" customHeight="1" x14ac:dyDescent="0.2">
      <c r="A55" s="4" t="s">
        <v>181</v>
      </c>
      <c r="B55" s="4">
        <v>4000</v>
      </c>
      <c r="AG55" s="1"/>
      <c r="AH55" s="7"/>
    </row>
    <row r="56" spans="1:34" ht="15.75" customHeight="1" x14ac:dyDescent="0.2">
      <c r="B56" s="83">
        <f>SUM(B51:B55)</f>
        <v>48100</v>
      </c>
      <c r="J56" s="84" t="s">
        <v>207</v>
      </c>
      <c r="K56" s="4"/>
      <c r="L56" s="36">
        <f>G32</f>
        <v>0</v>
      </c>
      <c r="M56" s="59">
        <f>N32</f>
        <v>15935</v>
      </c>
      <c r="N56" s="59">
        <f>U32</f>
        <v>10005</v>
      </c>
      <c r="O56" s="59">
        <f>AB32</f>
        <v>7835</v>
      </c>
      <c r="P56" s="84">
        <f t="shared" ref="P56:P62" si="46">AVERAGEIF(K56:O56,"&lt;&gt;0")</f>
        <v>11258.333333333334</v>
      </c>
      <c r="R56" s="6"/>
      <c r="AG56" s="1"/>
      <c r="AH56" s="7"/>
    </row>
    <row r="57" spans="1:34" ht="15.75" customHeight="1" x14ac:dyDescent="0.2">
      <c r="J57" s="84" t="s">
        <v>208</v>
      </c>
      <c r="K57" s="4"/>
      <c r="L57" s="36">
        <f>H32</f>
        <v>6040</v>
      </c>
      <c r="M57" s="59">
        <f>O32</f>
        <v>5745</v>
      </c>
      <c r="N57" s="59">
        <f>V32</f>
        <v>0</v>
      </c>
      <c r="O57" s="59">
        <f>AC32</f>
        <v>5490</v>
      </c>
      <c r="P57" s="84">
        <f t="shared" si="46"/>
        <v>5758.333333333333</v>
      </c>
      <c r="AG57" s="1"/>
      <c r="AH57" s="7"/>
    </row>
    <row r="58" spans="1:34" ht="15.75" customHeight="1" x14ac:dyDescent="0.2">
      <c r="J58" s="84" t="s">
        <v>209</v>
      </c>
      <c r="K58" s="59">
        <f>B32</f>
        <v>61365</v>
      </c>
      <c r="L58" s="36">
        <f>I32</f>
        <v>8355</v>
      </c>
      <c r="M58" s="59">
        <f>P32</f>
        <v>23905</v>
      </c>
      <c r="N58" s="59">
        <f>W32</f>
        <v>3955</v>
      </c>
      <c r="O58" s="59">
        <f>AD32</f>
        <v>8230</v>
      </c>
      <c r="P58" s="84">
        <f t="shared" si="46"/>
        <v>21162</v>
      </c>
      <c r="AG58" s="1"/>
      <c r="AH58" s="7"/>
    </row>
    <row r="59" spans="1:34" ht="15.75" customHeight="1" x14ac:dyDescent="0.2">
      <c r="A59" s="14" t="s">
        <v>210</v>
      </c>
      <c r="B59" s="14">
        <v>29</v>
      </c>
      <c r="J59" s="84" t="s">
        <v>211</v>
      </c>
      <c r="K59" s="59">
        <f>C32</f>
        <v>8220</v>
      </c>
      <c r="L59" s="59">
        <f>J32</f>
        <v>7730</v>
      </c>
      <c r="M59" s="59">
        <f>Q32</f>
        <v>18595</v>
      </c>
      <c r="N59" s="59">
        <f>X32</f>
        <v>10095</v>
      </c>
      <c r="O59" s="59">
        <f>AF32</f>
        <v>8435</v>
      </c>
      <c r="P59" s="84">
        <f t="shared" si="46"/>
        <v>10615</v>
      </c>
      <c r="AG59" s="1"/>
      <c r="AH59" s="7"/>
    </row>
    <row r="60" spans="1:34" ht="15.75" customHeight="1" x14ac:dyDescent="0.2">
      <c r="J60" s="84" t="s">
        <v>212</v>
      </c>
      <c r="K60" s="59">
        <f>D32</f>
        <v>8845</v>
      </c>
      <c r="L60" s="59">
        <f>K32</f>
        <v>10740</v>
      </c>
      <c r="M60" s="59">
        <f>R32</f>
        <v>14687</v>
      </c>
      <c r="N60" s="59">
        <f>Y32</f>
        <v>9455</v>
      </c>
      <c r="O60" s="4"/>
      <c r="P60" s="84">
        <f t="shared" si="46"/>
        <v>10931.75</v>
      </c>
      <c r="AG60" s="1"/>
      <c r="AH60" s="7"/>
    </row>
    <row r="61" spans="1:34" ht="15.75" customHeight="1" x14ac:dyDescent="0.2">
      <c r="J61" s="84" t="s">
        <v>213</v>
      </c>
      <c r="K61" s="59">
        <f>E32</f>
        <v>11950</v>
      </c>
      <c r="L61" s="59">
        <f>L32</f>
        <v>7190</v>
      </c>
      <c r="M61" s="59">
        <f>S32</f>
        <v>14549</v>
      </c>
      <c r="N61" s="59">
        <f>Z32</f>
        <v>8035</v>
      </c>
      <c r="O61" s="4"/>
      <c r="P61" s="84">
        <f t="shared" si="46"/>
        <v>10431</v>
      </c>
      <c r="AG61" s="1"/>
      <c r="AH61" s="7"/>
    </row>
    <row r="62" spans="1:34" ht="15.75" customHeight="1" x14ac:dyDescent="0.2">
      <c r="J62" s="84" t="s">
        <v>214</v>
      </c>
      <c r="K62" s="36">
        <f>F32</f>
        <v>19770</v>
      </c>
      <c r="L62" s="59">
        <f>M32</f>
        <v>24865</v>
      </c>
      <c r="M62" s="59">
        <f>T32</f>
        <v>13435</v>
      </c>
      <c r="N62" s="59">
        <f>AA32</f>
        <v>16780</v>
      </c>
      <c r="O62" s="4"/>
      <c r="P62" s="84">
        <f t="shared" si="46"/>
        <v>18712.5</v>
      </c>
      <c r="AG62" s="1"/>
      <c r="AH62" s="7"/>
    </row>
    <row r="63" spans="1:34" ht="15.75" customHeight="1" x14ac:dyDescent="0.2">
      <c r="Q63" s="14" t="s">
        <v>127</v>
      </c>
      <c r="AG63" s="1"/>
      <c r="AH63" s="7"/>
    </row>
    <row r="64" spans="1:34" ht="15.75" customHeight="1" x14ac:dyDescent="0.2">
      <c r="AG64" s="1"/>
      <c r="AH64" s="7"/>
    </row>
    <row r="65" spans="25:34" ht="14" x14ac:dyDescent="0.2">
      <c r="AG65" s="1"/>
      <c r="AH65" s="7"/>
    </row>
    <row r="66" spans="25:34" ht="14" x14ac:dyDescent="0.2">
      <c r="Y66" s="14" t="s">
        <v>206</v>
      </c>
      <c r="AG66" s="1"/>
      <c r="AH66" s="7"/>
    </row>
    <row r="67" spans="25:34" ht="14" x14ac:dyDescent="0.2">
      <c r="AG67" s="1"/>
      <c r="AH67" s="7"/>
    </row>
    <row r="68" spans="25:34" ht="14" x14ac:dyDescent="0.2">
      <c r="AG68" s="1"/>
      <c r="AH68" s="7"/>
    </row>
    <row r="69" spans="25:34" ht="14" x14ac:dyDescent="0.2">
      <c r="AG69" s="1"/>
      <c r="AH69" s="7"/>
    </row>
    <row r="70" spans="25:34" ht="14" x14ac:dyDescent="0.2">
      <c r="AG70" s="1"/>
      <c r="AH70" s="7"/>
    </row>
    <row r="71" spans="25:34" ht="14" x14ac:dyDescent="0.2">
      <c r="AG71" s="1"/>
      <c r="AH71" s="7"/>
    </row>
    <row r="72" spans="25:34" ht="14" x14ac:dyDescent="0.2">
      <c r="AG72" s="1"/>
      <c r="AH72" s="7"/>
    </row>
    <row r="73" spans="25:34" ht="14" x14ac:dyDescent="0.2">
      <c r="AG73" s="1"/>
      <c r="AH73" s="7"/>
    </row>
    <row r="74" spans="25:34" ht="14" x14ac:dyDescent="0.2">
      <c r="AG74" s="1"/>
      <c r="AH74" s="7"/>
    </row>
    <row r="75" spans="25:34" ht="14" x14ac:dyDescent="0.2">
      <c r="AG75" s="1"/>
      <c r="AH75" s="7"/>
    </row>
    <row r="76" spans="25:34" ht="14" x14ac:dyDescent="0.2">
      <c r="AG76" s="1"/>
      <c r="AH76" s="7"/>
    </row>
    <row r="77" spans="25:34" ht="14" x14ac:dyDescent="0.2">
      <c r="AG77" s="1"/>
      <c r="AH77" s="7"/>
    </row>
    <row r="78" spans="25:34" ht="14" x14ac:dyDescent="0.2">
      <c r="AG78" s="1"/>
      <c r="AH78" s="7"/>
    </row>
    <row r="79" spans="25:34" ht="14" x14ac:dyDescent="0.2">
      <c r="AG79" s="1"/>
      <c r="AH79" s="7"/>
    </row>
    <row r="80" spans="25:34" ht="14" x14ac:dyDescent="0.2">
      <c r="AG80" s="1"/>
      <c r="AH80" s="7"/>
    </row>
    <row r="81" spans="33:34" ht="14" x14ac:dyDescent="0.2">
      <c r="AG81" s="1"/>
      <c r="AH81" s="7"/>
    </row>
    <row r="82" spans="33:34" ht="14" x14ac:dyDescent="0.2">
      <c r="AG82" s="1"/>
      <c r="AH82" s="7"/>
    </row>
    <row r="83" spans="33:34" ht="14" x14ac:dyDescent="0.2">
      <c r="AG83" s="1"/>
      <c r="AH83" s="7"/>
    </row>
    <row r="84" spans="33:34" ht="14" x14ac:dyDescent="0.2">
      <c r="AG84" s="1"/>
      <c r="AH84" s="7"/>
    </row>
    <row r="85" spans="33:34" ht="14" x14ac:dyDescent="0.2">
      <c r="AG85" s="1"/>
      <c r="AH85" s="7"/>
    </row>
    <row r="86" spans="33:34" ht="14" x14ac:dyDescent="0.2">
      <c r="AG86" s="1"/>
      <c r="AH86" s="7"/>
    </row>
    <row r="87" spans="33:34" ht="14" x14ac:dyDescent="0.2">
      <c r="AG87" s="1"/>
      <c r="AH87" s="7"/>
    </row>
    <row r="88" spans="33:34" ht="14" x14ac:dyDescent="0.2">
      <c r="AG88" s="1"/>
      <c r="AH88" s="7"/>
    </row>
    <row r="89" spans="33:34" ht="14" x14ac:dyDescent="0.2">
      <c r="AG89" s="1"/>
      <c r="AH89" s="7"/>
    </row>
    <row r="90" spans="33:34" ht="14" x14ac:dyDescent="0.2">
      <c r="AG90" s="1"/>
      <c r="AH90" s="7"/>
    </row>
    <row r="91" spans="33:34" ht="14" x14ac:dyDescent="0.2">
      <c r="AG91" s="1"/>
      <c r="AH91" s="7"/>
    </row>
    <row r="92" spans="33:34" ht="14" x14ac:dyDescent="0.2">
      <c r="AG92" s="1"/>
      <c r="AH92" s="7"/>
    </row>
    <row r="93" spans="33:34" ht="14" x14ac:dyDescent="0.2">
      <c r="AG93" s="1"/>
      <c r="AH93" s="7"/>
    </row>
    <row r="94" spans="33:34" ht="14" x14ac:dyDescent="0.2">
      <c r="AG94" s="1"/>
      <c r="AH94" s="7"/>
    </row>
    <row r="95" spans="33:34" ht="14" x14ac:dyDescent="0.2">
      <c r="AG95" s="1"/>
      <c r="AH95" s="7"/>
    </row>
    <row r="96" spans="33:34" ht="14" x14ac:dyDescent="0.2">
      <c r="AG96" s="1"/>
      <c r="AH96" s="7"/>
    </row>
    <row r="97" spans="33:34" ht="14" x14ac:dyDescent="0.2">
      <c r="AG97" s="1"/>
      <c r="AH97" s="7"/>
    </row>
    <row r="98" spans="33:34" ht="14" x14ac:dyDescent="0.2">
      <c r="AG98" s="1"/>
      <c r="AH98" s="7"/>
    </row>
    <row r="99" spans="33:34" ht="14" x14ac:dyDescent="0.2">
      <c r="AG99" s="1"/>
      <c r="AH99" s="7"/>
    </row>
    <row r="100" spans="33:34" ht="14" x14ac:dyDescent="0.2">
      <c r="AG100" s="1"/>
      <c r="AH100" s="7"/>
    </row>
    <row r="101" spans="33:34" ht="14" x14ac:dyDescent="0.2">
      <c r="AG101" s="1"/>
      <c r="AH101" s="7"/>
    </row>
    <row r="102" spans="33:34" ht="14" x14ac:dyDescent="0.2">
      <c r="AG102" s="1"/>
      <c r="AH102" s="7"/>
    </row>
    <row r="103" spans="33:34" ht="14" x14ac:dyDescent="0.2">
      <c r="AG103" s="1"/>
      <c r="AH103" s="7"/>
    </row>
    <row r="104" spans="33:34" ht="14" x14ac:dyDescent="0.2">
      <c r="AG104" s="1"/>
      <c r="AH104" s="7"/>
    </row>
    <row r="105" spans="33:34" ht="14" x14ac:dyDescent="0.2">
      <c r="AG105" s="1"/>
      <c r="AH105" s="7"/>
    </row>
    <row r="106" spans="33:34" ht="14" x14ac:dyDescent="0.2">
      <c r="AG106" s="1"/>
      <c r="AH106" s="7"/>
    </row>
    <row r="107" spans="33:34" ht="14" x14ac:dyDescent="0.2">
      <c r="AG107" s="1"/>
      <c r="AH107" s="7"/>
    </row>
    <row r="108" spans="33:34" ht="14" x14ac:dyDescent="0.2">
      <c r="AG108" s="1"/>
      <c r="AH108" s="7"/>
    </row>
    <row r="109" spans="33:34" ht="14" x14ac:dyDescent="0.2">
      <c r="AG109" s="1"/>
      <c r="AH109" s="7"/>
    </row>
    <row r="110" spans="33:34" ht="14" x14ac:dyDescent="0.2">
      <c r="AG110" s="1"/>
      <c r="AH110" s="7"/>
    </row>
    <row r="111" spans="33:34" ht="14" x14ac:dyDescent="0.2">
      <c r="AG111" s="1"/>
      <c r="AH111" s="7"/>
    </row>
    <row r="112" spans="33:34" ht="14" x14ac:dyDescent="0.2">
      <c r="AG112" s="1"/>
      <c r="AH112" s="7"/>
    </row>
    <row r="113" spans="33:34" ht="14" x14ac:dyDescent="0.2">
      <c r="AG113" s="1"/>
      <c r="AH113" s="7"/>
    </row>
    <row r="114" spans="33:34" ht="14" x14ac:dyDescent="0.2">
      <c r="AG114" s="1"/>
      <c r="AH114" s="7"/>
    </row>
    <row r="115" spans="33:34" ht="14" x14ac:dyDescent="0.2">
      <c r="AG115" s="1"/>
      <c r="AH115" s="7"/>
    </row>
    <row r="116" spans="33:34" ht="14" x14ac:dyDescent="0.2">
      <c r="AG116" s="1"/>
      <c r="AH116" s="7"/>
    </row>
    <row r="117" spans="33:34" ht="14" x14ac:dyDescent="0.2">
      <c r="AG117" s="1"/>
      <c r="AH117" s="7"/>
    </row>
    <row r="118" spans="33:34" ht="14" x14ac:dyDescent="0.2">
      <c r="AG118" s="1"/>
      <c r="AH118" s="7"/>
    </row>
    <row r="119" spans="33:34" ht="14" x14ac:dyDescent="0.2">
      <c r="AG119" s="1"/>
      <c r="AH119" s="7"/>
    </row>
    <row r="120" spans="33:34" ht="14" x14ac:dyDescent="0.2">
      <c r="AG120" s="1"/>
      <c r="AH120" s="7"/>
    </row>
    <row r="121" spans="33:34" ht="14" x14ac:dyDescent="0.2">
      <c r="AG121" s="1"/>
      <c r="AH121" s="7"/>
    </row>
    <row r="122" spans="33:34" ht="14" x14ac:dyDescent="0.2">
      <c r="AG122" s="1"/>
      <c r="AH122" s="7"/>
    </row>
    <row r="123" spans="33:34" ht="14" x14ac:dyDescent="0.2">
      <c r="AG123" s="1"/>
      <c r="AH123" s="7"/>
    </row>
    <row r="124" spans="33:34" ht="14" x14ac:dyDescent="0.2">
      <c r="AG124" s="1"/>
      <c r="AH124" s="7"/>
    </row>
    <row r="125" spans="33:34" ht="14" x14ac:dyDescent="0.2">
      <c r="AG125" s="1"/>
      <c r="AH125" s="7"/>
    </row>
    <row r="126" spans="33:34" ht="14" x14ac:dyDescent="0.2">
      <c r="AG126" s="1"/>
      <c r="AH126" s="7"/>
    </row>
    <row r="127" spans="33:34" ht="14" x14ac:dyDescent="0.2">
      <c r="AG127" s="1"/>
      <c r="AH127" s="7"/>
    </row>
    <row r="128" spans="33:34" ht="14" x14ac:dyDescent="0.2">
      <c r="AG128" s="1"/>
      <c r="AH128" s="7"/>
    </row>
    <row r="129" spans="33:34" ht="14" x14ac:dyDescent="0.2">
      <c r="AG129" s="1"/>
      <c r="AH129" s="7"/>
    </row>
    <row r="130" spans="33:34" ht="14" x14ac:dyDescent="0.2">
      <c r="AG130" s="1"/>
      <c r="AH130" s="7"/>
    </row>
    <row r="131" spans="33:34" ht="14" x14ac:dyDescent="0.2">
      <c r="AG131" s="1"/>
      <c r="AH131" s="7"/>
    </row>
    <row r="132" spans="33:34" ht="14" x14ac:dyDescent="0.2">
      <c r="AG132" s="1"/>
      <c r="AH132" s="7"/>
    </row>
    <row r="133" spans="33:34" ht="14" x14ac:dyDescent="0.2">
      <c r="AG133" s="1"/>
      <c r="AH133" s="7"/>
    </row>
    <row r="134" spans="33:34" ht="14" x14ac:dyDescent="0.2">
      <c r="AG134" s="1"/>
      <c r="AH134" s="7"/>
    </row>
    <row r="135" spans="33:34" ht="14" x14ac:dyDescent="0.2">
      <c r="AG135" s="1"/>
      <c r="AH135" s="7"/>
    </row>
    <row r="136" spans="33:34" ht="14" x14ac:dyDescent="0.2">
      <c r="AG136" s="1"/>
      <c r="AH136" s="7"/>
    </row>
    <row r="137" spans="33:34" ht="14" x14ac:dyDescent="0.2">
      <c r="AG137" s="1"/>
      <c r="AH137" s="7"/>
    </row>
    <row r="138" spans="33:34" ht="14" x14ac:dyDescent="0.2">
      <c r="AG138" s="1"/>
      <c r="AH138" s="7"/>
    </row>
    <row r="139" spans="33:34" ht="14" x14ac:dyDescent="0.2">
      <c r="AG139" s="1"/>
      <c r="AH139" s="7"/>
    </row>
    <row r="140" spans="33:34" ht="14" x14ac:dyDescent="0.2">
      <c r="AG140" s="1"/>
      <c r="AH140" s="7"/>
    </row>
    <row r="141" spans="33:34" ht="14" x14ac:dyDescent="0.2">
      <c r="AG141" s="1"/>
      <c r="AH141" s="7"/>
    </row>
    <row r="142" spans="33:34" ht="14" x14ac:dyDescent="0.2">
      <c r="AG142" s="1"/>
      <c r="AH142" s="7"/>
    </row>
    <row r="143" spans="33:34" ht="14" x14ac:dyDescent="0.2">
      <c r="AG143" s="1"/>
      <c r="AH143" s="7"/>
    </row>
    <row r="144" spans="33:34" ht="14" x14ac:dyDescent="0.2">
      <c r="AG144" s="1"/>
      <c r="AH144" s="7"/>
    </row>
    <row r="145" spans="33:34" ht="14" x14ac:dyDescent="0.2">
      <c r="AG145" s="1"/>
      <c r="AH145" s="7"/>
    </row>
    <row r="146" spans="33:34" ht="14" x14ac:dyDescent="0.2">
      <c r="AG146" s="1"/>
      <c r="AH146" s="7"/>
    </row>
    <row r="147" spans="33:34" ht="14" x14ac:dyDescent="0.2">
      <c r="AG147" s="1"/>
      <c r="AH147" s="7"/>
    </row>
    <row r="148" spans="33:34" ht="14" x14ac:dyDescent="0.2">
      <c r="AG148" s="1"/>
      <c r="AH148" s="7"/>
    </row>
    <row r="149" spans="33:34" ht="14" x14ac:dyDescent="0.2">
      <c r="AG149" s="1"/>
      <c r="AH149" s="7"/>
    </row>
    <row r="150" spans="33:34" ht="14" x14ac:dyDescent="0.2">
      <c r="AG150" s="1"/>
      <c r="AH150" s="7"/>
    </row>
    <row r="151" spans="33:34" ht="14" x14ac:dyDescent="0.2">
      <c r="AG151" s="1"/>
      <c r="AH151" s="7"/>
    </row>
    <row r="152" spans="33:34" ht="14" x14ac:dyDescent="0.2">
      <c r="AG152" s="1"/>
      <c r="AH152" s="7"/>
    </row>
    <row r="153" spans="33:34" ht="14" x14ac:dyDescent="0.2">
      <c r="AG153" s="1"/>
      <c r="AH153" s="7"/>
    </row>
    <row r="154" spans="33:34" ht="14" x14ac:dyDescent="0.2">
      <c r="AG154" s="1"/>
      <c r="AH154" s="7"/>
    </row>
    <row r="155" spans="33:34" ht="14" x14ac:dyDescent="0.2">
      <c r="AG155" s="1"/>
      <c r="AH155" s="7"/>
    </row>
    <row r="156" spans="33:34" ht="14" x14ac:dyDescent="0.2">
      <c r="AG156" s="1"/>
      <c r="AH156" s="7"/>
    </row>
    <row r="157" spans="33:34" ht="14" x14ac:dyDescent="0.2">
      <c r="AG157" s="1"/>
      <c r="AH157" s="7"/>
    </row>
    <row r="158" spans="33:34" ht="14" x14ac:dyDescent="0.2">
      <c r="AG158" s="1"/>
      <c r="AH158" s="7"/>
    </row>
    <row r="159" spans="33:34" ht="14" x14ac:dyDescent="0.2">
      <c r="AG159" s="1"/>
      <c r="AH159" s="7"/>
    </row>
    <row r="160" spans="33:34" ht="14" x14ac:dyDescent="0.2">
      <c r="AG160" s="1"/>
      <c r="AH160" s="7"/>
    </row>
    <row r="161" spans="33:34" ht="14" x14ac:dyDescent="0.2">
      <c r="AG161" s="1"/>
      <c r="AH161" s="7"/>
    </row>
    <row r="162" spans="33:34" ht="14" x14ac:dyDescent="0.2">
      <c r="AG162" s="1"/>
      <c r="AH162" s="7"/>
    </row>
    <row r="163" spans="33:34" ht="14" x14ac:dyDescent="0.2">
      <c r="AG163" s="1"/>
      <c r="AH163" s="7"/>
    </row>
    <row r="164" spans="33:34" ht="14" x14ac:dyDescent="0.2">
      <c r="AG164" s="1"/>
      <c r="AH164" s="7"/>
    </row>
    <row r="165" spans="33:34" ht="14" x14ac:dyDescent="0.2">
      <c r="AG165" s="1"/>
      <c r="AH165" s="7"/>
    </row>
    <row r="166" spans="33:34" ht="14" x14ac:dyDescent="0.2">
      <c r="AG166" s="1"/>
      <c r="AH166" s="7"/>
    </row>
    <row r="167" spans="33:34" ht="14" x14ac:dyDescent="0.2">
      <c r="AG167" s="1"/>
      <c r="AH167" s="7"/>
    </row>
    <row r="168" spans="33:34" ht="14" x14ac:dyDescent="0.2">
      <c r="AG168" s="1"/>
      <c r="AH168" s="7"/>
    </row>
    <row r="169" spans="33:34" ht="14" x14ac:dyDescent="0.2">
      <c r="AG169" s="1"/>
      <c r="AH169" s="7"/>
    </row>
    <row r="170" spans="33:34" ht="14" x14ac:dyDescent="0.2">
      <c r="AG170" s="1"/>
      <c r="AH170" s="7"/>
    </row>
    <row r="171" spans="33:34" ht="14" x14ac:dyDescent="0.2">
      <c r="AG171" s="1"/>
      <c r="AH171" s="7"/>
    </row>
    <row r="172" spans="33:34" ht="14" x14ac:dyDescent="0.2">
      <c r="AG172" s="1"/>
      <c r="AH172" s="7"/>
    </row>
    <row r="173" spans="33:34" ht="14" x14ac:dyDescent="0.2">
      <c r="AG173" s="1"/>
      <c r="AH173" s="7"/>
    </row>
    <row r="174" spans="33:34" ht="14" x14ac:dyDescent="0.2">
      <c r="AG174" s="1"/>
      <c r="AH174" s="7"/>
    </row>
    <row r="175" spans="33:34" ht="14" x14ac:dyDescent="0.2">
      <c r="AG175" s="1"/>
      <c r="AH175" s="7"/>
    </row>
    <row r="176" spans="33:34" ht="14" x14ac:dyDescent="0.2">
      <c r="AG176" s="1"/>
      <c r="AH176" s="7"/>
    </row>
    <row r="177" spans="33:34" ht="14" x14ac:dyDescent="0.2">
      <c r="AG177" s="1"/>
      <c r="AH177" s="7"/>
    </row>
    <row r="178" spans="33:34" ht="14" x14ac:dyDescent="0.2">
      <c r="AG178" s="1"/>
      <c r="AH178" s="7"/>
    </row>
    <row r="179" spans="33:34" ht="14" x14ac:dyDescent="0.2">
      <c r="AG179" s="1"/>
      <c r="AH179" s="7"/>
    </row>
    <row r="180" spans="33:34" ht="14" x14ac:dyDescent="0.2">
      <c r="AG180" s="1"/>
      <c r="AH180" s="7"/>
    </row>
    <row r="181" spans="33:34" ht="14" x14ac:dyDescent="0.2">
      <c r="AG181" s="1"/>
      <c r="AH181" s="7"/>
    </row>
    <row r="182" spans="33:34" ht="14" x14ac:dyDescent="0.2">
      <c r="AG182" s="1"/>
      <c r="AH182" s="7"/>
    </row>
    <row r="183" spans="33:34" ht="14" x14ac:dyDescent="0.2">
      <c r="AG183" s="1"/>
      <c r="AH183" s="7"/>
    </row>
    <row r="184" spans="33:34" ht="14" x14ac:dyDescent="0.2">
      <c r="AG184" s="1"/>
      <c r="AH184" s="7"/>
    </row>
    <row r="185" spans="33:34" ht="14" x14ac:dyDescent="0.2">
      <c r="AG185" s="1"/>
      <c r="AH185" s="7"/>
    </row>
    <row r="186" spans="33:34" ht="14" x14ac:dyDescent="0.2">
      <c r="AG186" s="1"/>
      <c r="AH186" s="7"/>
    </row>
    <row r="187" spans="33:34" ht="14" x14ac:dyDescent="0.2">
      <c r="AG187" s="1"/>
      <c r="AH187" s="7"/>
    </row>
    <row r="188" spans="33:34" ht="14" x14ac:dyDescent="0.2">
      <c r="AG188" s="1"/>
      <c r="AH188" s="7"/>
    </row>
    <row r="189" spans="33:34" ht="14" x14ac:dyDescent="0.2">
      <c r="AG189" s="1"/>
      <c r="AH189" s="7"/>
    </row>
    <row r="190" spans="33:34" ht="14" x14ac:dyDescent="0.2">
      <c r="AG190" s="1"/>
      <c r="AH190" s="7"/>
    </row>
    <row r="191" spans="33:34" ht="14" x14ac:dyDescent="0.2">
      <c r="AG191" s="1"/>
      <c r="AH191" s="7"/>
    </row>
    <row r="192" spans="33:34" ht="14" x14ac:dyDescent="0.2">
      <c r="AG192" s="1"/>
      <c r="AH192" s="7"/>
    </row>
    <row r="193" spans="33:34" ht="14" x14ac:dyDescent="0.2">
      <c r="AG193" s="1"/>
      <c r="AH193" s="7"/>
    </row>
    <row r="194" spans="33:34" ht="14" x14ac:dyDescent="0.2">
      <c r="AG194" s="1"/>
      <c r="AH194" s="7"/>
    </row>
    <row r="195" spans="33:34" ht="14" x14ac:dyDescent="0.2">
      <c r="AG195" s="1"/>
      <c r="AH195" s="7"/>
    </row>
    <row r="196" spans="33:34" ht="14" x14ac:dyDescent="0.2">
      <c r="AG196" s="1"/>
      <c r="AH196" s="7"/>
    </row>
    <row r="197" spans="33:34" ht="14" x14ac:dyDescent="0.2">
      <c r="AG197" s="1"/>
      <c r="AH197" s="7"/>
    </row>
    <row r="198" spans="33:34" ht="14" x14ac:dyDescent="0.2">
      <c r="AG198" s="1"/>
      <c r="AH198" s="7"/>
    </row>
    <row r="199" spans="33:34" ht="14" x14ac:dyDescent="0.2">
      <c r="AG199" s="1"/>
      <c r="AH199" s="7"/>
    </row>
    <row r="200" spans="33:34" ht="14" x14ac:dyDescent="0.2">
      <c r="AG200" s="1"/>
      <c r="AH200" s="7"/>
    </row>
    <row r="201" spans="33:34" ht="14" x14ac:dyDescent="0.2">
      <c r="AG201" s="1"/>
      <c r="AH201" s="7"/>
    </row>
    <row r="202" spans="33:34" ht="14" x14ac:dyDescent="0.2">
      <c r="AG202" s="1"/>
      <c r="AH202" s="7"/>
    </row>
    <row r="203" spans="33:34" ht="14" x14ac:dyDescent="0.2">
      <c r="AG203" s="1"/>
      <c r="AH203" s="7"/>
    </row>
    <row r="204" spans="33:34" ht="14" x14ac:dyDescent="0.2">
      <c r="AG204" s="1"/>
      <c r="AH204" s="7"/>
    </row>
    <row r="205" spans="33:34" ht="14" x14ac:dyDescent="0.2">
      <c r="AG205" s="1"/>
      <c r="AH205" s="7"/>
    </row>
    <row r="206" spans="33:34" ht="14" x14ac:dyDescent="0.2">
      <c r="AG206" s="1"/>
      <c r="AH206" s="7"/>
    </row>
    <row r="207" spans="33:34" ht="14" x14ac:dyDescent="0.2">
      <c r="AG207" s="1"/>
      <c r="AH207" s="7"/>
    </row>
    <row r="208" spans="33:34" ht="14" x14ac:dyDescent="0.2">
      <c r="AG208" s="1"/>
      <c r="AH208" s="7"/>
    </row>
    <row r="209" spans="33:34" ht="14" x14ac:dyDescent="0.2">
      <c r="AG209" s="1"/>
      <c r="AH209" s="7"/>
    </row>
    <row r="210" spans="33:34" ht="14" x14ac:dyDescent="0.2">
      <c r="AG210" s="1"/>
      <c r="AH210" s="7"/>
    </row>
    <row r="211" spans="33:34" ht="14" x14ac:dyDescent="0.2">
      <c r="AG211" s="1"/>
      <c r="AH211" s="7"/>
    </row>
    <row r="212" spans="33:34" ht="14" x14ac:dyDescent="0.2">
      <c r="AG212" s="1"/>
      <c r="AH212" s="7"/>
    </row>
    <row r="213" spans="33:34" ht="14" x14ac:dyDescent="0.2">
      <c r="AG213" s="1"/>
      <c r="AH213" s="7"/>
    </row>
    <row r="214" spans="33:34" ht="14" x14ac:dyDescent="0.2">
      <c r="AG214" s="1"/>
      <c r="AH214" s="7"/>
    </row>
    <row r="215" spans="33:34" ht="14" x14ac:dyDescent="0.2">
      <c r="AG215" s="1"/>
      <c r="AH215" s="7"/>
    </row>
    <row r="216" spans="33:34" ht="14" x14ac:dyDescent="0.2">
      <c r="AG216" s="1"/>
      <c r="AH216" s="7"/>
    </row>
    <row r="217" spans="33:34" ht="14" x14ac:dyDescent="0.2">
      <c r="AG217" s="1"/>
      <c r="AH217" s="7"/>
    </row>
    <row r="218" spans="33:34" ht="14" x14ac:dyDescent="0.2">
      <c r="AG218" s="1"/>
      <c r="AH218" s="7"/>
    </row>
    <row r="219" spans="33:34" ht="14" x14ac:dyDescent="0.2">
      <c r="AG219" s="1"/>
      <c r="AH219" s="7"/>
    </row>
    <row r="220" spans="33:34" ht="14" x14ac:dyDescent="0.2">
      <c r="AG220" s="1"/>
      <c r="AH220" s="7"/>
    </row>
    <row r="221" spans="33:34" ht="14" x14ac:dyDescent="0.2">
      <c r="AG221" s="1"/>
      <c r="AH221" s="7"/>
    </row>
    <row r="222" spans="33:34" ht="14" x14ac:dyDescent="0.2">
      <c r="AG222" s="1"/>
      <c r="AH222" s="7"/>
    </row>
    <row r="223" spans="33:34" ht="14" x14ac:dyDescent="0.2">
      <c r="AG223" s="1"/>
      <c r="AH223" s="7"/>
    </row>
    <row r="224" spans="33:34" ht="14" x14ac:dyDescent="0.2">
      <c r="AG224" s="1"/>
      <c r="AH224" s="7"/>
    </row>
    <row r="225" spans="33:34" ht="14" x14ac:dyDescent="0.2">
      <c r="AG225" s="1"/>
      <c r="AH225" s="7"/>
    </row>
    <row r="226" spans="33:34" ht="14" x14ac:dyDescent="0.2">
      <c r="AG226" s="1"/>
      <c r="AH226" s="7"/>
    </row>
    <row r="227" spans="33:34" ht="14" x14ac:dyDescent="0.2">
      <c r="AG227" s="1"/>
      <c r="AH227" s="7"/>
    </row>
    <row r="228" spans="33:34" ht="14" x14ac:dyDescent="0.2">
      <c r="AG228" s="1"/>
      <c r="AH228" s="7"/>
    </row>
    <row r="229" spans="33:34" ht="14" x14ac:dyDescent="0.2">
      <c r="AG229" s="1"/>
      <c r="AH229" s="7"/>
    </row>
    <row r="230" spans="33:34" ht="14" x14ac:dyDescent="0.2">
      <c r="AG230" s="1"/>
      <c r="AH230" s="7"/>
    </row>
    <row r="231" spans="33:34" ht="14" x14ac:dyDescent="0.2">
      <c r="AG231" s="1"/>
      <c r="AH231" s="7"/>
    </row>
    <row r="232" spans="33:34" ht="14" x14ac:dyDescent="0.2">
      <c r="AG232" s="1"/>
      <c r="AH232" s="7"/>
    </row>
    <row r="233" spans="33:34" ht="14" x14ac:dyDescent="0.2">
      <c r="AG233" s="1"/>
      <c r="AH233" s="7"/>
    </row>
    <row r="234" spans="33:34" ht="14" x14ac:dyDescent="0.2">
      <c r="AG234" s="1"/>
      <c r="AH234" s="7"/>
    </row>
    <row r="235" spans="33:34" ht="14" x14ac:dyDescent="0.2">
      <c r="AG235" s="1"/>
      <c r="AH235" s="7"/>
    </row>
    <row r="236" spans="33:34" ht="14" x14ac:dyDescent="0.2">
      <c r="AG236" s="1"/>
      <c r="AH236" s="7"/>
    </row>
    <row r="237" spans="33:34" ht="14" x14ac:dyDescent="0.2">
      <c r="AG237" s="1"/>
      <c r="AH237" s="7"/>
    </row>
    <row r="238" spans="33:34" ht="14" x14ac:dyDescent="0.2">
      <c r="AG238" s="1"/>
      <c r="AH238" s="7"/>
    </row>
    <row r="239" spans="33:34" ht="14" x14ac:dyDescent="0.2">
      <c r="AG239" s="1"/>
      <c r="AH239" s="7"/>
    </row>
    <row r="240" spans="33:34" ht="14" x14ac:dyDescent="0.2">
      <c r="AG240" s="1"/>
      <c r="AH240" s="7"/>
    </row>
    <row r="241" spans="33:34" ht="14" x14ac:dyDescent="0.2">
      <c r="AG241" s="1"/>
      <c r="AH241" s="7"/>
    </row>
    <row r="242" spans="33:34" ht="14" x14ac:dyDescent="0.2">
      <c r="AG242" s="1"/>
      <c r="AH242" s="7"/>
    </row>
    <row r="243" spans="33:34" ht="14" x14ac:dyDescent="0.2">
      <c r="AG243" s="1"/>
      <c r="AH243" s="7"/>
    </row>
    <row r="244" spans="33:34" ht="14" x14ac:dyDescent="0.2">
      <c r="AG244" s="1"/>
      <c r="AH244" s="7"/>
    </row>
    <row r="245" spans="33:34" ht="14" x14ac:dyDescent="0.2">
      <c r="AG245" s="1"/>
      <c r="AH245" s="7"/>
    </row>
    <row r="246" spans="33:34" ht="14" x14ac:dyDescent="0.2">
      <c r="AG246" s="1"/>
      <c r="AH246" s="7"/>
    </row>
    <row r="247" spans="33:34" ht="14" x14ac:dyDescent="0.2">
      <c r="AG247" s="1"/>
      <c r="AH247" s="7"/>
    </row>
    <row r="248" spans="33:34" ht="14" x14ac:dyDescent="0.2">
      <c r="AG248" s="1"/>
      <c r="AH248" s="7"/>
    </row>
    <row r="249" spans="33:34" ht="14" x14ac:dyDescent="0.2">
      <c r="AG249" s="1"/>
      <c r="AH249" s="7"/>
    </row>
    <row r="250" spans="33:34" ht="14" x14ac:dyDescent="0.2">
      <c r="AG250" s="1"/>
      <c r="AH250" s="7"/>
    </row>
    <row r="251" spans="33:34" ht="14" x14ac:dyDescent="0.2">
      <c r="AG251" s="1"/>
      <c r="AH251" s="7"/>
    </row>
    <row r="252" spans="33:34" ht="14" x14ac:dyDescent="0.2">
      <c r="AG252" s="1"/>
      <c r="AH252" s="7"/>
    </row>
    <row r="253" spans="33:34" ht="14" x14ac:dyDescent="0.2">
      <c r="AG253" s="1"/>
      <c r="AH253" s="7"/>
    </row>
    <row r="254" spans="33:34" ht="14" x14ac:dyDescent="0.2">
      <c r="AG254" s="1"/>
      <c r="AH254" s="7"/>
    </row>
    <row r="255" spans="33:34" ht="14" x14ac:dyDescent="0.2">
      <c r="AG255" s="1"/>
      <c r="AH255" s="7"/>
    </row>
    <row r="256" spans="33:34" ht="14" x14ac:dyDescent="0.2">
      <c r="AG256" s="1"/>
      <c r="AH256" s="7"/>
    </row>
    <row r="257" spans="33:34" ht="14" x14ac:dyDescent="0.2">
      <c r="AG257" s="1"/>
      <c r="AH257" s="7"/>
    </row>
    <row r="258" spans="33:34" ht="14" x14ac:dyDescent="0.2">
      <c r="AG258" s="1"/>
      <c r="AH258" s="7"/>
    </row>
    <row r="259" spans="33:34" ht="14" x14ac:dyDescent="0.2">
      <c r="AG259" s="1"/>
      <c r="AH259" s="7"/>
    </row>
    <row r="260" spans="33:34" ht="14" x14ac:dyDescent="0.2">
      <c r="AG260" s="1"/>
      <c r="AH260" s="7"/>
    </row>
    <row r="261" spans="33:34" ht="14" x14ac:dyDescent="0.2">
      <c r="AG261" s="1"/>
      <c r="AH261" s="7"/>
    </row>
    <row r="262" spans="33:34" ht="14" x14ac:dyDescent="0.2">
      <c r="AG262" s="1"/>
      <c r="AH262" s="7"/>
    </row>
    <row r="263" spans="33:34" ht="14" x14ac:dyDescent="0.2">
      <c r="AG263" s="1"/>
      <c r="AH263" s="7"/>
    </row>
    <row r="264" spans="33:34" ht="14" x14ac:dyDescent="0.2">
      <c r="AG264" s="1"/>
      <c r="AH264" s="7"/>
    </row>
    <row r="265" spans="33:34" ht="14" x14ac:dyDescent="0.2">
      <c r="AG265" s="1"/>
      <c r="AH265" s="7"/>
    </row>
    <row r="266" spans="33:34" ht="14" x14ac:dyDescent="0.2">
      <c r="AG266" s="1"/>
      <c r="AH266" s="7"/>
    </row>
    <row r="267" spans="33:34" ht="14" x14ac:dyDescent="0.2">
      <c r="AG267" s="1"/>
      <c r="AH267" s="7"/>
    </row>
    <row r="268" spans="33:34" ht="14" x14ac:dyDescent="0.2">
      <c r="AG268" s="1"/>
      <c r="AH268" s="7"/>
    </row>
    <row r="269" spans="33:34" ht="14" x14ac:dyDescent="0.2">
      <c r="AG269" s="1"/>
      <c r="AH269" s="7"/>
    </row>
    <row r="270" spans="33:34" ht="14" x14ac:dyDescent="0.2">
      <c r="AG270" s="1"/>
      <c r="AH270" s="7"/>
    </row>
    <row r="271" spans="33:34" ht="14" x14ac:dyDescent="0.2">
      <c r="AG271" s="1"/>
      <c r="AH271" s="7"/>
    </row>
    <row r="272" spans="33:34" ht="14" x14ac:dyDescent="0.2">
      <c r="AG272" s="1"/>
      <c r="AH272" s="7"/>
    </row>
    <row r="273" spans="33:34" ht="14" x14ac:dyDescent="0.2">
      <c r="AG273" s="1"/>
      <c r="AH273" s="7"/>
    </row>
    <row r="274" spans="33:34" ht="14" x14ac:dyDescent="0.2">
      <c r="AG274" s="1"/>
      <c r="AH274" s="7"/>
    </row>
    <row r="275" spans="33:34" ht="14" x14ac:dyDescent="0.2">
      <c r="AG275" s="1"/>
      <c r="AH275" s="7"/>
    </row>
    <row r="276" spans="33:34" ht="14" x14ac:dyDescent="0.2">
      <c r="AG276" s="1"/>
      <c r="AH276" s="7"/>
    </row>
    <row r="277" spans="33:34" ht="14" x14ac:dyDescent="0.2">
      <c r="AG277" s="1"/>
      <c r="AH277" s="7"/>
    </row>
    <row r="278" spans="33:34" ht="14" x14ac:dyDescent="0.2">
      <c r="AG278" s="1"/>
      <c r="AH278" s="7"/>
    </row>
    <row r="279" spans="33:34" ht="14" x14ac:dyDescent="0.2">
      <c r="AG279" s="1"/>
      <c r="AH279" s="7"/>
    </row>
    <row r="280" spans="33:34" ht="14" x14ac:dyDescent="0.2">
      <c r="AG280" s="1"/>
      <c r="AH280" s="7"/>
    </row>
    <row r="281" spans="33:34" ht="14" x14ac:dyDescent="0.2">
      <c r="AG281" s="1"/>
      <c r="AH281" s="7"/>
    </row>
    <row r="282" spans="33:34" ht="14" x14ac:dyDescent="0.2">
      <c r="AG282" s="1"/>
      <c r="AH282" s="7"/>
    </row>
    <row r="283" spans="33:34" ht="14" x14ac:dyDescent="0.2">
      <c r="AG283" s="1"/>
      <c r="AH283" s="7"/>
    </row>
    <row r="284" spans="33:34" ht="14" x14ac:dyDescent="0.2">
      <c r="AG284" s="1"/>
      <c r="AH284" s="7"/>
    </row>
    <row r="285" spans="33:34" ht="14" x14ac:dyDescent="0.2">
      <c r="AG285" s="1"/>
      <c r="AH285" s="7"/>
    </row>
    <row r="286" spans="33:34" ht="14" x14ac:dyDescent="0.2">
      <c r="AG286" s="1"/>
      <c r="AH286" s="7"/>
    </row>
    <row r="287" spans="33:34" ht="14" x14ac:dyDescent="0.2">
      <c r="AG287" s="1"/>
      <c r="AH287" s="7"/>
    </row>
    <row r="288" spans="33:34" ht="14" x14ac:dyDescent="0.2">
      <c r="AG288" s="1"/>
      <c r="AH288" s="7"/>
    </row>
    <row r="289" spans="33:34" ht="14" x14ac:dyDescent="0.2">
      <c r="AG289" s="1"/>
      <c r="AH289" s="7"/>
    </row>
    <row r="290" spans="33:34" ht="14" x14ac:dyDescent="0.2">
      <c r="AG290" s="1"/>
      <c r="AH290" s="7"/>
    </row>
    <row r="291" spans="33:34" ht="14" x14ac:dyDescent="0.2">
      <c r="AG291" s="1"/>
      <c r="AH291" s="7"/>
    </row>
    <row r="292" spans="33:34" ht="14" x14ac:dyDescent="0.2">
      <c r="AG292" s="1"/>
      <c r="AH292" s="7"/>
    </row>
    <row r="293" spans="33:34" ht="14" x14ac:dyDescent="0.2">
      <c r="AG293" s="1"/>
      <c r="AH293" s="7"/>
    </row>
    <row r="294" spans="33:34" ht="14" x14ac:dyDescent="0.2">
      <c r="AG294" s="1"/>
      <c r="AH294" s="7"/>
    </row>
    <row r="295" spans="33:34" ht="14" x14ac:dyDescent="0.2">
      <c r="AG295" s="1"/>
      <c r="AH295" s="7"/>
    </row>
    <row r="296" spans="33:34" ht="14" x14ac:dyDescent="0.2">
      <c r="AG296" s="1"/>
      <c r="AH296" s="7"/>
    </row>
    <row r="297" spans="33:34" ht="14" x14ac:dyDescent="0.2">
      <c r="AG297" s="1"/>
      <c r="AH297" s="7"/>
    </row>
    <row r="298" spans="33:34" ht="14" x14ac:dyDescent="0.2">
      <c r="AG298" s="1"/>
      <c r="AH298" s="7"/>
    </row>
    <row r="299" spans="33:34" ht="14" x14ac:dyDescent="0.2">
      <c r="AG299" s="1"/>
      <c r="AH299" s="7"/>
    </row>
    <row r="300" spans="33:34" ht="14" x14ac:dyDescent="0.2">
      <c r="AG300" s="1"/>
      <c r="AH300" s="7"/>
    </row>
    <row r="301" spans="33:34" ht="14" x14ac:dyDescent="0.2">
      <c r="AG301" s="1"/>
      <c r="AH301" s="7"/>
    </row>
    <row r="302" spans="33:34" ht="14" x14ac:dyDescent="0.2">
      <c r="AG302" s="1"/>
      <c r="AH302" s="7"/>
    </row>
    <row r="303" spans="33:34" ht="14" x14ac:dyDescent="0.2">
      <c r="AG303" s="1"/>
      <c r="AH303" s="7"/>
    </row>
    <row r="304" spans="33:34" ht="14" x14ac:dyDescent="0.2">
      <c r="AG304" s="1"/>
      <c r="AH304" s="7"/>
    </row>
    <row r="305" spans="33:34" ht="14" x14ac:dyDescent="0.2">
      <c r="AG305" s="1"/>
      <c r="AH305" s="7"/>
    </row>
    <row r="306" spans="33:34" ht="14" x14ac:dyDescent="0.2">
      <c r="AG306" s="1"/>
      <c r="AH306" s="7"/>
    </row>
    <row r="307" spans="33:34" ht="14" x14ac:dyDescent="0.2">
      <c r="AG307" s="1"/>
      <c r="AH307" s="7"/>
    </row>
    <row r="308" spans="33:34" ht="14" x14ac:dyDescent="0.2">
      <c r="AG308" s="1"/>
      <c r="AH308" s="7"/>
    </row>
    <row r="309" spans="33:34" ht="14" x14ac:dyDescent="0.2">
      <c r="AG309" s="1"/>
      <c r="AH309" s="7"/>
    </row>
    <row r="310" spans="33:34" ht="14" x14ac:dyDescent="0.2">
      <c r="AG310" s="1"/>
      <c r="AH310" s="7"/>
    </row>
    <row r="311" spans="33:34" ht="14" x14ac:dyDescent="0.2">
      <c r="AG311" s="1"/>
      <c r="AH311" s="7"/>
    </row>
    <row r="312" spans="33:34" ht="14" x14ac:dyDescent="0.2">
      <c r="AG312" s="1"/>
      <c r="AH312" s="7"/>
    </row>
    <row r="313" spans="33:34" ht="14" x14ac:dyDescent="0.2">
      <c r="AG313" s="1"/>
      <c r="AH313" s="7"/>
    </row>
    <row r="314" spans="33:34" ht="14" x14ac:dyDescent="0.2">
      <c r="AG314" s="1"/>
      <c r="AH314" s="7"/>
    </row>
    <row r="315" spans="33:34" ht="14" x14ac:dyDescent="0.2">
      <c r="AG315" s="1"/>
      <c r="AH315" s="7"/>
    </row>
    <row r="316" spans="33:34" ht="14" x14ac:dyDescent="0.2">
      <c r="AG316" s="1"/>
      <c r="AH316" s="7"/>
    </row>
    <row r="317" spans="33:34" ht="14" x14ac:dyDescent="0.2">
      <c r="AG317" s="1"/>
      <c r="AH317" s="7"/>
    </row>
    <row r="318" spans="33:34" ht="14" x14ac:dyDescent="0.2">
      <c r="AG318" s="1"/>
      <c r="AH318" s="7"/>
    </row>
    <row r="319" spans="33:34" ht="14" x14ac:dyDescent="0.2">
      <c r="AG319" s="1"/>
      <c r="AH319" s="7"/>
    </row>
    <row r="320" spans="33:34" ht="14" x14ac:dyDescent="0.2">
      <c r="AG320" s="1"/>
      <c r="AH320" s="7"/>
    </row>
    <row r="321" spans="33:34" ht="14" x14ac:dyDescent="0.2">
      <c r="AG321" s="1"/>
      <c r="AH321" s="7"/>
    </row>
    <row r="322" spans="33:34" ht="14" x14ac:dyDescent="0.2">
      <c r="AG322" s="1"/>
      <c r="AH322" s="7"/>
    </row>
    <row r="323" spans="33:34" ht="14" x14ac:dyDescent="0.2">
      <c r="AG323" s="1"/>
      <c r="AH323" s="7"/>
    </row>
    <row r="324" spans="33:34" ht="14" x14ac:dyDescent="0.2">
      <c r="AG324" s="1"/>
      <c r="AH324" s="7"/>
    </row>
    <row r="325" spans="33:34" ht="14" x14ac:dyDescent="0.2">
      <c r="AG325" s="1"/>
      <c r="AH325" s="7"/>
    </row>
    <row r="326" spans="33:34" ht="14" x14ac:dyDescent="0.2">
      <c r="AG326" s="1"/>
      <c r="AH326" s="7"/>
    </row>
    <row r="327" spans="33:34" ht="14" x14ac:dyDescent="0.2">
      <c r="AG327" s="1"/>
      <c r="AH327" s="7"/>
    </row>
    <row r="328" spans="33:34" ht="14" x14ac:dyDescent="0.2">
      <c r="AG328" s="1"/>
      <c r="AH328" s="7"/>
    </row>
    <row r="329" spans="33:34" ht="14" x14ac:dyDescent="0.2">
      <c r="AG329" s="1"/>
      <c r="AH329" s="7"/>
    </row>
    <row r="330" spans="33:34" ht="14" x14ac:dyDescent="0.2">
      <c r="AG330" s="1"/>
      <c r="AH330" s="7"/>
    </row>
    <row r="331" spans="33:34" ht="14" x14ac:dyDescent="0.2">
      <c r="AG331" s="1"/>
      <c r="AH331" s="7"/>
    </row>
    <row r="332" spans="33:34" ht="14" x14ac:dyDescent="0.2">
      <c r="AG332" s="1"/>
      <c r="AH332" s="7"/>
    </row>
    <row r="333" spans="33:34" ht="14" x14ac:dyDescent="0.2">
      <c r="AG333" s="1"/>
      <c r="AH333" s="7"/>
    </row>
    <row r="334" spans="33:34" ht="14" x14ac:dyDescent="0.2">
      <c r="AG334" s="1"/>
      <c r="AH334" s="7"/>
    </row>
    <row r="335" spans="33:34" ht="14" x14ac:dyDescent="0.2">
      <c r="AG335" s="1"/>
      <c r="AH335" s="7"/>
    </row>
    <row r="336" spans="33:34" ht="14" x14ac:dyDescent="0.2">
      <c r="AG336" s="1"/>
      <c r="AH336" s="7"/>
    </row>
    <row r="337" spans="33:34" ht="14" x14ac:dyDescent="0.2">
      <c r="AG337" s="1"/>
      <c r="AH337" s="7"/>
    </row>
    <row r="338" spans="33:34" ht="14" x14ac:dyDescent="0.2">
      <c r="AG338" s="1"/>
      <c r="AH338" s="7"/>
    </row>
    <row r="339" spans="33:34" ht="14" x14ac:dyDescent="0.2">
      <c r="AG339" s="1"/>
      <c r="AH339" s="7"/>
    </row>
    <row r="340" spans="33:34" ht="14" x14ac:dyDescent="0.2">
      <c r="AG340" s="1"/>
      <c r="AH340" s="7"/>
    </row>
    <row r="341" spans="33:34" ht="14" x14ac:dyDescent="0.2">
      <c r="AG341" s="1"/>
      <c r="AH341" s="7"/>
    </row>
    <row r="342" spans="33:34" ht="14" x14ac:dyDescent="0.2">
      <c r="AG342" s="1"/>
      <c r="AH342" s="7"/>
    </row>
    <row r="343" spans="33:34" ht="14" x14ac:dyDescent="0.2">
      <c r="AG343" s="1"/>
      <c r="AH343" s="7"/>
    </row>
    <row r="344" spans="33:34" ht="14" x14ac:dyDescent="0.2">
      <c r="AG344" s="1"/>
      <c r="AH344" s="7"/>
    </row>
    <row r="345" spans="33:34" ht="14" x14ac:dyDescent="0.2">
      <c r="AG345" s="1"/>
      <c r="AH345" s="7"/>
    </row>
    <row r="346" spans="33:34" ht="14" x14ac:dyDescent="0.2">
      <c r="AG346" s="1"/>
      <c r="AH346" s="7"/>
    </row>
    <row r="347" spans="33:34" ht="14" x14ac:dyDescent="0.2">
      <c r="AG347" s="1"/>
      <c r="AH347" s="7"/>
    </row>
    <row r="348" spans="33:34" ht="14" x14ac:dyDescent="0.2">
      <c r="AG348" s="1"/>
      <c r="AH348" s="7"/>
    </row>
    <row r="349" spans="33:34" ht="14" x14ac:dyDescent="0.2">
      <c r="AG349" s="1"/>
      <c r="AH349" s="7"/>
    </row>
    <row r="350" spans="33:34" ht="14" x14ac:dyDescent="0.2">
      <c r="AG350" s="1"/>
      <c r="AH350" s="7"/>
    </row>
    <row r="351" spans="33:34" ht="14" x14ac:dyDescent="0.2">
      <c r="AG351" s="1"/>
      <c r="AH351" s="7"/>
    </row>
    <row r="352" spans="33:34" ht="14" x14ac:dyDescent="0.2">
      <c r="AG352" s="1"/>
      <c r="AH352" s="7"/>
    </row>
    <row r="353" spans="33:34" ht="14" x14ac:dyDescent="0.2">
      <c r="AG353" s="1"/>
      <c r="AH353" s="7"/>
    </row>
    <row r="354" spans="33:34" ht="14" x14ac:dyDescent="0.2">
      <c r="AG354" s="1"/>
      <c r="AH354" s="7"/>
    </row>
    <row r="355" spans="33:34" ht="14" x14ac:dyDescent="0.2">
      <c r="AG355" s="1"/>
      <c r="AH355" s="7"/>
    </row>
    <row r="356" spans="33:34" ht="14" x14ac:dyDescent="0.2">
      <c r="AG356" s="1"/>
      <c r="AH356" s="7"/>
    </row>
    <row r="357" spans="33:34" ht="14" x14ac:dyDescent="0.2">
      <c r="AG357" s="1"/>
      <c r="AH357" s="7"/>
    </row>
    <row r="358" spans="33:34" ht="14" x14ac:dyDescent="0.2">
      <c r="AG358" s="1"/>
      <c r="AH358" s="7"/>
    </row>
    <row r="359" spans="33:34" ht="14" x14ac:dyDescent="0.2">
      <c r="AG359" s="1"/>
      <c r="AH359" s="7"/>
    </row>
    <row r="360" spans="33:34" ht="14" x14ac:dyDescent="0.2">
      <c r="AG360" s="1"/>
      <c r="AH360" s="7"/>
    </row>
    <row r="361" spans="33:34" ht="14" x14ac:dyDescent="0.2">
      <c r="AG361" s="1"/>
      <c r="AH361" s="7"/>
    </row>
    <row r="362" spans="33:34" ht="14" x14ac:dyDescent="0.2">
      <c r="AG362" s="1"/>
      <c r="AH362" s="7"/>
    </row>
    <row r="363" spans="33:34" ht="14" x14ac:dyDescent="0.2">
      <c r="AG363" s="1"/>
      <c r="AH363" s="7"/>
    </row>
    <row r="364" spans="33:34" ht="14" x14ac:dyDescent="0.2">
      <c r="AG364" s="1"/>
      <c r="AH364" s="7"/>
    </row>
    <row r="365" spans="33:34" ht="14" x14ac:dyDescent="0.2">
      <c r="AG365" s="1"/>
      <c r="AH365" s="7"/>
    </row>
    <row r="366" spans="33:34" ht="14" x14ac:dyDescent="0.2">
      <c r="AG366" s="1"/>
      <c r="AH366" s="7"/>
    </row>
    <row r="367" spans="33:34" ht="14" x14ac:dyDescent="0.2">
      <c r="AG367" s="1"/>
      <c r="AH367" s="7"/>
    </row>
    <row r="368" spans="33:34" ht="14" x14ac:dyDescent="0.2">
      <c r="AG368" s="1"/>
      <c r="AH368" s="7"/>
    </row>
    <row r="369" spans="33:34" ht="14" x14ac:dyDescent="0.2">
      <c r="AG369" s="1"/>
      <c r="AH369" s="7"/>
    </row>
    <row r="370" spans="33:34" ht="14" x14ac:dyDescent="0.2">
      <c r="AG370" s="1"/>
      <c r="AH370" s="7"/>
    </row>
    <row r="371" spans="33:34" ht="14" x14ac:dyDescent="0.2">
      <c r="AG371" s="1"/>
      <c r="AH371" s="7"/>
    </row>
    <row r="372" spans="33:34" ht="14" x14ac:dyDescent="0.2">
      <c r="AG372" s="1"/>
      <c r="AH372" s="7"/>
    </row>
    <row r="373" spans="33:34" ht="14" x14ac:dyDescent="0.2">
      <c r="AG373" s="1"/>
      <c r="AH373" s="7"/>
    </row>
    <row r="374" spans="33:34" ht="14" x14ac:dyDescent="0.2">
      <c r="AG374" s="1"/>
      <c r="AH374" s="7"/>
    </row>
    <row r="375" spans="33:34" ht="14" x14ac:dyDescent="0.2">
      <c r="AG375" s="1"/>
      <c r="AH375" s="7"/>
    </row>
    <row r="376" spans="33:34" ht="14" x14ac:dyDescent="0.2">
      <c r="AG376" s="1"/>
      <c r="AH376" s="7"/>
    </row>
    <row r="377" spans="33:34" ht="14" x14ac:dyDescent="0.2">
      <c r="AG377" s="1"/>
      <c r="AH377" s="7"/>
    </row>
    <row r="378" spans="33:34" ht="14" x14ac:dyDescent="0.2">
      <c r="AG378" s="1"/>
      <c r="AH378" s="7"/>
    </row>
    <row r="379" spans="33:34" ht="14" x14ac:dyDescent="0.2">
      <c r="AG379" s="1"/>
      <c r="AH379" s="7"/>
    </row>
    <row r="380" spans="33:34" ht="14" x14ac:dyDescent="0.2">
      <c r="AG380" s="1"/>
      <c r="AH380" s="7"/>
    </row>
    <row r="381" spans="33:34" ht="14" x14ac:dyDescent="0.2">
      <c r="AG381" s="1"/>
      <c r="AH381" s="7"/>
    </row>
    <row r="382" spans="33:34" ht="14" x14ac:dyDescent="0.2">
      <c r="AG382" s="1"/>
      <c r="AH382" s="7"/>
    </row>
    <row r="383" spans="33:34" ht="14" x14ac:dyDescent="0.2">
      <c r="AG383" s="1"/>
      <c r="AH383" s="7"/>
    </row>
    <row r="384" spans="33:34" ht="14" x14ac:dyDescent="0.2">
      <c r="AG384" s="1"/>
      <c r="AH384" s="7"/>
    </row>
    <row r="385" spans="33:34" ht="14" x14ac:dyDescent="0.2">
      <c r="AG385" s="1"/>
      <c r="AH385" s="7"/>
    </row>
    <row r="386" spans="33:34" ht="14" x14ac:dyDescent="0.2">
      <c r="AG386" s="1"/>
      <c r="AH386" s="7"/>
    </row>
    <row r="387" spans="33:34" ht="14" x14ac:dyDescent="0.2">
      <c r="AG387" s="1"/>
      <c r="AH387" s="7"/>
    </row>
    <row r="388" spans="33:34" ht="14" x14ac:dyDescent="0.2">
      <c r="AG388" s="1"/>
      <c r="AH388" s="7"/>
    </row>
    <row r="389" spans="33:34" ht="14" x14ac:dyDescent="0.2">
      <c r="AG389" s="1"/>
      <c r="AH389" s="7"/>
    </row>
    <row r="390" spans="33:34" ht="14" x14ac:dyDescent="0.2">
      <c r="AG390" s="1"/>
      <c r="AH390" s="7"/>
    </row>
    <row r="391" spans="33:34" ht="14" x14ac:dyDescent="0.2">
      <c r="AG391" s="1"/>
      <c r="AH391" s="7"/>
    </row>
    <row r="392" spans="33:34" ht="14" x14ac:dyDescent="0.2">
      <c r="AG392" s="1"/>
      <c r="AH392" s="7"/>
    </row>
    <row r="393" spans="33:34" ht="14" x14ac:dyDescent="0.2">
      <c r="AG393" s="1"/>
      <c r="AH393" s="7"/>
    </row>
    <row r="394" spans="33:34" ht="14" x14ac:dyDescent="0.2">
      <c r="AG394" s="1"/>
      <c r="AH394" s="7"/>
    </row>
    <row r="395" spans="33:34" ht="14" x14ac:dyDescent="0.2">
      <c r="AG395" s="1"/>
      <c r="AH395" s="7"/>
    </row>
    <row r="396" spans="33:34" ht="14" x14ac:dyDescent="0.2">
      <c r="AG396" s="1"/>
      <c r="AH396" s="7"/>
    </row>
    <row r="397" spans="33:34" ht="14" x14ac:dyDescent="0.2">
      <c r="AG397" s="1"/>
      <c r="AH397" s="7"/>
    </row>
    <row r="398" spans="33:34" ht="14" x14ac:dyDescent="0.2">
      <c r="AG398" s="1"/>
      <c r="AH398" s="7"/>
    </row>
    <row r="399" spans="33:34" ht="14" x14ac:dyDescent="0.2">
      <c r="AG399" s="1"/>
      <c r="AH399" s="7"/>
    </row>
    <row r="400" spans="33:34" ht="14" x14ac:dyDescent="0.2">
      <c r="AG400" s="1"/>
      <c r="AH400" s="7"/>
    </row>
    <row r="401" spans="33:34" ht="14" x14ac:dyDescent="0.2">
      <c r="AG401" s="1"/>
      <c r="AH401" s="7"/>
    </row>
    <row r="402" spans="33:34" ht="14" x14ac:dyDescent="0.2">
      <c r="AG402" s="1"/>
      <c r="AH402" s="7"/>
    </row>
    <row r="403" spans="33:34" ht="14" x14ac:dyDescent="0.2">
      <c r="AG403" s="1"/>
      <c r="AH403" s="7"/>
    </row>
    <row r="404" spans="33:34" ht="14" x14ac:dyDescent="0.2">
      <c r="AG404" s="1"/>
      <c r="AH404" s="7"/>
    </row>
    <row r="405" spans="33:34" ht="14" x14ac:dyDescent="0.2">
      <c r="AG405" s="1"/>
      <c r="AH405" s="7"/>
    </row>
    <row r="406" spans="33:34" ht="14" x14ac:dyDescent="0.2">
      <c r="AG406" s="1"/>
      <c r="AH406" s="7"/>
    </row>
    <row r="407" spans="33:34" ht="14" x14ac:dyDescent="0.2">
      <c r="AG407" s="1"/>
      <c r="AH407" s="7"/>
    </row>
    <row r="408" spans="33:34" ht="14" x14ac:dyDescent="0.2">
      <c r="AG408" s="1"/>
      <c r="AH408" s="7"/>
    </row>
    <row r="409" spans="33:34" ht="14" x14ac:dyDescent="0.2">
      <c r="AG409" s="1"/>
      <c r="AH409" s="7"/>
    </row>
    <row r="410" spans="33:34" ht="14" x14ac:dyDescent="0.2">
      <c r="AG410" s="1"/>
      <c r="AH410" s="7"/>
    </row>
    <row r="411" spans="33:34" ht="14" x14ac:dyDescent="0.2">
      <c r="AG411" s="1"/>
      <c r="AH411" s="7"/>
    </row>
    <row r="412" spans="33:34" ht="14" x14ac:dyDescent="0.2">
      <c r="AG412" s="1"/>
      <c r="AH412" s="7"/>
    </row>
    <row r="413" spans="33:34" ht="14" x14ac:dyDescent="0.2">
      <c r="AG413" s="1"/>
      <c r="AH413" s="7"/>
    </row>
    <row r="414" spans="33:34" ht="14" x14ac:dyDescent="0.2">
      <c r="AG414" s="1"/>
      <c r="AH414" s="7"/>
    </row>
    <row r="415" spans="33:34" ht="14" x14ac:dyDescent="0.2">
      <c r="AG415" s="1"/>
      <c r="AH415" s="7"/>
    </row>
    <row r="416" spans="33:34" ht="14" x14ac:dyDescent="0.2">
      <c r="AG416" s="1"/>
      <c r="AH416" s="7"/>
    </row>
    <row r="417" spans="33:34" ht="14" x14ac:dyDescent="0.2">
      <c r="AG417" s="1"/>
      <c r="AH417" s="7"/>
    </row>
    <row r="418" spans="33:34" ht="14" x14ac:dyDescent="0.2">
      <c r="AG418" s="1"/>
      <c r="AH418" s="7"/>
    </row>
    <row r="419" spans="33:34" ht="14" x14ac:dyDescent="0.2">
      <c r="AG419" s="1"/>
      <c r="AH419" s="7"/>
    </row>
    <row r="420" spans="33:34" ht="14" x14ac:dyDescent="0.2">
      <c r="AG420" s="1"/>
      <c r="AH420" s="7"/>
    </row>
    <row r="421" spans="33:34" ht="14" x14ac:dyDescent="0.2">
      <c r="AG421" s="1"/>
      <c r="AH421" s="7"/>
    </row>
    <row r="422" spans="33:34" ht="14" x14ac:dyDescent="0.2">
      <c r="AG422" s="1"/>
      <c r="AH422" s="7"/>
    </row>
    <row r="423" spans="33:34" ht="14" x14ac:dyDescent="0.2">
      <c r="AG423" s="1"/>
      <c r="AH423" s="7"/>
    </row>
    <row r="424" spans="33:34" ht="14" x14ac:dyDescent="0.2">
      <c r="AG424" s="1"/>
      <c r="AH424" s="7"/>
    </row>
    <row r="425" spans="33:34" ht="14" x14ac:dyDescent="0.2">
      <c r="AG425" s="1"/>
      <c r="AH425" s="7"/>
    </row>
    <row r="426" spans="33:34" ht="14" x14ac:dyDescent="0.2">
      <c r="AG426" s="1"/>
      <c r="AH426" s="7"/>
    </row>
    <row r="427" spans="33:34" ht="14" x14ac:dyDescent="0.2">
      <c r="AG427" s="1"/>
      <c r="AH427" s="7"/>
    </row>
    <row r="428" spans="33:34" ht="14" x14ac:dyDescent="0.2">
      <c r="AG428" s="1"/>
      <c r="AH428" s="7"/>
    </row>
    <row r="429" spans="33:34" ht="14" x14ac:dyDescent="0.2">
      <c r="AG429" s="1"/>
      <c r="AH429" s="7"/>
    </row>
    <row r="430" spans="33:34" ht="14" x14ac:dyDescent="0.2">
      <c r="AG430" s="1"/>
      <c r="AH430" s="7"/>
    </row>
    <row r="431" spans="33:34" ht="14" x14ac:dyDescent="0.2">
      <c r="AG431" s="1"/>
      <c r="AH431" s="7"/>
    </row>
    <row r="432" spans="33:34" ht="14" x14ac:dyDescent="0.2">
      <c r="AG432" s="1"/>
      <c r="AH432" s="7"/>
    </row>
    <row r="433" spans="33:34" ht="14" x14ac:dyDescent="0.2">
      <c r="AG433" s="1"/>
      <c r="AH433" s="7"/>
    </row>
    <row r="434" spans="33:34" ht="14" x14ac:dyDescent="0.2">
      <c r="AG434" s="1"/>
      <c r="AH434" s="7"/>
    </row>
    <row r="435" spans="33:34" ht="14" x14ac:dyDescent="0.2">
      <c r="AG435" s="1"/>
      <c r="AH435" s="7"/>
    </row>
    <row r="436" spans="33:34" ht="14" x14ac:dyDescent="0.2">
      <c r="AG436" s="1"/>
      <c r="AH436" s="7"/>
    </row>
    <row r="437" spans="33:34" ht="14" x14ac:dyDescent="0.2">
      <c r="AG437" s="1"/>
      <c r="AH437" s="7"/>
    </row>
    <row r="438" spans="33:34" ht="14" x14ac:dyDescent="0.2">
      <c r="AG438" s="1"/>
      <c r="AH438" s="7"/>
    </row>
    <row r="439" spans="33:34" ht="14" x14ac:dyDescent="0.2">
      <c r="AG439" s="1"/>
      <c r="AH439" s="7"/>
    </row>
    <row r="440" spans="33:34" ht="14" x14ac:dyDescent="0.2">
      <c r="AG440" s="1"/>
      <c r="AH440" s="7"/>
    </row>
    <row r="441" spans="33:34" ht="14" x14ac:dyDescent="0.2">
      <c r="AG441" s="1"/>
      <c r="AH441" s="7"/>
    </row>
    <row r="442" spans="33:34" ht="14" x14ac:dyDescent="0.2">
      <c r="AG442" s="1"/>
      <c r="AH442" s="7"/>
    </row>
    <row r="443" spans="33:34" ht="14" x14ac:dyDescent="0.2">
      <c r="AG443" s="1"/>
      <c r="AH443" s="7"/>
    </row>
    <row r="444" spans="33:34" ht="14" x14ac:dyDescent="0.2">
      <c r="AG444" s="1"/>
      <c r="AH444" s="7"/>
    </row>
    <row r="445" spans="33:34" ht="14" x14ac:dyDescent="0.2">
      <c r="AG445" s="1"/>
      <c r="AH445" s="7"/>
    </row>
    <row r="446" spans="33:34" ht="14" x14ac:dyDescent="0.2">
      <c r="AG446" s="1"/>
      <c r="AH446" s="7"/>
    </row>
    <row r="447" spans="33:34" ht="14" x14ac:dyDescent="0.2">
      <c r="AG447" s="1"/>
      <c r="AH447" s="7"/>
    </row>
    <row r="448" spans="33:34" ht="14" x14ac:dyDescent="0.2">
      <c r="AG448" s="1"/>
      <c r="AH448" s="7"/>
    </row>
    <row r="449" spans="33:34" ht="14" x14ac:dyDescent="0.2">
      <c r="AG449" s="1"/>
      <c r="AH449" s="7"/>
    </row>
    <row r="450" spans="33:34" ht="14" x14ac:dyDescent="0.2">
      <c r="AG450" s="1"/>
      <c r="AH450" s="7"/>
    </row>
    <row r="451" spans="33:34" ht="14" x14ac:dyDescent="0.2">
      <c r="AG451" s="1"/>
      <c r="AH451" s="7"/>
    </row>
    <row r="452" spans="33:34" ht="14" x14ac:dyDescent="0.2">
      <c r="AG452" s="1"/>
      <c r="AH452" s="7"/>
    </row>
    <row r="453" spans="33:34" ht="14" x14ac:dyDescent="0.2">
      <c r="AG453" s="1"/>
      <c r="AH453" s="7"/>
    </row>
    <row r="454" spans="33:34" ht="14" x14ac:dyDescent="0.2">
      <c r="AG454" s="1"/>
      <c r="AH454" s="7"/>
    </row>
    <row r="455" spans="33:34" ht="14" x14ac:dyDescent="0.2">
      <c r="AG455" s="1"/>
      <c r="AH455" s="7"/>
    </row>
    <row r="456" spans="33:34" ht="14" x14ac:dyDescent="0.2">
      <c r="AG456" s="1"/>
      <c r="AH456" s="7"/>
    </row>
    <row r="457" spans="33:34" ht="14" x14ac:dyDescent="0.2">
      <c r="AG457" s="1"/>
      <c r="AH457" s="7"/>
    </row>
    <row r="458" spans="33:34" ht="14" x14ac:dyDescent="0.2">
      <c r="AG458" s="1"/>
      <c r="AH458" s="7"/>
    </row>
    <row r="459" spans="33:34" ht="14" x14ac:dyDescent="0.2">
      <c r="AG459" s="1"/>
      <c r="AH459" s="7"/>
    </row>
    <row r="460" spans="33:34" ht="14" x14ac:dyDescent="0.2">
      <c r="AG460" s="1"/>
      <c r="AH460" s="7"/>
    </row>
    <row r="461" spans="33:34" ht="14" x14ac:dyDescent="0.2">
      <c r="AG461" s="1"/>
      <c r="AH461" s="7"/>
    </row>
    <row r="462" spans="33:34" ht="14" x14ac:dyDescent="0.2">
      <c r="AG462" s="1"/>
      <c r="AH462" s="7"/>
    </row>
    <row r="463" spans="33:34" ht="14" x14ac:dyDescent="0.2">
      <c r="AG463" s="1"/>
      <c r="AH463" s="7"/>
    </row>
    <row r="464" spans="33:34" ht="14" x14ac:dyDescent="0.2">
      <c r="AG464" s="1"/>
      <c r="AH464" s="7"/>
    </row>
    <row r="465" spans="33:34" ht="14" x14ac:dyDescent="0.2">
      <c r="AG465" s="1"/>
      <c r="AH465" s="7"/>
    </row>
    <row r="466" spans="33:34" ht="14" x14ac:dyDescent="0.2">
      <c r="AG466" s="1"/>
      <c r="AH466" s="7"/>
    </row>
    <row r="467" spans="33:34" ht="14" x14ac:dyDescent="0.2">
      <c r="AG467" s="1"/>
      <c r="AH467" s="7"/>
    </row>
    <row r="468" spans="33:34" ht="14" x14ac:dyDescent="0.2">
      <c r="AG468" s="1"/>
      <c r="AH468" s="7"/>
    </row>
    <row r="469" spans="33:34" ht="14" x14ac:dyDescent="0.2">
      <c r="AG469" s="1"/>
      <c r="AH469" s="7"/>
    </row>
    <row r="470" spans="33:34" ht="14" x14ac:dyDescent="0.2">
      <c r="AG470" s="1"/>
      <c r="AH470" s="7"/>
    </row>
    <row r="471" spans="33:34" ht="14" x14ac:dyDescent="0.2">
      <c r="AG471" s="1"/>
      <c r="AH471" s="7"/>
    </row>
    <row r="472" spans="33:34" ht="14" x14ac:dyDescent="0.2">
      <c r="AG472" s="1"/>
      <c r="AH472" s="7"/>
    </row>
    <row r="473" spans="33:34" ht="14" x14ac:dyDescent="0.2">
      <c r="AG473" s="1"/>
      <c r="AH473" s="7"/>
    </row>
    <row r="474" spans="33:34" ht="14" x14ac:dyDescent="0.2">
      <c r="AG474" s="1"/>
      <c r="AH474" s="7"/>
    </row>
    <row r="475" spans="33:34" ht="14" x14ac:dyDescent="0.2">
      <c r="AG475" s="1"/>
      <c r="AH475" s="7"/>
    </row>
    <row r="476" spans="33:34" ht="14" x14ac:dyDescent="0.2">
      <c r="AG476" s="1"/>
      <c r="AH476" s="7"/>
    </row>
    <row r="477" spans="33:34" ht="14" x14ac:dyDescent="0.2">
      <c r="AG477" s="1"/>
      <c r="AH477" s="7"/>
    </row>
    <row r="478" spans="33:34" ht="14" x14ac:dyDescent="0.2">
      <c r="AG478" s="1"/>
      <c r="AH478" s="7"/>
    </row>
    <row r="479" spans="33:34" ht="14" x14ac:dyDescent="0.2">
      <c r="AG479" s="1"/>
      <c r="AH479" s="7"/>
    </row>
    <row r="480" spans="33:34" ht="14" x14ac:dyDescent="0.2">
      <c r="AG480" s="1"/>
      <c r="AH480" s="7"/>
    </row>
    <row r="481" spans="33:34" ht="14" x14ac:dyDescent="0.2">
      <c r="AG481" s="1"/>
      <c r="AH481" s="7"/>
    </row>
    <row r="482" spans="33:34" ht="14" x14ac:dyDescent="0.2">
      <c r="AG482" s="1"/>
      <c r="AH482" s="7"/>
    </row>
    <row r="483" spans="33:34" ht="14" x14ac:dyDescent="0.2">
      <c r="AG483" s="1"/>
      <c r="AH483" s="7"/>
    </row>
    <row r="484" spans="33:34" ht="14" x14ac:dyDescent="0.2">
      <c r="AG484" s="1"/>
      <c r="AH484" s="7"/>
    </row>
    <row r="485" spans="33:34" ht="14" x14ac:dyDescent="0.2">
      <c r="AG485" s="1"/>
      <c r="AH485" s="7"/>
    </row>
    <row r="486" spans="33:34" ht="14" x14ac:dyDescent="0.2">
      <c r="AG486" s="1"/>
      <c r="AH486" s="7"/>
    </row>
    <row r="487" spans="33:34" ht="14" x14ac:dyDescent="0.2">
      <c r="AG487" s="1"/>
      <c r="AH487" s="7"/>
    </row>
    <row r="488" spans="33:34" ht="14" x14ac:dyDescent="0.2">
      <c r="AG488" s="1"/>
      <c r="AH488" s="7"/>
    </row>
    <row r="489" spans="33:34" ht="14" x14ac:dyDescent="0.2">
      <c r="AG489" s="1"/>
      <c r="AH489" s="7"/>
    </row>
    <row r="490" spans="33:34" ht="14" x14ac:dyDescent="0.2">
      <c r="AG490" s="1"/>
      <c r="AH490" s="7"/>
    </row>
    <row r="491" spans="33:34" ht="14" x14ac:dyDescent="0.2">
      <c r="AG491" s="1"/>
      <c r="AH491" s="7"/>
    </row>
    <row r="492" spans="33:34" ht="14" x14ac:dyDescent="0.2">
      <c r="AG492" s="1"/>
      <c r="AH492" s="7"/>
    </row>
    <row r="493" spans="33:34" ht="14" x14ac:dyDescent="0.2">
      <c r="AG493" s="1"/>
      <c r="AH493" s="7"/>
    </row>
    <row r="494" spans="33:34" ht="14" x14ac:dyDescent="0.2">
      <c r="AG494" s="1"/>
      <c r="AH494" s="7"/>
    </row>
    <row r="495" spans="33:34" ht="14" x14ac:dyDescent="0.2">
      <c r="AG495" s="1"/>
      <c r="AH495" s="7"/>
    </row>
    <row r="496" spans="33:34" ht="14" x14ac:dyDescent="0.2">
      <c r="AG496" s="1"/>
      <c r="AH496" s="7"/>
    </row>
    <row r="497" spans="33:34" ht="14" x14ac:dyDescent="0.2">
      <c r="AG497" s="1"/>
      <c r="AH497" s="7"/>
    </row>
    <row r="498" spans="33:34" ht="14" x14ac:dyDescent="0.2">
      <c r="AG498" s="1"/>
      <c r="AH498" s="7"/>
    </row>
    <row r="499" spans="33:34" ht="14" x14ac:dyDescent="0.2">
      <c r="AG499" s="1"/>
      <c r="AH499" s="7"/>
    </row>
    <row r="500" spans="33:34" ht="14" x14ac:dyDescent="0.2">
      <c r="AG500" s="1"/>
      <c r="AH500" s="7"/>
    </row>
    <row r="501" spans="33:34" ht="14" x14ac:dyDescent="0.2">
      <c r="AG501" s="1"/>
      <c r="AH501" s="7"/>
    </row>
    <row r="502" spans="33:34" ht="14" x14ac:dyDescent="0.2">
      <c r="AG502" s="1"/>
      <c r="AH502" s="7"/>
    </row>
    <row r="503" spans="33:34" ht="14" x14ac:dyDescent="0.2">
      <c r="AG503" s="1"/>
      <c r="AH503" s="7"/>
    </row>
    <row r="504" spans="33:34" ht="14" x14ac:dyDescent="0.2">
      <c r="AG504" s="1"/>
      <c r="AH504" s="7"/>
    </row>
    <row r="505" spans="33:34" ht="14" x14ac:dyDescent="0.2">
      <c r="AG505" s="1"/>
      <c r="AH505" s="7"/>
    </row>
    <row r="506" spans="33:34" ht="14" x14ac:dyDescent="0.2">
      <c r="AG506" s="1"/>
      <c r="AH506" s="7"/>
    </row>
    <row r="507" spans="33:34" ht="14" x14ac:dyDescent="0.2">
      <c r="AG507" s="1"/>
      <c r="AH507" s="7"/>
    </row>
    <row r="508" spans="33:34" ht="14" x14ac:dyDescent="0.2">
      <c r="AG508" s="1"/>
      <c r="AH508" s="7"/>
    </row>
    <row r="509" spans="33:34" ht="14" x14ac:dyDescent="0.2">
      <c r="AG509" s="1"/>
      <c r="AH509" s="7"/>
    </row>
    <row r="510" spans="33:34" ht="14" x14ac:dyDescent="0.2">
      <c r="AG510" s="1"/>
      <c r="AH510" s="7"/>
    </row>
    <row r="511" spans="33:34" ht="14" x14ac:dyDescent="0.2">
      <c r="AG511" s="1"/>
      <c r="AH511" s="7"/>
    </row>
    <row r="512" spans="33:34" ht="14" x14ac:dyDescent="0.2">
      <c r="AG512" s="1"/>
      <c r="AH512" s="7"/>
    </row>
    <row r="513" spans="33:34" ht="14" x14ac:dyDescent="0.2">
      <c r="AG513" s="1"/>
      <c r="AH513" s="7"/>
    </row>
    <row r="514" spans="33:34" ht="14" x14ac:dyDescent="0.2">
      <c r="AG514" s="1"/>
      <c r="AH514" s="7"/>
    </row>
    <row r="515" spans="33:34" ht="14" x14ac:dyDescent="0.2">
      <c r="AG515" s="1"/>
      <c r="AH515" s="7"/>
    </row>
    <row r="516" spans="33:34" ht="14" x14ac:dyDescent="0.2">
      <c r="AG516" s="1"/>
      <c r="AH516" s="7"/>
    </row>
    <row r="517" spans="33:34" ht="14" x14ac:dyDescent="0.2">
      <c r="AG517" s="1"/>
      <c r="AH517" s="7"/>
    </row>
    <row r="518" spans="33:34" ht="14" x14ac:dyDescent="0.2">
      <c r="AG518" s="1"/>
      <c r="AH518" s="7"/>
    </row>
    <row r="519" spans="33:34" ht="14" x14ac:dyDescent="0.2">
      <c r="AG519" s="1"/>
      <c r="AH519" s="7"/>
    </row>
    <row r="520" spans="33:34" ht="14" x14ac:dyDescent="0.2">
      <c r="AG520" s="1"/>
      <c r="AH520" s="7"/>
    </row>
    <row r="521" spans="33:34" ht="14" x14ac:dyDescent="0.2">
      <c r="AG521" s="1"/>
      <c r="AH521" s="7"/>
    </row>
    <row r="522" spans="33:34" ht="14" x14ac:dyDescent="0.2">
      <c r="AG522" s="1"/>
      <c r="AH522" s="7"/>
    </row>
    <row r="523" spans="33:34" ht="14" x14ac:dyDescent="0.2">
      <c r="AG523" s="1"/>
      <c r="AH523" s="7"/>
    </row>
    <row r="524" spans="33:34" ht="14" x14ac:dyDescent="0.2">
      <c r="AG524" s="1"/>
      <c r="AH524" s="7"/>
    </row>
    <row r="525" spans="33:34" ht="14" x14ac:dyDescent="0.2">
      <c r="AG525" s="1"/>
      <c r="AH525" s="7"/>
    </row>
    <row r="526" spans="33:34" ht="14" x14ac:dyDescent="0.2">
      <c r="AG526" s="1"/>
      <c r="AH526" s="7"/>
    </row>
    <row r="527" spans="33:34" ht="14" x14ac:dyDescent="0.2">
      <c r="AG527" s="1"/>
      <c r="AH527" s="7"/>
    </row>
    <row r="528" spans="33:34" ht="14" x14ac:dyDescent="0.2">
      <c r="AG528" s="1"/>
      <c r="AH528" s="7"/>
    </row>
    <row r="529" spans="33:34" ht="14" x14ac:dyDescent="0.2">
      <c r="AG529" s="1"/>
      <c r="AH529" s="7"/>
    </row>
    <row r="530" spans="33:34" ht="14" x14ac:dyDescent="0.2">
      <c r="AG530" s="1"/>
      <c r="AH530" s="7"/>
    </row>
    <row r="531" spans="33:34" ht="14" x14ac:dyDescent="0.2">
      <c r="AG531" s="1"/>
      <c r="AH531" s="7"/>
    </row>
    <row r="532" spans="33:34" ht="14" x14ac:dyDescent="0.2">
      <c r="AG532" s="1"/>
      <c r="AH532" s="7"/>
    </row>
    <row r="533" spans="33:34" ht="14" x14ac:dyDescent="0.2">
      <c r="AG533" s="1"/>
      <c r="AH533" s="7"/>
    </row>
    <row r="534" spans="33:34" ht="14" x14ac:dyDescent="0.2">
      <c r="AG534" s="1"/>
      <c r="AH534" s="7"/>
    </row>
    <row r="535" spans="33:34" ht="14" x14ac:dyDescent="0.2">
      <c r="AG535" s="1"/>
      <c r="AH535" s="7"/>
    </row>
    <row r="536" spans="33:34" ht="14" x14ac:dyDescent="0.2">
      <c r="AG536" s="1"/>
      <c r="AH536" s="7"/>
    </row>
    <row r="537" spans="33:34" ht="14" x14ac:dyDescent="0.2">
      <c r="AG537" s="1"/>
      <c r="AH537" s="7"/>
    </row>
    <row r="538" spans="33:34" ht="14" x14ac:dyDescent="0.2">
      <c r="AG538" s="1"/>
      <c r="AH538" s="7"/>
    </row>
    <row r="539" spans="33:34" ht="14" x14ac:dyDescent="0.2">
      <c r="AG539" s="1"/>
      <c r="AH539" s="7"/>
    </row>
    <row r="540" spans="33:34" ht="14" x14ac:dyDescent="0.2">
      <c r="AG540" s="1"/>
      <c r="AH540" s="7"/>
    </row>
    <row r="541" spans="33:34" ht="14" x14ac:dyDescent="0.2">
      <c r="AG541" s="1"/>
      <c r="AH541" s="7"/>
    </row>
    <row r="542" spans="33:34" ht="14" x14ac:dyDescent="0.2">
      <c r="AG542" s="1"/>
      <c r="AH542" s="7"/>
    </row>
    <row r="543" spans="33:34" ht="14" x14ac:dyDescent="0.2">
      <c r="AG543" s="1"/>
      <c r="AH543" s="7"/>
    </row>
    <row r="544" spans="33:34" ht="14" x14ac:dyDescent="0.2">
      <c r="AG544" s="1"/>
      <c r="AH544" s="7"/>
    </row>
    <row r="545" spans="33:34" ht="14" x14ac:dyDescent="0.2">
      <c r="AG545" s="1"/>
      <c r="AH545" s="7"/>
    </row>
    <row r="546" spans="33:34" ht="14" x14ac:dyDescent="0.2">
      <c r="AG546" s="1"/>
      <c r="AH546" s="7"/>
    </row>
    <row r="547" spans="33:34" ht="14" x14ac:dyDescent="0.2">
      <c r="AG547" s="1"/>
      <c r="AH547" s="7"/>
    </row>
    <row r="548" spans="33:34" ht="14" x14ac:dyDescent="0.2">
      <c r="AG548" s="1"/>
      <c r="AH548" s="7"/>
    </row>
    <row r="549" spans="33:34" ht="14" x14ac:dyDescent="0.2">
      <c r="AG549" s="1"/>
      <c r="AH549" s="7"/>
    </row>
    <row r="550" spans="33:34" ht="14" x14ac:dyDescent="0.2">
      <c r="AG550" s="1"/>
      <c r="AH550" s="7"/>
    </row>
    <row r="551" spans="33:34" ht="14" x14ac:dyDescent="0.2">
      <c r="AG551" s="1"/>
      <c r="AH551" s="7"/>
    </row>
    <row r="552" spans="33:34" ht="14" x14ac:dyDescent="0.2">
      <c r="AG552" s="1"/>
      <c r="AH552" s="7"/>
    </row>
    <row r="553" spans="33:34" ht="14" x14ac:dyDescent="0.2">
      <c r="AG553" s="1"/>
      <c r="AH553" s="7"/>
    </row>
    <row r="554" spans="33:34" ht="14" x14ac:dyDescent="0.2">
      <c r="AG554" s="1"/>
      <c r="AH554" s="7"/>
    </row>
    <row r="555" spans="33:34" ht="14" x14ac:dyDescent="0.2">
      <c r="AG555" s="1"/>
      <c r="AH555" s="7"/>
    </row>
    <row r="556" spans="33:34" ht="14" x14ac:dyDescent="0.2">
      <c r="AG556" s="1"/>
      <c r="AH556" s="7"/>
    </row>
    <row r="557" spans="33:34" ht="14" x14ac:dyDescent="0.2">
      <c r="AG557" s="1"/>
      <c r="AH557" s="7"/>
    </row>
    <row r="558" spans="33:34" ht="14" x14ac:dyDescent="0.2">
      <c r="AG558" s="1"/>
      <c r="AH558" s="7"/>
    </row>
    <row r="559" spans="33:34" ht="14" x14ac:dyDescent="0.2">
      <c r="AG559" s="1"/>
      <c r="AH559" s="7"/>
    </row>
    <row r="560" spans="33:34" ht="14" x14ac:dyDescent="0.2">
      <c r="AG560" s="1"/>
      <c r="AH560" s="7"/>
    </row>
    <row r="561" spans="33:34" ht="14" x14ac:dyDescent="0.2">
      <c r="AG561" s="1"/>
      <c r="AH561" s="7"/>
    </row>
    <row r="562" spans="33:34" ht="14" x14ac:dyDescent="0.2">
      <c r="AG562" s="1"/>
      <c r="AH562" s="7"/>
    </row>
    <row r="563" spans="33:34" ht="14" x14ac:dyDescent="0.2">
      <c r="AG563" s="1"/>
      <c r="AH563" s="7"/>
    </row>
    <row r="564" spans="33:34" ht="14" x14ac:dyDescent="0.2">
      <c r="AG564" s="1"/>
      <c r="AH564" s="7"/>
    </row>
    <row r="565" spans="33:34" ht="14" x14ac:dyDescent="0.2">
      <c r="AG565" s="1"/>
      <c r="AH565" s="7"/>
    </row>
    <row r="566" spans="33:34" ht="14" x14ac:dyDescent="0.2">
      <c r="AG566" s="1"/>
      <c r="AH566" s="7"/>
    </row>
    <row r="567" spans="33:34" ht="14" x14ac:dyDescent="0.2">
      <c r="AG567" s="1"/>
      <c r="AH567" s="7"/>
    </row>
    <row r="568" spans="33:34" ht="14" x14ac:dyDescent="0.2">
      <c r="AG568" s="1"/>
      <c r="AH568" s="7"/>
    </row>
    <row r="569" spans="33:34" ht="14" x14ac:dyDescent="0.2">
      <c r="AG569" s="1"/>
      <c r="AH569" s="7"/>
    </row>
    <row r="570" spans="33:34" ht="14" x14ac:dyDescent="0.2">
      <c r="AG570" s="1"/>
      <c r="AH570" s="7"/>
    </row>
    <row r="571" spans="33:34" ht="14" x14ac:dyDescent="0.2">
      <c r="AG571" s="1"/>
      <c r="AH571" s="7"/>
    </row>
    <row r="572" spans="33:34" ht="14" x14ac:dyDescent="0.2">
      <c r="AG572" s="1"/>
      <c r="AH572" s="7"/>
    </row>
    <row r="573" spans="33:34" ht="14" x14ac:dyDescent="0.2">
      <c r="AG573" s="1"/>
      <c r="AH573" s="7"/>
    </row>
    <row r="574" spans="33:34" ht="14" x14ac:dyDescent="0.2">
      <c r="AG574" s="1"/>
      <c r="AH574" s="7"/>
    </row>
    <row r="575" spans="33:34" ht="14" x14ac:dyDescent="0.2">
      <c r="AG575" s="1"/>
      <c r="AH575" s="7"/>
    </row>
    <row r="576" spans="33:34" ht="14" x14ac:dyDescent="0.2">
      <c r="AG576" s="1"/>
      <c r="AH576" s="7"/>
    </row>
    <row r="577" spans="33:34" ht="14" x14ac:dyDescent="0.2">
      <c r="AG577" s="1"/>
      <c r="AH577" s="7"/>
    </row>
    <row r="578" spans="33:34" ht="14" x14ac:dyDescent="0.2">
      <c r="AG578" s="1"/>
      <c r="AH578" s="7"/>
    </row>
    <row r="579" spans="33:34" ht="14" x14ac:dyDescent="0.2">
      <c r="AG579" s="1"/>
      <c r="AH579" s="7"/>
    </row>
    <row r="580" spans="33:34" ht="14" x14ac:dyDescent="0.2">
      <c r="AG580" s="1"/>
      <c r="AH580" s="7"/>
    </row>
    <row r="581" spans="33:34" ht="14" x14ac:dyDescent="0.2">
      <c r="AG581" s="1"/>
      <c r="AH581" s="7"/>
    </row>
    <row r="582" spans="33:34" ht="14" x14ac:dyDescent="0.2">
      <c r="AG582" s="1"/>
      <c r="AH582" s="7"/>
    </row>
    <row r="583" spans="33:34" ht="14" x14ac:dyDescent="0.2">
      <c r="AG583" s="1"/>
      <c r="AH583" s="7"/>
    </row>
    <row r="584" spans="33:34" ht="14" x14ac:dyDescent="0.2">
      <c r="AG584" s="1"/>
      <c r="AH584" s="7"/>
    </row>
    <row r="585" spans="33:34" ht="14" x14ac:dyDescent="0.2">
      <c r="AG585" s="1"/>
      <c r="AH585" s="7"/>
    </row>
    <row r="586" spans="33:34" ht="14" x14ac:dyDescent="0.2">
      <c r="AG586" s="1"/>
      <c r="AH586" s="7"/>
    </row>
    <row r="587" spans="33:34" ht="14" x14ac:dyDescent="0.2">
      <c r="AG587" s="1"/>
      <c r="AH587" s="7"/>
    </row>
    <row r="588" spans="33:34" ht="14" x14ac:dyDescent="0.2">
      <c r="AG588" s="1"/>
      <c r="AH588" s="7"/>
    </row>
    <row r="589" spans="33:34" ht="14" x14ac:dyDescent="0.2">
      <c r="AG589" s="1"/>
      <c r="AH589" s="7"/>
    </row>
    <row r="590" spans="33:34" ht="14" x14ac:dyDescent="0.2">
      <c r="AG590" s="1"/>
      <c r="AH590" s="7"/>
    </row>
    <row r="591" spans="33:34" ht="14" x14ac:dyDescent="0.2">
      <c r="AG591" s="1"/>
      <c r="AH591" s="7"/>
    </row>
    <row r="592" spans="33:34" ht="14" x14ac:dyDescent="0.2">
      <c r="AG592" s="1"/>
      <c r="AH592" s="7"/>
    </row>
    <row r="593" spans="33:34" ht="14" x14ac:dyDescent="0.2">
      <c r="AG593" s="1"/>
      <c r="AH593" s="7"/>
    </row>
    <row r="594" spans="33:34" ht="14" x14ac:dyDescent="0.2">
      <c r="AG594" s="1"/>
      <c r="AH594" s="7"/>
    </row>
    <row r="595" spans="33:34" ht="14" x14ac:dyDescent="0.2">
      <c r="AG595" s="1"/>
      <c r="AH595" s="7"/>
    </row>
    <row r="596" spans="33:34" ht="14" x14ac:dyDescent="0.2">
      <c r="AG596" s="1"/>
      <c r="AH596" s="7"/>
    </row>
    <row r="597" spans="33:34" ht="14" x14ac:dyDescent="0.2">
      <c r="AG597" s="1"/>
      <c r="AH597" s="7"/>
    </row>
    <row r="598" spans="33:34" ht="14" x14ac:dyDescent="0.2">
      <c r="AG598" s="1"/>
      <c r="AH598" s="7"/>
    </row>
    <row r="599" spans="33:34" ht="14" x14ac:dyDescent="0.2">
      <c r="AG599" s="1"/>
      <c r="AH599" s="7"/>
    </row>
    <row r="600" spans="33:34" ht="14" x14ac:dyDescent="0.2">
      <c r="AG600" s="1"/>
      <c r="AH600" s="7"/>
    </row>
    <row r="601" spans="33:34" ht="14" x14ac:dyDescent="0.2">
      <c r="AG601" s="1"/>
      <c r="AH601" s="7"/>
    </row>
    <row r="602" spans="33:34" ht="14" x14ac:dyDescent="0.2">
      <c r="AG602" s="1"/>
      <c r="AH602" s="7"/>
    </row>
    <row r="603" spans="33:34" ht="14" x14ac:dyDescent="0.2">
      <c r="AG603" s="1"/>
      <c r="AH603" s="7"/>
    </row>
    <row r="604" spans="33:34" ht="14" x14ac:dyDescent="0.2">
      <c r="AG604" s="1"/>
      <c r="AH604" s="7"/>
    </row>
    <row r="605" spans="33:34" ht="14" x14ac:dyDescent="0.2">
      <c r="AG605" s="1"/>
      <c r="AH605" s="7"/>
    </row>
    <row r="606" spans="33:34" ht="14" x14ac:dyDescent="0.2">
      <c r="AG606" s="1"/>
      <c r="AH606" s="7"/>
    </row>
    <row r="607" spans="33:34" ht="14" x14ac:dyDescent="0.2">
      <c r="AG607" s="1"/>
      <c r="AH607" s="7"/>
    </row>
    <row r="608" spans="33:34" ht="14" x14ac:dyDescent="0.2">
      <c r="AG608" s="1"/>
      <c r="AH608" s="7"/>
    </row>
    <row r="609" spans="33:34" ht="14" x14ac:dyDescent="0.2">
      <c r="AG609" s="1"/>
      <c r="AH609" s="7"/>
    </row>
    <row r="610" spans="33:34" ht="14" x14ac:dyDescent="0.2">
      <c r="AG610" s="1"/>
      <c r="AH610" s="7"/>
    </row>
    <row r="611" spans="33:34" ht="14" x14ac:dyDescent="0.2">
      <c r="AG611" s="1"/>
      <c r="AH611" s="7"/>
    </row>
    <row r="612" spans="33:34" ht="14" x14ac:dyDescent="0.2">
      <c r="AG612" s="1"/>
      <c r="AH612" s="7"/>
    </row>
    <row r="613" spans="33:34" ht="14" x14ac:dyDescent="0.2">
      <c r="AG613" s="1"/>
      <c r="AH613" s="7"/>
    </row>
    <row r="614" spans="33:34" ht="14" x14ac:dyDescent="0.2">
      <c r="AG614" s="1"/>
      <c r="AH614" s="7"/>
    </row>
    <row r="615" spans="33:34" ht="14" x14ac:dyDescent="0.2">
      <c r="AG615" s="1"/>
      <c r="AH615" s="7"/>
    </row>
    <row r="616" spans="33:34" ht="14" x14ac:dyDescent="0.2">
      <c r="AG616" s="1"/>
      <c r="AH616" s="7"/>
    </row>
    <row r="617" spans="33:34" ht="14" x14ac:dyDescent="0.2">
      <c r="AG617" s="1"/>
      <c r="AH617" s="7"/>
    </row>
    <row r="618" spans="33:34" ht="14" x14ac:dyDescent="0.2">
      <c r="AG618" s="1"/>
      <c r="AH618" s="7"/>
    </row>
    <row r="619" spans="33:34" ht="14" x14ac:dyDescent="0.2">
      <c r="AG619" s="1"/>
      <c r="AH619" s="7"/>
    </row>
    <row r="620" spans="33:34" ht="14" x14ac:dyDescent="0.2">
      <c r="AG620" s="1"/>
      <c r="AH620" s="7"/>
    </row>
    <row r="621" spans="33:34" ht="14" x14ac:dyDescent="0.2">
      <c r="AG621" s="1"/>
      <c r="AH621" s="7"/>
    </row>
    <row r="622" spans="33:34" ht="14" x14ac:dyDescent="0.2">
      <c r="AG622" s="1"/>
      <c r="AH622" s="7"/>
    </row>
    <row r="623" spans="33:34" ht="14" x14ac:dyDescent="0.2">
      <c r="AG623" s="1"/>
      <c r="AH623" s="7"/>
    </row>
    <row r="624" spans="33:34" ht="14" x14ac:dyDescent="0.2">
      <c r="AG624" s="1"/>
      <c r="AH624" s="7"/>
    </row>
    <row r="625" spans="33:34" ht="14" x14ac:dyDescent="0.2">
      <c r="AG625" s="1"/>
      <c r="AH625" s="7"/>
    </row>
    <row r="626" spans="33:34" ht="14" x14ac:dyDescent="0.2">
      <c r="AG626" s="1"/>
      <c r="AH626" s="7"/>
    </row>
    <row r="627" spans="33:34" ht="14" x14ac:dyDescent="0.2">
      <c r="AG627" s="1"/>
      <c r="AH627" s="7"/>
    </row>
    <row r="628" spans="33:34" ht="14" x14ac:dyDescent="0.2">
      <c r="AG628" s="1"/>
      <c r="AH628" s="7"/>
    </row>
    <row r="629" spans="33:34" ht="14" x14ac:dyDescent="0.2">
      <c r="AG629" s="1"/>
      <c r="AH629" s="7"/>
    </row>
    <row r="630" spans="33:34" ht="14" x14ac:dyDescent="0.2">
      <c r="AG630" s="1"/>
      <c r="AH630" s="7"/>
    </row>
    <row r="631" spans="33:34" ht="14" x14ac:dyDescent="0.2">
      <c r="AG631" s="1"/>
      <c r="AH631" s="7"/>
    </row>
    <row r="632" spans="33:34" ht="14" x14ac:dyDescent="0.2">
      <c r="AG632" s="1"/>
      <c r="AH632" s="7"/>
    </row>
    <row r="633" spans="33:34" ht="14" x14ac:dyDescent="0.2">
      <c r="AG633" s="1"/>
      <c r="AH633" s="7"/>
    </row>
    <row r="634" spans="33:34" ht="14" x14ac:dyDescent="0.2">
      <c r="AG634" s="1"/>
      <c r="AH634" s="7"/>
    </row>
    <row r="635" spans="33:34" ht="14" x14ac:dyDescent="0.2">
      <c r="AG635" s="1"/>
      <c r="AH635" s="7"/>
    </row>
    <row r="636" spans="33:34" ht="14" x14ac:dyDescent="0.2">
      <c r="AG636" s="1"/>
      <c r="AH636" s="7"/>
    </row>
    <row r="637" spans="33:34" ht="14" x14ac:dyDescent="0.2">
      <c r="AG637" s="1"/>
      <c r="AH637" s="7"/>
    </row>
    <row r="638" spans="33:34" ht="14" x14ac:dyDescent="0.2">
      <c r="AG638" s="1"/>
      <c r="AH638" s="7"/>
    </row>
    <row r="639" spans="33:34" ht="14" x14ac:dyDescent="0.2">
      <c r="AG639" s="1"/>
      <c r="AH639" s="7"/>
    </row>
    <row r="640" spans="33:34" ht="14" x14ac:dyDescent="0.2">
      <c r="AG640" s="1"/>
      <c r="AH640" s="7"/>
    </row>
    <row r="641" spans="33:34" ht="14" x14ac:dyDescent="0.2">
      <c r="AG641" s="1"/>
      <c r="AH641" s="7"/>
    </row>
    <row r="642" spans="33:34" ht="14" x14ac:dyDescent="0.2">
      <c r="AG642" s="1"/>
      <c r="AH642" s="7"/>
    </row>
    <row r="643" spans="33:34" ht="14" x14ac:dyDescent="0.2">
      <c r="AG643" s="1"/>
      <c r="AH643" s="7"/>
    </row>
    <row r="644" spans="33:34" ht="14" x14ac:dyDescent="0.2">
      <c r="AG644" s="1"/>
      <c r="AH644" s="7"/>
    </row>
    <row r="645" spans="33:34" ht="14" x14ac:dyDescent="0.2">
      <c r="AG645" s="1"/>
      <c r="AH645" s="7"/>
    </row>
    <row r="646" spans="33:34" ht="14" x14ac:dyDescent="0.2">
      <c r="AG646" s="1"/>
      <c r="AH646" s="7"/>
    </row>
    <row r="647" spans="33:34" ht="14" x14ac:dyDescent="0.2">
      <c r="AG647" s="1"/>
      <c r="AH647" s="7"/>
    </row>
    <row r="648" spans="33:34" ht="14" x14ac:dyDescent="0.2">
      <c r="AG648" s="1"/>
      <c r="AH648" s="7"/>
    </row>
    <row r="649" spans="33:34" ht="14" x14ac:dyDescent="0.2">
      <c r="AG649" s="1"/>
      <c r="AH649" s="7"/>
    </row>
    <row r="650" spans="33:34" ht="14" x14ac:dyDescent="0.2">
      <c r="AG650" s="1"/>
      <c r="AH650" s="7"/>
    </row>
    <row r="651" spans="33:34" ht="14" x14ac:dyDescent="0.2">
      <c r="AG651" s="1"/>
      <c r="AH651" s="7"/>
    </row>
    <row r="652" spans="33:34" ht="14" x14ac:dyDescent="0.2">
      <c r="AG652" s="1"/>
      <c r="AH652" s="7"/>
    </row>
    <row r="653" spans="33:34" ht="14" x14ac:dyDescent="0.2">
      <c r="AG653" s="1"/>
      <c r="AH653" s="7"/>
    </row>
    <row r="654" spans="33:34" ht="14" x14ac:dyDescent="0.2">
      <c r="AG654" s="1"/>
      <c r="AH654" s="7"/>
    </row>
    <row r="655" spans="33:34" ht="14" x14ac:dyDescent="0.2">
      <c r="AG655" s="1"/>
      <c r="AH655" s="7"/>
    </row>
    <row r="656" spans="33:34" ht="14" x14ac:dyDescent="0.2">
      <c r="AG656" s="1"/>
      <c r="AH656" s="7"/>
    </row>
    <row r="657" spans="33:34" ht="14" x14ac:dyDescent="0.2">
      <c r="AG657" s="1"/>
      <c r="AH657" s="7"/>
    </row>
    <row r="658" spans="33:34" ht="14" x14ac:dyDescent="0.2">
      <c r="AG658" s="1"/>
      <c r="AH658" s="7"/>
    </row>
    <row r="659" spans="33:34" ht="14" x14ac:dyDescent="0.2">
      <c r="AG659" s="1"/>
      <c r="AH659" s="7"/>
    </row>
    <row r="660" spans="33:34" ht="14" x14ac:dyDescent="0.2">
      <c r="AG660" s="1"/>
      <c r="AH660" s="7"/>
    </row>
    <row r="661" spans="33:34" ht="14" x14ac:dyDescent="0.2">
      <c r="AG661" s="1"/>
      <c r="AH661" s="7"/>
    </row>
    <row r="662" spans="33:34" ht="14" x14ac:dyDescent="0.2">
      <c r="AG662" s="1"/>
      <c r="AH662" s="7"/>
    </row>
    <row r="663" spans="33:34" ht="14" x14ac:dyDescent="0.2">
      <c r="AG663" s="1"/>
      <c r="AH663" s="7"/>
    </row>
    <row r="664" spans="33:34" ht="14" x14ac:dyDescent="0.2">
      <c r="AG664" s="1"/>
      <c r="AH664" s="7"/>
    </row>
    <row r="665" spans="33:34" ht="14" x14ac:dyDescent="0.2">
      <c r="AG665" s="1"/>
      <c r="AH665" s="7"/>
    </row>
    <row r="666" spans="33:34" ht="14" x14ac:dyDescent="0.2">
      <c r="AG666" s="1"/>
      <c r="AH666" s="7"/>
    </row>
    <row r="667" spans="33:34" ht="14" x14ac:dyDescent="0.2">
      <c r="AG667" s="1"/>
      <c r="AH667" s="7"/>
    </row>
    <row r="668" spans="33:34" ht="14" x14ac:dyDescent="0.2">
      <c r="AG668" s="1"/>
      <c r="AH668" s="7"/>
    </row>
    <row r="669" spans="33:34" ht="14" x14ac:dyDescent="0.2">
      <c r="AG669" s="1"/>
      <c r="AH669" s="7"/>
    </row>
    <row r="670" spans="33:34" ht="14" x14ac:dyDescent="0.2">
      <c r="AG670" s="1"/>
      <c r="AH670" s="7"/>
    </row>
    <row r="671" spans="33:34" ht="14" x14ac:dyDescent="0.2">
      <c r="AG671" s="1"/>
      <c r="AH671" s="7"/>
    </row>
    <row r="672" spans="33:34" ht="14" x14ac:dyDescent="0.2">
      <c r="AG672" s="1"/>
      <c r="AH672" s="7"/>
    </row>
    <row r="673" spans="33:34" ht="14" x14ac:dyDescent="0.2">
      <c r="AG673" s="1"/>
      <c r="AH673" s="7"/>
    </row>
    <row r="674" spans="33:34" ht="14" x14ac:dyDescent="0.2">
      <c r="AG674" s="1"/>
      <c r="AH674" s="7"/>
    </row>
    <row r="675" spans="33:34" ht="14" x14ac:dyDescent="0.2">
      <c r="AG675" s="1"/>
      <c r="AH675" s="7"/>
    </row>
    <row r="676" spans="33:34" ht="14" x14ac:dyDescent="0.2">
      <c r="AG676" s="1"/>
      <c r="AH676" s="7"/>
    </row>
    <row r="677" spans="33:34" ht="14" x14ac:dyDescent="0.2">
      <c r="AG677" s="1"/>
      <c r="AH677" s="7"/>
    </row>
    <row r="678" spans="33:34" ht="14" x14ac:dyDescent="0.2">
      <c r="AG678" s="1"/>
      <c r="AH678" s="7"/>
    </row>
    <row r="679" spans="33:34" ht="14" x14ac:dyDescent="0.2">
      <c r="AG679" s="1"/>
      <c r="AH679" s="7"/>
    </row>
    <row r="680" spans="33:34" ht="14" x14ac:dyDescent="0.2">
      <c r="AG680" s="1"/>
      <c r="AH680" s="7"/>
    </row>
    <row r="681" spans="33:34" ht="14" x14ac:dyDescent="0.2">
      <c r="AG681" s="1"/>
      <c r="AH681" s="7"/>
    </row>
    <row r="682" spans="33:34" ht="14" x14ac:dyDescent="0.2">
      <c r="AG682" s="1"/>
      <c r="AH682" s="7"/>
    </row>
    <row r="683" spans="33:34" ht="14" x14ac:dyDescent="0.2">
      <c r="AG683" s="1"/>
      <c r="AH683" s="7"/>
    </row>
    <row r="684" spans="33:34" ht="14" x14ac:dyDescent="0.2">
      <c r="AG684" s="1"/>
      <c r="AH684" s="7"/>
    </row>
    <row r="685" spans="33:34" ht="14" x14ac:dyDescent="0.2">
      <c r="AG685" s="1"/>
      <c r="AH685" s="7"/>
    </row>
    <row r="686" spans="33:34" ht="14" x14ac:dyDescent="0.2">
      <c r="AG686" s="1"/>
      <c r="AH686" s="7"/>
    </row>
    <row r="687" spans="33:34" ht="14" x14ac:dyDescent="0.2">
      <c r="AG687" s="1"/>
      <c r="AH687" s="7"/>
    </row>
    <row r="688" spans="33:34" ht="14" x14ac:dyDescent="0.2">
      <c r="AG688" s="1"/>
      <c r="AH688" s="7"/>
    </row>
    <row r="689" spans="33:34" ht="14" x14ac:dyDescent="0.2">
      <c r="AG689" s="1"/>
      <c r="AH689" s="7"/>
    </row>
    <row r="690" spans="33:34" ht="14" x14ac:dyDescent="0.2">
      <c r="AG690" s="1"/>
      <c r="AH690" s="7"/>
    </row>
    <row r="691" spans="33:34" ht="14" x14ac:dyDescent="0.2">
      <c r="AG691" s="1"/>
      <c r="AH691" s="7"/>
    </row>
    <row r="692" spans="33:34" ht="14" x14ac:dyDescent="0.2">
      <c r="AG692" s="1"/>
      <c r="AH692" s="7"/>
    </row>
    <row r="693" spans="33:34" ht="14" x14ac:dyDescent="0.2">
      <c r="AG693" s="1"/>
      <c r="AH693" s="7"/>
    </row>
    <row r="694" spans="33:34" ht="14" x14ac:dyDescent="0.2">
      <c r="AG694" s="1"/>
      <c r="AH694" s="7"/>
    </row>
    <row r="695" spans="33:34" ht="14" x14ac:dyDescent="0.2">
      <c r="AG695" s="1"/>
      <c r="AH695" s="7"/>
    </row>
    <row r="696" spans="33:34" ht="14" x14ac:dyDescent="0.2">
      <c r="AG696" s="1"/>
      <c r="AH696" s="7"/>
    </row>
    <row r="697" spans="33:34" ht="14" x14ac:dyDescent="0.2">
      <c r="AG697" s="1"/>
      <c r="AH697" s="7"/>
    </row>
    <row r="698" spans="33:34" ht="14" x14ac:dyDescent="0.2">
      <c r="AG698" s="1"/>
      <c r="AH698" s="7"/>
    </row>
    <row r="699" spans="33:34" ht="14" x14ac:dyDescent="0.2">
      <c r="AG699" s="1"/>
      <c r="AH699" s="7"/>
    </row>
    <row r="700" spans="33:34" ht="14" x14ac:dyDescent="0.2">
      <c r="AG700" s="1"/>
      <c r="AH700" s="7"/>
    </row>
    <row r="701" spans="33:34" ht="14" x14ac:dyDescent="0.2">
      <c r="AG701" s="1"/>
      <c r="AH701" s="7"/>
    </row>
    <row r="702" spans="33:34" ht="14" x14ac:dyDescent="0.2">
      <c r="AG702" s="1"/>
      <c r="AH702" s="7"/>
    </row>
    <row r="703" spans="33:34" ht="14" x14ac:dyDescent="0.2">
      <c r="AG703" s="1"/>
      <c r="AH703" s="7"/>
    </row>
    <row r="704" spans="33:34" ht="14" x14ac:dyDescent="0.2">
      <c r="AG704" s="1"/>
      <c r="AH704" s="7"/>
    </row>
    <row r="705" spans="33:34" ht="14" x14ac:dyDescent="0.2">
      <c r="AG705" s="1"/>
      <c r="AH705" s="7"/>
    </row>
    <row r="706" spans="33:34" ht="14" x14ac:dyDescent="0.2">
      <c r="AG706" s="1"/>
      <c r="AH706" s="7"/>
    </row>
    <row r="707" spans="33:34" ht="14" x14ac:dyDescent="0.2">
      <c r="AG707" s="1"/>
      <c r="AH707" s="7"/>
    </row>
    <row r="708" spans="33:34" ht="14" x14ac:dyDescent="0.2">
      <c r="AG708" s="1"/>
      <c r="AH708" s="7"/>
    </row>
    <row r="709" spans="33:34" ht="14" x14ac:dyDescent="0.2">
      <c r="AG709" s="1"/>
      <c r="AH709" s="7"/>
    </row>
    <row r="710" spans="33:34" ht="14" x14ac:dyDescent="0.2">
      <c r="AG710" s="1"/>
      <c r="AH710" s="7"/>
    </row>
    <row r="711" spans="33:34" ht="14" x14ac:dyDescent="0.2">
      <c r="AG711" s="1"/>
      <c r="AH711" s="7"/>
    </row>
    <row r="712" spans="33:34" ht="14" x14ac:dyDescent="0.2">
      <c r="AG712" s="1"/>
      <c r="AH712" s="7"/>
    </row>
    <row r="713" spans="33:34" ht="14" x14ac:dyDescent="0.2">
      <c r="AG713" s="1"/>
      <c r="AH713" s="7"/>
    </row>
    <row r="714" spans="33:34" ht="14" x14ac:dyDescent="0.2">
      <c r="AG714" s="1"/>
      <c r="AH714" s="7"/>
    </row>
    <row r="715" spans="33:34" ht="14" x14ac:dyDescent="0.2">
      <c r="AG715" s="1"/>
      <c r="AH715" s="7"/>
    </row>
    <row r="716" spans="33:34" ht="14" x14ac:dyDescent="0.2">
      <c r="AG716" s="1"/>
      <c r="AH716" s="7"/>
    </row>
    <row r="717" spans="33:34" ht="14" x14ac:dyDescent="0.2">
      <c r="AG717" s="1"/>
      <c r="AH717" s="7"/>
    </row>
    <row r="718" spans="33:34" ht="14" x14ac:dyDescent="0.2">
      <c r="AG718" s="1"/>
      <c r="AH718" s="7"/>
    </row>
    <row r="719" spans="33:34" ht="14" x14ac:dyDescent="0.2">
      <c r="AG719" s="1"/>
      <c r="AH719" s="7"/>
    </row>
    <row r="720" spans="33:34" ht="14" x14ac:dyDescent="0.2">
      <c r="AG720" s="1"/>
      <c r="AH720" s="7"/>
    </row>
    <row r="721" spans="33:34" ht="14" x14ac:dyDescent="0.2">
      <c r="AG721" s="1"/>
      <c r="AH721" s="7"/>
    </row>
    <row r="722" spans="33:34" ht="14" x14ac:dyDescent="0.2">
      <c r="AG722" s="1"/>
      <c r="AH722" s="7"/>
    </row>
    <row r="723" spans="33:34" ht="14" x14ac:dyDescent="0.2">
      <c r="AG723" s="1"/>
      <c r="AH723" s="7"/>
    </row>
    <row r="724" spans="33:34" ht="14" x14ac:dyDescent="0.2">
      <c r="AG724" s="1"/>
      <c r="AH724" s="7"/>
    </row>
    <row r="725" spans="33:34" ht="14" x14ac:dyDescent="0.2">
      <c r="AG725" s="1"/>
      <c r="AH725" s="7"/>
    </row>
    <row r="726" spans="33:34" ht="14" x14ac:dyDescent="0.2">
      <c r="AG726" s="1"/>
      <c r="AH726" s="7"/>
    </row>
    <row r="727" spans="33:34" ht="14" x14ac:dyDescent="0.2">
      <c r="AG727" s="1"/>
      <c r="AH727" s="7"/>
    </row>
    <row r="728" spans="33:34" ht="14" x14ac:dyDescent="0.2">
      <c r="AG728" s="1"/>
      <c r="AH728" s="7"/>
    </row>
    <row r="729" spans="33:34" ht="14" x14ac:dyDescent="0.2">
      <c r="AG729" s="1"/>
      <c r="AH729" s="7"/>
    </row>
    <row r="730" spans="33:34" ht="14" x14ac:dyDescent="0.2">
      <c r="AG730" s="1"/>
      <c r="AH730" s="7"/>
    </row>
    <row r="731" spans="33:34" ht="14" x14ac:dyDescent="0.2">
      <c r="AG731" s="1"/>
      <c r="AH731" s="7"/>
    </row>
    <row r="732" spans="33:34" ht="14" x14ac:dyDescent="0.2">
      <c r="AG732" s="1"/>
      <c r="AH732" s="7"/>
    </row>
    <row r="733" spans="33:34" ht="14" x14ac:dyDescent="0.2">
      <c r="AG733" s="1"/>
      <c r="AH733" s="7"/>
    </row>
    <row r="734" spans="33:34" ht="14" x14ac:dyDescent="0.2">
      <c r="AG734" s="1"/>
      <c r="AH734" s="7"/>
    </row>
    <row r="735" spans="33:34" ht="14" x14ac:dyDescent="0.2">
      <c r="AG735" s="1"/>
      <c r="AH735" s="7"/>
    </row>
    <row r="736" spans="33:34" ht="14" x14ac:dyDescent="0.2">
      <c r="AG736" s="1"/>
      <c r="AH736" s="7"/>
    </row>
    <row r="737" spans="33:34" ht="14" x14ac:dyDescent="0.2">
      <c r="AG737" s="1"/>
      <c r="AH737" s="7"/>
    </row>
    <row r="738" spans="33:34" ht="14" x14ac:dyDescent="0.2">
      <c r="AG738" s="1"/>
      <c r="AH738" s="7"/>
    </row>
    <row r="739" spans="33:34" ht="14" x14ac:dyDescent="0.2">
      <c r="AG739" s="1"/>
      <c r="AH739" s="7"/>
    </row>
    <row r="740" spans="33:34" ht="14" x14ac:dyDescent="0.2">
      <c r="AG740" s="1"/>
      <c r="AH740" s="7"/>
    </row>
    <row r="741" spans="33:34" ht="14" x14ac:dyDescent="0.2">
      <c r="AG741" s="1"/>
      <c r="AH741" s="7"/>
    </row>
    <row r="742" spans="33:34" ht="14" x14ac:dyDescent="0.2">
      <c r="AG742" s="1"/>
      <c r="AH742" s="7"/>
    </row>
    <row r="743" spans="33:34" ht="14" x14ac:dyDescent="0.2">
      <c r="AG743" s="1"/>
      <c r="AH743" s="7"/>
    </row>
    <row r="744" spans="33:34" ht="14" x14ac:dyDescent="0.2">
      <c r="AG744" s="1"/>
      <c r="AH744" s="7"/>
    </row>
    <row r="745" spans="33:34" ht="14" x14ac:dyDescent="0.2">
      <c r="AG745" s="1"/>
      <c r="AH745" s="7"/>
    </row>
    <row r="746" spans="33:34" ht="14" x14ac:dyDescent="0.2">
      <c r="AG746" s="1"/>
      <c r="AH746" s="7"/>
    </row>
    <row r="747" spans="33:34" ht="14" x14ac:dyDescent="0.2">
      <c r="AG747" s="1"/>
      <c r="AH747" s="7"/>
    </row>
    <row r="748" spans="33:34" ht="14" x14ac:dyDescent="0.2">
      <c r="AG748" s="1"/>
      <c r="AH748" s="7"/>
    </row>
    <row r="749" spans="33:34" ht="14" x14ac:dyDescent="0.2">
      <c r="AG749" s="1"/>
      <c r="AH749" s="7"/>
    </row>
    <row r="750" spans="33:34" ht="14" x14ac:dyDescent="0.2">
      <c r="AG750" s="1"/>
      <c r="AH750" s="7"/>
    </row>
    <row r="751" spans="33:34" ht="14" x14ac:dyDescent="0.2">
      <c r="AG751" s="1"/>
      <c r="AH751" s="7"/>
    </row>
    <row r="752" spans="33:34" ht="14" x14ac:dyDescent="0.2">
      <c r="AG752" s="1"/>
      <c r="AH752" s="7"/>
    </row>
    <row r="753" spans="33:34" ht="14" x14ac:dyDescent="0.2">
      <c r="AG753" s="1"/>
      <c r="AH753" s="7"/>
    </row>
    <row r="754" spans="33:34" ht="14" x14ac:dyDescent="0.2">
      <c r="AG754" s="1"/>
      <c r="AH754" s="7"/>
    </row>
    <row r="755" spans="33:34" ht="14" x14ac:dyDescent="0.2">
      <c r="AG755" s="1"/>
      <c r="AH755" s="7"/>
    </row>
    <row r="756" spans="33:34" ht="14" x14ac:dyDescent="0.2">
      <c r="AG756" s="1"/>
      <c r="AH756" s="7"/>
    </row>
    <row r="757" spans="33:34" ht="14" x14ac:dyDescent="0.2">
      <c r="AG757" s="1"/>
      <c r="AH757" s="7"/>
    </row>
    <row r="758" spans="33:34" ht="14" x14ac:dyDescent="0.2">
      <c r="AG758" s="1"/>
      <c r="AH758" s="7"/>
    </row>
    <row r="759" spans="33:34" ht="14" x14ac:dyDescent="0.2">
      <c r="AG759" s="1"/>
      <c r="AH759" s="7"/>
    </row>
    <row r="760" spans="33:34" ht="14" x14ac:dyDescent="0.2">
      <c r="AG760" s="1"/>
      <c r="AH760" s="7"/>
    </row>
    <row r="761" spans="33:34" ht="14" x14ac:dyDescent="0.2">
      <c r="AG761" s="1"/>
      <c r="AH761" s="7"/>
    </row>
    <row r="762" spans="33:34" ht="14" x14ac:dyDescent="0.2">
      <c r="AG762" s="1"/>
      <c r="AH762" s="7"/>
    </row>
    <row r="763" spans="33:34" ht="14" x14ac:dyDescent="0.2">
      <c r="AG763" s="1"/>
      <c r="AH763" s="7"/>
    </row>
    <row r="764" spans="33:34" ht="14" x14ac:dyDescent="0.2">
      <c r="AG764" s="1"/>
      <c r="AH764" s="7"/>
    </row>
    <row r="765" spans="33:34" ht="14" x14ac:dyDescent="0.2">
      <c r="AG765" s="1"/>
      <c r="AH765" s="7"/>
    </row>
    <row r="766" spans="33:34" ht="14" x14ac:dyDescent="0.2">
      <c r="AG766" s="1"/>
      <c r="AH766" s="7"/>
    </row>
    <row r="767" spans="33:34" ht="14" x14ac:dyDescent="0.2">
      <c r="AG767" s="1"/>
      <c r="AH767" s="7"/>
    </row>
    <row r="768" spans="33:34" ht="14" x14ac:dyDescent="0.2">
      <c r="AG768" s="1"/>
      <c r="AH768" s="7"/>
    </row>
    <row r="769" spans="33:34" ht="14" x14ac:dyDescent="0.2">
      <c r="AG769" s="1"/>
      <c r="AH769" s="7"/>
    </row>
    <row r="770" spans="33:34" ht="14" x14ac:dyDescent="0.2">
      <c r="AG770" s="1"/>
      <c r="AH770" s="7"/>
    </row>
    <row r="771" spans="33:34" ht="14" x14ac:dyDescent="0.2">
      <c r="AG771" s="1"/>
      <c r="AH771" s="7"/>
    </row>
    <row r="772" spans="33:34" ht="14" x14ac:dyDescent="0.2">
      <c r="AG772" s="1"/>
      <c r="AH772" s="7"/>
    </row>
    <row r="773" spans="33:34" ht="14" x14ac:dyDescent="0.2">
      <c r="AG773" s="1"/>
      <c r="AH773" s="7"/>
    </row>
    <row r="774" spans="33:34" ht="14" x14ac:dyDescent="0.2">
      <c r="AG774" s="1"/>
      <c r="AH774" s="7"/>
    </row>
    <row r="775" spans="33:34" ht="14" x14ac:dyDescent="0.2">
      <c r="AG775" s="1"/>
      <c r="AH775" s="7"/>
    </row>
    <row r="776" spans="33:34" ht="14" x14ac:dyDescent="0.2">
      <c r="AG776" s="1"/>
      <c r="AH776" s="7"/>
    </row>
    <row r="777" spans="33:34" ht="14" x14ac:dyDescent="0.2">
      <c r="AG777" s="1"/>
      <c r="AH777" s="7"/>
    </row>
    <row r="778" spans="33:34" ht="14" x14ac:dyDescent="0.2">
      <c r="AG778" s="1"/>
      <c r="AH778" s="7"/>
    </row>
    <row r="779" spans="33:34" ht="14" x14ac:dyDescent="0.2">
      <c r="AG779" s="1"/>
      <c r="AH779" s="7"/>
    </row>
    <row r="780" spans="33:34" ht="14" x14ac:dyDescent="0.2">
      <c r="AG780" s="1"/>
      <c r="AH780" s="7"/>
    </row>
    <row r="781" spans="33:34" ht="14" x14ac:dyDescent="0.2">
      <c r="AG781" s="1"/>
      <c r="AH781" s="7"/>
    </row>
    <row r="782" spans="33:34" ht="14" x14ac:dyDescent="0.2">
      <c r="AG782" s="1"/>
      <c r="AH782" s="7"/>
    </row>
    <row r="783" spans="33:34" ht="14" x14ac:dyDescent="0.2">
      <c r="AG783" s="1"/>
      <c r="AH783" s="7"/>
    </row>
    <row r="784" spans="33:34" ht="14" x14ac:dyDescent="0.2">
      <c r="AG784" s="1"/>
      <c r="AH784" s="7"/>
    </row>
    <row r="785" spans="33:34" ht="14" x14ac:dyDescent="0.2">
      <c r="AG785" s="1"/>
      <c r="AH785" s="7"/>
    </row>
    <row r="786" spans="33:34" ht="14" x14ac:dyDescent="0.2">
      <c r="AG786" s="1"/>
      <c r="AH786" s="7"/>
    </row>
    <row r="787" spans="33:34" ht="14" x14ac:dyDescent="0.2">
      <c r="AG787" s="1"/>
      <c r="AH787" s="7"/>
    </row>
    <row r="788" spans="33:34" ht="14" x14ac:dyDescent="0.2">
      <c r="AG788" s="1"/>
      <c r="AH788" s="7"/>
    </row>
    <row r="789" spans="33:34" ht="14" x14ac:dyDescent="0.2">
      <c r="AG789" s="1"/>
      <c r="AH789" s="7"/>
    </row>
    <row r="790" spans="33:34" ht="14" x14ac:dyDescent="0.2">
      <c r="AG790" s="1"/>
      <c r="AH790" s="7"/>
    </row>
    <row r="791" spans="33:34" ht="14" x14ac:dyDescent="0.2">
      <c r="AG791" s="1"/>
      <c r="AH791" s="7"/>
    </row>
    <row r="792" spans="33:34" ht="14" x14ac:dyDescent="0.2">
      <c r="AG792" s="1"/>
      <c r="AH792" s="7"/>
    </row>
    <row r="793" spans="33:34" ht="14" x14ac:dyDescent="0.2">
      <c r="AG793" s="1"/>
      <c r="AH793" s="7"/>
    </row>
    <row r="794" spans="33:34" ht="14" x14ac:dyDescent="0.2">
      <c r="AG794" s="1"/>
      <c r="AH794" s="7"/>
    </row>
    <row r="795" spans="33:34" ht="14" x14ac:dyDescent="0.2">
      <c r="AG795" s="1"/>
      <c r="AH795" s="7"/>
    </row>
    <row r="796" spans="33:34" ht="14" x14ac:dyDescent="0.2">
      <c r="AG796" s="1"/>
      <c r="AH796" s="7"/>
    </row>
    <row r="797" spans="33:34" ht="14" x14ac:dyDescent="0.2">
      <c r="AG797" s="1"/>
      <c r="AH797" s="7"/>
    </row>
    <row r="798" spans="33:34" ht="14" x14ac:dyDescent="0.2">
      <c r="AG798" s="1"/>
      <c r="AH798" s="7"/>
    </row>
    <row r="799" spans="33:34" ht="14" x14ac:dyDescent="0.2">
      <c r="AG799" s="1"/>
      <c r="AH799" s="7"/>
    </row>
    <row r="800" spans="33:34" ht="14" x14ac:dyDescent="0.2">
      <c r="AG800" s="1"/>
      <c r="AH800" s="7"/>
    </row>
    <row r="801" spans="33:34" ht="14" x14ac:dyDescent="0.2">
      <c r="AG801" s="1"/>
      <c r="AH801" s="7"/>
    </row>
    <row r="802" spans="33:34" ht="14" x14ac:dyDescent="0.2">
      <c r="AG802" s="1"/>
      <c r="AH802" s="7"/>
    </row>
    <row r="803" spans="33:34" ht="14" x14ac:dyDescent="0.2">
      <c r="AG803" s="1"/>
      <c r="AH803" s="7"/>
    </row>
    <row r="804" spans="33:34" ht="14" x14ac:dyDescent="0.2">
      <c r="AG804" s="1"/>
      <c r="AH804" s="7"/>
    </row>
    <row r="805" spans="33:34" ht="14" x14ac:dyDescent="0.2">
      <c r="AG805" s="1"/>
      <c r="AH805" s="7"/>
    </row>
    <row r="806" spans="33:34" ht="14" x14ac:dyDescent="0.2">
      <c r="AG806" s="1"/>
      <c r="AH806" s="7"/>
    </row>
    <row r="807" spans="33:34" ht="14" x14ac:dyDescent="0.2">
      <c r="AG807" s="1"/>
      <c r="AH807" s="7"/>
    </row>
    <row r="808" spans="33:34" ht="14" x14ac:dyDescent="0.2">
      <c r="AG808" s="1"/>
      <c r="AH808" s="7"/>
    </row>
    <row r="809" spans="33:34" ht="14" x14ac:dyDescent="0.2">
      <c r="AG809" s="1"/>
      <c r="AH809" s="7"/>
    </row>
    <row r="810" spans="33:34" ht="14" x14ac:dyDescent="0.2">
      <c r="AG810" s="1"/>
      <c r="AH810" s="7"/>
    </row>
    <row r="811" spans="33:34" ht="14" x14ac:dyDescent="0.2">
      <c r="AG811" s="1"/>
      <c r="AH811" s="7"/>
    </row>
    <row r="812" spans="33:34" ht="14" x14ac:dyDescent="0.2">
      <c r="AG812" s="1"/>
      <c r="AH812" s="7"/>
    </row>
    <row r="813" spans="33:34" ht="14" x14ac:dyDescent="0.2">
      <c r="AG813" s="1"/>
      <c r="AH813" s="7"/>
    </row>
    <row r="814" spans="33:34" ht="14" x14ac:dyDescent="0.2">
      <c r="AG814" s="1"/>
      <c r="AH814" s="7"/>
    </row>
    <row r="815" spans="33:34" ht="14" x14ac:dyDescent="0.2">
      <c r="AG815" s="1"/>
      <c r="AH815" s="7"/>
    </row>
    <row r="816" spans="33:34" ht="14" x14ac:dyDescent="0.2">
      <c r="AG816" s="1"/>
      <c r="AH816" s="7"/>
    </row>
    <row r="817" spans="33:34" ht="14" x14ac:dyDescent="0.2">
      <c r="AG817" s="1"/>
      <c r="AH817" s="7"/>
    </row>
    <row r="818" spans="33:34" ht="14" x14ac:dyDescent="0.2">
      <c r="AG818" s="1"/>
      <c r="AH818" s="7"/>
    </row>
    <row r="819" spans="33:34" ht="14" x14ac:dyDescent="0.2">
      <c r="AG819" s="1"/>
      <c r="AH819" s="7"/>
    </row>
    <row r="820" spans="33:34" ht="14" x14ac:dyDescent="0.2">
      <c r="AG820" s="1"/>
      <c r="AH820" s="7"/>
    </row>
    <row r="821" spans="33:34" ht="14" x14ac:dyDescent="0.2">
      <c r="AG821" s="1"/>
      <c r="AH821" s="7"/>
    </row>
    <row r="822" spans="33:34" ht="14" x14ac:dyDescent="0.2">
      <c r="AG822" s="1"/>
      <c r="AH822" s="7"/>
    </row>
    <row r="823" spans="33:34" ht="14" x14ac:dyDescent="0.2">
      <c r="AG823" s="1"/>
      <c r="AH823" s="7"/>
    </row>
    <row r="824" spans="33:34" ht="14" x14ac:dyDescent="0.2">
      <c r="AG824" s="1"/>
      <c r="AH824" s="7"/>
    </row>
    <row r="825" spans="33:34" ht="14" x14ac:dyDescent="0.2">
      <c r="AG825" s="1"/>
      <c r="AH825" s="7"/>
    </row>
    <row r="826" spans="33:34" ht="14" x14ac:dyDescent="0.2">
      <c r="AG826" s="1"/>
      <c r="AH826" s="7"/>
    </row>
    <row r="827" spans="33:34" ht="14" x14ac:dyDescent="0.2">
      <c r="AG827" s="1"/>
      <c r="AH827" s="7"/>
    </row>
    <row r="828" spans="33:34" ht="14" x14ac:dyDescent="0.2">
      <c r="AG828" s="1"/>
      <c r="AH828" s="7"/>
    </row>
    <row r="829" spans="33:34" ht="14" x14ac:dyDescent="0.2">
      <c r="AG829" s="1"/>
      <c r="AH829" s="7"/>
    </row>
    <row r="830" spans="33:34" ht="14" x14ac:dyDescent="0.2">
      <c r="AG830" s="1"/>
      <c r="AH830" s="7"/>
    </row>
    <row r="831" spans="33:34" ht="14" x14ac:dyDescent="0.2">
      <c r="AG831" s="1"/>
      <c r="AH831" s="7"/>
    </row>
    <row r="832" spans="33:34" ht="14" x14ac:dyDescent="0.2">
      <c r="AG832" s="1"/>
      <c r="AH832" s="7"/>
    </row>
    <row r="833" spans="33:34" ht="14" x14ac:dyDescent="0.2">
      <c r="AG833" s="1"/>
      <c r="AH833" s="7"/>
    </row>
    <row r="834" spans="33:34" ht="14" x14ac:dyDescent="0.2">
      <c r="AG834" s="1"/>
      <c r="AH834" s="7"/>
    </row>
    <row r="835" spans="33:34" ht="14" x14ac:dyDescent="0.2">
      <c r="AG835" s="1"/>
      <c r="AH835" s="7"/>
    </row>
    <row r="836" spans="33:34" ht="14" x14ac:dyDescent="0.2">
      <c r="AG836" s="1"/>
      <c r="AH836" s="7"/>
    </row>
    <row r="837" spans="33:34" ht="14" x14ac:dyDescent="0.2">
      <c r="AG837" s="1"/>
      <c r="AH837" s="7"/>
    </row>
    <row r="838" spans="33:34" ht="14" x14ac:dyDescent="0.2">
      <c r="AG838" s="1"/>
      <c r="AH838" s="7"/>
    </row>
    <row r="839" spans="33:34" ht="14" x14ac:dyDescent="0.2">
      <c r="AG839" s="1"/>
      <c r="AH839" s="7"/>
    </row>
    <row r="840" spans="33:34" ht="14" x14ac:dyDescent="0.2">
      <c r="AG840" s="1"/>
      <c r="AH840" s="7"/>
    </row>
    <row r="841" spans="33:34" ht="14" x14ac:dyDescent="0.2">
      <c r="AG841" s="1"/>
      <c r="AH841" s="7"/>
    </row>
    <row r="842" spans="33:34" ht="14" x14ac:dyDescent="0.2">
      <c r="AG842" s="1"/>
      <c r="AH842" s="7"/>
    </row>
    <row r="843" spans="33:34" ht="14" x14ac:dyDescent="0.2">
      <c r="AG843" s="1"/>
      <c r="AH843" s="7"/>
    </row>
    <row r="844" spans="33:34" ht="14" x14ac:dyDescent="0.2">
      <c r="AG844" s="1"/>
      <c r="AH844" s="7"/>
    </row>
    <row r="845" spans="33:34" ht="14" x14ac:dyDescent="0.2">
      <c r="AG845" s="1"/>
      <c r="AH845" s="7"/>
    </row>
    <row r="846" spans="33:34" ht="14" x14ac:dyDescent="0.2">
      <c r="AG846" s="1"/>
      <c r="AH846" s="7"/>
    </row>
    <row r="847" spans="33:34" ht="14" x14ac:dyDescent="0.2">
      <c r="AG847" s="1"/>
      <c r="AH847" s="7"/>
    </row>
    <row r="848" spans="33:34" ht="14" x14ac:dyDescent="0.2">
      <c r="AG848" s="1"/>
      <c r="AH848" s="7"/>
    </row>
    <row r="849" spans="33:34" ht="14" x14ac:dyDescent="0.2">
      <c r="AG849" s="1"/>
      <c r="AH849" s="7"/>
    </row>
    <row r="850" spans="33:34" ht="14" x14ac:dyDescent="0.2">
      <c r="AG850" s="1"/>
      <c r="AH850" s="7"/>
    </row>
    <row r="851" spans="33:34" ht="14" x14ac:dyDescent="0.2">
      <c r="AG851" s="1"/>
      <c r="AH851" s="7"/>
    </row>
    <row r="852" spans="33:34" ht="14" x14ac:dyDescent="0.2">
      <c r="AG852" s="1"/>
      <c r="AH852" s="7"/>
    </row>
    <row r="853" spans="33:34" ht="14" x14ac:dyDescent="0.2">
      <c r="AG853" s="1"/>
      <c r="AH853" s="7"/>
    </row>
    <row r="854" spans="33:34" ht="14" x14ac:dyDescent="0.2">
      <c r="AG854" s="1"/>
      <c r="AH854" s="7"/>
    </row>
    <row r="855" spans="33:34" ht="14" x14ac:dyDescent="0.2">
      <c r="AG855" s="1"/>
      <c r="AH855" s="7"/>
    </row>
    <row r="856" spans="33:34" ht="14" x14ac:dyDescent="0.2">
      <c r="AG856" s="1"/>
      <c r="AH856" s="7"/>
    </row>
    <row r="857" spans="33:34" ht="14" x14ac:dyDescent="0.2">
      <c r="AG857" s="1"/>
      <c r="AH857" s="7"/>
    </row>
    <row r="858" spans="33:34" ht="14" x14ac:dyDescent="0.2">
      <c r="AG858" s="1"/>
      <c r="AH858" s="7"/>
    </row>
    <row r="859" spans="33:34" ht="14" x14ac:dyDescent="0.2">
      <c r="AG859" s="1"/>
      <c r="AH859" s="7"/>
    </row>
    <row r="860" spans="33:34" ht="14" x14ac:dyDescent="0.2">
      <c r="AG860" s="1"/>
      <c r="AH860" s="7"/>
    </row>
    <row r="861" spans="33:34" ht="14" x14ac:dyDescent="0.2">
      <c r="AG861" s="1"/>
      <c r="AH861" s="7"/>
    </row>
    <row r="862" spans="33:34" ht="14" x14ac:dyDescent="0.2">
      <c r="AG862" s="1"/>
      <c r="AH862" s="7"/>
    </row>
    <row r="863" spans="33:34" ht="14" x14ac:dyDescent="0.2">
      <c r="AG863" s="1"/>
      <c r="AH863" s="7"/>
    </row>
    <row r="864" spans="33:34" ht="14" x14ac:dyDescent="0.2">
      <c r="AG864" s="1"/>
      <c r="AH864" s="7"/>
    </row>
    <row r="865" spans="33:34" ht="14" x14ac:dyDescent="0.2">
      <c r="AG865" s="1"/>
      <c r="AH865" s="7"/>
    </row>
    <row r="866" spans="33:34" ht="14" x14ac:dyDescent="0.2">
      <c r="AG866" s="1"/>
      <c r="AH866" s="7"/>
    </row>
    <row r="867" spans="33:34" ht="14" x14ac:dyDescent="0.2">
      <c r="AG867" s="1"/>
      <c r="AH867" s="7"/>
    </row>
    <row r="868" spans="33:34" ht="14" x14ac:dyDescent="0.2">
      <c r="AG868" s="1"/>
      <c r="AH868" s="7"/>
    </row>
    <row r="869" spans="33:34" ht="14" x14ac:dyDescent="0.2">
      <c r="AG869" s="1"/>
      <c r="AH869" s="7"/>
    </row>
    <row r="870" spans="33:34" ht="14" x14ac:dyDescent="0.2">
      <c r="AG870" s="1"/>
      <c r="AH870" s="7"/>
    </row>
    <row r="871" spans="33:34" ht="14" x14ac:dyDescent="0.2">
      <c r="AG871" s="1"/>
      <c r="AH871" s="7"/>
    </row>
    <row r="872" spans="33:34" ht="14" x14ac:dyDescent="0.2">
      <c r="AG872" s="1"/>
      <c r="AH872" s="7"/>
    </row>
    <row r="873" spans="33:34" ht="14" x14ac:dyDescent="0.2">
      <c r="AG873" s="1"/>
      <c r="AH873" s="7"/>
    </row>
    <row r="874" spans="33:34" ht="14" x14ac:dyDescent="0.2">
      <c r="AG874" s="1"/>
      <c r="AH874" s="7"/>
    </row>
    <row r="875" spans="33:34" ht="14" x14ac:dyDescent="0.2">
      <c r="AG875" s="1"/>
      <c r="AH875" s="7"/>
    </row>
    <row r="876" spans="33:34" ht="14" x14ac:dyDescent="0.2">
      <c r="AG876" s="1"/>
      <c r="AH876" s="7"/>
    </row>
    <row r="877" spans="33:34" ht="14" x14ac:dyDescent="0.2">
      <c r="AG877" s="1"/>
      <c r="AH877" s="7"/>
    </row>
    <row r="878" spans="33:34" ht="14" x14ac:dyDescent="0.2">
      <c r="AG878" s="1"/>
      <c r="AH878" s="7"/>
    </row>
    <row r="879" spans="33:34" ht="14" x14ac:dyDescent="0.2">
      <c r="AG879" s="1"/>
      <c r="AH879" s="7"/>
    </row>
    <row r="880" spans="33:34" ht="14" x14ac:dyDescent="0.2">
      <c r="AG880" s="1"/>
      <c r="AH880" s="7"/>
    </row>
    <row r="881" spans="33:34" ht="14" x14ac:dyDescent="0.2">
      <c r="AG881" s="1"/>
      <c r="AH881" s="7"/>
    </row>
    <row r="882" spans="33:34" ht="14" x14ac:dyDescent="0.2">
      <c r="AG882" s="1"/>
      <c r="AH882" s="7"/>
    </row>
    <row r="883" spans="33:34" ht="14" x14ac:dyDescent="0.2">
      <c r="AG883" s="1"/>
      <c r="AH883" s="7"/>
    </row>
    <row r="884" spans="33:34" ht="14" x14ac:dyDescent="0.2">
      <c r="AG884" s="1"/>
      <c r="AH884" s="7"/>
    </row>
    <row r="885" spans="33:34" ht="14" x14ac:dyDescent="0.2">
      <c r="AG885" s="1"/>
      <c r="AH885" s="7"/>
    </row>
    <row r="886" spans="33:34" ht="14" x14ac:dyDescent="0.2">
      <c r="AG886" s="1"/>
      <c r="AH886" s="7"/>
    </row>
    <row r="887" spans="33:34" ht="14" x14ac:dyDescent="0.2">
      <c r="AG887" s="1"/>
      <c r="AH887" s="7"/>
    </row>
    <row r="888" spans="33:34" ht="14" x14ac:dyDescent="0.2">
      <c r="AG888" s="1"/>
      <c r="AH888" s="7"/>
    </row>
    <row r="889" spans="33:34" ht="14" x14ac:dyDescent="0.2">
      <c r="AG889" s="1"/>
      <c r="AH889" s="7"/>
    </row>
    <row r="890" spans="33:34" ht="14" x14ac:dyDescent="0.2">
      <c r="AG890" s="1"/>
      <c r="AH890" s="7"/>
    </row>
    <row r="891" spans="33:34" ht="14" x14ac:dyDescent="0.2">
      <c r="AG891" s="1"/>
      <c r="AH891" s="7"/>
    </row>
    <row r="892" spans="33:34" ht="14" x14ac:dyDescent="0.2">
      <c r="AG892" s="1"/>
      <c r="AH892" s="7"/>
    </row>
    <row r="893" spans="33:34" ht="14" x14ac:dyDescent="0.2">
      <c r="AG893" s="1"/>
      <c r="AH893" s="7"/>
    </row>
    <row r="894" spans="33:34" ht="14" x14ac:dyDescent="0.2">
      <c r="AG894" s="1"/>
      <c r="AH894" s="7"/>
    </row>
    <row r="895" spans="33:34" ht="14" x14ac:dyDescent="0.2">
      <c r="AG895" s="1"/>
      <c r="AH895" s="7"/>
    </row>
    <row r="896" spans="33:34" ht="14" x14ac:dyDescent="0.2">
      <c r="AG896" s="1"/>
      <c r="AH896" s="7"/>
    </row>
    <row r="897" spans="33:34" ht="14" x14ac:dyDescent="0.2">
      <c r="AG897" s="1"/>
      <c r="AH897" s="7"/>
    </row>
    <row r="898" spans="33:34" ht="14" x14ac:dyDescent="0.2">
      <c r="AG898" s="1"/>
      <c r="AH898" s="7"/>
    </row>
    <row r="899" spans="33:34" ht="14" x14ac:dyDescent="0.2">
      <c r="AG899" s="1"/>
      <c r="AH899" s="7"/>
    </row>
    <row r="900" spans="33:34" ht="14" x14ac:dyDescent="0.2">
      <c r="AG900" s="1"/>
      <c r="AH900" s="7"/>
    </row>
    <row r="901" spans="33:34" ht="14" x14ac:dyDescent="0.2">
      <c r="AG901" s="1"/>
      <c r="AH901" s="7"/>
    </row>
    <row r="902" spans="33:34" ht="14" x14ac:dyDescent="0.2">
      <c r="AG902" s="1"/>
      <c r="AH902" s="7"/>
    </row>
    <row r="903" spans="33:34" ht="14" x14ac:dyDescent="0.2">
      <c r="AG903" s="1"/>
      <c r="AH903" s="7"/>
    </row>
    <row r="904" spans="33:34" ht="14" x14ac:dyDescent="0.2">
      <c r="AG904" s="1"/>
      <c r="AH904" s="7"/>
    </row>
    <row r="905" spans="33:34" ht="14" x14ac:dyDescent="0.2">
      <c r="AG905" s="1"/>
      <c r="AH905" s="7"/>
    </row>
    <row r="906" spans="33:34" ht="14" x14ac:dyDescent="0.2">
      <c r="AG906" s="1"/>
      <c r="AH906" s="7"/>
    </row>
    <row r="907" spans="33:34" ht="14" x14ac:dyDescent="0.2">
      <c r="AG907" s="1"/>
      <c r="AH907" s="7"/>
    </row>
    <row r="908" spans="33:34" ht="14" x14ac:dyDescent="0.2">
      <c r="AG908" s="1"/>
      <c r="AH908" s="7"/>
    </row>
    <row r="909" spans="33:34" ht="14" x14ac:dyDescent="0.2">
      <c r="AG909" s="1"/>
      <c r="AH909" s="7"/>
    </row>
    <row r="910" spans="33:34" ht="14" x14ac:dyDescent="0.2">
      <c r="AG910" s="1"/>
      <c r="AH910" s="7"/>
    </row>
    <row r="911" spans="33:34" ht="14" x14ac:dyDescent="0.2">
      <c r="AG911" s="1"/>
      <c r="AH911" s="7"/>
    </row>
    <row r="912" spans="33:34" ht="14" x14ac:dyDescent="0.2">
      <c r="AG912" s="1"/>
      <c r="AH912" s="7"/>
    </row>
    <row r="913" spans="33:34" ht="14" x14ac:dyDescent="0.2">
      <c r="AG913" s="1"/>
      <c r="AH913" s="7"/>
    </row>
    <row r="914" spans="33:34" ht="14" x14ac:dyDescent="0.2">
      <c r="AG914" s="1"/>
      <c r="AH914" s="7"/>
    </row>
    <row r="915" spans="33:34" ht="14" x14ac:dyDescent="0.2">
      <c r="AG915" s="1"/>
      <c r="AH915" s="7"/>
    </row>
    <row r="916" spans="33:34" ht="14" x14ac:dyDescent="0.2">
      <c r="AG916" s="1"/>
      <c r="AH916" s="7"/>
    </row>
    <row r="917" spans="33:34" ht="14" x14ac:dyDescent="0.2">
      <c r="AG917" s="1"/>
      <c r="AH917" s="7"/>
    </row>
    <row r="918" spans="33:34" ht="14" x14ac:dyDescent="0.2">
      <c r="AG918" s="1"/>
      <c r="AH918" s="7"/>
    </row>
    <row r="919" spans="33:34" ht="14" x14ac:dyDescent="0.2">
      <c r="AG919" s="1"/>
      <c r="AH919" s="7"/>
    </row>
    <row r="920" spans="33:34" ht="14" x14ac:dyDescent="0.2">
      <c r="AG920" s="1"/>
      <c r="AH920" s="7"/>
    </row>
    <row r="921" spans="33:34" ht="14" x14ac:dyDescent="0.2">
      <c r="AG921" s="1"/>
      <c r="AH921" s="7"/>
    </row>
    <row r="922" spans="33:34" ht="14" x14ac:dyDescent="0.2">
      <c r="AG922" s="1"/>
      <c r="AH922" s="7"/>
    </row>
    <row r="923" spans="33:34" ht="14" x14ac:dyDescent="0.2">
      <c r="AG923" s="1"/>
      <c r="AH923" s="7"/>
    </row>
    <row r="924" spans="33:34" ht="14" x14ac:dyDescent="0.2">
      <c r="AG924" s="1"/>
      <c r="AH924" s="7"/>
    </row>
    <row r="925" spans="33:34" ht="14" x14ac:dyDescent="0.2">
      <c r="AG925" s="1"/>
      <c r="AH925" s="7"/>
    </row>
    <row r="926" spans="33:34" ht="14" x14ac:dyDescent="0.2">
      <c r="AG926" s="1"/>
      <c r="AH926" s="7"/>
    </row>
    <row r="927" spans="33:34" ht="14" x14ac:dyDescent="0.2">
      <c r="AG927" s="1"/>
      <c r="AH927" s="7"/>
    </row>
    <row r="928" spans="33:34" ht="14" x14ac:dyDescent="0.2">
      <c r="AG928" s="1"/>
      <c r="AH928" s="7"/>
    </row>
    <row r="929" spans="33:34" ht="14" x14ac:dyDescent="0.2">
      <c r="AG929" s="1"/>
      <c r="AH929" s="7"/>
    </row>
    <row r="930" spans="33:34" ht="14" x14ac:dyDescent="0.2">
      <c r="AG930" s="1"/>
      <c r="AH930" s="7"/>
    </row>
    <row r="931" spans="33:34" ht="14" x14ac:dyDescent="0.2">
      <c r="AG931" s="1"/>
      <c r="AH931" s="7"/>
    </row>
    <row r="932" spans="33:34" ht="14" x14ac:dyDescent="0.2">
      <c r="AG932" s="1"/>
      <c r="AH932" s="7"/>
    </row>
    <row r="933" spans="33:34" ht="14" x14ac:dyDescent="0.2">
      <c r="AG933" s="1"/>
      <c r="AH933" s="7"/>
    </row>
    <row r="934" spans="33:34" ht="14" x14ac:dyDescent="0.2">
      <c r="AG934" s="1"/>
      <c r="AH934" s="7"/>
    </row>
    <row r="935" spans="33:34" ht="14" x14ac:dyDescent="0.2">
      <c r="AG935" s="1"/>
      <c r="AH935" s="7"/>
    </row>
    <row r="936" spans="33:34" ht="14" x14ac:dyDescent="0.2">
      <c r="AG936" s="1"/>
      <c r="AH936" s="7"/>
    </row>
    <row r="937" spans="33:34" ht="14" x14ac:dyDescent="0.2">
      <c r="AG937" s="1"/>
      <c r="AH937" s="7"/>
    </row>
    <row r="938" spans="33:34" ht="14" x14ac:dyDescent="0.2">
      <c r="AG938" s="1"/>
      <c r="AH938" s="7"/>
    </row>
    <row r="939" spans="33:34" ht="14" x14ac:dyDescent="0.2">
      <c r="AG939" s="1"/>
      <c r="AH939" s="7"/>
    </row>
    <row r="940" spans="33:34" ht="14" x14ac:dyDescent="0.2">
      <c r="AG940" s="1"/>
      <c r="AH940" s="7"/>
    </row>
    <row r="941" spans="33:34" ht="14" x14ac:dyDescent="0.2">
      <c r="AG941" s="1"/>
      <c r="AH941" s="7"/>
    </row>
    <row r="942" spans="33:34" ht="14" x14ac:dyDescent="0.2">
      <c r="AG942" s="1"/>
      <c r="AH942" s="7"/>
    </row>
    <row r="943" spans="33:34" ht="14" x14ac:dyDescent="0.2">
      <c r="AG943" s="1"/>
      <c r="AH943" s="7"/>
    </row>
    <row r="944" spans="33:34" ht="14" x14ac:dyDescent="0.2">
      <c r="AG944" s="1"/>
      <c r="AH944" s="7"/>
    </row>
    <row r="945" spans="33:34" ht="14" x14ac:dyDescent="0.2">
      <c r="AG945" s="1"/>
      <c r="AH945" s="7"/>
    </row>
    <row r="946" spans="33:34" ht="14" x14ac:dyDescent="0.2">
      <c r="AG946" s="1"/>
      <c r="AH946" s="7"/>
    </row>
    <row r="947" spans="33:34" ht="14" x14ac:dyDescent="0.2">
      <c r="AG947" s="1"/>
      <c r="AH947" s="7"/>
    </row>
    <row r="948" spans="33:34" ht="14" x14ac:dyDescent="0.2">
      <c r="AG948" s="1"/>
      <c r="AH948" s="7"/>
    </row>
    <row r="949" spans="33:34" ht="14" x14ac:dyDescent="0.2">
      <c r="AG949" s="1"/>
      <c r="AH949" s="7"/>
    </row>
    <row r="950" spans="33:34" ht="14" x14ac:dyDescent="0.2">
      <c r="AG950" s="1"/>
      <c r="AH950" s="7"/>
    </row>
    <row r="951" spans="33:34" ht="14" x14ac:dyDescent="0.2">
      <c r="AG951" s="1"/>
      <c r="AH951" s="7"/>
    </row>
    <row r="952" spans="33:34" ht="14" x14ac:dyDescent="0.2">
      <c r="AG952" s="1"/>
      <c r="AH952" s="7"/>
    </row>
    <row r="953" spans="33:34" ht="14" x14ac:dyDescent="0.2">
      <c r="AG953" s="1"/>
      <c r="AH953" s="7"/>
    </row>
    <row r="954" spans="33:34" ht="14" x14ac:dyDescent="0.2">
      <c r="AG954" s="1"/>
      <c r="AH954" s="7"/>
    </row>
    <row r="955" spans="33:34" ht="14" x14ac:dyDescent="0.2">
      <c r="AG955" s="1"/>
      <c r="AH955" s="7"/>
    </row>
    <row r="956" spans="33:34" ht="14" x14ac:dyDescent="0.2">
      <c r="AG956" s="1"/>
      <c r="AH956" s="7"/>
    </row>
    <row r="957" spans="33:34" ht="14" x14ac:dyDescent="0.2">
      <c r="AG957" s="1"/>
      <c r="AH957" s="7"/>
    </row>
    <row r="958" spans="33:34" ht="14" x14ac:dyDescent="0.2">
      <c r="AG958" s="1"/>
      <c r="AH958" s="7"/>
    </row>
    <row r="959" spans="33:34" ht="14" x14ac:dyDescent="0.2">
      <c r="AG959" s="1"/>
      <c r="AH959" s="7"/>
    </row>
    <row r="960" spans="33:34" ht="14" x14ac:dyDescent="0.2">
      <c r="AG960" s="1"/>
      <c r="AH960" s="7"/>
    </row>
    <row r="961" spans="33:34" ht="14" x14ac:dyDescent="0.2">
      <c r="AG961" s="1"/>
      <c r="AH961" s="7"/>
    </row>
    <row r="962" spans="33:34" ht="14" x14ac:dyDescent="0.2">
      <c r="AG962" s="1"/>
      <c r="AH962" s="7"/>
    </row>
    <row r="963" spans="33:34" ht="14" x14ac:dyDescent="0.2">
      <c r="AG963" s="1"/>
      <c r="AH963" s="7"/>
    </row>
    <row r="964" spans="33:34" ht="14" x14ac:dyDescent="0.2">
      <c r="AG964" s="1"/>
      <c r="AH964" s="7"/>
    </row>
    <row r="965" spans="33:34" ht="14" x14ac:dyDescent="0.2">
      <c r="AG965" s="1"/>
      <c r="AH965" s="7"/>
    </row>
    <row r="966" spans="33:34" ht="14" x14ac:dyDescent="0.2">
      <c r="AG966" s="1"/>
      <c r="AH966" s="7"/>
    </row>
    <row r="967" spans="33:34" ht="14" x14ac:dyDescent="0.2">
      <c r="AG967" s="1"/>
      <c r="AH967" s="7"/>
    </row>
    <row r="968" spans="33:34" ht="14" x14ac:dyDescent="0.2">
      <c r="AG968" s="1"/>
      <c r="AH968" s="7"/>
    </row>
    <row r="969" spans="33:34" ht="14" x14ac:dyDescent="0.2">
      <c r="AG969" s="1"/>
      <c r="AH969" s="7"/>
    </row>
    <row r="970" spans="33:34" ht="14" x14ac:dyDescent="0.2">
      <c r="AG970" s="1"/>
      <c r="AH970" s="7"/>
    </row>
    <row r="971" spans="33:34" ht="14" x14ac:dyDescent="0.2">
      <c r="AG971" s="1"/>
      <c r="AH971" s="7"/>
    </row>
    <row r="972" spans="33:34" ht="14" x14ac:dyDescent="0.2">
      <c r="AG972" s="1"/>
      <c r="AH972" s="7"/>
    </row>
    <row r="973" spans="33:34" ht="14" x14ac:dyDescent="0.2">
      <c r="AG973" s="1"/>
      <c r="AH973" s="7"/>
    </row>
    <row r="974" spans="33:34" ht="14" x14ac:dyDescent="0.2">
      <c r="AG974" s="1"/>
      <c r="AH974" s="7"/>
    </row>
    <row r="975" spans="33:34" ht="14" x14ac:dyDescent="0.2">
      <c r="AG975" s="1"/>
      <c r="AH975" s="7"/>
    </row>
    <row r="976" spans="33:34" ht="14" x14ac:dyDescent="0.2">
      <c r="AG976" s="1"/>
      <c r="AH976" s="7"/>
    </row>
    <row r="977" spans="33:34" ht="14" x14ac:dyDescent="0.2">
      <c r="AG977" s="1"/>
      <c r="AH977" s="7"/>
    </row>
    <row r="978" spans="33:34" ht="14" x14ac:dyDescent="0.2">
      <c r="AG978" s="1"/>
      <c r="AH978" s="7"/>
    </row>
    <row r="979" spans="33:34" ht="14" x14ac:dyDescent="0.2">
      <c r="AG979" s="1"/>
      <c r="AH979" s="7"/>
    </row>
    <row r="980" spans="33:34" ht="14" x14ac:dyDescent="0.2">
      <c r="AG980" s="1"/>
      <c r="AH980" s="7"/>
    </row>
    <row r="981" spans="33:34" ht="14" x14ac:dyDescent="0.2">
      <c r="AG981" s="1"/>
      <c r="AH981" s="7"/>
    </row>
    <row r="982" spans="33:34" ht="14" x14ac:dyDescent="0.2">
      <c r="AG982" s="1"/>
      <c r="AH982" s="7"/>
    </row>
    <row r="983" spans="33:34" ht="14" x14ac:dyDescent="0.2">
      <c r="AG983" s="1"/>
      <c r="AH983" s="7"/>
    </row>
    <row r="984" spans="33:34" ht="14" x14ac:dyDescent="0.2">
      <c r="AG984" s="1"/>
      <c r="AH984" s="7"/>
    </row>
    <row r="985" spans="33:34" ht="14" x14ac:dyDescent="0.2">
      <c r="AG985" s="1"/>
      <c r="AH985" s="7"/>
    </row>
    <row r="986" spans="33:34" ht="14" x14ac:dyDescent="0.2">
      <c r="AG986" s="1"/>
      <c r="AH986" s="7"/>
    </row>
    <row r="987" spans="33:34" ht="14" x14ac:dyDescent="0.2">
      <c r="AG987" s="1"/>
      <c r="AH987" s="7"/>
    </row>
    <row r="988" spans="33:34" ht="14" x14ac:dyDescent="0.2">
      <c r="AG988" s="1"/>
      <c r="AH988" s="7"/>
    </row>
    <row r="989" spans="33:34" ht="14" x14ac:dyDescent="0.2">
      <c r="AG989" s="1"/>
      <c r="AH989" s="7"/>
    </row>
    <row r="990" spans="33:34" ht="14" x14ac:dyDescent="0.2">
      <c r="AG990" s="1"/>
      <c r="AH990" s="7"/>
    </row>
    <row r="991" spans="33:34" ht="14" x14ac:dyDescent="0.2">
      <c r="AG991" s="1"/>
      <c r="AH991" s="7"/>
    </row>
    <row r="992" spans="33:34" ht="14" x14ac:dyDescent="0.2">
      <c r="AG992" s="1"/>
      <c r="AH992" s="7"/>
    </row>
    <row r="993" spans="33:34" ht="14" x14ac:dyDescent="0.2">
      <c r="AG993" s="1"/>
      <c r="AH993" s="7"/>
    </row>
    <row r="994" spans="33:34" ht="14" x14ac:dyDescent="0.2">
      <c r="AG994" s="1"/>
      <c r="AH994" s="7"/>
    </row>
    <row r="995" spans="33:34" ht="14" x14ac:dyDescent="0.2">
      <c r="AG995" s="1"/>
      <c r="AH995" s="7"/>
    </row>
    <row r="996" spans="33:34" ht="14" x14ac:dyDescent="0.2">
      <c r="AG996" s="1"/>
      <c r="AH996" s="7"/>
    </row>
    <row r="997" spans="33:34" ht="14" x14ac:dyDescent="0.2">
      <c r="AG997" s="1"/>
      <c r="AH997" s="7"/>
    </row>
    <row r="998" spans="33:34" ht="14" x14ac:dyDescent="0.2">
      <c r="AG998" s="1"/>
      <c r="AH998" s="7"/>
    </row>
    <row r="999" spans="33:34" ht="14" x14ac:dyDescent="0.2">
      <c r="AG999" s="1"/>
      <c r="AH999" s="7"/>
    </row>
    <row r="1000" spans="33:34" ht="14" x14ac:dyDescent="0.2">
      <c r="AG1000" s="1"/>
      <c r="AH1000" s="7"/>
    </row>
    <row r="1001" spans="33:34" ht="14" x14ac:dyDescent="0.2">
      <c r="AG1001" s="1"/>
      <c r="AH1001" s="7"/>
    </row>
    <row r="1002" spans="33:34" ht="14" x14ac:dyDescent="0.2">
      <c r="AG1002" s="1"/>
      <c r="AH1002" s="7"/>
    </row>
    <row r="1003" spans="33:34" ht="14" x14ac:dyDescent="0.2">
      <c r="AG1003" s="1"/>
      <c r="AH1003" s="7"/>
    </row>
    <row r="1004" spans="33:34" ht="14" x14ac:dyDescent="0.2">
      <c r="AG1004" s="1"/>
      <c r="AH1004" s="7"/>
    </row>
    <row r="1005" spans="33:34" ht="14" x14ac:dyDescent="0.2">
      <c r="AG1005" s="1"/>
      <c r="AH1005" s="7"/>
    </row>
    <row r="1006" spans="33:34" ht="14" x14ac:dyDescent="0.2">
      <c r="AG1006" s="1"/>
      <c r="AH1006" s="7"/>
    </row>
    <row r="1007" spans="33:34" ht="14" x14ac:dyDescent="0.2">
      <c r="AG1007" s="1"/>
      <c r="AH1007" s="7"/>
    </row>
  </sheetData>
  <conditionalFormatting sqref="B43">
    <cfRule type="cellIs" dxfId="87" priority="3" operator="greaterThanOrEqual">
      <formula>0</formula>
    </cfRule>
    <cfRule type="cellIs" dxfId="86" priority="4" operator="lessThanOrEqual">
      <formula>0</formula>
    </cfRule>
  </conditionalFormatting>
  <conditionalFormatting sqref="B2:AF2 V4 V7:V8 V20:V22">
    <cfRule type="cellIs" dxfId="85" priority="7" operator="greaterThan">
      <formula>4200</formula>
    </cfRule>
  </conditionalFormatting>
  <conditionalFormatting sqref="B33:AG33 AJ33:BG33">
    <cfRule type="cellIs" dxfId="84" priority="1" operator="greaterThanOrEqual">
      <formula>0</formula>
    </cfRule>
    <cfRule type="cellIs" dxfId="83" priority="2" operator="lessThanOrEqual">
      <formula>0</formula>
    </cfRule>
  </conditionalFormatting>
  <conditionalFormatting sqref="AH33">
    <cfRule type="cellIs" dxfId="82" priority="5" operator="greaterThanOrEqual">
      <formula>1</formula>
    </cfRule>
    <cfRule type="cellIs" dxfId="81" priority="6" operator="lessThan">
      <formul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outlinePr summaryBelow="0" summaryRight="0"/>
  </sheetPr>
  <dimension ref="A1:BD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6" width="9" customWidth="1"/>
  </cols>
  <sheetData>
    <row r="1" spans="1:56" ht="15.75" customHeight="1" x14ac:dyDescent="0.2">
      <c r="A1" s="8" t="s">
        <v>127</v>
      </c>
      <c r="B1" s="64">
        <v>45689</v>
      </c>
      <c r="C1" s="64">
        <v>45690</v>
      </c>
      <c r="D1" s="64">
        <v>45691</v>
      </c>
      <c r="E1" s="64">
        <v>45692</v>
      </c>
      <c r="F1" s="64">
        <v>45693</v>
      </c>
      <c r="G1" s="64">
        <v>45694</v>
      </c>
      <c r="H1" s="64">
        <v>45695</v>
      </c>
      <c r="I1" s="64">
        <v>45696</v>
      </c>
      <c r="J1" s="64">
        <v>45697</v>
      </c>
      <c r="K1" s="64">
        <v>45698</v>
      </c>
      <c r="L1" s="64">
        <v>45699</v>
      </c>
      <c r="M1" s="64">
        <v>45700</v>
      </c>
      <c r="N1" s="64">
        <v>45701</v>
      </c>
      <c r="O1" s="64">
        <v>45702</v>
      </c>
      <c r="P1" s="64">
        <v>45703</v>
      </c>
      <c r="Q1" s="64">
        <v>45704</v>
      </c>
      <c r="R1" s="64">
        <v>45705</v>
      </c>
      <c r="S1" s="64">
        <v>45706</v>
      </c>
      <c r="T1" s="64">
        <v>45707</v>
      </c>
      <c r="U1" s="64">
        <v>45708</v>
      </c>
      <c r="V1" s="64">
        <v>45709</v>
      </c>
      <c r="W1" s="64">
        <v>45710</v>
      </c>
      <c r="X1" s="64">
        <v>45711</v>
      </c>
      <c r="Y1" s="64">
        <v>45712</v>
      </c>
      <c r="Z1" s="64">
        <v>45713</v>
      </c>
      <c r="AA1" s="64">
        <v>45714</v>
      </c>
      <c r="AB1" s="64">
        <v>45715</v>
      </c>
      <c r="AC1" s="64">
        <v>45716</v>
      </c>
      <c r="AD1" s="22" t="s">
        <v>0</v>
      </c>
      <c r="AE1" s="22" t="s">
        <v>153</v>
      </c>
      <c r="AF1" s="8" t="s">
        <v>161</v>
      </c>
      <c r="AG1" s="65"/>
      <c r="AH1" s="65"/>
      <c r="AI1" s="65"/>
      <c r="AJ1" s="65"/>
      <c r="AK1" s="65"/>
      <c r="AL1" s="65"/>
      <c r="AM1" s="65"/>
      <c r="AN1" s="65"/>
      <c r="AO1" s="65"/>
      <c r="AP1" s="65"/>
      <c r="AQ1" s="65"/>
      <c r="AR1" s="65"/>
      <c r="AS1" s="65"/>
      <c r="AT1" s="65"/>
      <c r="AU1" s="65"/>
      <c r="AV1" s="65"/>
      <c r="AW1" s="65"/>
      <c r="AX1" s="65"/>
      <c r="AY1" s="65"/>
      <c r="AZ1" s="65"/>
      <c r="BA1" s="65"/>
      <c r="BB1" s="65"/>
      <c r="BC1" s="65"/>
      <c r="BD1" s="65"/>
    </row>
    <row r="2" spans="1:56" ht="15.75" customHeight="1" x14ac:dyDescent="0.2">
      <c r="A2" s="4" t="s">
        <v>162</v>
      </c>
      <c r="B2" s="66">
        <v>3200</v>
      </c>
      <c r="C2" s="66">
        <v>3200</v>
      </c>
      <c r="D2" s="66">
        <v>3200</v>
      </c>
      <c r="E2" s="66">
        <v>3200</v>
      </c>
      <c r="F2" s="66">
        <v>3200</v>
      </c>
      <c r="G2" s="66">
        <v>3200</v>
      </c>
      <c r="H2" s="66">
        <v>3200</v>
      </c>
      <c r="I2" s="66">
        <v>3200</v>
      </c>
      <c r="J2" s="66">
        <v>3200</v>
      </c>
      <c r="K2" s="66">
        <v>3200</v>
      </c>
      <c r="L2" s="66">
        <v>3200</v>
      </c>
      <c r="M2" s="69">
        <v>0</v>
      </c>
      <c r="N2" s="66">
        <v>3200</v>
      </c>
      <c r="O2" s="66">
        <v>3200</v>
      </c>
      <c r="P2" s="66">
        <v>3200</v>
      </c>
      <c r="Q2" s="66">
        <v>3200</v>
      </c>
      <c r="R2" s="66">
        <v>3200</v>
      </c>
      <c r="S2" s="66">
        <v>3200</v>
      </c>
      <c r="T2" s="66">
        <v>3200</v>
      </c>
      <c r="U2" s="66">
        <v>3200</v>
      </c>
      <c r="V2" s="66">
        <v>3200</v>
      </c>
      <c r="W2" s="66">
        <v>3200</v>
      </c>
      <c r="X2" s="66">
        <v>3200</v>
      </c>
      <c r="Y2" s="66">
        <v>3200</v>
      </c>
      <c r="Z2" s="69">
        <v>0</v>
      </c>
      <c r="AA2" s="69">
        <v>0</v>
      </c>
      <c r="AB2" s="66">
        <v>3200</v>
      </c>
      <c r="AC2" s="66">
        <v>3200</v>
      </c>
      <c r="AD2" s="56">
        <f t="shared" ref="AD2:AD4" si="0">SUM(B2:AC2)</f>
        <v>80000</v>
      </c>
      <c r="AE2" s="67">
        <f t="shared" ref="AE2:AE4" si="1">IFERROR(AVERAGE(B2:AC2),0)</f>
        <v>2857.1428571428573</v>
      </c>
      <c r="AF2" s="68">
        <f t="shared" ref="AF2:AF4" si="2">(AE2/$AE$29)*100</f>
        <v>24.059571499031591</v>
      </c>
      <c r="AG2" s="14"/>
      <c r="AH2" s="14"/>
      <c r="AI2" s="14"/>
      <c r="AJ2" s="14"/>
      <c r="AK2" s="14"/>
      <c r="AL2" s="14"/>
      <c r="AM2" s="14"/>
      <c r="AN2" s="14"/>
      <c r="AO2" s="14"/>
      <c r="AP2" s="14"/>
      <c r="AQ2" s="14"/>
      <c r="AR2" s="14"/>
      <c r="AS2" s="14"/>
      <c r="AT2" s="14"/>
      <c r="AU2" s="14"/>
      <c r="AV2" s="14"/>
      <c r="AW2" s="14"/>
      <c r="AX2" s="14"/>
      <c r="AY2" s="14"/>
      <c r="AZ2" s="14"/>
      <c r="BA2" s="14"/>
      <c r="BB2" s="14"/>
      <c r="BC2" s="14"/>
      <c r="BD2" s="14"/>
    </row>
    <row r="3" spans="1:56" ht="15.75" customHeight="1" x14ac:dyDescent="0.2">
      <c r="A3" s="4" t="s">
        <v>163</v>
      </c>
      <c r="B3" s="59">
        <f t="shared" ref="B3:L3" si="3">$B$39/$B$59</f>
        <v>3635.64</v>
      </c>
      <c r="C3" s="59">
        <f t="shared" si="3"/>
        <v>3635.64</v>
      </c>
      <c r="D3" s="59">
        <f t="shared" si="3"/>
        <v>3635.64</v>
      </c>
      <c r="E3" s="59">
        <f t="shared" si="3"/>
        <v>3635.64</v>
      </c>
      <c r="F3" s="59">
        <f t="shared" si="3"/>
        <v>3635.64</v>
      </c>
      <c r="G3" s="59">
        <f t="shared" si="3"/>
        <v>3635.64</v>
      </c>
      <c r="H3" s="59">
        <f t="shared" si="3"/>
        <v>3635.64</v>
      </c>
      <c r="I3" s="59">
        <f t="shared" si="3"/>
        <v>3635.64</v>
      </c>
      <c r="J3" s="59">
        <f t="shared" si="3"/>
        <v>3635.64</v>
      </c>
      <c r="K3" s="59">
        <f t="shared" si="3"/>
        <v>3635.64</v>
      </c>
      <c r="L3" s="59">
        <f t="shared" si="3"/>
        <v>3635.64</v>
      </c>
      <c r="M3" s="69">
        <v>0</v>
      </c>
      <c r="N3" s="59">
        <f t="shared" ref="N3:Y3" si="4">$B$39/$B$59</f>
        <v>3635.64</v>
      </c>
      <c r="O3" s="59">
        <f t="shared" si="4"/>
        <v>3635.64</v>
      </c>
      <c r="P3" s="59">
        <f t="shared" si="4"/>
        <v>3635.64</v>
      </c>
      <c r="Q3" s="59">
        <f t="shared" si="4"/>
        <v>3635.64</v>
      </c>
      <c r="R3" s="59">
        <f t="shared" si="4"/>
        <v>3635.64</v>
      </c>
      <c r="S3" s="59">
        <f t="shared" si="4"/>
        <v>3635.64</v>
      </c>
      <c r="T3" s="59">
        <f t="shared" si="4"/>
        <v>3635.64</v>
      </c>
      <c r="U3" s="59">
        <f t="shared" si="4"/>
        <v>3635.64</v>
      </c>
      <c r="V3" s="59">
        <f t="shared" si="4"/>
        <v>3635.64</v>
      </c>
      <c r="W3" s="59">
        <f t="shared" si="4"/>
        <v>3635.64</v>
      </c>
      <c r="X3" s="59">
        <f t="shared" si="4"/>
        <v>3635.64</v>
      </c>
      <c r="Y3" s="59">
        <f t="shared" si="4"/>
        <v>3635.64</v>
      </c>
      <c r="Z3" s="69">
        <v>0</v>
      </c>
      <c r="AA3" s="69">
        <v>0</v>
      </c>
      <c r="AB3" s="59">
        <f t="shared" ref="AB3:AC3" si="5">$B$39/$B$59</f>
        <v>3635.64</v>
      </c>
      <c r="AC3" s="59">
        <f t="shared" si="5"/>
        <v>3635.64</v>
      </c>
      <c r="AD3" s="56">
        <f t="shared" si="0"/>
        <v>90891</v>
      </c>
      <c r="AE3" s="67">
        <f t="shared" si="1"/>
        <v>3246.1071428571427</v>
      </c>
      <c r="AF3" s="68">
        <f t="shared" si="2"/>
        <v>27.334981413981001</v>
      </c>
      <c r="AG3" s="14"/>
      <c r="AH3" s="14"/>
      <c r="AI3" s="14"/>
      <c r="AJ3" s="14"/>
      <c r="AK3" s="14"/>
      <c r="AL3" s="14"/>
      <c r="AM3" s="14"/>
      <c r="AN3" s="14"/>
      <c r="AO3" s="14"/>
      <c r="AP3" s="14"/>
      <c r="AQ3" s="14"/>
      <c r="AR3" s="14"/>
      <c r="AS3" s="14"/>
      <c r="AT3" s="14"/>
      <c r="AU3" s="14"/>
      <c r="AV3" s="14"/>
      <c r="AW3" s="14"/>
      <c r="AX3" s="14"/>
      <c r="AY3" s="14"/>
      <c r="AZ3" s="14"/>
      <c r="BA3" s="14"/>
      <c r="BB3" s="14"/>
      <c r="BC3" s="14"/>
      <c r="BD3" s="14"/>
    </row>
    <row r="4" spans="1:56" ht="15.75" customHeight="1" x14ac:dyDescent="0.2">
      <c r="A4" s="4" t="s">
        <v>20</v>
      </c>
      <c r="B4" s="69">
        <f t="shared" ref="B4:L4" si="6">$B$42/$B$59</f>
        <v>2702.12</v>
      </c>
      <c r="C4" s="69">
        <f t="shared" si="6"/>
        <v>2702.12</v>
      </c>
      <c r="D4" s="69">
        <f t="shared" si="6"/>
        <v>2702.12</v>
      </c>
      <c r="E4" s="69">
        <f t="shared" si="6"/>
        <v>2702.12</v>
      </c>
      <c r="F4" s="69">
        <f t="shared" si="6"/>
        <v>2702.12</v>
      </c>
      <c r="G4" s="69">
        <f t="shared" si="6"/>
        <v>2702.12</v>
      </c>
      <c r="H4" s="69">
        <f t="shared" si="6"/>
        <v>2702.12</v>
      </c>
      <c r="I4" s="69">
        <f t="shared" si="6"/>
        <v>2702.12</v>
      </c>
      <c r="J4" s="69">
        <f t="shared" si="6"/>
        <v>2702.12</v>
      </c>
      <c r="K4" s="69">
        <f t="shared" si="6"/>
        <v>2702.12</v>
      </c>
      <c r="L4" s="69">
        <f t="shared" si="6"/>
        <v>2702.12</v>
      </c>
      <c r="M4" s="69">
        <v>0</v>
      </c>
      <c r="N4" s="69">
        <f t="shared" ref="N4:Y4" si="7">$B$42/$B$59</f>
        <v>2702.12</v>
      </c>
      <c r="O4" s="69">
        <f t="shared" si="7"/>
        <v>2702.12</v>
      </c>
      <c r="P4" s="69">
        <f t="shared" si="7"/>
        <v>2702.12</v>
      </c>
      <c r="Q4" s="69">
        <f t="shared" si="7"/>
        <v>2702.12</v>
      </c>
      <c r="R4" s="69">
        <f t="shared" si="7"/>
        <v>2702.12</v>
      </c>
      <c r="S4" s="69">
        <f t="shared" si="7"/>
        <v>2702.12</v>
      </c>
      <c r="T4" s="69">
        <f t="shared" si="7"/>
        <v>2702.12</v>
      </c>
      <c r="U4" s="69">
        <f t="shared" si="7"/>
        <v>2702.12</v>
      </c>
      <c r="V4" s="69">
        <f t="shared" si="7"/>
        <v>2702.12</v>
      </c>
      <c r="W4" s="69">
        <f t="shared" si="7"/>
        <v>2702.12</v>
      </c>
      <c r="X4" s="69">
        <f t="shared" si="7"/>
        <v>2702.12</v>
      </c>
      <c r="Y4" s="69">
        <f t="shared" si="7"/>
        <v>2702.12</v>
      </c>
      <c r="Z4" s="69">
        <v>0</v>
      </c>
      <c r="AA4" s="69">
        <v>0</v>
      </c>
      <c r="AB4" s="69">
        <f t="shared" ref="AB4:AC4" si="8">$B$42/$B$59</f>
        <v>2702.12</v>
      </c>
      <c r="AC4" s="69">
        <f t="shared" si="8"/>
        <v>2702.12</v>
      </c>
      <c r="AD4" s="56">
        <f t="shared" si="0"/>
        <v>67553.000000000015</v>
      </c>
      <c r="AE4" s="67">
        <f t="shared" si="1"/>
        <v>2412.6071428571436</v>
      </c>
      <c r="AF4" s="68">
        <f t="shared" si="2"/>
        <v>20.316202918426022</v>
      </c>
      <c r="AG4" s="14"/>
      <c r="AH4" s="14"/>
      <c r="AI4" s="14"/>
      <c r="AJ4" s="14"/>
      <c r="AK4" s="14"/>
      <c r="AL4" s="14"/>
      <c r="AM4" s="14"/>
      <c r="AN4" s="14"/>
      <c r="AO4" s="14"/>
      <c r="AP4" s="14"/>
      <c r="AQ4" s="14"/>
      <c r="AR4" s="14"/>
      <c r="AS4" s="14"/>
      <c r="AT4" s="14"/>
      <c r="AU4" s="14"/>
      <c r="AV4" s="14"/>
      <c r="AW4" s="14"/>
      <c r="AX4" s="14"/>
      <c r="AY4" s="14"/>
      <c r="AZ4" s="14"/>
      <c r="BA4" s="14"/>
      <c r="BB4" s="14"/>
      <c r="BC4" s="14"/>
      <c r="BD4" s="14"/>
    </row>
    <row r="5" spans="1:56"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1"/>
      <c r="AE5" s="71"/>
      <c r="AF5" s="72"/>
      <c r="AG5" s="14"/>
      <c r="AH5" s="14"/>
      <c r="AI5" s="14"/>
      <c r="AJ5" s="14"/>
      <c r="AK5" s="14"/>
      <c r="AL5" s="14"/>
      <c r="AM5" s="14"/>
      <c r="AN5" s="14"/>
      <c r="AO5" s="14"/>
      <c r="AP5" s="14"/>
      <c r="AQ5" s="14"/>
      <c r="AR5" s="14"/>
      <c r="AS5" s="14"/>
      <c r="AT5" s="73"/>
      <c r="AU5" s="73"/>
      <c r="AV5" s="73"/>
      <c r="AW5" s="73"/>
      <c r="AX5" s="73"/>
      <c r="AY5" s="73"/>
      <c r="AZ5" s="73"/>
      <c r="BA5" s="73"/>
      <c r="BB5" s="73"/>
      <c r="BC5" s="73"/>
      <c r="BD5" s="73"/>
    </row>
    <row r="6" spans="1:56" ht="15.75" customHeight="1" x14ac:dyDescent="0.2">
      <c r="A6" s="4" t="s">
        <v>165</v>
      </c>
      <c r="B6" s="69">
        <v>2000</v>
      </c>
      <c r="C6" s="69">
        <v>2000</v>
      </c>
      <c r="D6" s="69">
        <v>1500</v>
      </c>
      <c r="E6" s="69">
        <v>1500</v>
      </c>
      <c r="F6" s="69">
        <v>1000</v>
      </c>
      <c r="G6" s="69">
        <v>1500</v>
      </c>
      <c r="H6" s="69">
        <v>0</v>
      </c>
      <c r="I6" s="69">
        <v>1500</v>
      </c>
      <c r="J6" s="69">
        <v>2500</v>
      </c>
      <c r="K6" s="69">
        <v>1500</v>
      </c>
      <c r="L6" s="69">
        <v>1000</v>
      </c>
      <c r="M6" s="69">
        <v>0</v>
      </c>
      <c r="N6" s="69">
        <v>1000</v>
      </c>
      <c r="O6" s="69">
        <v>1000</v>
      </c>
      <c r="P6" s="69">
        <v>1500</v>
      </c>
      <c r="Q6" s="69">
        <v>2000</v>
      </c>
      <c r="R6" s="69">
        <v>1000</v>
      </c>
      <c r="S6" s="69">
        <v>0</v>
      </c>
      <c r="T6" s="69">
        <v>0</v>
      </c>
      <c r="U6" s="69">
        <v>1500</v>
      </c>
      <c r="V6" s="69">
        <v>1000</v>
      </c>
      <c r="W6" s="69">
        <v>1000</v>
      </c>
      <c r="X6" s="69">
        <v>1000</v>
      </c>
      <c r="Y6" s="69">
        <v>1000</v>
      </c>
      <c r="Z6" s="69">
        <v>0</v>
      </c>
      <c r="AA6" s="69">
        <v>0</v>
      </c>
      <c r="AB6" s="69">
        <v>0</v>
      </c>
      <c r="AC6" s="69">
        <v>1000</v>
      </c>
      <c r="AD6" s="56">
        <f t="shared" ref="AD6:AD8" si="9">SUM(B6:AC6)</f>
        <v>29000</v>
      </c>
      <c r="AE6" s="67">
        <f t="shared" ref="AE6:AE8" si="10">IFERROR(AVERAGE(B6:AC6),0)</f>
        <v>1035.7142857142858</v>
      </c>
      <c r="AF6" s="68">
        <f t="shared" ref="AF6:AF8" si="11">(AE6/$AE$29)*100</f>
        <v>8.7215946683989536</v>
      </c>
      <c r="AG6" s="14"/>
      <c r="AH6" s="14"/>
      <c r="AP6" s="14"/>
      <c r="AQ6" s="14"/>
      <c r="AR6" s="14"/>
      <c r="AS6" s="14"/>
      <c r="AT6" s="14"/>
      <c r="AU6" s="14"/>
      <c r="AV6" s="14"/>
      <c r="AW6" s="14"/>
      <c r="AX6" s="14"/>
      <c r="AY6" s="14"/>
      <c r="AZ6" s="14"/>
      <c r="BA6" s="14"/>
      <c r="BB6" s="14"/>
      <c r="BC6" s="14"/>
      <c r="BD6" s="14"/>
    </row>
    <row r="7" spans="1:56" ht="15.75" customHeight="1" x14ac:dyDescent="0.2">
      <c r="A7" s="4" t="s">
        <v>166</v>
      </c>
      <c r="B7" s="69">
        <f t="shared" ref="B7:L7" si="12">$B$51/$B$59</f>
        <v>112</v>
      </c>
      <c r="C7" s="69">
        <f t="shared" si="12"/>
        <v>112</v>
      </c>
      <c r="D7" s="69">
        <f t="shared" si="12"/>
        <v>112</v>
      </c>
      <c r="E7" s="69">
        <f t="shared" si="12"/>
        <v>112</v>
      </c>
      <c r="F7" s="69">
        <f t="shared" si="12"/>
        <v>112</v>
      </c>
      <c r="G7" s="69">
        <f t="shared" si="12"/>
        <v>112</v>
      </c>
      <c r="H7" s="69">
        <f t="shared" si="12"/>
        <v>112</v>
      </c>
      <c r="I7" s="69">
        <f t="shared" si="12"/>
        <v>112</v>
      </c>
      <c r="J7" s="69">
        <f t="shared" si="12"/>
        <v>112</v>
      </c>
      <c r="K7" s="69">
        <f t="shared" si="12"/>
        <v>112</v>
      </c>
      <c r="L7" s="69">
        <f t="shared" si="12"/>
        <v>112</v>
      </c>
      <c r="M7" s="69">
        <v>0</v>
      </c>
      <c r="N7" s="69">
        <f t="shared" ref="N7:Y7" si="13">$B$51/$B$59</f>
        <v>112</v>
      </c>
      <c r="O7" s="69">
        <f t="shared" si="13"/>
        <v>112</v>
      </c>
      <c r="P7" s="69">
        <f t="shared" si="13"/>
        <v>112</v>
      </c>
      <c r="Q7" s="69">
        <f t="shared" si="13"/>
        <v>112</v>
      </c>
      <c r="R7" s="69">
        <f t="shared" si="13"/>
        <v>112</v>
      </c>
      <c r="S7" s="69">
        <f t="shared" si="13"/>
        <v>112</v>
      </c>
      <c r="T7" s="69">
        <f t="shared" si="13"/>
        <v>112</v>
      </c>
      <c r="U7" s="69">
        <f t="shared" si="13"/>
        <v>112</v>
      </c>
      <c r="V7" s="69">
        <f t="shared" si="13"/>
        <v>112</v>
      </c>
      <c r="W7" s="69">
        <f t="shared" si="13"/>
        <v>112</v>
      </c>
      <c r="X7" s="69">
        <f t="shared" si="13"/>
        <v>112</v>
      </c>
      <c r="Y7" s="69">
        <f t="shared" si="13"/>
        <v>112</v>
      </c>
      <c r="Z7" s="69">
        <v>0</v>
      </c>
      <c r="AA7" s="69">
        <v>0</v>
      </c>
      <c r="AB7" s="69">
        <f t="shared" ref="AB7:AC7" si="14">$B$51/$B$59</f>
        <v>112</v>
      </c>
      <c r="AC7" s="69">
        <f t="shared" si="14"/>
        <v>112</v>
      </c>
      <c r="AD7" s="56">
        <f t="shared" si="9"/>
        <v>2800</v>
      </c>
      <c r="AE7" s="67">
        <f t="shared" si="10"/>
        <v>100</v>
      </c>
      <c r="AF7" s="68">
        <f t="shared" si="11"/>
        <v>0.84208500246610563</v>
      </c>
      <c r="AG7" s="14"/>
      <c r="AH7" s="14"/>
      <c r="AP7" s="14"/>
      <c r="AQ7" s="14"/>
      <c r="AR7" s="14"/>
      <c r="AS7" s="14"/>
      <c r="AT7" s="14"/>
      <c r="AU7" s="14"/>
      <c r="AV7" s="14"/>
      <c r="AW7" s="14"/>
      <c r="AX7" s="14"/>
      <c r="AY7" s="14"/>
      <c r="AZ7" s="14"/>
      <c r="BA7" s="14"/>
      <c r="BB7" s="14"/>
      <c r="BC7" s="14"/>
      <c r="BD7" s="14"/>
    </row>
    <row r="8" spans="1:56" ht="15.75" customHeight="1" x14ac:dyDescent="0.2">
      <c r="A8" s="4" t="s">
        <v>167</v>
      </c>
      <c r="B8" s="69">
        <f t="shared" ref="B8:AC8" si="15">$B$52/$B$59</f>
        <v>0</v>
      </c>
      <c r="C8" s="69">
        <f t="shared" si="15"/>
        <v>0</v>
      </c>
      <c r="D8" s="69">
        <f t="shared" si="15"/>
        <v>0</v>
      </c>
      <c r="E8" s="69">
        <f t="shared" si="15"/>
        <v>0</v>
      </c>
      <c r="F8" s="69">
        <f t="shared" si="15"/>
        <v>0</v>
      </c>
      <c r="G8" s="69">
        <f t="shared" si="15"/>
        <v>0</v>
      </c>
      <c r="H8" s="69">
        <f t="shared" si="15"/>
        <v>0</v>
      </c>
      <c r="I8" s="69">
        <f t="shared" si="15"/>
        <v>0</v>
      </c>
      <c r="J8" s="69">
        <f t="shared" si="15"/>
        <v>0</v>
      </c>
      <c r="K8" s="69">
        <f t="shared" si="15"/>
        <v>0</v>
      </c>
      <c r="L8" s="69">
        <f t="shared" si="15"/>
        <v>0</v>
      </c>
      <c r="M8" s="69">
        <f t="shared" si="15"/>
        <v>0</v>
      </c>
      <c r="N8" s="69">
        <f t="shared" si="15"/>
        <v>0</v>
      </c>
      <c r="O8" s="69">
        <f t="shared" si="15"/>
        <v>0</v>
      </c>
      <c r="P8" s="69">
        <f t="shared" si="15"/>
        <v>0</v>
      </c>
      <c r="Q8" s="69">
        <f t="shared" si="15"/>
        <v>0</v>
      </c>
      <c r="R8" s="69">
        <f t="shared" si="15"/>
        <v>0</v>
      </c>
      <c r="S8" s="69">
        <f t="shared" si="15"/>
        <v>0</v>
      </c>
      <c r="T8" s="69">
        <f t="shared" si="15"/>
        <v>0</v>
      </c>
      <c r="U8" s="69">
        <f t="shared" si="15"/>
        <v>0</v>
      </c>
      <c r="V8" s="69">
        <f t="shared" si="15"/>
        <v>0</v>
      </c>
      <c r="W8" s="69">
        <f t="shared" si="15"/>
        <v>0</v>
      </c>
      <c r="X8" s="69">
        <f t="shared" si="15"/>
        <v>0</v>
      </c>
      <c r="Y8" s="69">
        <f t="shared" si="15"/>
        <v>0</v>
      </c>
      <c r="Z8" s="69">
        <f t="shared" si="15"/>
        <v>0</v>
      </c>
      <c r="AA8" s="69">
        <f t="shared" si="15"/>
        <v>0</v>
      </c>
      <c r="AB8" s="69">
        <f t="shared" si="15"/>
        <v>0</v>
      </c>
      <c r="AC8" s="69">
        <f t="shared" si="15"/>
        <v>0</v>
      </c>
      <c r="AD8" s="56">
        <f t="shared" si="9"/>
        <v>0</v>
      </c>
      <c r="AE8" s="67">
        <f t="shared" si="10"/>
        <v>0</v>
      </c>
      <c r="AF8" s="68">
        <f t="shared" si="11"/>
        <v>0</v>
      </c>
      <c r="AG8" s="14"/>
      <c r="AH8" s="14"/>
      <c r="AK8" s="74"/>
      <c r="AP8" s="14"/>
      <c r="AQ8" s="14"/>
      <c r="AR8" s="14"/>
      <c r="AS8" s="14"/>
      <c r="AT8" s="14"/>
      <c r="AU8" s="14"/>
      <c r="AV8" s="14"/>
      <c r="AW8" s="14"/>
      <c r="AX8" s="14"/>
      <c r="AY8" s="14"/>
      <c r="AZ8" s="14"/>
      <c r="BA8" s="14"/>
      <c r="BB8" s="14"/>
      <c r="BC8" s="14"/>
      <c r="BD8" s="14"/>
    </row>
    <row r="9" spans="1:56"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1"/>
      <c r="AE9" s="71"/>
      <c r="AF9" s="72"/>
      <c r="AG9" s="14"/>
      <c r="AH9" s="14"/>
      <c r="AK9" s="74"/>
      <c r="AP9" s="14"/>
      <c r="AQ9" s="14"/>
      <c r="AR9" s="14"/>
      <c r="AS9" s="14"/>
      <c r="AT9" s="73"/>
      <c r="AU9" s="73"/>
      <c r="AV9" s="73"/>
      <c r="AW9" s="73"/>
      <c r="AX9" s="73"/>
      <c r="AY9" s="73"/>
      <c r="AZ9" s="73"/>
      <c r="BA9" s="73"/>
      <c r="BB9" s="73"/>
      <c r="BC9" s="73"/>
      <c r="BD9" s="73"/>
    </row>
    <row r="10" spans="1:56" ht="15.75" customHeight="1" x14ac:dyDescent="0.2">
      <c r="A10" s="4" t="s">
        <v>169</v>
      </c>
      <c r="B10" s="69">
        <f>30+20+120+30+40+50+20+40</f>
        <v>350</v>
      </c>
      <c r="C10" s="69">
        <f>30+20+200+50+40+50+20</f>
        <v>410</v>
      </c>
      <c r="D10" s="69">
        <f>20+10+30+120+50+20+50+20+50</f>
        <v>370</v>
      </c>
      <c r="E10" s="69">
        <f>30+10+20+40+120+30+60</f>
        <v>310</v>
      </c>
      <c r="F10" s="69">
        <f>20+10+30+30+20+30+50+50+120</f>
        <v>360</v>
      </c>
      <c r="G10" s="69">
        <f>30+10+30+120+10+30+50+30</f>
        <v>310</v>
      </c>
      <c r="H10" s="69">
        <f>10+30+100+30+10+30+50+50</f>
        <v>310</v>
      </c>
      <c r="I10" s="69">
        <f>20+10+30+30+50+120+30+20</f>
        <v>310</v>
      </c>
      <c r="J10" s="69">
        <f>20+20+10+30+160+20+50+50+30+50</f>
        <v>440</v>
      </c>
      <c r="K10" s="69">
        <f>20+20+400+50+20+30+30+30+40</f>
        <v>640</v>
      </c>
      <c r="L10" s="69">
        <f>10+10+20+30+10+30+100</f>
        <v>210</v>
      </c>
      <c r="M10" s="69">
        <v>0</v>
      </c>
      <c r="N10" s="69">
        <f>10+10+30+20+30+30+20+80+50</f>
        <v>280</v>
      </c>
      <c r="O10" s="69">
        <f>20+10+20+30+240+40+40+40</f>
        <v>440</v>
      </c>
      <c r="P10" s="69">
        <f>20+20+30+30+120+20+30+30+40+30+50</f>
        <v>420</v>
      </c>
      <c r="Q10" s="69">
        <f>40+20+200+30+20+30+30+50+130+50</f>
        <v>600</v>
      </c>
      <c r="R10" s="69">
        <f>30+10+30+30+80+30+80+30+30+50</f>
        <v>400</v>
      </c>
      <c r="S10" s="69">
        <f>10+10+20+80+30+20+50</f>
        <v>220</v>
      </c>
      <c r="T10" s="69">
        <f>20+20+30+80+30+30+30+30+20</f>
        <v>290</v>
      </c>
      <c r="U10" s="69">
        <f>20+10+80+1950+30+30+20+30+60+20</f>
        <v>2250</v>
      </c>
      <c r="V10" s="69">
        <f>10+30+50+25+40+30</f>
        <v>185</v>
      </c>
      <c r="W10" s="69">
        <f>20+20+30+20+20+30+50</f>
        <v>190</v>
      </c>
      <c r="X10" s="69">
        <f>20+20+50+30+30+20+30+50+200</f>
        <v>450</v>
      </c>
      <c r="Y10" s="69">
        <f>10+10+30+80+30+30+30</f>
        <v>220</v>
      </c>
      <c r="Z10" s="69">
        <v>0</v>
      </c>
      <c r="AA10" s="69">
        <v>0</v>
      </c>
      <c r="AB10" s="69">
        <f>20+10+40+30+100+10+30+30</f>
        <v>270</v>
      </c>
      <c r="AC10" s="69">
        <f>10+10+10+10+30+30+30+320+60</f>
        <v>510</v>
      </c>
      <c r="AD10" s="56">
        <f t="shared" ref="AD10:AD18" si="16">SUM(B10:AC10)</f>
        <v>10745</v>
      </c>
      <c r="AE10" s="67">
        <f t="shared" ref="AE10:AE18" si="17">IFERROR(AVERAGE(B10:AC10),0)</f>
        <v>383.75</v>
      </c>
      <c r="AF10" s="68">
        <f t="shared" ref="AF10:AF18" si="18">(AE10/$AE$29)*100</f>
        <v>3.2315011969636807</v>
      </c>
      <c r="AH10" s="14"/>
      <c r="AK10" s="74"/>
      <c r="AP10" s="14"/>
      <c r="AQ10" s="14"/>
      <c r="AR10" s="14"/>
      <c r="AS10" s="14"/>
      <c r="AT10" s="14"/>
      <c r="AU10" s="14"/>
      <c r="AV10" s="14"/>
      <c r="AW10" s="14"/>
      <c r="AX10" s="14"/>
      <c r="AY10" s="14"/>
      <c r="AZ10" s="14"/>
      <c r="BA10" s="14"/>
      <c r="BB10" s="14"/>
      <c r="BC10" s="14"/>
      <c r="BD10" s="14"/>
    </row>
    <row r="11" spans="1:56" ht="15.75" customHeight="1" x14ac:dyDescent="0.2">
      <c r="A11" s="4" t="s">
        <v>170</v>
      </c>
      <c r="B11" s="69">
        <v>100</v>
      </c>
      <c r="C11" s="69">
        <v>200</v>
      </c>
      <c r="D11" s="69">
        <v>150</v>
      </c>
      <c r="E11" s="69">
        <v>150</v>
      </c>
      <c r="F11" s="69">
        <v>150</v>
      </c>
      <c r="G11" s="69">
        <v>150</v>
      </c>
      <c r="H11" s="69">
        <v>150</v>
      </c>
      <c r="I11" s="69">
        <v>150</v>
      </c>
      <c r="J11" s="69">
        <v>150</v>
      </c>
      <c r="K11" s="69">
        <v>150</v>
      </c>
      <c r="L11" s="69">
        <v>150</v>
      </c>
      <c r="M11" s="69">
        <v>0</v>
      </c>
      <c r="N11" s="69">
        <v>150</v>
      </c>
      <c r="O11" s="69">
        <v>150</v>
      </c>
      <c r="P11" s="69">
        <v>150</v>
      </c>
      <c r="Q11" s="69">
        <v>200</v>
      </c>
      <c r="R11" s="69">
        <v>150</v>
      </c>
      <c r="S11" s="69">
        <v>150</v>
      </c>
      <c r="T11" s="69">
        <v>150</v>
      </c>
      <c r="U11" s="69">
        <v>150</v>
      </c>
      <c r="V11" s="69">
        <v>50</v>
      </c>
      <c r="W11" s="69">
        <v>100</v>
      </c>
      <c r="X11" s="69">
        <v>200</v>
      </c>
      <c r="Y11" s="69">
        <v>150</v>
      </c>
      <c r="Z11" s="69">
        <v>0</v>
      </c>
      <c r="AA11" s="69">
        <v>0</v>
      </c>
      <c r="AB11" s="69">
        <v>150</v>
      </c>
      <c r="AC11" s="69">
        <v>150</v>
      </c>
      <c r="AD11" s="56">
        <f t="shared" si="16"/>
        <v>3700</v>
      </c>
      <c r="AE11" s="67">
        <f t="shared" si="17"/>
        <v>132.14285714285714</v>
      </c>
      <c r="AF11" s="68">
        <f t="shared" si="18"/>
        <v>1.112755181830211</v>
      </c>
      <c r="AG11" s="14"/>
      <c r="AH11" s="14"/>
      <c r="AK11" s="74"/>
      <c r="AP11" s="14"/>
      <c r="AQ11" s="14"/>
      <c r="AR11" s="14"/>
      <c r="AS11" s="14"/>
      <c r="AT11" s="14"/>
      <c r="AU11" s="14"/>
      <c r="AV11" s="14"/>
      <c r="AW11" s="14"/>
      <c r="AX11" s="14"/>
      <c r="AY11" s="14"/>
      <c r="AZ11" s="14"/>
      <c r="BA11" s="14"/>
      <c r="BB11" s="14"/>
      <c r="BC11" s="14"/>
      <c r="BD11" s="14"/>
    </row>
    <row r="12" spans="1:56" ht="15.75" customHeight="1" x14ac:dyDescent="0.2">
      <c r="A12" s="4" t="s">
        <v>171</v>
      </c>
      <c r="B12" s="69">
        <v>100</v>
      </c>
      <c r="C12" s="69">
        <v>130</v>
      </c>
      <c r="D12" s="69">
        <v>100</v>
      </c>
      <c r="E12" s="69">
        <v>65</v>
      </c>
      <c r="F12" s="69">
        <v>100</v>
      </c>
      <c r="G12" s="69">
        <v>100</v>
      </c>
      <c r="H12" s="69">
        <v>100</v>
      </c>
      <c r="I12" s="69">
        <v>100</v>
      </c>
      <c r="J12" s="69">
        <v>130</v>
      </c>
      <c r="K12" s="69">
        <v>100</v>
      </c>
      <c r="L12" s="69">
        <v>100</v>
      </c>
      <c r="M12" s="69">
        <v>0</v>
      </c>
      <c r="N12" s="69">
        <v>100</v>
      </c>
      <c r="O12" s="69">
        <v>100</v>
      </c>
      <c r="P12" s="69">
        <v>65</v>
      </c>
      <c r="Q12" s="69">
        <v>130</v>
      </c>
      <c r="R12" s="69">
        <v>130</v>
      </c>
      <c r="S12" s="69">
        <v>130</v>
      </c>
      <c r="T12" s="69">
        <v>100</v>
      </c>
      <c r="U12" s="69">
        <v>65</v>
      </c>
      <c r="V12" s="69">
        <v>65</v>
      </c>
      <c r="W12" s="69">
        <v>100</v>
      </c>
      <c r="X12" s="69">
        <v>130</v>
      </c>
      <c r="Y12" s="69">
        <v>100</v>
      </c>
      <c r="Z12" s="69">
        <v>0</v>
      </c>
      <c r="AA12" s="69">
        <v>0</v>
      </c>
      <c r="AB12" s="69">
        <v>100</v>
      </c>
      <c r="AC12" s="69">
        <v>100</v>
      </c>
      <c r="AD12" s="56">
        <f t="shared" si="16"/>
        <v>2540</v>
      </c>
      <c r="AE12" s="67">
        <f t="shared" si="17"/>
        <v>90.714285714285708</v>
      </c>
      <c r="AF12" s="68">
        <f t="shared" si="18"/>
        <v>0.76389139509425297</v>
      </c>
      <c r="AG12" s="14"/>
      <c r="AH12" s="14"/>
      <c r="AK12" s="74"/>
      <c r="AP12" s="14"/>
      <c r="AQ12" s="14"/>
      <c r="AR12" s="14"/>
      <c r="AS12" s="14"/>
      <c r="AT12" s="14"/>
      <c r="AU12" s="14"/>
      <c r="AV12" s="14"/>
      <c r="AW12" s="14"/>
      <c r="AX12" s="14"/>
      <c r="AY12" s="14"/>
      <c r="AZ12" s="14"/>
      <c r="BA12" s="14"/>
      <c r="BB12" s="14"/>
      <c r="BC12" s="14"/>
      <c r="BD12" s="14"/>
    </row>
    <row r="13" spans="1:56" ht="15.75" customHeight="1" x14ac:dyDescent="0.2">
      <c r="A13" s="4" t="s">
        <v>172</v>
      </c>
      <c r="B13" s="69">
        <v>0</v>
      </c>
      <c r="C13" s="69">
        <v>0</v>
      </c>
      <c r="D13" s="69">
        <v>0</v>
      </c>
      <c r="E13" s="69">
        <v>370</v>
      </c>
      <c r="F13" s="69">
        <v>0</v>
      </c>
      <c r="G13" s="69">
        <v>0</v>
      </c>
      <c r="H13" s="69">
        <v>0</v>
      </c>
      <c r="I13" s="69">
        <v>370</v>
      </c>
      <c r="J13" s="69">
        <v>0</v>
      </c>
      <c r="K13" s="69">
        <v>370</v>
      </c>
      <c r="L13" s="69">
        <v>0</v>
      </c>
      <c r="M13" s="69">
        <v>0</v>
      </c>
      <c r="N13" s="69">
        <v>0</v>
      </c>
      <c r="O13" s="69">
        <v>370</v>
      </c>
      <c r="P13" s="69">
        <v>0</v>
      </c>
      <c r="Q13" s="69">
        <v>370</v>
      </c>
      <c r="R13" s="69">
        <v>0</v>
      </c>
      <c r="S13" s="69">
        <v>0</v>
      </c>
      <c r="T13" s="69">
        <v>370</v>
      </c>
      <c r="U13" s="69">
        <v>0</v>
      </c>
      <c r="V13" s="69">
        <v>370</v>
      </c>
      <c r="W13" s="69">
        <v>0</v>
      </c>
      <c r="X13" s="69">
        <v>370</v>
      </c>
      <c r="Y13" s="69">
        <v>0</v>
      </c>
      <c r="Z13" s="69">
        <v>0</v>
      </c>
      <c r="AA13" s="69">
        <v>0</v>
      </c>
      <c r="AB13" s="69">
        <v>370</v>
      </c>
      <c r="AC13" s="69">
        <v>0</v>
      </c>
      <c r="AD13" s="56">
        <f t="shared" si="16"/>
        <v>3330</v>
      </c>
      <c r="AE13" s="67">
        <f t="shared" si="17"/>
        <v>118.92857142857143</v>
      </c>
      <c r="AF13" s="68">
        <f t="shared" si="18"/>
        <v>1.0014796636471901</v>
      </c>
      <c r="AG13" s="14"/>
      <c r="AH13" s="14"/>
      <c r="AK13" s="74"/>
      <c r="AP13" s="14"/>
      <c r="AQ13" s="14"/>
      <c r="AR13" s="14"/>
      <c r="AS13" s="14"/>
      <c r="AT13" s="14"/>
      <c r="AU13" s="14"/>
      <c r="AV13" s="14"/>
      <c r="AW13" s="14"/>
      <c r="AX13" s="14"/>
      <c r="AY13" s="14"/>
      <c r="AZ13" s="14"/>
      <c r="BA13" s="14"/>
      <c r="BB13" s="14"/>
      <c r="BC13" s="14"/>
      <c r="BD13" s="14"/>
    </row>
    <row r="14" spans="1:56" ht="15.75" customHeight="1" x14ac:dyDescent="0.2">
      <c r="A14" s="4" t="s">
        <v>173</v>
      </c>
      <c r="B14" s="69">
        <v>120</v>
      </c>
      <c r="C14" s="69">
        <v>0</v>
      </c>
      <c r="D14" s="69">
        <v>0</v>
      </c>
      <c r="E14" s="69">
        <v>80</v>
      </c>
      <c r="F14" s="69">
        <v>80</v>
      </c>
      <c r="G14" s="69">
        <v>0</v>
      </c>
      <c r="H14" s="69">
        <v>0</v>
      </c>
      <c r="I14" s="69">
        <v>120</v>
      </c>
      <c r="J14" s="69">
        <v>0</v>
      </c>
      <c r="K14" s="69">
        <v>80</v>
      </c>
      <c r="L14" s="69">
        <v>0</v>
      </c>
      <c r="M14" s="69">
        <v>0</v>
      </c>
      <c r="N14" s="69">
        <v>0</v>
      </c>
      <c r="O14" s="69">
        <v>120</v>
      </c>
      <c r="P14" s="69">
        <v>0</v>
      </c>
      <c r="Q14" s="69">
        <v>0</v>
      </c>
      <c r="R14" s="69">
        <v>80</v>
      </c>
      <c r="S14" s="69">
        <v>0</v>
      </c>
      <c r="T14" s="69">
        <v>0</v>
      </c>
      <c r="U14" s="69">
        <v>0</v>
      </c>
      <c r="V14" s="69">
        <v>80</v>
      </c>
      <c r="W14" s="69">
        <v>0</v>
      </c>
      <c r="X14" s="69">
        <v>0</v>
      </c>
      <c r="Y14" s="69">
        <v>120</v>
      </c>
      <c r="Z14" s="69">
        <v>0</v>
      </c>
      <c r="AA14" s="69">
        <v>0</v>
      </c>
      <c r="AB14" s="69">
        <v>120</v>
      </c>
      <c r="AC14" s="69">
        <v>80</v>
      </c>
      <c r="AD14" s="56">
        <f t="shared" si="16"/>
        <v>1080</v>
      </c>
      <c r="AE14" s="67">
        <f t="shared" si="17"/>
        <v>38.571428571428569</v>
      </c>
      <c r="AF14" s="68">
        <f t="shared" si="18"/>
        <v>0.32480421523692649</v>
      </c>
      <c r="AG14" s="14"/>
      <c r="AH14" s="14"/>
      <c r="AP14" s="14"/>
      <c r="AQ14" s="14"/>
      <c r="AR14" s="14"/>
      <c r="AS14" s="14"/>
      <c r="AT14" s="14"/>
      <c r="AU14" s="14"/>
      <c r="AV14" s="14"/>
      <c r="AW14" s="14"/>
      <c r="AX14" s="14"/>
      <c r="AY14" s="14"/>
      <c r="AZ14" s="14"/>
      <c r="BA14" s="14"/>
      <c r="BB14" s="14"/>
      <c r="BC14" s="14"/>
      <c r="BD14" s="14"/>
    </row>
    <row r="15" spans="1:56" ht="15.75" customHeight="1" x14ac:dyDescent="0.2">
      <c r="A15" s="4" t="s">
        <v>174</v>
      </c>
      <c r="B15" s="69">
        <v>0</v>
      </c>
      <c r="C15" s="69">
        <v>0</v>
      </c>
      <c r="D15" s="69">
        <v>0</v>
      </c>
      <c r="E15" s="69">
        <v>70</v>
      </c>
      <c r="F15" s="69">
        <v>70</v>
      </c>
      <c r="G15" s="69">
        <v>35</v>
      </c>
      <c r="H15" s="69">
        <v>0</v>
      </c>
      <c r="I15" s="69">
        <v>70</v>
      </c>
      <c r="J15" s="69">
        <v>0</v>
      </c>
      <c r="K15" s="69">
        <v>70</v>
      </c>
      <c r="L15" s="69">
        <v>0</v>
      </c>
      <c r="M15" s="69">
        <v>0</v>
      </c>
      <c r="N15" s="69">
        <v>0</v>
      </c>
      <c r="O15" s="69">
        <v>0</v>
      </c>
      <c r="P15" s="69">
        <v>105</v>
      </c>
      <c r="Q15" s="69">
        <v>0</v>
      </c>
      <c r="R15" s="69">
        <v>0</v>
      </c>
      <c r="S15" s="69">
        <v>0</v>
      </c>
      <c r="T15" s="69">
        <v>0</v>
      </c>
      <c r="U15" s="69">
        <v>0</v>
      </c>
      <c r="V15" s="69">
        <v>0</v>
      </c>
      <c r="W15" s="69">
        <v>70</v>
      </c>
      <c r="X15" s="69">
        <v>0</v>
      </c>
      <c r="Y15" s="69">
        <v>105</v>
      </c>
      <c r="Z15" s="69">
        <v>0</v>
      </c>
      <c r="AA15" s="69">
        <v>0</v>
      </c>
      <c r="AB15" s="69">
        <v>0</v>
      </c>
      <c r="AC15" s="69">
        <v>0</v>
      </c>
      <c r="AD15" s="56">
        <f t="shared" si="16"/>
        <v>595</v>
      </c>
      <c r="AE15" s="67">
        <f t="shared" si="17"/>
        <v>21.25</v>
      </c>
      <c r="AF15" s="68">
        <f t="shared" si="18"/>
        <v>0.17894306302404747</v>
      </c>
      <c r="AG15" s="14"/>
      <c r="AH15" s="14"/>
      <c r="AP15" s="14"/>
      <c r="AQ15" s="14"/>
      <c r="AR15" s="14"/>
      <c r="AS15" s="14"/>
      <c r="AT15" s="14"/>
      <c r="AU15" s="14"/>
      <c r="AV15" s="14"/>
      <c r="AW15" s="14"/>
      <c r="AX15" s="14"/>
      <c r="AY15" s="14"/>
      <c r="AZ15" s="14"/>
      <c r="BA15" s="14"/>
      <c r="BB15" s="14"/>
      <c r="BC15" s="14"/>
      <c r="BD15" s="14"/>
    </row>
    <row r="16" spans="1:56" ht="15.75" customHeight="1" x14ac:dyDescent="0.2">
      <c r="A16" s="4" t="s">
        <v>175</v>
      </c>
      <c r="B16" s="69">
        <v>170</v>
      </c>
      <c r="C16" s="69">
        <v>0</v>
      </c>
      <c r="D16" s="69">
        <v>170</v>
      </c>
      <c r="E16" s="69">
        <v>0</v>
      </c>
      <c r="F16" s="69">
        <v>170</v>
      </c>
      <c r="G16" s="69">
        <v>0</v>
      </c>
      <c r="H16" s="69">
        <v>170</v>
      </c>
      <c r="I16" s="69">
        <v>0</v>
      </c>
      <c r="J16" s="69">
        <v>170</v>
      </c>
      <c r="K16" s="69">
        <v>170</v>
      </c>
      <c r="L16" s="69">
        <v>0</v>
      </c>
      <c r="M16" s="69">
        <v>0</v>
      </c>
      <c r="N16" s="69">
        <v>170</v>
      </c>
      <c r="O16" s="69">
        <v>170</v>
      </c>
      <c r="P16" s="69">
        <v>0</v>
      </c>
      <c r="Q16" s="69">
        <v>170</v>
      </c>
      <c r="R16" s="69">
        <v>170</v>
      </c>
      <c r="S16" s="69">
        <v>0</v>
      </c>
      <c r="T16" s="69">
        <v>0</v>
      </c>
      <c r="U16" s="69">
        <v>170</v>
      </c>
      <c r="V16" s="69">
        <v>170</v>
      </c>
      <c r="W16" s="69">
        <v>0</v>
      </c>
      <c r="X16" s="69">
        <v>170</v>
      </c>
      <c r="Y16" s="69">
        <v>0</v>
      </c>
      <c r="Z16" s="69">
        <v>0</v>
      </c>
      <c r="AA16" s="69">
        <v>0</v>
      </c>
      <c r="AB16" s="69">
        <v>0</v>
      </c>
      <c r="AC16" s="69">
        <v>170</v>
      </c>
      <c r="AD16" s="56">
        <f t="shared" si="16"/>
        <v>2380</v>
      </c>
      <c r="AE16" s="67">
        <f t="shared" si="17"/>
        <v>85</v>
      </c>
      <c r="AF16" s="68">
        <f t="shared" si="18"/>
        <v>0.71577225209618989</v>
      </c>
      <c r="AG16" s="14"/>
      <c r="AH16" s="14"/>
      <c r="AP16" s="14"/>
      <c r="AQ16" s="14"/>
      <c r="AR16" s="14"/>
      <c r="AS16" s="14"/>
      <c r="AT16" s="14"/>
      <c r="AU16" s="14"/>
      <c r="AV16" s="14"/>
      <c r="AW16" s="14"/>
      <c r="AX16" s="14"/>
      <c r="AY16" s="14"/>
      <c r="AZ16" s="14"/>
      <c r="BA16" s="14"/>
      <c r="BB16" s="14"/>
      <c r="BC16" s="14"/>
      <c r="BD16" s="14"/>
    </row>
    <row r="17" spans="1:56" ht="15.75" customHeight="1" x14ac:dyDescent="0.2">
      <c r="A17" s="4" t="s">
        <v>176</v>
      </c>
      <c r="B17" s="69">
        <v>89</v>
      </c>
      <c r="C17" s="69">
        <v>80</v>
      </c>
      <c r="D17" s="69">
        <v>0</v>
      </c>
      <c r="E17" s="69">
        <v>110</v>
      </c>
      <c r="F17" s="69">
        <v>0</v>
      </c>
      <c r="G17" s="69">
        <v>89</v>
      </c>
      <c r="H17" s="69">
        <v>0</v>
      </c>
      <c r="I17" s="69">
        <v>590</v>
      </c>
      <c r="J17" s="69">
        <f>200+90+1000</f>
        <v>1290</v>
      </c>
      <c r="K17" s="69">
        <v>65</v>
      </c>
      <c r="L17" s="69">
        <v>55</v>
      </c>
      <c r="M17" s="69">
        <v>0</v>
      </c>
      <c r="N17" s="69">
        <v>89</v>
      </c>
      <c r="O17" s="69">
        <v>0</v>
      </c>
      <c r="P17" s="69">
        <v>0</v>
      </c>
      <c r="Q17" s="69">
        <f>200+89</f>
        <v>289</v>
      </c>
      <c r="R17" s="69">
        <v>500</v>
      </c>
      <c r="S17" s="69">
        <v>0</v>
      </c>
      <c r="T17" s="69">
        <v>0</v>
      </c>
      <c r="U17" s="69">
        <v>0</v>
      </c>
      <c r="V17" s="69">
        <v>0</v>
      </c>
      <c r="W17" s="69">
        <f>65+89</f>
        <v>154</v>
      </c>
      <c r="X17" s="69">
        <v>0</v>
      </c>
      <c r="Y17" s="69">
        <v>0</v>
      </c>
      <c r="Z17" s="69">
        <v>0</v>
      </c>
      <c r="AA17" s="69">
        <v>0</v>
      </c>
      <c r="AB17" s="69">
        <v>0</v>
      </c>
      <c r="AC17" s="69">
        <f>200+89</f>
        <v>289</v>
      </c>
      <c r="AD17" s="56">
        <f t="shared" si="16"/>
        <v>3689</v>
      </c>
      <c r="AE17" s="67">
        <f t="shared" si="17"/>
        <v>131.75</v>
      </c>
      <c r="AF17" s="68">
        <f t="shared" si="18"/>
        <v>1.1094469907490943</v>
      </c>
      <c r="AG17" s="14"/>
      <c r="AH17" s="14"/>
      <c r="AP17" s="14"/>
      <c r="AQ17" s="14"/>
      <c r="AR17" s="14"/>
      <c r="AS17" s="14"/>
      <c r="AT17" s="75"/>
      <c r="AU17" s="14"/>
      <c r="AV17" s="14"/>
      <c r="AW17" s="14"/>
      <c r="AX17" s="14"/>
      <c r="AY17" s="14"/>
      <c r="AZ17" s="14"/>
      <c r="BA17" s="14"/>
      <c r="BB17" s="14"/>
      <c r="BC17" s="14"/>
      <c r="BD17" s="14"/>
    </row>
    <row r="18" spans="1:56" ht="15.75" customHeight="1" x14ac:dyDescent="0.2">
      <c r="A18" s="4" t="s">
        <v>177</v>
      </c>
      <c r="B18" s="69">
        <v>0</v>
      </c>
      <c r="C18" s="69">
        <v>110</v>
      </c>
      <c r="D18" s="69">
        <v>0</v>
      </c>
      <c r="E18" s="69">
        <v>110</v>
      </c>
      <c r="F18" s="69">
        <v>0</v>
      </c>
      <c r="G18" s="69">
        <v>0</v>
      </c>
      <c r="H18" s="69">
        <v>110</v>
      </c>
      <c r="I18" s="69">
        <v>100</v>
      </c>
      <c r="J18" s="69">
        <v>0</v>
      </c>
      <c r="K18" s="69">
        <v>0</v>
      </c>
      <c r="L18" s="69">
        <v>0</v>
      </c>
      <c r="M18" s="69">
        <v>0</v>
      </c>
      <c r="N18" s="69">
        <v>190</v>
      </c>
      <c r="O18" s="69">
        <v>0</v>
      </c>
      <c r="P18" s="69">
        <v>0</v>
      </c>
      <c r="Q18" s="69">
        <v>360</v>
      </c>
      <c r="R18" s="69">
        <v>100</v>
      </c>
      <c r="S18" s="69">
        <v>120</v>
      </c>
      <c r="T18" s="69">
        <v>0</v>
      </c>
      <c r="U18" s="69">
        <v>0</v>
      </c>
      <c r="V18" s="69">
        <v>0</v>
      </c>
      <c r="W18" s="69">
        <v>80</v>
      </c>
      <c r="X18" s="69">
        <v>120</v>
      </c>
      <c r="Y18" s="69">
        <v>0</v>
      </c>
      <c r="Z18" s="69">
        <v>0</v>
      </c>
      <c r="AA18" s="69">
        <v>0</v>
      </c>
      <c r="AB18" s="69">
        <v>0</v>
      </c>
      <c r="AC18" s="69">
        <v>0</v>
      </c>
      <c r="AD18" s="56">
        <f t="shared" si="16"/>
        <v>1400</v>
      </c>
      <c r="AE18" s="67">
        <f t="shared" si="17"/>
        <v>50</v>
      </c>
      <c r="AF18" s="68">
        <f t="shared" si="18"/>
        <v>0.42104250123305281</v>
      </c>
      <c r="AG18" s="14"/>
      <c r="AH18" s="14"/>
      <c r="AP18" s="14"/>
      <c r="AQ18" s="14"/>
      <c r="AR18" s="14"/>
      <c r="AS18" s="14"/>
      <c r="AT18" s="75"/>
      <c r="AU18" s="14"/>
      <c r="AV18" s="14"/>
      <c r="AW18" s="14"/>
      <c r="AX18" s="14"/>
      <c r="AY18" s="14"/>
      <c r="AZ18" s="14"/>
      <c r="BA18" s="14"/>
      <c r="BB18" s="14"/>
      <c r="BC18" s="14"/>
      <c r="BD18" s="14"/>
    </row>
    <row r="19" spans="1:56"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1"/>
      <c r="AE19" s="71"/>
      <c r="AF19" s="72"/>
      <c r="AG19" s="14"/>
      <c r="AH19" s="14"/>
      <c r="AP19" s="14"/>
      <c r="AQ19" s="14"/>
      <c r="AR19" s="14"/>
      <c r="AS19" s="14"/>
      <c r="AT19" s="75"/>
      <c r="AU19" s="73"/>
      <c r="AV19" s="73"/>
      <c r="AW19" s="73"/>
      <c r="AX19" s="73"/>
      <c r="AY19" s="73"/>
      <c r="AZ19" s="73"/>
      <c r="BA19" s="73"/>
      <c r="BB19" s="73"/>
      <c r="BC19" s="73"/>
      <c r="BD19" s="73"/>
    </row>
    <row r="20" spans="1:56" ht="15.75" customHeight="1" x14ac:dyDescent="0.2">
      <c r="A20" s="4" t="s">
        <v>179</v>
      </c>
      <c r="B20" s="69">
        <f t="shared" ref="B20:L20" si="19">$B$53/$B$59</f>
        <v>800</v>
      </c>
      <c r="C20" s="69">
        <f t="shared" si="19"/>
        <v>800</v>
      </c>
      <c r="D20" s="69">
        <f t="shared" si="19"/>
        <v>800</v>
      </c>
      <c r="E20" s="69">
        <f t="shared" si="19"/>
        <v>800</v>
      </c>
      <c r="F20" s="69">
        <f t="shared" si="19"/>
        <v>800</v>
      </c>
      <c r="G20" s="69">
        <f t="shared" si="19"/>
        <v>800</v>
      </c>
      <c r="H20" s="69">
        <f t="shared" si="19"/>
        <v>800</v>
      </c>
      <c r="I20" s="69">
        <f t="shared" si="19"/>
        <v>800</v>
      </c>
      <c r="J20" s="69">
        <f t="shared" si="19"/>
        <v>800</v>
      </c>
      <c r="K20" s="69">
        <f t="shared" si="19"/>
        <v>800</v>
      </c>
      <c r="L20" s="69">
        <f t="shared" si="19"/>
        <v>800</v>
      </c>
      <c r="M20" s="69">
        <v>0</v>
      </c>
      <c r="N20" s="69">
        <f t="shared" ref="N20:Y20" si="20">$B$53/$B$59</f>
        <v>800</v>
      </c>
      <c r="O20" s="69">
        <f t="shared" si="20"/>
        <v>800</v>
      </c>
      <c r="P20" s="69">
        <f t="shared" si="20"/>
        <v>800</v>
      </c>
      <c r="Q20" s="69">
        <f t="shared" si="20"/>
        <v>800</v>
      </c>
      <c r="R20" s="69">
        <f t="shared" si="20"/>
        <v>800</v>
      </c>
      <c r="S20" s="69">
        <f t="shared" si="20"/>
        <v>800</v>
      </c>
      <c r="T20" s="69">
        <f t="shared" si="20"/>
        <v>800</v>
      </c>
      <c r="U20" s="69">
        <f t="shared" si="20"/>
        <v>800</v>
      </c>
      <c r="V20" s="69">
        <f t="shared" si="20"/>
        <v>800</v>
      </c>
      <c r="W20" s="69">
        <f t="shared" si="20"/>
        <v>800</v>
      </c>
      <c r="X20" s="69">
        <f t="shared" si="20"/>
        <v>800</v>
      </c>
      <c r="Y20" s="69">
        <f t="shared" si="20"/>
        <v>800</v>
      </c>
      <c r="Z20" s="69">
        <v>0</v>
      </c>
      <c r="AA20" s="69">
        <v>0</v>
      </c>
      <c r="AB20" s="69">
        <f t="shared" ref="AB20:AC20" si="21">$B$53/$B$59</f>
        <v>800</v>
      </c>
      <c r="AC20" s="69">
        <f t="shared" si="21"/>
        <v>800</v>
      </c>
      <c r="AD20" s="56">
        <f t="shared" ref="AD20:AD22" si="22">SUM(B20:AC20)</f>
        <v>20000</v>
      </c>
      <c r="AE20" s="67">
        <f t="shared" ref="AE20:AE22" si="23">IFERROR(AVERAGE(B20:AC20),0)</f>
        <v>714.28571428571433</v>
      </c>
      <c r="AF20" s="68">
        <f t="shared" ref="AF20:AF22" si="24">(AE20/$AE$29)*100</f>
        <v>6.0148928747578978</v>
      </c>
      <c r="AG20" s="14"/>
      <c r="AH20" s="14"/>
      <c r="AP20" s="14"/>
      <c r="AQ20" s="14"/>
      <c r="AR20" s="14"/>
      <c r="AS20" s="14"/>
      <c r="AT20" s="75"/>
      <c r="AU20" s="14"/>
      <c r="AV20" s="14"/>
      <c r="AW20" s="14"/>
      <c r="AX20" s="14"/>
      <c r="AY20" s="14"/>
      <c r="AZ20" s="14"/>
      <c r="BA20" s="14"/>
      <c r="BB20" s="14"/>
      <c r="BC20" s="14"/>
      <c r="BD20" s="14"/>
    </row>
    <row r="21" spans="1:56" ht="15.75" customHeight="1" x14ac:dyDescent="0.2">
      <c r="A21" s="4" t="s">
        <v>180</v>
      </c>
      <c r="B21" s="69">
        <f t="shared" ref="B21:L21" si="25">$B$54/$B$59</f>
        <v>200</v>
      </c>
      <c r="C21" s="69">
        <f t="shared" si="25"/>
        <v>200</v>
      </c>
      <c r="D21" s="69">
        <f t="shared" si="25"/>
        <v>200</v>
      </c>
      <c r="E21" s="69">
        <f t="shared" si="25"/>
        <v>200</v>
      </c>
      <c r="F21" s="69">
        <f t="shared" si="25"/>
        <v>200</v>
      </c>
      <c r="G21" s="69">
        <f t="shared" si="25"/>
        <v>200</v>
      </c>
      <c r="H21" s="69">
        <f t="shared" si="25"/>
        <v>200</v>
      </c>
      <c r="I21" s="69">
        <f t="shared" si="25"/>
        <v>200</v>
      </c>
      <c r="J21" s="69">
        <f t="shared" si="25"/>
        <v>200</v>
      </c>
      <c r="K21" s="69">
        <f t="shared" si="25"/>
        <v>200</v>
      </c>
      <c r="L21" s="69">
        <f t="shared" si="25"/>
        <v>200</v>
      </c>
      <c r="M21" s="69">
        <v>0</v>
      </c>
      <c r="N21" s="69">
        <f t="shared" ref="N21:Y21" si="26">$B$54/$B$59</f>
        <v>200</v>
      </c>
      <c r="O21" s="69">
        <f t="shared" si="26"/>
        <v>200</v>
      </c>
      <c r="P21" s="69">
        <f t="shared" si="26"/>
        <v>200</v>
      </c>
      <c r="Q21" s="69">
        <f t="shared" si="26"/>
        <v>200</v>
      </c>
      <c r="R21" s="69">
        <f t="shared" si="26"/>
        <v>200</v>
      </c>
      <c r="S21" s="69">
        <f t="shared" si="26"/>
        <v>200</v>
      </c>
      <c r="T21" s="69">
        <f t="shared" si="26"/>
        <v>200</v>
      </c>
      <c r="U21" s="69">
        <f t="shared" si="26"/>
        <v>200</v>
      </c>
      <c r="V21" s="69">
        <f t="shared" si="26"/>
        <v>200</v>
      </c>
      <c r="W21" s="69">
        <f t="shared" si="26"/>
        <v>200</v>
      </c>
      <c r="X21" s="69">
        <f t="shared" si="26"/>
        <v>200</v>
      </c>
      <c r="Y21" s="69">
        <f t="shared" si="26"/>
        <v>200</v>
      </c>
      <c r="Z21" s="69">
        <v>0</v>
      </c>
      <c r="AA21" s="69">
        <v>0</v>
      </c>
      <c r="AB21" s="69">
        <f t="shared" ref="AB21:AC21" si="27">$B$54/$B$59</f>
        <v>200</v>
      </c>
      <c r="AC21" s="69">
        <f t="shared" si="27"/>
        <v>200</v>
      </c>
      <c r="AD21" s="56">
        <f t="shared" si="22"/>
        <v>5000</v>
      </c>
      <c r="AE21" s="67">
        <f t="shared" si="23"/>
        <v>178.57142857142858</v>
      </c>
      <c r="AF21" s="68">
        <f t="shared" si="24"/>
        <v>1.5037232186894745</v>
      </c>
      <c r="AG21" s="14"/>
      <c r="AH21" s="14"/>
      <c r="AP21" s="14"/>
      <c r="AQ21" s="14"/>
      <c r="AR21" s="14"/>
      <c r="AS21" s="14"/>
      <c r="AT21" s="75"/>
      <c r="AU21" s="14"/>
      <c r="AV21" s="14"/>
      <c r="AW21" s="14"/>
      <c r="AX21" s="14"/>
      <c r="AY21" s="14"/>
      <c r="AZ21" s="14"/>
      <c r="BA21" s="14"/>
      <c r="BB21" s="14"/>
      <c r="BC21" s="14"/>
      <c r="BD21" s="14"/>
    </row>
    <row r="22" spans="1:56" ht="15.75" customHeight="1" x14ac:dyDescent="0.2">
      <c r="A22" s="4" t="s">
        <v>181</v>
      </c>
      <c r="B22" s="69">
        <f t="shared" ref="B22:L22" si="28">$B$55/$B$59</f>
        <v>127</v>
      </c>
      <c r="C22" s="69">
        <f t="shared" si="28"/>
        <v>127</v>
      </c>
      <c r="D22" s="69">
        <f t="shared" si="28"/>
        <v>127</v>
      </c>
      <c r="E22" s="69">
        <f t="shared" si="28"/>
        <v>127</v>
      </c>
      <c r="F22" s="69">
        <f t="shared" si="28"/>
        <v>127</v>
      </c>
      <c r="G22" s="69">
        <f t="shared" si="28"/>
        <v>127</v>
      </c>
      <c r="H22" s="69">
        <f t="shared" si="28"/>
        <v>127</v>
      </c>
      <c r="I22" s="69">
        <f t="shared" si="28"/>
        <v>127</v>
      </c>
      <c r="J22" s="69">
        <f t="shared" si="28"/>
        <v>127</v>
      </c>
      <c r="K22" s="69">
        <f t="shared" si="28"/>
        <v>127</v>
      </c>
      <c r="L22" s="69">
        <f t="shared" si="28"/>
        <v>127</v>
      </c>
      <c r="M22" s="69">
        <v>0</v>
      </c>
      <c r="N22" s="69">
        <f t="shared" ref="N22:Y22" si="29">$B$55/$B$59</f>
        <v>127</v>
      </c>
      <c r="O22" s="69">
        <f t="shared" si="29"/>
        <v>127</v>
      </c>
      <c r="P22" s="69">
        <f t="shared" si="29"/>
        <v>127</v>
      </c>
      <c r="Q22" s="69">
        <f t="shared" si="29"/>
        <v>127</v>
      </c>
      <c r="R22" s="69">
        <f t="shared" si="29"/>
        <v>127</v>
      </c>
      <c r="S22" s="69">
        <f t="shared" si="29"/>
        <v>127</v>
      </c>
      <c r="T22" s="69">
        <f t="shared" si="29"/>
        <v>127</v>
      </c>
      <c r="U22" s="69">
        <f t="shared" si="29"/>
        <v>127</v>
      </c>
      <c r="V22" s="69">
        <f t="shared" si="29"/>
        <v>127</v>
      </c>
      <c r="W22" s="69">
        <f t="shared" si="29"/>
        <v>127</v>
      </c>
      <c r="X22" s="69">
        <f t="shared" si="29"/>
        <v>127</v>
      </c>
      <c r="Y22" s="69">
        <f t="shared" si="29"/>
        <v>127</v>
      </c>
      <c r="Z22" s="69">
        <v>0</v>
      </c>
      <c r="AA22" s="69">
        <v>0</v>
      </c>
      <c r="AB22" s="69">
        <f t="shared" ref="AB22:AC22" si="30">$B$55/$B$59</f>
        <v>127</v>
      </c>
      <c r="AC22" s="69">
        <f t="shared" si="30"/>
        <v>127</v>
      </c>
      <c r="AD22" s="56">
        <f t="shared" si="22"/>
        <v>3175</v>
      </c>
      <c r="AE22" s="67">
        <f t="shared" si="23"/>
        <v>113.39285714285714</v>
      </c>
      <c r="AF22" s="68">
        <f t="shared" si="24"/>
        <v>0.95486424386781632</v>
      </c>
      <c r="AG22" s="14"/>
      <c r="AH22" s="14"/>
      <c r="AP22" s="14"/>
      <c r="AQ22" s="14"/>
      <c r="AR22" s="14"/>
      <c r="AS22" s="14"/>
      <c r="AT22" s="75"/>
      <c r="AU22" s="14"/>
      <c r="AV22" s="14"/>
      <c r="AW22" s="14"/>
      <c r="AX22" s="14"/>
      <c r="AY22" s="14"/>
      <c r="AZ22" s="14"/>
      <c r="BA22" s="14"/>
      <c r="BB22" s="14"/>
      <c r="BC22" s="14"/>
      <c r="BD22" s="14"/>
    </row>
    <row r="23" spans="1:56"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1"/>
      <c r="AE23" s="71"/>
      <c r="AF23" s="72"/>
      <c r="AG23" s="14"/>
      <c r="AH23" s="14"/>
      <c r="AP23" s="14"/>
      <c r="AQ23" s="14"/>
      <c r="AR23" s="14"/>
      <c r="AS23" s="14"/>
      <c r="AT23" s="75"/>
      <c r="AU23" s="73"/>
      <c r="AV23" s="73"/>
      <c r="AW23" s="73"/>
      <c r="AX23" s="73"/>
      <c r="AY23" s="73"/>
      <c r="AZ23" s="73"/>
      <c r="BA23" s="73"/>
      <c r="BB23" s="73"/>
      <c r="BC23" s="73"/>
      <c r="BD23" s="73"/>
    </row>
    <row r="24" spans="1:56" ht="15.75" customHeight="1" x14ac:dyDescent="0.2">
      <c r="A24" s="4" t="s">
        <v>183</v>
      </c>
      <c r="B24" s="69">
        <v>0</v>
      </c>
      <c r="C24" s="69">
        <v>0</v>
      </c>
      <c r="D24" s="69">
        <v>0</v>
      </c>
      <c r="E24" s="69">
        <v>0</v>
      </c>
      <c r="F24" s="69">
        <v>0</v>
      </c>
      <c r="G24" s="69">
        <v>0</v>
      </c>
      <c r="H24" s="69">
        <v>0</v>
      </c>
      <c r="I24" s="69">
        <v>0</v>
      </c>
      <c r="J24" s="69">
        <v>0</v>
      </c>
      <c r="K24" s="69">
        <v>0</v>
      </c>
      <c r="L24" s="69">
        <v>0</v>
      </c>
      <c r="M24" s="69">
        <v>0</v>
      </c>
      <c r="N24" s="69">
        <v>0</v>
      </c>
      <c r="O24" s="69">
        <v>0</v>
      </c>
      <c r="P24" s="69">
        <v>0</v>
      </c>
      <c r="Q24" s="69">
        <v>0</v>
      </c>
      <c r="R24" s="69">
        <v>0</v>
      </c>
      <c r="S24" s="69">
        <v>780</v>
      </c>
      <c r="T24" s="69">
        <v>0</v>
      </c>
      <c r="U24" s="69">
        <v>0</v>
      </c>
      <c r="V24" s="69">
        <v>100</v>
      </c>
      <c r="W24" s="69">
        <v>0</v>
      </c>
      <c r="X24" s="69">
        <v>0</v>
      </c>
      <c r="Y24" s="69">
        <v>0</v>
      </c>
      <c r="Z24" s="69">
        <v>0</v>
      </c>
      <c r="AA24" s="69">
        <v>0</v>
      </c>
      <c r="AB24" s="69">
        <v>0</v>
      </c>
      <c r="AC24" s="69">
        <v>0</v>
      </c>
      <c r="AD24" s="56">
        <f t="shared" ref="AD24:AD32" si="31">SUM(B24:AC24)</f>
        <v>880</v>
      </c>
      <c r="AE24" s="67">
        <f t="shared" ref="AE24:AE28" si="32">IFERROR(AVERAGE(B24:AC24),0)</f>
        <v>31.428571428571427</v>
      </c>
      <c r="AF24" s="68">
        <f t="shared" ref="AF24:AF29" si="33">(AE24/$AE$29)*100</f>
        <v>0.2646552864893475</v>
      </c>
      <c r="AG24" s="14"/>
      <c r="AH24" s="14"/>
      <c r="AP24" s="14"/>
      <c r="AQ24" s="14"/>
      <c r="AR24" s="14"/>
      <c r="AS24" s="14"/>
      <c r="AT24" s="75"/>
      <c r="AU24" s="14"/>
      <c r="AV24" s="14"/>
      <c r="AW24" s="14"/>
      <c r="AX24" s="14"/>
      <c r="AY24" s="14"/>
      <c r="AZ24" s="14"/>
      <c r="BA24" s="14"/>
      <c r="BB24" s="14"/>
      <c r="BC24" s="14"/>
      <c r="BD24" s="14"/>
    </row>
    <row r="25" spans="1:56" ht="15.75" customHeight="1" x14ac:dyDescent="0.2">
      <c r="A25" s="4" t="s">
        <v>184</v>
      </c>
      <c r="B25" s="69">
        <v>0</v>
      </c>
      <c r="C25" s="69">
        <v>0</v>
      </c>
      <c r="D25" s="69">
        <v>0</v>
      </c>
      <c r="E25" s="69">
        <v>0</v>
      </c>
      <c r="F25" s="69">
        <v>0</v>
      </c>
      <c r="G25" s="69">
        <v>0</v>
      </c>
      <c r="H25" s="69">
        <v>0</v>
      </c>
      <c r="I25" s="69">
        <v>0</v>
      </c>
      <c r="J25" s="69">
        <v>0</v>
      </c>
      <c r="K25" s="69">
        <v>0</v>
      </c>
      <c r="L25" s="69">
        <v>500</v>
      </c>
      <c r="M25" s="69">
        <v>0</v>
      </c>
      <c r="N25" s="69">
        <v>0</v>
      </c>
      <c r="O25" s="69">
        <v>0</v>
      </c>
      <c r="P25" s="69">
        <v>0</v>
      </c>
      <c r="Q25" s="69">
        <v>0</v>
      </c>
      <c r="R25" s="69">
        <v>0</v>
      </c>
      <c r="S25" s="69">
        <v>0</v>
      </c>
      <c r="T25" s="69">
        <v>0</v>
      </c>
      <c r="U25" s="69">
        <v>0</v>
      </c>
      <c r="V25" s="69">
        <v>0</v>
      </c>
      <c r="W25" s="69">
        <v>0</v>
      </c>
      <c r="X25" s="69">
        <v>500</v>
      </c>
      <c r="Y25" s="69">
        <v>0</v>
      </c>
      <c r="Z25" s="69">
        <v>0</v>
      </c>
      <c r="AA25" s="69">
        <v>0</v>
      </c>
      <c r="AB25" s="69">
        <v>0</v>
      </c>
      <c r="AC25" s="69">
        <v>0</v>
      </c>
      <c r="AD25" s="56">
        <f t="shared" si="31"/>
        <v>1000</v>
      </c>
      <c r="AE25" s="67">
        <f t="shared" si="32"/>
        <v>35.714285714285715</v>
      </c>
      <c r="AF25" s="68">
        <f t="shared" si="33"/>
        <v>0.30074464373789489</v>
      </c>
      <c r="AG25" s="14"/>
      <c r="AH25" s="14"/>
      <c r="AI25" s="14"/>
      <c r="AJ25" s="14"/>
      <c r="AK25" s="14"/>
      <c r="AL25" s="14"/>
      <c r="AM25" s="14"/>
      <c r="AN25" s="14"/>
      <c r="AO25" s="14"/>
      <c r="AP25" s="14"/>
      <c r="AQ25" s="14"/>
      <c r="AR25" s="14"/>
      <c r="AS25" s="14"/>
      <c r="AT25" s="75"/>
      <c r="AU25" s="14"/>
      <c r="AV25" s="14"/>
      <c r="AW25" s="14"/>
      <c r="AX25" s="14"/>
      <c r="AY25" s="14"/>
      <c r="AZ25" s="14"/>
      <c r="BA25" s="14"/>
      <c r="BB25" s="14"/>
      <c r="BC25" s="14"/>
      <c r="BD25" s="14"/>
    </row>
    <row r="26" spans="1:56" ht="15.75" customHeight="1" x14ac:dyDescent="0.2">
      <c r="A26" s="4" t="s">
        <v>185</v>
      </c>
      <c r="B26" s="69">
        <v>0</v>
      </c>
      <c r="C26" s="69">
        <v>80</v>
      </c>
      <c r="D26" s="69">
        <v>280</v>
      </c>
      <c r="E26" s="69">
        <v>0</v>
      </c>
      <c r="F26" s="69">
        <v>0</v>
      </c>
      <c r="G26" s="69">
        <v>280</v>
      </c>
      <c r="H26" s="69">
        <v>0</v>
      </c>
      <c r="I26" s="69">
        <v>100</v>
      </c>
      <c r="J26" s="69">
        <v>0</v>
      </c>
      <c r="K26" s="69">
        <v>0</v>
      </c>
      <c r="L26" s="69">
        <v>0</v>
      </c>
      <c r="M26" s="69">
        <v>0</v>
      </c>
      <c r="N26" s="69">
        <v>270</v>
      </c>
      <c r="O26" s="69">
        <v>160</v>
      </c>
      <c r="P26" s="69">
        <v>0</v>
      </c>
      <c r="Q26" s="69">
        <v>0</v>
      </c>
      <c r="R26" s="69">
        <v>0</v>
      </c>
      <c r="S26" s="69">
        <v>0</v>
      </c>
      <c r="T26" s="69">
        <v>0</v>
      </c>
      <c r="U26" s="69">
        <v>280</v>
      </c>
      <c r="V26" s="69">
        <v>100</v>
      </c>
      <c r="W26" s="69">
        <v>0</v>
      </c>
      <c r="X26" s="69">
        <v>0</v>
      </c>
      <c r="Y26" s="69">
        <v>0</v>
      </c>
      <c r="Z26" s="69">
        <v>0</v>
      </c>
      <c r="AA26" s="69">
        <v>0</v>
      </c>
      <c r="AB26" s="69">
        <v>0</v>
      </c>
      <c r="AC26" s="69">
        <v>0</v>
      </c>
      <c r="AD26" s="56">
        <f t="shared" si="31"/>
        <v>1550</v>
      </c>
      <c r="AE26" s="67">
        <f t="shared" si="32"/>
        <v>55.357142857142854</v>
      </c>
      <c r="AF26" s="68">
        <f t="shared" si="33"/>
        <v>0.46615419779373707</v>
      </c>
      <c r="AG26" s="14"/>
      <c r="AH26" s="14"/>
      <c r="AI26" s="14"/>
      <c r="AJ26" s="14"/>
      <c r="AK26" s="14"/>
      <c r="AL26" s="14"/>
      <c r="AM26" s="14"/>
      <c r="AN26" s="14"/>
      <c r="AO26" s="14"/>
      <c r="AP26" s="14"/>
      <c r="AQ26" s="14"/>
      <c r="AR26" s="14"/>
      <c r="AS26" s="14"/>
      <c r="AT26" s="75"/>
      <c r="AU26" s="14"/>
      <c r="AV26" s="14"/>
      <c r="AW26" s="14"/>
      <c r="AX26" s="14"/>
      <c r="AY26" s="14"/>
      <c r="AZ26" s="14"/>
      <c r="BA26" s="14"/>
      <c r="BB26" s="14"/>
      <c r="BC26" s="14"/>
      <c r="BD26" s="14"/>
    </row>
    <row r="27" spans="1:56" ht="15.75" customHeight="1" x14ac:dyDescent="0.2">
      <c r="A27" s="4" t="s">
        <v>186</v>
      </c>
      <c r="B27" s="69">
        <v>0</v>
      </c>
      <c r="C27" s="69">
        <v>0</v>
      </c>
      <c r="D27" s="69">
        <v>0</v>
      </c>
      <c r="E27" s="69">
        <v>0</v>
      </c>
      <c r="F27" s="69">
        <v>0</v>
      </c>
      <c r="G27" s="69">
        <v>0</v>
      </c>
      <c r="H27" s="69">
        <v>0</v>
      </c>
      <c r="I27" s="69">
        <v>0</v>
      </c>
      <c r="J27" s="69">
        <v>0</v>
      </c>
      <c r="K27" s="69">
        <v>400</v>
      </c>
      <c r="L27" s="69">
        <v>400</v>
      </c>
      <c r="M27" s="69">
        <v>0</v>
      </c>
      <c r="N27" s="69">
        <v>0</v>
      </c>
      <c r="O27" s="69">
        <v>0</v>
      </c>
      <c r="P27" s="69">
        <v>0</v>
      </c>
      <c r="Q27" s="69">
        <v>0</v>
      </c>
      <c r="R27" s="69">
        <v>0</v>
      </c>
      <c r="S27" s="69">
        <v>0</v>
      </c>
      <c r="T27" s="69">
        <v>0</v>
      </c>
      <c r="U27" s="69">
        <v>0</v>
      </c>
      <c r="V27" s="69">
        <v>0</v>
      </c>
      <c r="W27" s="69">
        <v>0</v>
      </c>
      <c r="X27" s="69">
        <v>0</v>
      </c>
      <c r="Y27" s="69">
        <v>0</v>
      </c>
      <c r="Z27" s="69">
        <v>0</v>
      </c>
      <c r="AA27" s="69">
        <v>0</v>
      </c>
      <c r="AB27" s="69">
        <v>400</v>
      </c>
      <c r="AC27" s="69">
        <v>0</v>
      </c>
      <c r="AD27" s="56">
        <f t="shared" si="31"/>
        <v>1200</v>
      </c>
      <c r="AE27" s="67">
        <f t="shared" si="32"/>
        <v>42.857142857142854</v>
      </c>
      <c r="AF27" s="68">
        <f t="shared" si="33"/>
        <v>0.36089357248547382</v>
      </c>
      <c r="AG27" s="14"/>
      <c r="AH27" s="14"/>
      <c r="AI27" s="14"/>
      <c r="AJ27" s="14"/>
      <c r="AK27" s="14"/>
      <c r="AL27" s="14"/>
      <c r="AM27" s="14"/>
      <c r="AN27" s="14"/>
      <c r="AO27" s="14"/>
      <c r="AP27" s="14"/>
      <c r="AQ27" s="14"/>
      <c r="AR27" s="14"/>
      <c r="AS27" s="14"/>
      <c r="AT27" s="75"/>
      <c r="AU27" s="14"/>
      <c r="AV27" s="14"/>
      <c r="AW27" s="14"/>
      <c r="AX27" s="14"/>
      <c r="AY27" s="14"/>
      <c r="AZ27" s="14"/>
      <c r="BA27" s="14"/>
      <c r="BB27" s="14"/>
      <c r="BC27" s="14"/>
      <c r="BD27" s="14"/>
    </row>
    <row r="28" spans="1:56"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56">
        <f t="shared" si="31"/>
        <v>0</v>
      </c>
      <c r="AE28" s="67">
        <f t="shared" si="32"/>
        <v>0</v>
      </c>
      <c r="AF28" s="68">
        <f t="shared" si="33"/>
        <v>0</v>
      </c>
      <c r="AG28" s="14"/>
      <c r="AH28" s="14"/>
      <c r="AI28" s="14"/>
      <c r="AJ28" s="14"/>
      <c r="AK28" s="14"/>
      <c r="AL28" s="14"/>
      <c r="AM28" s="14"/>
      <c r="AN28" s="14"/>
      <c r="AO28" s="14"/>
      <c r="AP28" s="14"/>
      <c r="AQ28" s="14"/>
      <c r="AR28" s="14"/>
      <c r="AS28" s="14"/>
      <c r="AT28" s="75"/>
      <c r="AU28" s="14"/>
      <c r="AV28" s="14"/>
      <c r="AW28" s="14"/>
      <c r="AX28" s="14"/>
      <c r="AY28" s="14"/>
      <c r="AZ28" s="14"/>
      <c r="BA28" s="14"/>
      <c r="BB28" s="14"/>
      <c r="BC28" s="14"/>
      <c r="BD28" s="14"/>
    </row>
    <row r="29" spans="1:56" ht="15.75" customHeight="1" x14ac:dyDescent="0.2">
      <c r="A29" s="10" t="s">
        <v>0</v>
      </c>
      <c r="B29" s="76">
        <f t="shared" ref="B29:AC29" si="34">SUM(B2:B28)</f>
        <v>13705.759999999998</v>
      </c>
      <c r="C29" s="76">
        <f t="shared" si="34"/>
        <v>13786.759999999998</v>
      </c>
      <c r="D29" s="76">
        <f t="shared" si="34"/>
        <v>13346.759999999998</v>
      </c>
      <c r="E29" s="76">
        <f t="shared" si="34"/>
        <v>13541.759999999998</v>
      </c>
      <c r="F29" s="76">
        <f t="shared" si="34"/>
        <v>12706.759999999998</v>
      </c>
      <c r="G29" s="76">
        <f t="shared" si="34"/>
        <v>13240.759999999998</v>
      </c>
      <c r="H29" s="76">
        <f t="shared" si="34"/>
        <v>11616.759999999998</v>
      </c>
      <c r="I29" s="76">
        <f t="shared" si="34"/>
        <v>14186.759999999998</v>
      </c>
      <c r="J29" s="76">
        <f t="shared" si="34"/>
        <v>15456.759999999998</v>
      </c>
      <c r="K29" s="76">
        <f t="shared" si="34"/>
        <v>14321.759999999998</v>
      </c>
      <c r="L29" s="76">
        <f t="shared" si="34"/>
        <v>13191.759999999998</v>
      </c>
      <c r="M29" s="76">
        <f t="shared" si="34"/>
        <v>0</v>
      </c>
      <c r="N29" s="76">
        <f t="shared" si="34"/>
        <v>13025.759999999998</v>
      </c>
      <c r="O29" s="76">
        <f t="shared" si="34"/>
        <v>13286.759999999998</v>
      </c>
      <c r="P29" s="76">
        <f t="shared" si="34"/>
        <v>13016.759999999998</v>
      </c>
      <c r="Q29" s="76">
        <f t="shared" si="34"/>
        <v>14895.759999999998</v>
      </c>
      <c r="R29" s="76">
        <f t="shared" si="34"/>
        <v>13306.759999999998</v>
      </c>
      <c r="S29" s="76">
        <f t="shared" si="34"/>
        <v>12176.759999999998</v>
      </c>
      <c r="T29" s="76">
        <f t="shared" si="34"/>
        <v>11686.759999999998</v>
      </c>
      <c r="U29" s="76">
        <f t="shared" si="34"/>
        <v>15191.759999999998</v>
      </c>
      <c r="V29" s="76">
        <f t="shared" si="34"/>
        <v>12896.759999999998</v>
      </c>
      <c r="W29" s="76">
        <f t="shared" si="34"/>
        <v>12470.759999999998</v>
      </c>
      <c r="X29" s="76">
        <f t="shared" si="34"/>
        <v>13716.759999999998</v>
      </c>
      <c r="Y29" s="76">
        <f t="shared" si="34"/>
        <v>12471.759999999998</v>
      </c>
      <c r="Z29" s="76">
        <f t="shared" si="34"/>
        <v>0</v>
      </c>
      <c r="AA29" s="76">
        <f t="shared" si="34"/>
        <v>0</v>
      </c>
      <c r="AB29" s="76">
        <f t="shared" si="34"/>
        <v>12186.759999999998</v>
      </c>
      <c r="AC29" s="76">
        <f t="shared" si="34"/>
        <v>13075.759999999998</v>
      </c>
      <c r="AD29" s="28">
        <f t="shared" si="31"/>
        <v>332508.00000000012</v>
      </c>
      <c r="AE29" s="28">
        <f>AVERAGE(B29:AC29)</f>
        <v>11875.285714285719</v>
      </c>
      <c r="AF29" s="77">
        <f t="shared" si="33"/>
        <v>100</v>
      </c>
      <c r="AG29" s="14"/>
      <c r="AH29" s="14"/>
      <c r="AI29" s="14"/>
      <c r="AJ29" s="14"/>
      <c r="AK29" s="14"/>
      <c r="AL29" s="14"/>
      <c r="AM29" s="14"/>
      <c r="AN29" s="14"/>
      <c r="AO29" s="14"/>
      <c r="AP29" s="14"/>
      <c r="AQ29" s="14"/>
      <c r="AR29" s="14"/>
      <c r="AS29" s="14"/>
      <c r="AT29" s="75"/>
      <c r="AU29" s="75"/>
      <c r="AV29" s="75"/>
      <c r="AW29" s="75"/>
      <c r="AX29" s="75"/>
      <c r="AY29" s="75"/>
      <c r="AZ29" s="75"/>
      <c r="BA29" s="75"/>
      <c r="BB29" s="75"/>
      <c r="BC29" s="75"/>
      <c r="BD29" s="75"/>
    </row>
    <row r="30" spans="1:56" ht="15.75" customHeight="1" x14ac:dyDescent="0.2">
      <c r="A30" s="4" t="s">
        <v>188</v>
      </c>
      <c r="B30" s="69">
        <v>4450</v>
      </c>
      <c r="C30" s="69">
        <v>10610</v>
      </c>
      <c r="D30" s="69">
        <v>4135</v>
      </c>
      <c r="E30" s="69">
        <v>2875</v>
      </c>
      <c r="F30" s="69">
        <v>3545</v>
      </c>
      <c r="G30" s="69">
        <v>2245</v>
      </c>
      <c r="H30" s="69">
        <v>6285</v>
      </c>
      <c r="I30" s="69">
        <v>3715</v>
      </c>
      <c r="J30" s="69">
        <v>9705</v>
      </c>
      <c r="K30" s="69">
        <v>2285</v>
      </c>
      <c r="L30" s="69">
        <v>1305</v>
      </c>
      <c r="M30" s="69">
        <v>0</v>
      </c>
      <c r="N30" s="69">
        <v>3495</v>
      </c>
      <c r="O30" s="69">
        <v>5235</v>
      </c>
      <c r="P30" s="69">
        <v>3685</v>
      </c>
      <c r="Q30" s="69">
        <v>6360</v>
      </c>
      <c r="R30" s="69">
        <v>610</v>
      </c>
      <c r="S30" s="69">
        <v>1395</v>
      </c>
      <c r="T30" s="69">
        <v>2795</v>
      </c>
      <c r="U30" s="69">
        <v>3825</v>
      </c>
      <c r="V30" s="69">
        <v>1220</v>
      </c>
      <c r="W30" s="69">
        <v>2120</v>
      </c>
      <c r="X30" s="69">
        <v>6035</v>
      </c>
      <c r="Y30" s="69">
        <v>4800</v>
      </c>
      <c r="Z30" s="69">
        <v>0</v>
      </c>
      <c r="AA30" s="69">
        <v>0</v>
      </c>
      <c r="AB30" s="69">
        <v>5425</v>
      </c>
      <c r="AC30" s="69">
        <v>4862</v>
      </c>
      <c r="AD30" s="56">
        <f t="shared" si="31"/>
        <v>103017</v>
      </c>
      <c r="AE30" s="67">
        <f t="shared" ref="AE30:AE32" si="35">IFERROR(AVERAGE(B30:AC30),0)</f>
        <v>3679.1785714285716</v>
      </c>
      <c r="AF30" s="68">
        <f t="shared" ref="AF30:AF32" si="36">IFERROR((AE30/$AE$32)*100,0)</f>
        <v>48.969434805342971</v>
      </c>
      <c r="AG30" s="14"/>
      <c r="AH30" s="14"/>
      <c r="AI30" s="14"/>
      <c r="AJ30" s="14"/>
      <c r="AK30" s="14"/>
      <c r="AL30" s="14"/>
      <c r="AM30" s="14"/>
      <c r="AN30" s="14"/>
      <c r="AO30" s="14"/>
      <c r="AP30" s="14"/>
      <c r="AQ30" s="14"/>
      <c r="AR30" s="14"/>
      <c r="AS30" s="14"/>
      <c r="AT30" s="75"/>
      <c r="AU30" s="75"/>
      <c r="AV30" s="75"/>
      <c r="AW30" s="75"/>
      <c r="AX30" s="75"/>
      <c r="AY30" s="75"/>
      <c r="AZ30" s="75"/>
      <c r="BA30" s="75"/>
      <c r="BB30" s="75"/>
      <c r="BC30" s="75"/>
      <c r="BD30" s="75"/>
    </row>
    <row r="31" spans="1:56" ht="15.75" customHeight="1" x14ac:dyDescent="0.2">
      <c r="A31" s="4" t="s">
        <v>189</v>
      </c>
      <c r="B31" s="78">
        <f t="shared" ref="B31:AC31" si="37">B32-B30</f>
        <v>4990</v>
      </c>
      <c r="C31" s="78">
        <f t="shared" si="37"/>
        <v>5095</v>
      </c>
      <c r="D31" s="78">
        <f t="shared" si="37"/>
        <v>4020</v>
      </c>
      <c r="E31" s="78">
        <f t="shared" si="37"/>
        <v>4395</v>
      </c>
      <c r="F31" s="78">
        <f t="shared" si="37"/>
        <v>1550</v>
      </c>
      <c r="G31" s="78">
        <f t="shared" si="37"/>
        <v>3505</v>
      </c>
      <c r="H31" s="78">
        <f t="shared" si="37"/>
        <v>3220</v>
      </c>
      <c r="I31" s="78">
        <f t="shared" si="37"/>
        <v>5740</v>
      </c>
      <c r="J31" s="78">
        <f t="shared" si="37"/>
        <v>9690</v>
      </c>
      <c r="K31" s="78">
        <f t="shared" si="37"/>
        <v>2500</v>
      </c>
      <c r="L31" s="78">
        <f t="shared" si="37"/>
        <v>3495</v>
      </c>
      <c r="M31" s="78">
        <f t="shared" si="37"/>
        <v>0</v>
      </c>
      <c r="N31" s="78">
        <f t="shared" si="37"/>
        <v>4355</v>
      </c>
      <c r="O31" s="78">
        <f t="shared" si="37"/>
        <v>3360</v>
      </c>
      <c r="P31" s="78">
        <f t="shared" si="37"/>
        <v>4240</v>
      </c>
      <c r="Q31" s="78">
        <f t="shared" si="37"/>
        <v>8795</v>
      </c>
      <c r="R31" s="78">
        <f t="shared" si="37"/>
        <v>2205</v>
      </c>
      <c r="S31" s="78">
        <f t="shared" si="37"/>
        <v>4170</v>
      </c>
      <c r="T31" s="78">
        <f t="shared" si="37"/>
        <v>5980</v>
      </c>
      <c r="U31" s="79">
        <f t="shared" si="37"/>
        <v>2660</v>
      </c>
      <c r="V31" s="80">
        <f t="shared" si="37"/>
        <v>2670</v>
      </c>
      <c r="W31" s="80">
        <f t="shared" si="37"/>
        <v>5025</v>
      </c>
      <c r="X31" s="80">
        <f t="shared" si="37"/>
        <v>5090</v>
      </c>
      <c r="Y31" s="80">
        <f t="shared" si="37"/>
        <v>3540</v>
      </c>
      <c r="Z31" s="78">
        <f t="shared" si="37"/>
        <v>0</v>
      </c>
      <c r="AA31" s="78">
        <f t="shared" si="37"/>
        <v>0</v>
      </c>
      <c r="AB31" s="80">
        <f t="shared" si="37"/>
        <v>1650</v>
      </c>
      <c r="AC31" s="80">
        <f t="shared" si="37"/>
        <v>5413</v>
      </c>
      <c r="AD31" s="56">
        <f t="shared" si="31"/>
        <v>107353</v>
      </c>
      <c r="AE31" s="67">
        <f t="shared" si="35"/>
        <v>3834.0357142857142</v>
      </c>
      <c r="AF31" s="68">
        <f t="shared" si="36"/>
        <v>51.030565194657029</v>
      </c>
      <c r="AG31" s="14"/>
      <c r="AH31" s="14"/>
      <c r="AI31" s="14"/>
      <c r="AJ31" s="14"/>
      <c r="AK31" s="14"/>
      <c r="AL31" s="14"/>
      <c r="AM31" s="14"/>
      <c r="AN31" s="14"/>
      <c r="AO31" s="14"/>
      <c r="AP31" s="14"/>
      <c r="AQ31" s="14"/>
      <c r="AR31" s="14"/>
      <c r="AS31" s="14"/>
      <c r="AT31" s="75"/>
      <c r="AU31" s="75"/>
      <c r="AV31" s="75"/>
      <c r="AW31" s="75"/>
      <c r="AX31" s="75"/>
      <c r="AY31" s="75"/>
      <c r="AZ31" s="75"/>
      <c r="BA31" s="75"/>
      <c r="BB31" s="75"/>
      <c r="BC31" s="75"/>
      <c r="BD31" s="75"/>
    </row>
    <row r="32" spans="1:56" ht="15.75" customHeight="1" x14ac:dyDescent="0.2">
      <c r="A32" s="4" t="s">
        <v>190</v>
      </c>
      <c r="B32" s="69">
        <v>9440</v>
      </c>
      <c r="C32" s="69">
        <v>15705</v>
      </c>
      <c r="D32" s="69">
        <v>8155</v>
      </c>
      <c r="E32" s="69">
        <v>7270</v>
      </c>
      <c r="F32" s="69">
        <v>5095</v>
      </c>
      <c r="G32" s="69">
        <v>5750</v>
      </c>
      <c r="H32" s="69">
        <v>9505</v>
      </c>
      <c r="I32" s="69">
        <v>9455</v>
      </c>
      <c r="J32" s="69">
        <v>19395</v>
      </c>
      <c r="K32" s="69">
        <v>4785</v>
      </c>
      <c r="L32" s="69">
        <v>4800</v>
      </c>
      <c r="M32" s="69">
        <v>0</v>
      </c>
      <c r="N32" s="69">
        <v>7850</v>
      </c>
      <c r="O32" s="69">
        <v>8595</v>
      </c>
      <c r="P32" s="69">
        <v>7925</v>
      </c>
      <c r="Q32" s="69">
        <v>15155</v>
      </c>
      <c r="R32" s="69">
        <v>2815</v>
      </c>
      <c r="S32" s="69">
        <v>5565</v>
      </c>
      <c r="T32" s="69">
        <v>8775</v>
      </c>
      <c r="U32" s="69">
        <v>6485</v>
      </c>
      <c r="V32" s="69">
        <v>3890</v>
      </c>
      <c r="W32" s="69">
        <v>7145</v>
      </c>
      <c r="X32" s="69">
        <v>11125</v>
      </c>
      <c r="Y32" s="69">
        <v>8340</v>
      </c>
      <c r="Z32" s="69">
        <v>0</v>
      </c>
      <c r="AA32" s="69">
        <v>0</v>
      </c>
      <c r="AB32" s="69">
        <v>7075</v>
      </c>
      <c r="AC32" s="69">
        <v>10275</v>
      </c>
      <c r="AD32" s="56">
        <f t="shared" si="31"/>
        <v>210370</v>
      </c>
      <c r="AE32" s="67">
        <f t="shared" si="35"/>
        <v>7513.2142857142853</v>
      </c>
      <c r="AF32" s="68">
        <f t="shared" si="36"/>
        <v>100</v>
      </c>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row>
    <row r="33" spans="1:32" ht="15.75" customHeight="1" x14ac:dyDescent="0.2">
      <c r="A33" s="4" t="s">
        <v>191</v>
      </c>
      <c r="B33" s="69">
        <f t="shared" ref="B33:AC33" si="38">B32-B29</f>
        <v>-4265.7599999999984</v>
      </c>
      <c r="C33" s="69">
        <f t="shared" si="38"/>
        <v>1918.2400000000016</v>
      </c>
      <c r="D33" s="69">
        <f t="shared" si="38"/>
        <v>-5191.7599999999984</v>
      </c>
      <c r="E33" s="69">
        <f t="shared" si="38"/>
        <v>-6271.7599999999984</v>
      </c>
      <c r="F33" s="69">
        <f t="shared" si="38"/>
        <v>-7611.7599999999984</v>
      </c>
      <c r="G33" s="69">
        <f t="shared" si="38"/>
        <v>-7490.7599999999984</v>
      </c>
      <c r="H33" s="69">
        <f t="shared" si="38"/>
        <v>-2111.7599999999984</v>
      </c>
      <c r="I33" s="69">
        <f t="shared" si="38"/>
        <v>-4731.7599999999984</v>
      </c>
      <c r="J33" s="69">
        <f t="shared" si="38"/>
        <v>3938.2400000000016</v>
      </c>
      <c r="K33" s="69">
        <f t="shared" si="38"/>
        <v>-9536.7599999999984</v>
      </c>
      <c r="L33" s="69">
        <f t="shared" si="38"/>
        <v>-8391.7599999999984</v>
      </c>
      <c r="M33" s="69">
        <f t="shared" si="38"/>
        <v>0</v>
      </c>
      <c r="N33" s="69">
        <f t="shared" si="38"/>
        <v>-5175.7599999999984</v>
      </c>
      <c r="O33" s="69">
        <f t="shared" si="38"/>
        <v>-4691.7599999999984</v>
      </c>
      <c r="P33" s="69">
        <f t="shared" si="38"/>
        <v>-5091.7599999999984</v>
      </c>
      <c r="Q33" s="69">
        <f t="shared" si="38"/>
        <v>259.2400000000016</v>
      </c>
      <c r="R33" s="69">
        <f t="shared" si="38"/>
        <v>-10491.759999999998</v>
      </c>
      <c r="S33" s="69">
        <f t="shared" si="38"/>
        <v>-6611.7599999999984</v>
      </c>
      <c r="T33" s="69">
        <f t="shared" si="38"/>
        <v>-2911.7599999999984</v>
      </c>
      <c r="U33" s="69">
        <f t="shared" si="38"/>
        <v>-8706.7599999999984</v>
      </c>
      <c r="V33" s="59">
        <f t="shared" si="38"/>
        <v>-9006.7599999999984</v>
      </c>
      <c r="W33" s="59">
        <f t="shared" si="38"/>
        <v>-5325.7599999999984</v>
      </c>
      <c r="X33" s="59">
        <f t="shared" si="38"/>
        <v>-2591.7599999999984</v>
      </c>
      <c r="Y33" s="59">
        <f t="shared" si="38"/>
        <v>-4131.7599999999984</v>
      </c>
      <c r="Z33" s="69">
        <f t="shared" si="38"/>
        <v>0</v>
      </c>
      <c r="AA33" s="69">
        <f t="shared" si="38"/>
        <v>0</v>
      </c>
      <c r="AB33" s="59">
        <f t="shared" si="38"/>
        <v>-5111.7599999999984</v>
      </c>
      <c r="AC33" s="59">
        <f t="shared" si="38"/>
        <v>-2800.7599999999984</v>
      </c>
      <c r="AD33" s="81">
        <f>SUM(B33:AC33)+B40+B41</f>
        <v>-96128.999999999913</v>
      </c>
      <c r="AE33" s="5">
        <f>AVERAGE(B33:AC33,B40,B41)</f>
        <v>-3204.299999999997</v>
      </c>
      <c r="AF33" s="68"/>
    </row>
    <row r="34" spans="1:32"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7"/>
      <c r="AE34" s="7"/>
    </row>
    <row r="35" spans="1:32" ht="15.75" customHeight="1" x14ac:dyDescent="0.2">
      <c r="A35" s="4" t="s">
        <v>13</v>
      </c>
      <c r="B35" s="59">
        <f t="shared" ref="B35:B38" si="39">SUM(B29:AC29)</f>
        <v>332508.00000000012</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7"/>
      <c r="AE35" s="7"/>
    </row>
    <row r="36" spans="1:32" ht="15.75" customHeight="1" x14ac:dyDescent="0.2">
      <c r="A36" s="4" t="s">
        <v>14</v>
      </c>
      <c r="B36" s="59">
        <f t="shared" si="39"/>
        <v>103017</v>
      </c>
      <c r="C36" s="6" t="s">
        <v>215</v>
      </c>
      <c r="D36" s="14" t="s">
        <v>216</v>
      </c>
      <c r="F36" s="14" t="s">
        <v>217</v>
      </c>
      <c r="G36" s="14" t="s">
        <v>218</v>
      </c>
      <c r="I36" s="14" t="s">
        <v>219</v>
      </c>
      <c r="M36" s="6"/>
      <c r="N36" s="6"/>
      <c r="O36" s="6"/>
      <c r="P36" s="6"/>
      <c r="Q36" s="6"/>
      <c r="R36" s="6"/>
      <c r="S36" s="6"/>
      <c r="T36" s="6"/>
      <c r="U36" s="6"/>
      <c r="V36" s="6"/>
      <c r="W36" s="6"/>
      <c r="X36" s="6"/>
      <c r="Y36" s="6"/>
      <c r="Z36" s="6"/>
      <c r="AA36" s="6"/>
      <c r="AB36" s="6"/>
      <c r="AC36" s="6"/>
      <c r="AD36" s="7"/>
      <c r="AE36" s="7"/>
    </row>
    <row r="37" spans="1:32" ht="15.75" customHeight="1" x14ac:dyDescent="0.2">
      <c r="A37" s="4" t="s">
        <v>15</v>
      </c>
      <c r="B37" s="59">
        <f t="shared" si="39"/>
        <v>107353</v>
      </c>
      <c r="C37" s="6"/>
      <c r="I37" s="14" t="s">
        <v>198</v>
      </c>
      <c r="J37" s="14" t="s">
        <v>198</v>
      </c>
      <c r="K37" s="14" t="s">
        <v>220</v>
      </c>
      <c r="L37" s="14" t="s">
        <v>220</v>
      </c>
      <c r="M37" s="6"/>
      <c r="N37" s="6"/>
      <c r="O37" s="6"/>
      <c r="P37" s="6"/>
      <c r="Q37" s="6"/>
      <c r="R37" s="6" t="s">
        <v>198</v>
      </c>
      <c r="S37" s="6"/>
      <c r="T37" s="6"/>
      <c r="U37" s="6"/>
      <c r="V37" s="6"/>
      <c r="W37" s="6"/>
      <c r="X37" s="6"/>
      <c r="Y37" s="6"/>
      <c r="Z37" s="6"/>
      <c r="AA37" s="6"/>
      <c r="AB37" s="6"/>
      <c r="AC37" s="6"/>
      <c r="AD37" s="7"/>
      <c r="AE37" s="7"/>
    </row>
    <row r="38" spans="1:32" ht="15.75" customHeight="1" x14ac:dyDescent="0.2">
      <c r="A38" s="4" t="s">
        <v>16</v>
      </c>
      <c r="B38" s="59">
        <f t="shared" si="39"/>
        <v>210370</v>
      </c>
      <c r="C38" s="6"/>
      <c r="M38" s="6"/>
      <c r="N38" s="6"/>
      <c r="O38" s="6"/>
      <c r="P38" s="6"/>
      <c r="Q38" s="6"/>
      <c r="R38" s="6"/>
      <c r="S38" s="6"/>
      <c r="T38" s="6"/>
      <c r="U38" s="6"/>
      <c r="V38" s="6"/>
      <c r="W38" s="6"/>
      <c r="X38" s="6"/>
      <c r="Y38" s="6"/>
      <c r="Z38" s="6"/>
      <c r="AA38" s="6"/>
      <c r="AB38" s="6"/>
      <c r="AC38" s="6"/>
      <c r="AD38" s="7"/>
      <c r="AE38" s="7"/>
    </row>
    <row r="39" spans="1:32" ht="15.75" customHeight="1" x14ac:dyDescent="0.2">
      <c r="A39" s="4" t="s">
        <v>17</v>
      </c>
      <c r="B39" s="80">
        <f>Expenses!F20</f>
        <v>90891</v>
      </c>
      <c r="C39" s="6"/>
      <c r="M39" s="6"/>
      <c r="O39" s="6"/>
      <c r="P39" s="6"/>
      <c r="Q39" s="6"/>
      <c r="R39" s="6"/>
      <c r="S39" s="6"/>
      <c r="T39" s="6"/>
      <c r="U39" s="6"/>
      <c r="V39" s="6"/>
      <c r="W39" s="6"/>
      <c r="X39" s="6"/>
      <c r="Y39" s="6"/>
      <c r="Z39" s="6"/>
      <c r="AA39" s="6"/>
      <c r="AB39" s="6"/>
      <c r="AC39" s="6"/>
      <c r="AD39" s="7"/>
      <c r="AE39" s="7"/>
    </row>
    <row r="40" spans="1:32" ht="15.75" customHeight="1" x14ac:dyDescent="0.2">
      <c r="A40" s="4" t="s">
        <v>18</v>
      </c>
      <c r="B40" s="32">
        <f>3615+2908+4680+2252</f>
        <v>13455</v>
      </c>
      <c r="C40" s="6"/>
      <c r="M40" s="6"/>
      <c r="N40" s="6"/>
      <c r="O40" s="6"/>
      <c r="P40" s="6"/>
      <c r="Q40" s="6"/>
      <c r="R40" s="6"/>
      <c r="S40" s="6"/>
      <c r="T40" s="6" t="s">
        <v>127</v>
      </c>
      <c r="U40" s="6"/>
      <c r="V40" s="6"/>
      <c r="W40" s="6"/>
      <c r="X40" s="6"/>
      <c r="Y40" s="6"/>
      <c r="Z40" s="6"/>
      <c r="AA40" s="6"/>
      <c r="AB40" s="6"/>
      <c r="AC40" s="6"/>
      <c r="AD40" s="7"/>
      <c r="AE40" s="7"/>
    </row>
    <row r="41" spans="1:32" ht="15.75" customHeight="1" x14ac:dyDescent="0.2">
      <c r="A41" s="4" t="s">
        <v>19</v>
      </c>
      <c r="B41" s="82">
        <f>4243+2394+1959+2074+1884</f>
        <v>12554</v>
      </c>
      <c r="C41" s="6"/>
      <c r="M41" s="6"/>
      <c r="N41" s="6"/>
      <c r="O41" s="6"/>
      <c r="P41" s="6"/>
      <c r="Q41" s="6"/>
      <c r="R41" s="6"/>
      <c r="S41" s="6"/>
      <c r="T41" s="6"/>
      <c r="U41" s="6"/>
      <c r="V41" s="6"/>
      <c r="W41" s="6"/>
      <c r="X41" s="6"/>
      <c r="Y41" s="6"/>
      <c r="Z41" s="6"/>
      <c r="AA41" s="6"/>
      <c r="AB41" s="6"/>
      <c r="AC41" s="6"/>
      <c r="AD41" s="7"/>
      <c r="AE41" s="7"/>
    </row>
    <row r="42" spans="1:32" ht="15.75" customHeight="1" x14ac:dyDescent="0.2">
      <c r="A42" s="4" t="s">
        <v>20</v>
      </c>
      <c r="B42" s="59">
        <f>Stock!H72</f>
        <v>67553</v>
      </c>
      <c r="C42" s="6"/>
      <c r="M42" s="6"/>
      <c r="N42" s="6"/>
      <c r="O42" s="6"/>
      <c r="P42" s="6"/>
      <c r="Q42" s="6"/>
      <c r="R42" s="6"/>
      <c r="S42" s="6"/>
      <c r="T42" s="6"/>
      <c r="U42" s="6"/>
      <c r="V42" s="6"/>
      <c r="W42" s="6"/>
      <c r="X42" s="6"/>
      <c r="Y42" s="6"/>
      <c r="Z42" s="6"/>
      <c r="AA42" s="6"/>
      <c r="AB42" s="6"/>
      <c r="AC42" s="6"/>
      <c r="AD42" s="7"/>
      <c r="AE42" s="7"/>
    </row>
    <row r="43" spans="1:32" ht="15.75" customHeight="1" x14ac:dyDescent="0.2">
      <c r="A43" s="4" t="s">
        <v>21</v>
      </c>
      <c r="B43" s="59">
        <f>B38-B35+B40+B41</f>
        <v>-96129.000000000116</v>
      </c>
      <c r="C43" s="6"/>
      <c r="M43" s="6"/>
      <c r="N43" s="6"/>
      <c r="O43" s="6"/>
      <c r="P43" s="6"/>
      <c r="Q43" s="6"/>
      <c r="R43" s="6"/>
      <c r="S43" s="6"/>
      <c r="T43" s="6"/>
      <c r="U43" s="6"/>
      <c r="V43" s="6"/>
      <c r="W43" s="6"/>
      <c r="X43" s="6"/>
      <c r="Y43" s="6"/>
      <c r="Z43" s="6"/>
      <c r="AA43" s="6"/>
      <c r="AB43" s="6"/>
      <c r="AC43" s="6"/>
      <c r="AD43" s="7"/>
      <c r="AE43" s="7"/>
      <c r="AF43" s="14" t="s">
        <v>127</v>
      </c>
    </row>
    <row r="44" spans="1:32" ht="15.75" customHeight="1" x14ac:dyDescent="0.2">
      <c r="B44" s="6"/>
      <c r="C44" s="6"/>
      <c r="M44" s="6"/>
      <c r="N44" s="6"/>
      <c r="O44" s="6"/>
      <c r="P44" s="6"/>
      <c r="Q44" s="6"/>
      <c r="R44" s="6"/>
      <c r="S44" s="6"/>
      <c r="T44" s="6"/>
      <c r="U44" s="6"/>
      <c r="V44" s="6"/>
      <c r="W44" s="6"/>
      <c r="X44" s="6"/>
      <c r="Y44" s="6"/>
      <c r="Z44" s="6"/>
      <c r="AA44" s="6"/>
      <c r="AB44" s="6"/>
      <c r="AC44" s="6"/>
      <c r="AD44" s="7"/>
      <c r="AE44" s="7"/>
    </row>
    <row r="45" spans="1:32" ht="15.75" customHeight="1" x14ac:dyDescent="0.2">
      <c r="A45" s="4" t="s">
        <v>201</v>
      </c>
      <c r="B45" s="59">
        <v>0</v>
      </c>
      <c r="C45" s="59">
        <v>0</v>
      </c>
      <c r="D45" s="59">
        <v>0</v>
      </c>
      <c r="E45" s="59">
        <v>0</v>
      </c>
      <c r="F45" s="59">
        <v>3200</v>
      </c>
      <c r="G45" s="59">
        <v>900</v>
      </c>
      <c r="H45" s="59">
        <v>0</v>
      </c>
      <c r="I45" s="59">
        <v>0</v>
      </c>
      <c r="J45" s="59">
        <v>1000</v>
      </c>
      <c r="K45" s="59">
        <v>1000</v>
      </c>
      <c r="L45" s="59">
        <v>1000</v>
      </c>
      <c r="M45" s="59">
        <v>0</v>
      </c>
      <c r="N45" s="59">
        <v>1000</v>
      </c>
      <c r="O45" s="59">
        <v>1000</v>
      </c>
      <c r="P45" s="59">
        <v>1000</v>
      </c>
      <c r="Q45" s="59">
        <v>1000</v>
      </c>
      <c r="R45" s="59">
        <v>1000</v>
      </c>
      <c r="S45" s="59">
        <v>1000</v>
      </c>
      <c r="T45" s="59">
        <v>1000</v>
      </c>
      <c r="U45" s="59">
        <v>1000</v>
      </c>
      <c r="V45" s="59">
        <v>1000</v>
      </c>
      <c r="W45" s="59">
        <v>1000</v>
      </c>
      <c r="X45" s="59">
        <v>1000</v>
      </c>
      <c r="Y45" s="59">
        <v>1000</v>
      </c>
      <c r="Z45" s="59">
        <v>0</v>
      </c>
      <c r="AA45" s="59">
        <v>0</v>
      </c>
      <c r="AB45" s="59">
        <v>1000</v>
      </c>
      <c r="AC45" s="59">
        <v>1000</v>
      </c>
      <c r="AD45" s="56">
        <f t="shared" ref="AD45:AD47" si="40">SUM(B45:AC45)</f>
        <v>21100</v>
      </c>
      <c r="AE45" s="7"/>
    </row>
    <row r="46" spans="1:32" ht="15.75" customHeight="1" x14ac:dyDescent="0.2">
      <c r="A46" s="4" t="s">
        <v>202</v>
      </c>
      <c r="B46" s="59">
        <v>1000</v>
      </c>
      <c r="C46" s="59">
        <v>1100</v>
      </c>
      <c r="D46" s="59">
        <v>800</v>
      </c>
      <c r="E46" s="59">
        <v>1300</v>
      </c>
      <c r="F46" s="59">
        <v>800</v>
      </c>
      <c r="G46" s="59">
        <v>800</v>
      </c>
      <c r="H46" s="59">
        <v>900</v>
      </c>
      <c r="I46" s="59">
        <v>1500</v>
      </c>
      <c r="J46" s="59">
        <v>1100</v>
      </c>
      <c r="K46" s="59">
        <v>0</v>
      </c>
      <c r="L46" s="59">
        <v>500</v>
      </c>
      <c r="M46" s="59">
        <v>0</v>
      </c>
      <c r="N46" s="59">
        <v>0</v>
      </c>
      <c r="O46" s="59">
        <v>1500</v>
      </c>
      <c r="P46" s="59">
        <v>800</v>
      </c>
      <c r="Q46" s="59">
        <v>2100</v>
      </c>
      <c r="R46" s="59">
        <v>0</v>
      </c>
      <c r="S46" s="59">
        <v>0</v>
      </c>
      <c r="T46" s="59">
        <v>0</v>
      </c>
      <c r="U46" s="59">
        <v>1900</v>
      </c>
      <c r="V46" s="59">
        <v>320</v>
      </c>
      <c r="W46" s="59">
        <v>0</v>
      </c>
      <c r="X46" s="59">
        <v>0</v>
      </c>
      <c r="Y46" s="59">
        <v>0</v>
      </c>
      <c r="Z46" s="59">
        <v>0</v>
      </c>
      <c r="AA46" s="59">
        <v>0</v>
      </c>
      <c r="AB46" s="59">
        <v>1100</v>
      </c>
      <c r="AC46" s="59">
        <v>1200</v>
      </c>
      <c r="AD46" s="56">
        <f t="shared" si="40"/>
        <v>18720</v>
      </c>
      <c r="AE46" s="7"/>
    </row>
    <row r="47" spans="1:32" ht="15.75" customHeight="1" x14ac:dyDescent="0.2">
      <c r="A47" s="4" t="s">
        <v>203</v>
      </c>
      <c r="B47" s="59">
        <f t="shared" ref="B47:AC47" si="41">B4+B3+B7+B8+(SUM(B20:B22))+B45+B46</f>
        <v>8576.76</v>
      </c>
      <c r="C47" s="59">
        <f t="shared" si="41"/>
        <v>8676.76</v>
      </c>
      <c r="D47" s="59">
        <f t="shared" si="41"/>
        <v>8376.76</v>
      </c>
      <c r="E47" s="59">
        <f t="shared" si="41"/>
        <v>8876.76</v>
      </c>
      <c r="F47" s="59">
        <f t="shared" si="41"/>
        <v>11576.76</v>
      </c>
      <c r="G47" s="59">
        <f t="shared" si="41"/>
        <v>9276.76</v>
      </c>
      <c r="H47" s="59">
        <f t="shared" si="41"/>
        <v>8476.76</v>
      </c>
      <c r="I47" s="59">
        <f t="shared" si="41"/>
        <v>9076.76</v>
      </c>
      <c r="J47" s="59">
        <f t="shared" si="41"/>
        <v>9676.76</v>
      </c>
      <c r="K47" s="59">
        <f t="shared" si="41"/>
        <v>8576.76</v>
      </c>
      <c r="L47" s="59">
        <f t="shared" si="41"/>
        <v>9076.76</v>
      </c>
      <c r="M47" s="59">
        <f t="shared" si="41"/>
        <v>0</v>
      </c>
      <c r="N47" s="59">
        <f t="shared" si="41"/>
        <v>8576.76</v>
      </c>
      <c r="O47" s="59">
        <f t="shared" si="41"/>
        <v>10076.76</v>
      </c>
      <c r="P47" s="59">
        <f t="shared" si="41"/>
        <v>9376.76</v>
      </c>
      <c r="Q47" s="59">
        <f t="shared" si="41"/>
        <v>10676.76</v>
      </c>
      <c r="R47" s="59">
        <f t="shared" si="41"/>
        <v>8576.76</v>
      </c>
      <c r="S47" s="59">
        <f t="shared" si="41"/>
        <v>8576.76</v>
      </c>
      <c r="T47" s="59">
        <f t="shared" si="41"/>
        <v>8576.76</v>
      </c>
      <c r="U47" s="59">
        <f t="shared" si="41"/>
        <v>10476.76</v>
      </c>
      <c r="V47" s="59">
        <f t="shared" si="41"/>
        <v>8896.76</v>
      </c>
      <c r="W47" s="59">
        <f t="shared" si="41"/>
        <v>8576.76</v>
      </c>
      <c r="X47" s="59">
        <f t="shared" si="41"/>
        <v>8576.76</v>
      </c>
      <c r="Y47" s="59">
        <f t="shared" si="41"/>
        <v>8576.76</v>
      </c>
      <c r="Z47" s="59">
        <f t="shared" si="41"/>
        <v>0</v>
      </c>
      <c r="AA47" s="59">
        <f t="shared" si="41"/>
        <v>0</v>
      </c>
      <c r="AB47" s="59">
        <f t="shared" si="41"/>
        <v>9676.76</v>
      </c>
      <c r="AC47" s="59">
        <f t="shared" si="41"/>
        <v>9776.76</v>
      </c>
      <c r="AD47" s="67">
        <f t="shared" si="40"/>
        <v>229239.00000000006</v>
      </c>
      <c r="AE47" s="7"/>
    </row>
    <row r="48" spans="1:32" ht="15.75" customHeight="1" x14ac:dyDescent="0.2">
      <c r="A48" s="4" t="s">
        <v>204</v>
      </c>
      <c r="B48" s="59">
        <f>B31-B29+B47+6193</f>
        <v>6054.0000000000018</v>
      </c>
      <c r="C48" s="59">
        <f t="shared" ref="C48:AC48" si="42">B48+C31-C29+C47</f>
        <v>6039.0000000000036</v>
      </c>
      <c r="D48" s="59">
        <f t="shared" si="42"/>
        <v>5089.0000000000055</v>
      </c>
      <c r="E48" s="59">
        <f t="shared" si="42"/>
        <v>4819.0000000000073</v>
      </c>
      <c r="F48" s="59">
        <f t="shared" si="42"/>
        <v>5239.0000000000091</v>
      </c>
      <c r="G48" s="59">
        <f t="shared" si="42"/>
        <v>4780.0000000000109</v>
      </c>
      <c r="H48" s="59">
        <f t="shared" si="42"/>
        <v>4860.0000000000127</v>
      </c>
      <c r="I48" s="59">
        <f t="shared" si="42"/>
        <v>5490.0000000000146</v>
      </c>
      <c r="J48" s="59">
        <f t="shared" si="42"/>
        <v>9400.0000000000164</v>
      </c>
      <c r="K48" s="59">
        <f t="shared" si="42"/>
        <v>6155.0000000000182</v>
      </c>
      <c r="L48" s="59">
        <f t="shared" si="42"/>
        <v>5535.00000000002</v>
      </c>
      <c r="M48" s="59">
        <f t="shared" si="42"/>
        <v>5535.00000000002</v>
      </c>
      <c r="N48" s="59">
        <f t="shared" si="42"/>
        <v>5441.0000000000218</v>
      </c>
      <c r="O48" s="59">
        <f t="shared" si="42"/>
        <v>5591.0000000000236</v>
      </c>
      <c r="P48" s="59">
        <f t="shared" si="42"/>
        <v>6191.0000000000255</v>
      </c>
      <c r="Q48" s="59">
        <f t="shared" si="42"/>
        <v>10767.000000000027</v>
      </c>
      <c r="R48" s="59">
        <f t="shared" si="42"/>
        <v>8242.0000000000291</v>
      </c>
      <c r="S48" s="59">
        <f t="shared" si="42"/>
        <v>8812.0000000000309</v>
      </c>
      <c r="T48" s="59">
        <f t="shared" si="42"/>
        <v>11682.000000000033</v>
      </c>
      <c r="U48" s="59">
        <f t="shared" si="42"/>
        <v>9627.0000000000346</v>
      </c>
      <c r="V48" s="59">
        <f t="shared" si="42"/>
        <v>8297.0000000000364</v>
      </c>
      <c r="W48" s="59">
        <f t="shared" si="42"/>
        <v>9428.0000000000382</v>
      </c>
      <c r="X48" s="59">
        <f t="shared" si="42"/>
        <v>9378.00000000004</v>
      </c>
      <c r="Y48" s="59">
        <f t="shared" si="42"/>
        <v>9023.0000000000418</v>
      </c>
      <c r="Z48" s="59">
        <f t="shared" si="42"/>
        <v>9023.0000000000418</v>
      </c>
      <c r="AA48" s="59">
        <f t="shared" si="42"/>
        <v>9023.0000000000418</v>
      </c>
      <c r="AB48" s="59">
        <f t="shared" si="42"/>
        <v>8163.0000000000437</v>
      </c>
      <c r="AC48" s="59">
        <f t="shared" si="42"/>
        <v>10277.000000000045</v>
      </c>
      <c r="AD48" s="7"/>
      <c r="AE48" s="7"/>
    </row>
    <row r="49" spans="1:31"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7"/>
      <c r="AE49" s="7"/>
    </row>
    <row r="50" spans="1:31" ht="15.75" customHeight="1" x14ac:dyDescent="0.2">
      <c r="AD50" s="1"/>
      <c r="AE50" s="7"/>
    </row>
    <row r="51" spans="1:31" ht="15.75" customHeight="1" x14ac:dyDescent="0.2">
      <c r="A51" s="4" t="s">
        <v>166</v>
      </c>
      <c r="B51" s="4">
        <f>1400+1400</f>
        <v>2800</v>
      </c>
      <c r="AD51" s="1"/>
      <c r="AE51" s="7"/>
    </row>
    <row r="52" spans="1:31" ht="15.75" customHeight="1" x14ac:dyDescent="0.2">
      <c r="A52" s="4" t="s">
        <v>205</v>
      </c>
      <c r="B52" s="4">
        <v>0</v>
      </c>
      <c r="AD52" s="1"/>
      <c r="AE52" s="7"/>
    </row>
    <row r="53" spans="1:31" ht="15.75" customHeight="1" x14ac:dyDescent="0.2">
      <c r="A53" s="4" t="s">
        <v>179</v>
      </c>
      <c r="B53" s="4">
        <f>4000+6000+4000+6000</f>
        <v>20000</v>
      </c>
      <c r="AD53" s="1"/>
      <c r="AE53" s="7"/>
    </row>
    <row r="54" spans="1:31" ht="15.75" customHeight="1" x14ac:dyDescent="0.2">
      <c r="A54" s="4" t="s">
        <v>180</v>
      </c>
      <c r="B54" s="4">
        <f>2500+2500</f>
        <v>5000</v>
      </c>
      <c r="G54" s="6"/>
      <c r="AD54" s="1"/>
      <c r="AE54" s="7"/>
    </row>
    <row r="55" spans="1:31" ht="15.75" customHeight="1" x14ac:dyDescent="0.2">
      <c r="A55" s="4" t="s">
        <v>181</v>
      </c>
      <c r="B55" s="4">
        <v>3175</v>
      </c>
      <c r="AD55" s="1"/>
      <c r="AE55" s="7"/>
    </row>
    <row r="56" spans="1:31" ht="15.75" customHeight="1" x14ac:dyDescent="0.2">
      <c r="B56" s="83">
        <f>SUM(B51:B55)</f>
        <v>30975</v>
      </c>
      <c r="J56" s="84" t="s">
        <v>207</v>
      </c>
      <c r="K56" s="4"/>
      <c r="L56" s="59">
        <f>D32</f>
        <v>8155</v>
      </c>
      <c r="M56" s="59">
        <f>K32</f>
        <v>4785</v>
      </c>
      <c r="N56" s="59">
        <f>R32</f>
        <v>2815</v>
      </c>
      <c r="O56" s="59">
        <f>Y32</f>
        <v>8340</v>
      </c>
      <c r="P56" s="84">
        <f t="shared" ref="P56:P62" si="43">AVERAGEIF(K56:O56,"&lt;&gt;0")</f>
        <v>6023.75</v>
      </c>
      <c r="R56" s="6"/>
      <c r="AD56" s="1"/>
      <c r="AE56" s="7"/>
    </row>
    <row r="57" spans="1:31" ht="15.75" customHeight="1" x14ac:dyDescent="0.2">
      <c r="J57" s="84" t="s">
        <v>208</v>
      </c>
      <c r="K57" s="4"/>
      <c r="L57" s="59">
        <f>E32</f>
        <v>7270</v>
      </c>
      <c r="M57" s="59">
        <f>L32</f>
        <v>4800</v>
      </c>
      <c r="N57" s="59">
        <f>S32</f>
        <v>5565</v>
      </c>
      <c r="O57" s="59">
        <f>Z32</f>
        <v>0</v>
      </c>
      <c r="P57" s="84">
        <f t="shared" si="43"/>
        <v>5878.333333333333</v>
      </c>
      <c r="AD57" s="1"/>
      <c r="AE57" s="7"/>
    </row>
    <row r="58" spans="1:31" ht="15.75" customHeight="1" x14ac:dyDescent="0.2">
      <c r="J58" s="84" t="s">
        <v>209</v>
      </c>
      <c r="K58" s="4"/>
      <c r="L58" s="36">
        <f>F32</f>
        <v>5095</v>
      </c>
      <c r="M58" s="59">
        <f>M32</f>
        <v>0</v>
      </c>
      <c r="N58" s="59">
        <f>T32</f>
        <v>8775</v>
      </c>
      <c r="O58" s="59">
        <f>AA32</f>
        <v>0</v>
      </c>
      <c r="P58" s="84">
        <f t="shared" si="43"/>
        <v>6935</v>
      </c>
      <c r="AD58" s="1"/>
      <c r="AE58" s="7"/>
    </row>
    <row r="59" spans="1:31" ht="15.75" customHeight="1" x14ac:dyDescent="0.2">
      <c r="A59" s="14" t="s">
        <v>210</v>
      </c>
      <c r="B59" s="14">
        <v>25</v>
      </c>
      <c r="J59" s="84" t="s">
        <v>211</v>
      </c>
      <c r="K59" s="4"/>
      <c r="L59" s="36">
        <f>G32</f>
        <v>5750</v>
      </c>
      <c r="M59" s="59">
        <f>N32</f>
        <v>7850</v>
      </c>
      <c r="N59" s="59">
        <f>U32</f>
        <v>6485</v>
      </c>
      <c r="O59" s="59">
        <f>AB32</f>
        <v>7075</v>
      </c>
      <c r="P59" s="84">
        <f t="shared" si="43"/>
        <v>6790</v>
      </c>
      <c r="AD59" s="1"/>
      <c r="AE59" s="7"/>
    </row>
    <row r="60" spans="1:31" ht="15.75" customHeight="1" x14ac:dyDescent="0.2">
      <c r="J60" s="84" t="s">
        <v>212</v>
      </c>
      <c r="K60" s="4"/>
      <c r="L60" s="36">
        <f>H32</f>
        <v>9505</v>
      </c>
      <c r="M60" s="59">
        <f>O32</f>
        <v>8595</v>
      </c>
      <c r="N60" s="59">
        <f>V32</f>
        <v>3890</v>
      </c>
      <c r="O60" s="59">
        <f>AC32</f>
        <v>10275</v>
      </c>
      <c r="P60" s="84">
        <f t="shared" si="43"/>
        <v>8066.25</v>
      </c>
      <c r="AD60" s="1"/>
      <c r="AE60" s="7"/>
    </row>
    <row r="61" spans="1:31" ht="15.75" customHeight="1" x14ac:dyDescent="0.2">
      <c r="J61" s="84" t="s">
        <v>213</v>
      </c>
      <c r="K61" s="59">
        <f>B32</f>
        <v>9440</v>
      </c>
      <c r="L61" s="36">
        <f>I32</f>
        <v>9455</v>
      </c>
      <c r="M61" s="59">
        <f>P32</f>
        <v>7925</v>
      </c>
      <c r="N61" s="59">
        <f>W32</f>
        <v>7145</v>
      </c>
      <c r="O61" s="4"/>
      <c r="P61" s="84">
        <f t="shared" si="43"/>
        <v>8491.25</v>
      </c>
      <c r="AD61" s="1"/>
      <c r="AE61" s="7"/>
    </row>
    <row r="62" spans="1:31" ht="15.75" customHeight="1" x14ac:dyDescent="0.2">
      <c r="J62" s="84" t="s">
        <v>214</v>
      </c>
      <c r="K62" s="59">
        <f>C32</f>
        <v>15705</v>
      </c>
      <c r="L62" s="59">
        <f>J32</f>
        <v>19395</v>
      </c>
      <c r="M62" s="59">
        <f>Q32</f>
        <v>15155</v>
      </c>
      <c r="N62" s="59">
        <f>X32</f>
        <v>11125</v>
      </c>
      <c r="O62" s="4"/>
      <c r="P62" s="84">
        <f t="shared" si="43"/>
        <v>15345</v>
      </c>
      <c r="AD62" s="1"/>
      <c r="AE62" s="7"/>
    </row>
    <row r="63" spans="1:31" ht="15.75" customHeight="1" x14ac:dyDescent="0.2">
      <c r="Q63" s="14" t="s">
        <v>127</v>
      </c>
      <c r="AD63" s="1"/>
      <c r="AE63" s="7"/>
    </row>
    <row r="64" spans="1:31" ht="15.75" customHeight="1" x14ac:dyDescent="0.2">
      <c r="AD64" s="1"/>
      <c r="AE64" s="7"/>
    </row>
    <row r="65" spans="25:31" ht="14" x14ac:dyDescent="0.2">
      <c r="AD65" s="1"/>
      <c r="AE65" s="7"/>
    </row>
    <row r="66" spans="25:31" ht="14" x14ac:dyDescent="0.2">
      <c r="Y66" s="14" t="s">
        <v>206</v>
      </c>
      <c r="AD66" s="1"/>
      <c r="AE66" s="7"/>
    </row>
    <row r="67" spans="25:31" ht="14" x14ac:dyDescent="0.2">
      <c r="AD67" s="1"/>
      <c r="AE67" s="7"/>
    </row>
    <row r="68" spans="25:31" ht="14" x14ac:dyDescent="0.2">
      <c r="AD68" s="1"/>
      <c r="AE68" s="7"/>
    </row>
    <row r="69" spans="25:31" ht="14" x14ac:dyDescent="0.2">
      <c r="AD69" s="1"/>
      <c r="AE69" s="7"/>
    </row>
    <row r="70" spans="25:31" ht="14" x14ac:dyDescent="0.2">
      <c r="AD70" s="1"/>
      <c r="AE70" s="7"/>
    </row>
    <row r="71" spans="25:31" ht="14" x14ac:dyDescent="0.2">
      <c r="AD71" s="1"/>
      <c r="AE71" s="7"/>
    </row>
    <row r="72" spans="25:31" ht="14" x14ac:dyDescent="0.2">
      <c r="AD72" s="1"/>
      <c r="AE72" s="7"/>
    </row>
    <row r="73" spans="25:31" ht="14" x14ac:dyDescent="0.2">
      <c r="AD73" s="1"/>
      <c r="AE73" s="7"/>
    </row>
    <row r="74" spans="25:31" ht="14" x14ac:dyDescent="0.2">
      <c r="AD74" s="1"/>
      <c r="AE74" s="7"/>
    </row>
    <row r="75" spans="25:31" ht="14" x14ac:dyDescent="0.2">
      <c r="AD75" s="1"/>
      <c r="AE75" s="7"/>
    </row>
    <row r="76" spans="25:31" ht="14" x14ac:dyDescent="0.2">
      <c r="AD76" s="1"/>
      <c r="AE76" s="7"/>
    </row>
    <row r="77" spans="25:31" ht="14" x14ac:dyDescent="0.2">
      <c r="AD77" s="1"/>
      <c r="AE77" s="7"/>
    </row>
    <row r="78" spans="25:31" ht="14" x14ac:dyDescent="0.2">
      <c r="AD78" s="1"/>
      <c r="AE78" s="7"/>
    </row>
    <row r="79" spans="25:31" ht="14" x14ac:dyDescent="0.2">
      <c r="AD79" s="1"/>
      <c r="AE79" s="7"/>
    </row>
    <row r="80" spans="25:31" ht="14" x14ac:dyDescent="0.2">
      <c r="AD80" s="1"/>
      <c r="AE80" s="7"/>
    </row>
    <row r="81" spans="30:31" ht="14" x14ac:dyDescent="0.2">
      <c r="AD81" s="1"/>
      <c r="AE81" s="7"/>
    </row>
    <row r="82" spans="30:31" ht="14" x14ac:dyDescent="0.2">
      <c r="AD82" s="1"/>
      <c r="AE82" s="7"/>
    </row>
    <row r="83" spans="30:31" ht="14" x14ac:dyDescent="0.2">
      <c r="AD83" s="1"/>
      <c r="AE83" s="7"/>
    </row>
    <row r="84" spans="30:31" ht="14" x14ac:dyDescent="0.2">
      <c r="AD84" s="1"/>
      <c r="AE84" s="7"/>
    </row>
    <row r="85" spans="30:31" ht="14" x14ac:dyDescent="0.2">
      <c r="AD85" s="1"/>
      <c r="AE85" s="7"/>
    </row>
    <row r="86" spans="30:31" ht="14" x14ac:dyDescent="0.2">
      <c r="AD86" s="1"/>
      <c r="AE86" s="7"/>
    </row>
    <row r="87" spans="30:31" ht="14" x14ac:dyDescent="0.2">
      <c r="AD87" s="1"/>
      <c r="AE87" s="7"/>
    </row>
    <row r="88" spans="30:31" ht="14" x14ac:dyDescent="0.2">
      <c r="AD88" s="1"/>
      <c r="AE88" s="7"/>
    </row>
    <row r="89" spans="30:31" ht="14" x14ac:dyDescent="0.2">
      <c r="AD89" s="1"/>
      <c r="AE89" s="7"/>
    </row>
    <row r="90" spans="30:31" ht="14" x14ac:dyDescent="0.2">
      <c r="AD90" s="1"/>
      <c r="AE90" s="7"/>
    </row>
    <row r="91" spans="30:31" ht="14" x14ac:dyDescent="0.2">
      <c r="AD91" s="1"/>
      <c r="AE91" s="7"/>
    </row>
    <row r="92" spans="30:31" ht="14" x14ac:dyDescent="0.2">
      <c r="AD92" s="1"/>
      <c r="AE92" s="7"/>
    </row>
    <row r="93" spans="30:31" ht="14" x14ac:dyDescent="0.2">
      <c r="AD93" s="1"/>
      <c r="AE93" s="7"/>
    </row>
    <row r="94" spans="30:31" ht="14" x14ac:dyDescent="0.2">
      <c r="AD94" s="1"/>
      <c r="AE94" s="7"/>
    </row>
    <row r="95" spans="30:31" ht="14" x14ac:dyDescent="0.2">
      <c r="AD95" s="1"/>
      <c r="AE95" s="7"/>
    </row>
    <row r="96" spans="30:31" ht="14" x14ac:dyDescent="0.2">
      <c r="AD96" s="1"/>
      <c r="AE96" s="7"/>
    </row>
    <row r="97" spans="30:31" ht="14" x14ac:dyDescent="0.2">
      <c r="AD97" s="1"/>
      <c r="AE97" s="7"/>
    </row>
    <row r="98" spans="30:31" ht="14" x14ac:dyDescent="0.2">
      <c r="AD98" s="1"/>
      <c r="AE98" s="7"/>
    </row>
    <row r="99" spans="30:31" ht="14" x14ac:dyDescent="0.2">
      <c r="AD99" s="1"/>
      <c r="AE99" s="7"/>
    </row>
    <row r="100" spans="30:31" ht="14" x14ac:dyDescent="0.2">
      <c r="AD100" s="1"/>
      <c r="AE100" s="7"/>
    </row>
    <row r="101" spans="30:31" ht="14" x14ac:dyDescent="0.2">
      <c r="AD101" s="1"/>
      <c r="AE101" s="7"/>
    </row>
    <row r="102" spans="30:31" ht="14" x14ac:dyDescent="0.2">
      <c r="AD102" s="1"/>
      <c r="AE102" s="7"/>
    </row>
    <row r="103" spans="30:31" ht="14" x14ac:dyDescent="0.2">
      <c r="AD103" s="1"/>
      <c r="AE103" s="7"/>
    </row>
    <row r="104" spans="30:31" ht="14" x14ac:dyDescent="0.2">
      <c r="AD104" s="1"/>
      <c r="AE104" s="7"/>
    </row>
    <row r="105" spans="30:31" ht="14" x14ac:dyDescent="0.2">
      <c r="AD105" s="1"/>
      <c r="AE105" s="7"/>
    </row>
    <row r="106" spans="30:31" ht="14" x14ac:dyDescent="0.2">
      <c r="AD106" s="1"/>
      <c r="AE106" s="7"/>
    </row>
    <row r="107" spans="30:31" ht="14" x14ac:dyDescent="0.2">
      <c r="AD107" s="1"/>
      <c r="AE107" s="7"/>
    </row>
    <row r="108" spans="30:31" ht="14" x14ac:dyDescent="0.2">
      <c r="AD108" s="1"/>
      <c r="AE108" s="7"/>
    </row>
    <row r="109" spans="30:31" ht="14" x14ac:dyDescent="0.2">
      <c r="AD109" s="1"/>
      <c r="AE109" s="7"/>
    </row>
    <row r="110" spans="30:31" ht="14" x14ac:dyDescent="0.2">
      <c r="AD110" s="1"/>
      <c r="AE110" s="7"/>
    </row>
    <row r="111" spans="30:31" ht="14" x14ac:dyDescent="0.2">
      <c r="AD111" s="1"/>
      <c r="AE111" s="7"/>
    </row>
    <row r="112" spans="30:31" ht="14" x14ac:dyDescent="0.2">
      <c r="AD112" s="1"/>
      <c r="AE112" s="7"/>
    </row>
    <row r="113" spans="30:31" ht="14" x14ac:dyDescent="0.2">
      <c r="AD113" s="1"/>
      <c r="AE113" s="7"/>
    </row>
    <row r="114" spans="30:31" ht="14" x14ac:dyDescent="0.2">
      <c r="AD114" s="1"/>
      <c r="AE114" s="7"/>
    </row>
    <row r="115" spans="30:31" ht="14" x14ac:dyDescent="0.2">
      <c r="AD115" s="1"/>
      <c r="AE115" s="7"/>
    </row>
    <row r="116" spans="30:31" ht="14" x14ac:dyDescent="0.2">
      <c r="AD116" s="1"/>
      <c r="AE116" s="7"/>
    </row>
    <row r="117" spans="30:31" ht="14" x14ac:dyDescent="0.2">
      <c r="AD117" s="1"/>
      <c r="AE117" s="7"/>
    </row>
    <row r="118" spans="30:31" ht="14" x14ac:dyDescent="0.2">
      <c r="AD118" s="1"/>
      <c r="AE118" s="7"/>
    </row>
    <row r="119" spans="30:31" ht="14" x14ac:dyDescent="0.2">
      <c r="AD119" s="1"/>
      <c r="AE119" s="7"/>
    </row>
    <row r="120" spans="30:31" ht="14" x14ac:dyDescent="0.2">
      <c r="AD120" s="1"/>
      <c r="AE120" s="7"/>
    </row>
    <row r="121" spans="30:31" ht="14" x14ac:dyDescent="0.2">
      <c r="AD121" s="1"/>
      <c r="AE121" s="7"/>
    </row>
    <row r="122" spans="30:31" ht="14" x14ac:dyDescent="0.2">
      <c r="AD122" s="1"/>
      <c r="AE122" s="7"/>
    </row>
    <row r="123" spans="30:31" ht="14" x14ac:dyDescent="0.2">
      <c r="AD123" s="1"/>
      <c r="AE123" s="7"/>
    </row>
    <row r="124" spans="30:31" ht="14" x14ac:dyDescent="0.2">
      <c r="AD124" s="1"/>
      <c r="AE124" s="7"/>
    </row>
    <row r="125" spans="30:31" ht="14" x14ac:dyDescent="0.2">
      <c r="AD125" s="1"/>
      <c r="AE125" s="7"/>
    </row>
    <row r="126" spans="30:31" ht="14" x14ac:dyDescent="0.2">
      <c r="AD126" s="1"/>
      <c r="AE126" s="7"/>
    </row>
    <row r="127" spans="30:31" ht="14" x14ac:dyDescent="0.2">
      <c r="AD127" s="1"/>
      <c r="AE127" s="7"/>
    </row>
    <row r="128" spans="30:31" ht="14" x14ac:dyDescent="0.2">
      <c r="AD128" s="1"/>
      <c r="AE128" s="7"/>
    </row>
    <row r="129" spans="30:31" ht="14" x14ac:dyDescent="0.2">
      <c r="AD129" s="1"/>
      <c r="AE129" s="7"/>
    </row>
    <row r="130" spans="30:31" ht="14" x14ac:dyDescent="0.2">
      <c r="AD130" s="1"/>
      <c r="AE130" s="7"/>
    </row>
    <row r="131" spans="30:31" ht="14" x14ac:dyDescent="0.2">
      <c r="AD131" s="1"/>
      <c r="AE131" s="7"/>
    </row>
    <row r="132" spans="30:31" ht="14" x14ac:dyDescent="0.2">
      <c r="AD132" s="1"/>
      <c r="AE132" s="7"/>
    </row>
    <row r="133" spans="30:31" ht="14" x14ac:dyDescent="0.2">
      <c r="AD133" s="1"/>
      <c r="AE133" s="7"/>
    </row>
    <row r="134" spans="30:31" ht="14" x14ac:dyDescent="0.2">
      <c r="AD134" s="1"/>
      <c r="AE134" s="7"/>
    </row>
    <row r="135" spans="30:31" ht="14" x14ac:dyDescent="0.2">
      <c r="AD135" s="1"/>
      <c r="AE135" s="7"/>
    </row>
    <row r="136" spans="30:31" ht="14" x14ac:dyDescent="0.2">
      <c r="AD136" s="1"/>
      <c r="AE136" s="7"/>
    </row>
    <row r="137" spans="30:31" ht="14" x14ac:dyDescent="0.2">
      <c r="AD137" s="1"/>
      <c r="AE137" s="7"/>
    </row>
    <row r="138" spans="30:31" ht="14" x14ac:dyDescent="0.2">
      <c r="AD138" s="1"/>
      <c r="AE138" s="7"/>
    </row>
    <row r="139" spans="30:31" ht="14" x14ac:dyDescent="0.2">
      <c r="AD139" s="1"/>
      <c r="AE139" s="7"/>
    </row>
    <row r="140" spans="30:31" ht="14" x14ac:dyDescent="0.2">
      <c r="AD140" s="1"/>
      <c r="AE140" s="7"/>
    </row>
    <row r="141" spans="30:31" ht="14" x14ac:dyDescent="0.2">
      <c r="AD141" s="1"/>
      <c r="AE141" s="7"/>
    </row>
    <row r="142" spans="30:31" ht="14" x14ac:dyDescent="0.2">
      <c r="AD142" s="1"/>
      <c r="AE142" s="7"/>
    </row>
    <row r="143" spans="30:31" ht="14" x14ac:dyDescent="0.2">
      <c r="AD143" s="1"/>
      <c r="AE143" s="7"/>
    </row>
    <row r="144" spans="30:31" ht="14" x14ac:dyDescent="0.2">
      <c r="AD144" s="1"/>
      <c r="AE144" s="7"/>
    </row>
    <row r="145" spans="30:31" ht="14" x14ac:dyDescent="0.2">
      <c r="AD145" s="1"/>
      <c r="AE145" s="7"/>
    </row>
    <row r="146" spans="30:31" ht="14" x14ac:dyDescent="0.2">
      <c r="AD146" s="1"/>
      <c r="AE146" s="7"/>
    </row>
    <row r="147" spans="30:31" ht="14" x14ac:dyDescent="0.2">
      <c r="AD147" s="1"/>
      <c r="AE147" s="7"/>
    </row>
    <row r="148" spans="30:31" ht="14" x14ac:dyDescent="0.2">
      <c r="AD148" s="1"/>
      <c r="AE148" s="7"/>
    </row>
    <row r="149" spans="30:31" ht="14" x14ac:dyDescent="0.2">
      <c r="AD149" s="1"/>
      <c r="AE149" s="7"/>
    </row>
    <row r="150" spans="30:31" ht="14" x14ac:dyDescent="0.2">
      <c r="AD150" s="1"/>
      <c r="AE150" s="7"/>
    </row>
    <row r="151" spans="30:31" ht="14" x14ac:dyDescent="0.2">
      <c r="AD151" s="1"/>
      <c r="AE151" s="7"/>
    </row>
    <row r="152" spans="30:31" ht="14" x14ac:dyDescent="0.2">
      <c r="AD152" s="1"/>
      <c r="AE152" s="7"/>
    </row>
    <row r="153" spans="30:31" ht="14" x14ac:dyDescent="0.2">
      <c r="AD153" s="1"/>
      <c r="AE153" s="7"/>
    </row>
    <row r="154" spans="30:31" ht="14" x14ac:dyDescent="0.2">
      <c r="AD154" s="1"/>
      <c r="AE154" s="7"/>
    </row>
    <row r="155" spans="30:31" ht="14" x14ac:dyDescent="0.2">
      <c r="AD155" s="1"/>
      <c r="AE155" s="7"/>
    </row>
    <row r="156" spans="30:31" ht="14" x14ac:dyDescent="0.2">
      <c r="AD156" s="1"/>
      <c r="AE156" s="7"/>
    </row>
    <row r="157" spans="30:31" ht="14" x14ac:dyDescent="0.2">
      <c r="AD157" s="1"/>
      <c r="AE157" s="7"/>
    </row>
    <row r="158" spans="30:31" ht="14" x14ac:dyDescent="0.2">
      <c r="AD158" s="1"/>
      <c r="AE158" s="7"/>
    </row>
    <row r="159" spans="30:31" ht="14" x14ac:dyDescent="0.2">
      <c r="AD159" s="1"/>
      <c r="AE159" s="7"/>
    </row>
    <row r="160" spans="30:31" ht="14" x14ac:dyDescent="0.2">
      <c r="AD160" s="1"/>
      <c r="AE160" s="7"/>
    </row>
    <row r="161" spans="30:31" ht="14" x14ac:dyDescent="0.2">
      <c r="AD161" s="1"/>
      <c r="AE161" s="7"/>
    </row>
    <row r="162" spans="30:31" ht="14" x14ac:dyDescent="0.2">
      <c r="AD162" s="1"/>
      <c r="AE162" s="7"/>
    </row>
    <row r="163" spans="30:31" ht="14" x14ac:dyDescent="0.2">
      <c r="AD163" s="1"/>
      <c r="AE163" s="7"/>
    </row>
    <row r="164" spans="30:31" ht="14" x14ac:dyDescent="0.2">
      <c r="AD164" s="1"/>
      <c r="AE164" s="7"/>
    </row>
    <row r="165" spans="30:31" ht="14" x14ac:dyDescent="0.2">
      <c r="AD165" s="1"/>
      <c r="AE165" s="7"/>
    </row>
    <row r="166" spans="30:31" ht="14" x14ac:dyDescent="0.2">
      <c r="AD166" s="1"/>
      <c r="AE166" s="7"/>
    </row>
    <row r="167" spans="30:31" ht="14" x14ac:dyDescent="0.2">
      <c r="AD167" s="1"/>
      <c r="AE167" s="7"/>
    </row>
    <row r="168" spans="30:31" ht="14" x14ac:dyDescent="0.2">
      <c r="AD168" s="1"/>
      <c r="AE168" s="7"/>
    </row>
    <row r="169" spans="30:31" ht="14" x14ac:dyDescent="0.2">
      <c r="AD169" s="1"/>
      <c r="AE169" s="7"/>
    </row>
    <row r="170" spans="30:31" ht="14" x14ac:dyDescent="0.2">
      <c r="AD170" s="1"/>
      <c r="AE170" s="7"/>
    </row>
    <row r="171" spans="30:31" ht="14" x14ac:dyDescent="0.2">
      <c r="AD171" s="1"/>
      <c r="AE171" s="7"/>
    </row>
    <row r="172" spans="30:31" ht="14" x14ac:dyDescent="0.2">
      <c r="AD172" s="1"/>
      <c r="AE172" s="7"/>
    </row>
    <row r="173" spans="30:31" ht="14" x14ac:dyDescent="0.2">
      <c r="AD173" s="1"/>
      <c r="AE173" s="7"/>
    </row>
    <row r="174" spans="30:31" ht="14" x14ac:dyDescent="0.2">
      <c r="AD174" s="1"/>
      <c r="AE174" s="7"/>
    </row>
    <row r="175" spans="30:31" ht="14" x14ac:dyDescent="0.2">
      <c r="AD175" s="1"/>
      <c r="AE175" s="7"/>
    </row>
    <row r="176" spans="30:31" ht="14" x14ac:dyDescent="0.2">
      <c r="AD176" s="1"/>
      <c r="AE176" s="7"/>
    </row>
    <row r="177" spans="30:31" ht="14" x14ac:dyDescent="0.2">
      <c r="AD177" s="1"/>
      <c r="AE177" s="7"/>
    </row>
    <row r="178" spans="30:31" ht="14" x14ac:dyDescent="0.2">
      <c r="AD178" s="1"/>
      <c r="AE178" s="7"/>
    </row>
    <row r="179" spans="30:31" ht="14" x14ac:dyDescent="0.2">
      <c r="AD179" s="1"/>
      <c r="AE179" s="7"/>
    </row>
    <row r="180" spans="30:31" ht="14" x14ac:dyDescent="0.2">
      <c r="AD180" s="1"/>
      <c r="AE180" s="7"/>
    </row>
    <row r="181" spans="30:31" ht="14" x14ac:dyDescent="0.2">
      <c r="AD181" s="1"/>
      <c r="AE181" s="7"/>
    </row>
    <row r="182" spans="30:31" ht="14" x14ac:dyDescent="0.2">
      <c r="AD182" s="1"/>
      <c r="AE182" s="7"/>
    </row>
    <row r="183" spans="30:31" ht="14" x14ac:dyDescent="0.2">
      <c r="AD183" s="1"/>
      <c r="AE183" s="7"/>
    </row>
    <row r="184" spans="30:31" ht="14" x14ac:dyDescent="0.2">
      <c r="AD184" s="1"/>
      <c r="AE184" s="7"/>
    </row>
    <row r="185" spans="30:31" ht="14" x14ac:dyDescent="0.2">
      <c r="AD185" s="1"/>
      <c r="AE185" s="7"/>
    </row>
    <row r="186" spans="30:31" ht="14" x14ac:dyDescent="0.2">
      <c r="AD186" s="1"/>
      <c r="AE186" s="7"/>
    </row>
    <row r="187" spans="30:31" ht="14" x14ac:dyDescent="0.2">
      <c r="AD187" s="1"/>
      <c r="AE187" s="7"/>
    </row>
    <row r="188" spans="30:31" ht="14" x14ac:dyDescent="0.2">
      <c r="AD188" s="1"/>
      <c r="AE188" s="7"/>
    </row>
    <row r="189" spans="30:31" ht="14" x14ac:dyDescent="0.2">
      <c r="AD189" s="1"/>
      <c r="AE189" s="7"/>
    </row>
    <row r="190" spans="30:31" ht="14" x14ac:dyDescent="0.2">
      <c r="AD190" s="1"/>
      <c r="AE190" s="7"/>
    </row>
    <row r="191" spans="30:31" ht="14" x14ac:dyDescent="0.2">
      <c r="AD191" s="1"/>
      <c r="AE191" s="7"/>
    </row>
    <row r="192" spans="30:31" ht="14" x14ac:dyDescent="0.2">
      <c r="AD192" s="1"/>
      <c r="AE192" s="7"/>
    </row>
    <row r="193" spans="30:31" ht="14" x14ac:dyDescent="0.2">
      <c r="AD193" s="1"/>
      <c r="AE193" s="7"/>
    </row>
    <row r="194" spans="30:31" ht="14" x14ac:dyDescent="0.2">
      <c r="AD194" s="1"/>
      <c r="AE194" s="7"/>
    </row>
    <row r="195" spans="30:31" ht="14" x14ac:dyDescent="0.2">
      <c r="AD195" s="1"/>
      <c r="AE195" s="7"/>
    </row>
    <row r="196" spans="30:31" ht="14" x14ac:dyDescent="0.2">
      <c r="AD196" s="1"/>
      <c r="AE196" s="7"/>
    </row>
    <row r="197" spans="30:31" ht="14" x14ac:dyDescent="0.2">
      <c r="AD197" s="1"/>
      <c r="AE197" s="7"/>
    </row>
    <row r="198" spans="30:31" ht="14" x14ac:dyDescent="0.2">
      <c r="AD198" s="1"/>
      <c r="AE198" s="7"/>
    </row>
    <row r="199" spans="30:31" ht="14" x14ac:dyDescent="0.2">
      <c r="AD199" s="1"/>
      <c r="AE199" s="7"/>
    </row>
    <row r="200" spans="30:31" ht="14" x14ac:dyDescent="0.2">
      <c r="AD200" s="1"/>
      <c r="AE200" s="7"/>
    </row>
    <row r="201" spans="30:31" ht="14" x14ac:dyDescent="0.2">
      <c r="AD201" s="1"/>
      <c r="AE201" s="7"/>
    </row>
    <row r="202" spans="30:31" ht="14" x14ac:dyDescent="0.2">
      <c r="AD202" s="1"/>
      <c r="AE202" s="7"/>
    </row>
    <row r="203" spans="30:31" ht="14" x14ac:dyDescent="0.2">
      <c r="AD203" s="1"/>
      <c r="AE203" s="7"/>
    </row>
    <row r="204" spans="30:31" ht="14" x14ac:dyDescent="0.2">
      <c r="AD204" s="1"/>
      <c r="AE204" s="7"/>
    </row>
    <row r="205" spans="30:31" ht="14" x14ac:dyDescent="0.2">
      <c r="AD205" s="1"/>
      <c r="AE205" s="7"/>
    </row>
    <row r="206" spans="30:31" ht="14" x14ac:dyDescent="0.2">
      <c r="AD206" s="1"/>
      <c r="AE206" s="7"/>
    </row>
    <row r="207" spans="30:31" ht="14" x14ac:dyDescent="0.2">
      <c r="AD207" s="1"/>
      <c r="AE207" s="7"/>
    </row>
    <row r="208" spans="30:31" ht="14" x14ac:dyDescent="0.2">
      <c r="AD208" s="1"/>
      <c r="AE208" s="7"/>
    </row>
    <row r="209" spans="30:31" ht="14" x14ac:dyDescent="0.2">
      <c r="AD209" s="1"/>
      <c r="AE209" s="7"/>
    </row>
    <row r="210" spans="30:31" ht="14" x14ac:dyDescent="0.2">
      <c r="AD210" s="1"/>
      <c r="AE210" s="7"/>
    </row>
    <row r="211" spans="30:31" ht="14" x14ac:dyDescent="0.2">
      <c r="AD211" s="1"/>
      <c r="AE211" s="7"/>
    </row>
    <row r="212" spans="30:31" ht="14" x14ac:dyDescent="0.2">
      <c r="AD212" s="1"/>
      <c r="AE212" s="7"/>
    </row>
    <row r="213" spans="30:31" ht="14" x14ac:dyDescent="0.2">
      <c r="AD213" s="1"/>
      <c r="AE213" s="7"/>
    </row>
    <row r="214" spans="30:31" ht="14" x14ac:dyDescent="0.2">
      <c r="AD214" s="1"/>
      <c r="AE214" s="7"/>
    </row>
    <row r="215" spans="30:31" ht="14" x14ac:dyDescent="0.2">
      <c r="AD215" s="1"/>
      <c r="AE215" s="7"/>
    </row>
    <row r="216" spans="30:31" ht="14" x14ac:dyDescent="0.2">
      <c r="AD216" s="1"/>
      <c r="AE216" s="7"/>
    </row>
    <row r="217" spans="30:31" ht="14" x14ac:dyDescent="0.2">
      <c r="AD217" s="1"/>
      <c r="AE217" s="7"/>
    </row>
    <row r="218" spans="30:31" ht="14" x14ac:dyDescent="0.2">
      <c r="AD218" s="1"/>
      <c r="AE218" s="7"/>
    </row>
    <row r="219" spans="30:31" ht="14" x14ac:dyDescent="0.2">
      <c r="AD219" s="1"/>
      <c r="AE219" s="7"/>
    </row>
    <row r="220" spans="30:31" ht="14" x14ac:dyDescent="0.2">
      <c r="AD220" s="1"/>
      <c r="AE220" s="7"/>
    </row>
    <row r="221" spans="30:31" ht="14" x14ac:dyDescent="0.2">
      <c r="AD221" s="1"/>
      <c r="AE221" s="7"/>
    </row>
    <row r="222" spans="30:31" ht="14" x14ac:dyDescent="0.2">
      <c r="AD222" s="1"/>
      <c r="AE222" s="7"/>
    </row>
    <row r="223" spans="30:31" ht="14" x14ac:dyDescent="0.2">
      <c r="AD223" s="1"/>
      <c r="AE223" s="7"/>
    </row>
    <row r="224" spans="30:31" ht="14" x14ac:dyDescent="0.2">
      <c r="AD224" s="1"/>
      <c r="AE224" s="7"/>
    </row>
    <row r="225" spans="30:31" ht="14" x14ac:dyDescent="0.2">
      <c r="AD225" s="1"/>
      <c r="AE225" s="7"/>
    </row>
    <row r="226" spans="30:31" ht="14" x14ac:dyDescent="0.2">
      <c r="AD226" s="1"/>
      <c r="AE226" s="7"/>
    </row>
    <row r="227" spans="30:31" ht="14" x14ac:dyDescent="0.2">
      <c r="AD227" s="1"/>
      <c r="AE227" s="7"/>
    </row>
    <row r="228" spans="30:31" ht="14" x14ac:dyDescent="0.2">
      <c r="AD228" s="1"/>
      <c r="AE228" s="7"/>
    </row>
    <row r="229" spans="30:31" ht="14" x14ac:dyDescent="0.2">
      <c r="AD229" s="1"/>
      <c r="AE229" s="7"/>
    </row>
    <row r="230" spans="30:31" ht="14" x14ac:dyDescent="0.2">
      <c r="AD230" s="1"/>
      <c r="AE230" s="7"/>
    </row>
    <row r="231" spans="30:31" ht="14" x14ac:dyDescent="0.2">
      <c r="AD231" s="1"/>
      <c r="AE231" s="7"/>
    </row>
    <row r="232" spans="30:31" ht="14" x14ac:dyDescent="0.2">
      <c r="AD232" s="1"/>
      <c r="AE232" s="7"/>
    </row>
    <row r="233" spans="30:31" ht="14" x14ac:dyDescent="0.2">
      <c r="AD233" s="1"/>
      <c r="AE233" s="7"/>
    </row>
    <row r="234" spans="30:31" ht="14" x14ac:dyDescent="0.2">
      <c r="AD234" s="1"/>
      <c r="AE234" s="7"/>
    </row>
    <row r="235" spans="30:31" ht="14" x14ac:dyDescent="0.2">
      <c r="AD235" s="1"/>
      <c r="AE235" s="7"/>
    </row>
    <row r="236" spans="30:31" ht="14" x14ac:dyDescent="0.2">
      <c r="AD236" s="1"/>
      <c r="AE236" s="7"/>
    </row>
    <row r="237" spans="30:31" ht="14" x14ac:dyDescent="0.2">
      <c r="AD237" s="1"/>
      <c r="AE237" s="7"/>
    </row>
    <row r="238" spans="30:31" ht="14" x14ac:dyDescent="0.2">
      <c r="AD238" s="1"/>
      <c r="AE238" s="7"/>
    </row>
    <row r="239" spans="30:31" ht="14" x14ac:dyDescent="0.2">
      <c r="AD239" s="1"/>
      <c r="AE239" s="7"/>
    </row>
    <row r="240" spans="30:31" ht="14" x14ac:dyDescent="0.2">
      <c r="AD240" s="1"/>
      <c r="AE240" s="7"/>
    </row>
    <row r="241" spans="30:31" ht="14" x14ac:dyDescent="0.2">
      <c r="AD241" s="1"/>
      <c r="AE241" s="7"/>
    </row>
    <row r="242" spans="30:31" ht="14" x14ac:dyDescent="0.2">
      <c r="AD242" s="1"/>
      <c r="AE242" s="7"/>
    </row>
    <row r="243" spans="30:31" ht="14" x14ac:dyDescent="0.2">
      <c r="AD243" s="1"/>
      <c r="AE243" s="7"/>
    </row>
    <row r="244" spans="30:31" ht="14" x14ac:dyDescent="0.2">
      <c r="AD244" s="1"/>
      <c r="AE244" s="7"/>
    </row>
    <row r="245" spans="30:31" ht="14" x14ac:dyDescent="0.2">
      <c r="AD245" s="1"/>
      <c r="AE245" s="7"/>
    </row>
    <row r="246" spans="30:31" ht="14" x14ac:dyDescent="0.2">
      <c r="AD246" s="1"/>
      <c r="AE246" s="7"/>
    </row>
    <row r="247" spans="30:31" ht="14" x14ac:dyDescent="0.2">
      <c r="AD247" s="1"/>
      <c r="AE247" s="7"/>
    </row>
    <row r="248" spans="30:31" ht="14" x14ac:dyDescent="0.2">
      <c r="AD248" s="1"/>
      <c r="AE248" s="7"/>
    </row>
    <row r="249" spans="30:31" ht="14" x14ac:dyDescent="0.2">
      <c r="AD249" s="1"/>
      <c r="AE249" s="7"/>
    </row>
    <row r="250" spans="30:31" ht="14" x14ac:dyDescent="0.2">
      <c r="AD250" s="1"/>
      <c r="AE250" s="7"/>
    </row>
    <row r="251" spans="30:31" ht="14" x14ac:dyDescent="0.2">
      <c r="AD251" s="1"/>
      <c r="AE251" s="7"/>
    </row>
    <row r="252" spans="30:31" ht="14" x14ac:dyDescent="0.2">
      <c r="AD252" s="1"/>
      <c r="AE252" s="7"/>
    </row>
    <row r="253" spans="30:31" ht="14" x14ac:dyDescent="0.2">
      <c r="AD253" s="1"/>
      <c r="AE253" s="7"/>
    </row>
    <row r="254" spans="30:31" ht="14" x14ac:dyDescent="0.2">
      <c r="AD254" s="1"/>
      <c r="AE254" s="7"/>
    </row>
    <row r="255" spans="30:31" ht="14" x14ac:dyDescent="0.2">
      <c r="AD255" s="1"/>
      <c r="AE255" s="7"/>
    </row>
    <row r="256" spans="30:31" ht="14" x14ac:dyDescent="0.2">
      <c r="AD256" s="1"/>
      <c r="AE256" s="7"/>
    </row>
    <row r="257" spans="30:31" ht="14" x14ac:dyDescent="0.2">
      <c r="AD257" s="1"/>
      <c r="AE257" s="7"/>
    </row>
    <row r="258" spans="30:31" ht="14" x14ac:dyDescent="0.2">
      <c r="AD258" s="1"/>
      <c r="AE258" s="7"/>
    </row>
    <row r="259" spans="30:31" ht="14" x14ac:dyDescent="0.2">
      <c r="AD259" s="1"/>
      <c r="AE259" s="7"/>
    </row>
    <row r="260" spans="30:31" ht="14" x14ac:dyDescent="0.2">
      <c r="AD260" s="1"/>
      <c r="AE260" s="7"/>
    </row>
    <row r="261" spans="30:31" ht="14" x14ac:dyDescent="0.2">
      <c r="AD261" s="1"/>
      <c r="AE261" s="7"/>
    </row>
    <row r="262" spans="30:31" ht="14" x14ac:dyDescent="0.2">
      <c r="AD262" s="1"/>
      <c r="AE262" s="7"/>
    </row>
    <row r="263" spans="30:31" ht="14" x14ac:dyDescent="0.2">
      <c r="AD263" s="1"/>
      <c r="AE263" s="7"/>
    </row>
    <row r="264" spans="30:31" ht="14" x14ac:dyDescent="0.2">
      <c r="AD264" s="1"/>
      <c r="AE264" s="7"/>
    </row>
    <row r="265" spans="30:31" ht="14" x14ac:dyDescent="0.2">
      <c r="AD265" s="1"/>
      <c r="AE265" s="7"/>
    </row>
    <row r="266" spans="30:31" ht="14" x14ac:dyDescent="0.2">
      <c r="AD266" s="1"/>
      <c r="AE266" s="7"/>
    </row>
    <row r="267" spans="30:31" ht="14" x14ac:dyDescent="0.2">
      <c r="AD267" s="1"/>
      <c r="AE267" s="7"/>
    </row>
    <row r="268" spans="30:31" ht="14" x14ac:dyDescent="0.2">
      <c r="AD268" s="1"/>
      <c r="AE268" s="7"/>
    </row>
    <row r="269" spans="30:31" ht="14" x14ac:dyDescent="0.2">
      <c r="AD269" s="1"/>
      <c r="AE269" s="7"/>
    </row>
    <row r="270" spans="30:31" ht="14" x14ac:dyDescent="0.2">
      <c r="AD270" s="1"/>
      <c r="AE270" s="7"/>
    </row>
    <row r="271" spans="30:31" ht="14" x14ac:dyDescent="0.2">
      <c r="AD271" s="1"/>
      <c r="AE271" s="7"/>
    </row>
    <row r="272" spans="30:31" ht="14" x14ac:dyDescent="0.2">
      <c r="AD272" s="1"/>
      <c r="AE272" s="7"/>
    </row>
    <row r="273" spans="30:31" ht="14" x14ac:dyDescent="0.2">
      <c r="AD273" s="1"/>
      <c r="AE273" s="7"/>
    </row>
    <row r="274" spans="30:31" ht="14" x14ac:dyDescent="0.2">
      <c r="AD274" s="1"/>
      <c r="AE274" s="7"/>
    </row>
    <row r="275" spans="30:31" ht="14" x14ac:dyDescent="0.2">
      <c r="AD275" s="1"/>
      <c r="AE275" s="7"/>
    </row>
    <row r="276" spans="30:31" ht="14" x14ac:dyDescent="0.2">
      <c r="AD276" s="1"/>
      <c r="AE276" s="7"/>
    </row>
    <row r="277" spans="30:31" ht="14" x14ac:dyDescent="0.2">
      <c r="AD277" s="1"/>
      <c r="AE277" s="7"/>
    </row>
    <row r="278" spans="30:31" ht="14" x14ac:dyDescent="0.2">
      <c r="AD278" s="1"/>
      <c r="AE278" s="7"/>
    </row>
    <row r="279" spans="30:31" ht="14" x14ac:dyDescent="0.2">
      <c r="AD279" s="1"/>
      <c r="AE279" s="7"/>
    </row>
    <row r="280" spans="30:31" ht="14" x14ac:dyDescent="0.2">
      <c r="AD280" s="1"/>
      <c r="AE280" s="7"/>
    </row>
    <row r="281" spans="30:31" ht="14" x14ac:dyDescent="0.2">
      <c r="AD281" s="1"/>
      <c r="AE281" s="7"/>
    </row>
    <row r="282" spans="30:31" ht="14" x14ac:dyDescent="0.2">
      <c r="AD282" s="1"/>
      <c r="AE282" s="7"/>
    </row>
    <row r="283" spans="30:31" ht="14" x14ac:dyDescent="0.2">
      <c r="AD283" s="1"/>
      <c r="AE283" s="7"/>
    </row>
    <row r="284" spans="30:31" ht="14" x14ac:dyDescent="0.2">
      <c r="AD284" s="1"/>
      <c r="AE284" s="7"/>
    </row>
    <row r="285" spans="30:31" ht="14" x14ac:dyDescent="0.2">
      <c r="AD285" s="1"/>
      <c r="AE285" s="7"/>
    </row>
    <row r="286" spans="30:31" ht="14" x14ac:dyDescent="0.2">
      <c r="AD286" s="1"/>
      <c r="AE286" s="7"/>
    </row>
    <row r="287" spans="30:31" ht="14" x14ac:dyDescent="0.2">
      <c r="AD287" s="1"/>
      <c r="AE287" s="7"/>
    </row>
    <row r="288" spans="30:31" ht="14" x14ac:dyDescent="0.2">
      <c r="AD288" s="1"/>
      <c r="AE288" s="7"/>
    </row>
    <row r="289" spans="30:31" ht="14" x14ac:dyDescent="0.2">
      <c r="AD289" s="1"/>
      <c r="AE289" s="7"/>
    </row>
    <row r="290" spans="30:31" ht="14" x14ac:dyDescent="0.2">
      <c r="AD290" s="1"/>
      <c r="AE290" s="7"/>
    </row>
    <row r="291" spans="30:31" ht="14" x14ac:dyDescent="0.2">
      <c r="AD291" s="1"/>
      <c r="AE291" s="7"/>
    </row>
    <row r="292" spans="30:31" ht="14" x14ac:dyDescent="0.2">
      <c r="AD292" s="1"/>
      <c r="AE292" s="7"/>
    </row>
    <row r="293" spans="30:31" ht="14" x14ac:dyDescent="0.2">
      <c r="AD293" s="1"/>
      <c r="AE293" s="7"/>
    </row>
    <row r="294" spans="30:31" ht="14" x14ac:dyDescent="0.2">
      <c r="AD294" s="1"/>
      <c r="AE294" s="7"/>
    </row>
    <row r="295" spans="30:31" ht="14" x14ac:dyDescent="0.2">
      <c r="AD295" s="1"/>
      <c r="AE295" s="7"/>
    </row>
    <row r="296" spans="30:31" ht="14" x14ac:dyDescent="0.2">
      <c r="AD296" s="1"/>
      <c r="AE296" s="7"/>
    </row>
    <row r="297" spans="30:31" ht="14" x14ac:dyDescent="0.2">
      <c r="AD297" s="1"/>
      <c r="AE297" s="7"/>
    </row>
    <row r="298" spans="30:31" ht="14" x14ac:dyDescent="0.2">
      <c r="AD298" s="1"/>
      <c r="AE298" s="7"/>
    </row>
    <row r="299" spans="30:31" ht="14" x14ac:dyDescent="0.2">
      <c r="AD299" s="1"/>
      <c r="AE299" s="7"/>
    </row>
    <row r="300" spans="30:31" ht="14" x14ac:dyDescent="0.2">
      <c r="AD300" s="1"/>
      <c r="AE300" s="7"/>
    </row>
    <row r="301" spans="30:31" ht="14" x14ac:dyDescent="0.2">
      <c r="AD301" s="1"/>
      <c r="AE301" s="7"/>
    </row>
    <row r="302" spans="30:31" ht="14" x14ac:dyDescent="0.2">
      <c r="AD302" s="1"/>
      <c r="AE302" s="7"/>
    </row>
    <row r="303" spans="30:31" ht="14" x14ac:dyDescent="0.2">
      <c r="AD303" s="1"/>
      <c r="AE303" s="7"/>
    </row>
    <row r="304" spans="30:31" ht="14" x14ac:dyDescent="0.2">
      <c r="AD304" s="1"/>
      <c r="AE304" s="7"/>
    </row>
    <row r="305" spans="30:31" ht="14" x14ac:dyDescent="0.2">
      <c r="AD305" s="1"/>
      <c r="AE305" s="7"/>
    </row>
    <row r="306" spans="30:31" ht="14" x14ac:dyDescent="0.2">
      <c r="AD306" s="1"/>
      <c r="AE306" s="7"/>
    </row>
    <row r="307" spans="30:31" ht="14" x14ac:dyDescent="0.2">
      <c r="AD307" s="1"/>
      <c r="AE307" s="7"/>
    </row>
    <row r="308" spans="30:31" ht="14" x14ac:dyDescent="0.2">
      <c r="AD308" s="1"/>
      <c r="AE308" s="7"/>
    </row>
    <row r="309" spans="30:31" ht="14" x14ac:dyDescent="0.2">
      <c r="AD309" s="1"/>
      <c r="AE309" s="7"/>
    </row>
    <row r="310" spans="30:31" ht="14" x14ac:dyDescent="0.2">
      <c r="AD310" s="1"/>
      <c r="AE310" s="7"/>
    </row>
    <row r="311" spans="30:31" ht="14" x14ac:dyDescent="0.2">
      <c r="AD311" s="1"/>
      <c r="AE311" s="7"/>
    </row>
    <row r="312" spans="30:31" ht="14" x14ac:dyDescent="0.2">
      <c r="AD312" s="1"/>
      <c r="AE312" s="7"/>
    </row>
    <row r="313" spans="30:31" ht="14" x14ac:dyDescent="0.2">
      <c r="AD313" s="1"/>
      <c r="AE313" s="7"/>
    </row>
    <row r="314" spans="30:31" ht="14" x14ac:dyDescent="0.2">
      <c r="AD314" s="1"/>
      <c r="AE314" s="7"/>
    </row>
    <row r="315" spans="30:31" ht="14" x14ac:dyDescent="0.2">
      <c r="AD315" s="1"/>
      <c r="AE315" s="7"/>
    </row>
    <row r="316" spans="30:31" ht="14" x14ac:dyDescent="0.2">
      <c r="AD316" s="1"/>
      <c r="AE316" s="7"/>
    </row>
    <row r="317" spans="30:31" ht="14" x14ac:dyDescent="0.2">
      <c r="AD317" s="1"/>
      <c r="AE317" s="7"/>
    </row>
    <row r="318" spans="30:31" ht="14" x14ac:dyDescent="0.2">
      <c r="AD318" s="1"/>
      <c r="AE318" s="7"/>
    </row>
    <row r="319" spans="30:31" ht="14" x14ac:dyDescent="0.2">
      <c r="AD319" s="1"/>
      <c r="AE319" s="7"/>
    </row>
    <row r="320" spans="30:31" ht="14" x14ac:dyDescent="0.2">
      <c r="AD320" s="1"/>
      <c r="AE320" s="7"/>
    </row>
    <row r="321" spans="30:31" ht="14" x14ac:dyDescent="0.2">
      <c r="AD321" s="1"/>
      <c r="AE321" s="7"/>
    </row>
    <row r="322" spans="30:31" ht="14" x14ac:dyDescent="0.2">
      <c r="AD322" s="1"/>
      <c r="AE322" s="7"/>
    </row>
    <row r="323" spans="30:31" ht="14" x14ac:dyDescent="0.2">
      <c r="AD323" s="1"/>
      <c r="AE323" s="7"/>
    </row>
    <row r="324" spans="30:31" ht="14" x14ac:dyDescent="0.2">
      <c r="AD324" s="1"/>
      <c r="AE324" s="7"/>
    </row>
    <row r="325" spans="30:31" ht="14" x14ac:dyDescent="0.2">
      <c r="AD325" s="1"/>
      <c r="AE325" s="7"/>
    </row>
    <row r="326" spans="30:31" ht="14" x14ac:dyDescent="0.2">
      <c r="AD326" s="1"/>
      <c r="AE326" s="7"/>
    </row>
    <row r="327" spans="30:31" ht="14" x14ac:dyDescent="0.2">
      <c r="AD327" s="1"/>
      <c r="AE327" s="7"/>
    </row>
    <row r="328" spans="30:31" ht="14" x14ac:dyDescent="0.2">
      <c r="AD328" s="1"/>
      <c r="AE328" s="7"/>
    </row>
    <row r="329" spans="30:31" ht="14" x14ac:dyDescent="0.2">
      <c r="AD329" s="1"/>
      <c r="AE329" s="7"/>
    </row>
    <row r="330" spans="30:31" ht="14" x14ac:dyDescent="0.2">
      <c r="AD330" s="1"/>
      <c r="AE330" s="7"/>
    </row>
    <row r="331" spans="30:31" ht="14" x14ac:dyDescent="0.2">
      <c r="AD331" s="1"/>
      <c r="AE331" s="7"/>
    </row>
    <row r="332" spans="30:31" ht="14" x14ac:dyDescent="0.2">
      <c r="AD332" s="1"/>
      <c r="AE332" s="7"/>
    </row>
    <row r="333" spans="30:31" ht="14" x14ac:dyDescent="0.2">
      <c r="AD333" s="1"/>
      <c r="AE333" s="7"/>
    </row>
    <row r="334" spans="30:31" ht="14" x14ac:dyDescent="0.2">
      <c r="AD334" s="1"/>
      <c r="AE334" s="7"/>
    </row>
    <row r="335" spans="30:31" ht="14" x14ac:dyDescent="0.2">
      <c r="AD335" s="1"/>
      <c r="AE335" s="7"/>
    </row>
    <row r="336" spans="30:31" ht="14" x14ac:dyDescent="0.2">
      <c r="AD336" s="1"/>
      <c r="AE336" s="7"/>
    </row>
    <row r="337" spans="30:31" ht="14" x14ac:dyDescent="0.2">
      <c r="AD337" s="1"/>
      <c r="AE337" s="7"/>
    </row>
    <row r="338" spans="30:31" ht="14" x14ac:dyDescent="0.2">
      <c r="AD338" s="1"/>
      <c r="AE338" s="7"/>
    </row>
    <row r="339" spans="30:31" ht="14" x14ac:dyDescent="0.2">
      <c r="AD339" s="1"/>
      <c r="AE339" s="7"/>
    </row>
    <row r="340" spans="30:31" ht="14" x14ac:dyDescent="0.2">
      <c r="AD340" s="1"/>
      <c r="AE340" s="7"/>
    </row>
    <row r="341" spans="30:31" ht="14" x14ac:dyDescent="0.2">
      <c r="AD341" s="1"/>
      <c r="AE341" s="7"/>
    </row>
    <row r="342" spans="30:31" ht="14" x14ac:dyDescent="0.2">
      <c r="AD342" s="1"/>
      <c r="AE342" s="7"/>
    </row>
    <row r="343" spans="30:31" ht="14" x14ac:dyDescent="0.2">
      <c r="AD343" s="1"/>
      <c r="AE343" s="7"/>
    </row>
    <row r="344" spans="30:31" ht="14" x14ac:dyDescent="0.2">
      <c r="AD344" s="1"/>
      <c r="AE344" s="7"/>
    </row>
    <row r="345" spans="30:31" ht="14" x14ac:dyDescent="0.2">
      <c r="AD345" s="1"/>
      <c r="AE345" s="7"/>
    </row>
    <row r="346" spans="30:31" ht="14" x14ac:dyDescent="0.2">
      <c r="AD346" s="1"/>
      <c r="AE346" s="7"/>
    </row>
    <row r="347" spans="30:31" ht="14" x14ac:dyDescent="0.2">
      <c r="AD347" s="1"/>
      <c r="AE347" s="7"/>
    </row>
    <row r="348" spans="30:31" ht="14" x14ac:dyDescent="0.2">
      <c r="AD348" s="1"/>
      <c r="AE348" s="7"/>
    </row>
    <row r="349" spans="30:31" ht="14" x14ac:dyDescent="0.2">
      <c r="AD349" s="1"/>
      <c r="AE349" s="7"/>
    </row>
    <row r="350" spans="30:31" ht="14" x14ac:dyDescent="0.2">
      <c r="AD350" s="1"/>
      <c r="AE350" s="7"/>
    </row>
    <row r="351" spans="30:31" ht="14" x14ac:dyDescent="0.2">
      <c r="AD351" s="1"/>
      <c r="AE351" s="7"/>
    </row>
    <row r="352" spans="30:31" ht="14" x14ac:dyDescent="0.2">
      <c r="AD352" s="1"/>
      <c r="AE352" s="7"/>
    </row>
    <row r="353" spans="30:31" ht="14" x14ac:dyDescent="0.2">
      <c r="AD353" s="1"/>
      <c r="AE353" s="7"/>
    </row>
    <row r="354" spans="30:31" ht="14" x14ac:dyDescent="0.2">
      <c r="AD354" s="1"/>
      <c r="AE354" s="7"/>
    </row>
    <row r="355" spans="30:31" ht="14" x14ac:dyDescent="0.2">
      <c r="AD355" s="1"/>
      <c r="AE355" s="7"/>
    </row>
    <row r="356" spans="30:31" ht="14" x14ac:dyDescent="0.2">
      <c r="AD356" s="1"/>
      <c r="AE356" s="7"/>
    </row>
    <row r="357" spans="30:31" ht="14" x14ac:dyDescent="0.2">
      <c r="AD357" s="1"/>
      <c r="AE357" s="7"/>
    </row>
    <row r="358" spans="30:31" ht="14" x14ac:dyDescent="0.2">
      <c r="AD358" s="1"/>
      <c r="AE358" s="7"/>
    </row>
    <row r="359" spans="30:31" ht="14" x14ac:dyDescent="0.2">
      <c r="AD359" s="1"/>
      <c r="AE359" s="7"/>
    </row>
    <row r="360" spans="30:31" ht="14" x14ac:dyDescent="0.2">
      <c r="AD360" s="1"/>
      <c r="AE360" s="7"/>
    </row>
    <row r="361" spans="30:31" ht="14" x14ac:dyDescent="0.2">
      <c r="AD361" s="1"/>
      <c r="AE361" s="7"/>
    </row>
    <row r="362" spans="30:31" ht="14" x14ac:dyDescent="0.2">
      <c r="AD362" s="1"/>
      <c r="AE362" s="7"/>
    </row>
    <row r="363" spans="30:31" ht="14" x14ac:dyDescent="0.2">
      <c r="AD363" s="1"/>
      <c r="AE363" s="7"/>
    </row>
    <row r="364" spans="30:31" ht="14" x14ac:dyDescent="0.2">
      <c r="AD364" s="1"/>
      <c r="AE364" s="7"/>
    </row>
    <row r="365" spans="30:31" ht="14" x14ac:dyDescent="0.2">
      <c r="AD365" s="1"/>
      <c r="AE365" s="7"/>
    </row>
    <row r="366" spans="30:31" ht="14" x14ac:dyDescent="0.2">
      <c r="AD366" s="1"/>
      <c r="AE366" s="7"/>
    </row>
    <row r="367" spans="30:31" ht="14" x14ac:dyDescent="0.2">
      <c r="AD367" s="1"/>
      <c r="AE367" s="7"/>
    </row>
    <row r="368" spans="30:31" ht="14" x14ac:dyDescent="0.2">
      <c r="AD368" s="1"/>
      <c r="AE368" s="7"/>
    </row>
    <row r="369" spans="30:31" ht="14" x14ac:dyDescent="0.2">
      <c r="AD369" s="1"/>
      <c r="AE369" s="7"/>
    </row>
    <row r="370" spans="30:31" ht="14" x14ac:dyDescent="0.2">
      <c r="AD370" s="1"/>
      <c r="AE370" s="7"/>
    </row>
    <row r="371" spans="30:31" ht="14" x14ac:dyDescent="0.2">
      <c r="AD371" s="1"/>
      <c r="AE371" s="7"/>
    </row>
    <row r="372" spans="30:31" ht="14" x14ac:dyDescent="0.2">
      <c r="AD372" s="1"/>
      <c r="AE372" s="7"/>
    </row>
    <row r="373" spans="30:31" ht="14" x14ac:dyDescent="0.2">
      <c r="AD373" s="1"/>
      <c r="AE373" s="7"/>
    </row>
    <row r="374" spans="30:31" ht="14" x14ac:dyDescent="0.2">
      <c r="AD374" s="1"/>
      <c r="AE374" s="7"/>
    </row>
    <row r="375" spans="30:31" ht="14" x14ac:dyDescent="0.2">
      <c r="AD375" s="1"/>
      <c r="AE375" s="7"/>
    </row>
    <row r="376" spans="30:31" ht="14" x14ac:dyDescent="0.2">
      <c r="AD376" s="1"/>
      <c r="AE376" s="7"/>
    </row>
    <row r="377" spans="30:31" ht="14" x14ac:dyDescent="0.2">
      <c r="AD377" s="1"/>
      <c r="AE377" s="7"/>
    </row>
    <row r="378" spans="30:31" ht="14" x14ac:dyDescent="0.2">
      <c r="AD378" s="1"/>
      <c r="AE378" s="7"/>
    </row>
    <row r="379" spans="30:31" ht="14" x14ac:dyDescent="0.2">
      <c r="AD379" s="1"/>
      <c r="AE379" s="7"/>
    </row>
    <row r="380" spans="30:31" ht="14" x14ac:dyDescent="0.2">
      <c r="AD380" s="1"/>
      <c r="AE380" s="7"/>
    </row>
    <row r="381" spans="30:31" ht="14" x14ac:dyDescent="0.2">
      <c r="AD381" s="1"/>
      <c r="AE381" s="7"/>
    </row>
    <row r="382" spans="30:31" ht="14" x14ac:dyDescent="0.2">
      <c r="AD382" s="1"/>
      <c r="AE382" s="7"/>
    </row>
    <row r="383" spans="30:31" ht="14" x14ac:dyDescent="0.2">
      <c r="AD383" s="1"/>
      <c r="AE383" s="7"/>
    </row>
    <row r="384" spans="30:31" ht="14" x14ac:dyDescent="0.2">
      <c r="AD384" s="1"/>
      <c r="AE384" s="7"/>
    </row>
    <row r="385" spans="30:31" ht="14" x14ac:dyDescent="0.2">
      <c r="AD385" s="1"/>
      <c r="AE385" s="7"/>
    </row>
    <row r="386" spans="30:31" ht="14" x14ac:dyDescent="0.2">
      <c r="AD386" s="1"/>
      <c r="AE386" s="7"/>
    </row>
    <row r="387" spans="30:31" ht="14" x14ac:dyDescent="0.2">
      <c r="AD387" s="1"/>
      <c r="AE387" s="7"/>
    </row>
    <row r="388" spans="30:31" ht="14" x14ac:dyDescent="0.2">
      <c r="AD388" s="1"/>
      <c r="AE388" s="7"/>
    </row>
    <row r="389" spans="30:31" ht="14" x14ac:dyDescent="0.2">
      <c r="AD389" s="1"/>
      <c r="AE389" s="7"/>
    </row>
    <row r="390" spans="30:31" ht="14" x14ac:dyDescent="0.2">
      <c r="AD390" s="1"/>
      <c r="AE390" s="7"/>
    </row>
    <row r="391" spans="30:31" ht="14" x14ac:dyDescent="0.2">
      <c r="AD391" s="1"/>
      <c r="AE391" s="7"/>
    </row>
    <row r="392" spans="30:31" ht="14" x14ac:dyDescent="0.2">
      <c r="AD392" s="1"/>
      <c r="AE392" s="7"/>
    </row>
    <row r="393" spans="30:31" ht="14" x14ac:dyDescent="0.2">
      <c r="AD393" s="1"/>
      <c r="AE393" s="7"/>
    </row>
    <row r="394" spans="30:31" ht="14" x14ac:dyDescent="0.2">
      <c r="AD394" s="1"/>
      <c r="AE394" s="7"/>
    </row>
    <row r="395" spans="30:31" ht="14" x14ac:dyDescent="0.2">
      <c r="AD395" s="1"/>
      <c r="AE395" s="7"/>
    </row>
    <row r="396" spans="30:31" ht="14" x14ac:dyDescent="0.2">
      <c r="AD396" s="1"/>
      <c r="AE396" s="7"/>
    </row>
    <row r="397" spans="30:31" ht="14" x14ac:dyDescent="0.2">
      <c r="AD397" s="1"/>
      <c r="AE397" s="7"/>
    </row>
    <row r="398" spans="30:31" ht="14" x14ac:dyDescent="0.2">
      <c r="AD398" s="1"/>
      <c r="AE398" s="7"/>
    </row>
    <row r="399" spans="30:31" ht="14" x14ac:dyDescent="0.2">
      <c r="AD399" s="1"/>
      <c r="AE399" s="7"/>
    </row>
    <row r="400" spans="30:31" ht="14" x14ac:dyDescent="0.2">
      <c r="AD400" s="1"/>
      <c r="AE400" s="7"/>
    </row>
    <row r="401" spans="30:31" ht="14" x14ac:dyDescent="0.2">
      <c r="AD401" s="1"/>
      <c r="AE401" s="7"/>
    </row>
    <row r="402" spans="30:31" ht="14" x14ac:dyDescent="0.2">
      <c r="AD402" s="1"/>
      <c r="AE402" s="7"/>
    </row>
    <row r="403" spans="30:31" ht="14" x14ac:dyDescent="0.2">
      <c r="AD403" s="1"/>
      <c r="AE403" s="7"/>
    </row>
    <row r="404" spans="30:31" ht="14" x14ac:dyDescent="0.2">
      <c r="AD404" s="1"/>
      <c r="AE404" s="7"/>
    </row>
    <row r="405" spans="30:31" ht="14" x14ac:dyDescent="0.2">
      <c r="AD405" s="1"/>
      <c r="AE405" s="7"/>
    </row>
    <row r="406" spans="30:31" ht="14" x14ac:dyDescent="0.2">
      <c r="AD406" s="1"/>
      <c r="AE406" s="7"/>
    </row>
    <row r="407" spans="30:31" ht="14" x14ac:dyDescent="0.2">
      <c r="AD407" s="1"/>
      <c r="AE407" s="7"/>
    </row>
    <row r="408" spans="30:31" ht="14" x14ac:dyDescent="0.2">
      <c r="AD408" s="1"/>
      <c r="AE408" s="7"/>
    </row>
    <row r="409" spans="30:31" ht="14" x14ac:dyDescent="0.2">
      <c r="AD409" s="1"/>
      <c r="AE409" s="7"/>
    </row>
    <row r="410" spans="30:31" ht="14" x14ac:dyDescent="0.2">
      <c r="AD410" s="1"/>
      <c r="AE410" s="7"/>
    </row>
    <row r="411" spans="30:31" ht="14" x14ac:dyDescent="0.2">
      <c r="AD411" s="1"/>
      <c r="AE411" s="7"/>
    </row>
    <row r="412" spans="30:31" ht="14" x14ac:dyDescent="0.2">
      <c r="AD412" s="1"/>
      <c r="AE412" s="7"/>
    </row>
    <row r="413" spans="30:31" ht="14" x14ac:dyDescent="0.2">
      <c r="AD413" s="1"/>
      <c r="AE413" s="7"/>
    </row>
    <row r="414" spans="30:31" ht="14" x14ac:dyDescent="0.2">
      <c r="AD414" s="1"/>
      <c r="AE414" s="7"/>
    </row>
    <row r="415" spans="30:31" ht="14" x14ac:dyDescent="0.2">
      <c r="AD415" s="1"/>
      <c r="AE415" s="7"/>
    </row>
    <row r="416" spans="30:31" ht="14" x14ac:dyDescent="0.2">
      <c r="AD416" s="1"/>
      <c r="AE416" s="7"/>
    </row>
    <row r="417" spans="30:31" ht="14" x14ac:dyDescent="0.2">
      <c r="AD417" s="1"/>
      <c r="AE417" s="7"/>
    </row>
    <row r="418" spans="30:31" ht="14" x14ac:dyDescent="0.2">
      <c r="AD418" s="1"/>
      <c r="AE418" s="7"/>
    </row>
    <row r="419" spans="30:31" ht="14" x14ac:dyDescent="0.2">
      <c r="AD419" s="1"/>
      <c r="AE419" s="7"/>
    </row>
    <row r="420" spans="30:31" ht="14" x14ac:dyDescent="0.2">
      <c r="AD420" s="1"/>
      <c r="AE420" s="7"/>
    </row>
    <row r="421" spans="30:31" ht="14" x14ac:dyDescent="0.2">
      <c r="AD421" s="1"/>
      <c r="AE421" s="7"/>
    </row>
    <row r="422" spans="30:31" ht="14" x14ac:dyDescent="0.2">
      <c r="AD422" s="1"/>
      <c r="AE422" s="7"/>
    </row>
    <row r="423" spans="30:31" ht="14" x14ac:dyDescent="0.2">
      <c r="AD423" s="1"/>
      <c r="AE423" s="7"/>
    </row>
    <row r="424" spans="30:31" ht="14" x14ac:dyDescent="0.2">
      <c r="AD424" s="1"/>
      <c r="AE424" s="7"/>
    </row>
    <row r="425" spans="30:31" ht="14" x14ac:dyDescent="0.2">
      <c r="AD425" s="1"/>
      <c r="AE425" s="7"/>
    </row>
    <row r="426" spans="30:31" ht="14" x14ac:dyDescent="0.2">
      <c r="AD426" s="1"/>
      <c r="AE426" s="7"/>
    </row>
    <row r="427" spans="30:31" ht="14" x14ac:dyDescent="0.2">
      <c r="AD427" s="1"/>
      <c r="AE427" s="7"/>
    </row>
    <row r="428" spans="30:31" ht="14" x14ac:dyDescent="0.2">
      <c r="AD428" s="1"/>
      <c r="AE428" s="7"/>
    </row>
    <row r="429" spans="30:31" ht="14" x14ac:dyDescent="0.2">
      <c r="AD429" s="1"/>
      <c r="AE429" s="7"/>
    </row>
    <row r="430" spans="30:31" ht="14" x14ac:dyDescent="0.2">
      <c r="AD430" s="1"/>
      <c r="AE430" s="7"/>
    </row>
    <row r="431" spans="30:31" ht="14" x14ac:dyDescent="0.2">
      <c r="AD431" s="1"/>
      <c r="AE431" s="7"/>
    </row>
    <row r="432" spans="30:31" ht="14" x14ac:dyDescent="0.2">
      <c r="AD432" s="1"/>
      <c r="AE432" s="7"/>
    </row>
    <row r="433" spans="30:31" ht="14" x14ac:dyDescent="0.2">
      <c r="AD433" s="1"/>
      <c r="AE433" s="7"/>
    </row>
    <row r="434" spans="30:31" ht="14" x14ac:dyDescent="0.2">
      <c r="AD434" s="1"/>
      <c r="AE434" s="7"/>
    </row>
    <row r="435" spans="30:31" ht="14" x14ac:dyDescent="0.2">
      <c r="AD435" s="1"/>
      <c r="AE435" s="7"/>
    </row>
    <row r="436" spans="30:31" ht="14" x14ac:dyDescent="0.2">
      <c r="AD436" s="1"/>
      <c r="AE436" s="7"/>
    </row>
    <row r="437" spans="30:31" ht="14" x14ac:dyDescent="0.2">
      <c r="AD437" s="1"/>
      <c r="AE437" s="7"/>
    </row>
    <row r="438" spans="30:31" ht="14" x14ac:dyDescent="0.2">
      <c r="AD438" s="1"/>
      <c r="AE438" s="7"/>
    </row>
    <row r="439" spans="30:31" ht="14" x14ac:dyDescent="0.2">
      <c r="AD439" s="1"/>
      <c r="AE439" s="7"/>
    </row>
    <row r="440" spans="30:31" ht="14" x14ac:dyDescent="0.2">
      <c r="AD440" s="1"/>
      <c r="AE440" s="7"/>
    </row>
    <row r="441" spans="30:31" ht="14" x14ac:dyDescent="0.2">
      <c r="AD441" s="1"/>
      <c r="AE441" s="7"/>
    </row>
    <row r="442" spans="30:31" ht="14" x14ac:dyDescent="0.2">
      <c r="AD442" s="1"/>
      <c r="AE442" s="7"/>
    </row>
    <row r="443" spans="30:31" ht="14" x14ac:dyDescent="0.2">
      <c r="AD443" s="1"/>
      <c r="AE443" s="7"/>
    </row>
    <row r="444" spans="30:31" ht="14" x14ac:dyDescent="0.2">
      <c r="AD444" s="1"/>
      <c r="AE444" s="7"/>
    </row>
    <row r="445" spans="30:31" ht="14" x14ac:dyDescent="0.2">
      <c r="AD445" s="1"/>
      <c r="AE445" s="7"/>
    </row>
    <row r="446" spans="30:31" ht="14" x14ac:dyDescent="0.2">
      <c r="AD446" s="1"/>
      <c r="AE446" s="7"/>
    </row>
    <row r="447" spans="30:31" ht="14" x14ac:dyDescent="0.2">
      <c r="AD447" s="1"/>
      <c r="AE447" s="7"/>
    </row>
    <row r="448" spans="30:31" ht="14" x14ac:dyDescent="0.2">
      <c r="AD448" s="1"/>
      <c r="AE448" s="7"/>
    </row>
    <row r="449" spans="30:31" ht="14" x14ac:dyDescent="0.2">
      <c r="AD449" s="1"/>
      <c r="AE449" s="7"/>
    </row>
    <row r="450" spans="30:31" ht="14" x14ac:dyDescent="0.2">
      <c r="AD450" s="1"/>
      <c r="AE450" s="7"/>
    </row>
    <row r="451" spans="30:31" ht="14" x14ac:dyDescent="0.2">
      <c r="AD451" s="1"/>
      <c r="AE451" s="7"/>
    </row>
    <row r="452" spans="30:31" ht="14" x14ac:dyDescent="0.2">
      <c r="AD452" s="1"/>
      <c r="AE452" s="7"/>
    </row>
    <row r="453" spans="30:31" ht="14" x14ac:dyDescent="0.2">
      <c r="AD453" s="1"/>
      <c r="AE453" s="7"/>
    </row>
    <row r="454" spans="30:31" ht="14" x14ac:dyDescent="0.2">
      <c r="AD454" s="1"/>
      <c r="AE454" s="7"/>
    </row>
    <row r="455" spans="30:31" ht="14" x14ac:dyDescent="0.2">
      <c r="AD455" s="1"/>
      <c r="AE455" s="7"/>
    </row>
    <row r="456" spans="30:31" ht="14" x14ac:dyDescent="0.2">
      <c r="AD456" s="1"/>
      <c r="AE456" s="7"/>
    </row>
    <row r="457" spans="30:31" ht="14" x14ac:dyDescent="0.2">
      <c r="AD457" s="1"/>
      <c r="AE457" s="7"/>
    </row>
    <row r="458" spans="30:31" ht="14" x14ac:dyDescent="0.2">
      <c r="AD458" s="1"/>
      <c r="AE458" s="7"/>
    </row>
    <row r="459" spans="30:31" ht="14" x14ac:dyDescent="0.2">
      <c r="AD459" s="1"/>
      <c r="AE459" s="7"/>
    </row>
    <row r="460" spans="30:31" ht="14" x14ac:dyDescent="0.2">
      <c r="AD460" s="1"/>
      <c r="AE460" s="7"/>
    </row>
    <row r="461" spans="30:31" ht="14" x14ac:dyDescent="0.2">
      <c r="AD461" s="1"/>
      <c r="AE461" s="7"/>
    </row>
    <row r="462" spans="30:31" ht="14" x14ac:dyDescent="0.2">
      <c r="AD462" s="1"/>
      <c r="AE462" s="7"/>
    </row>
    <row r="463" spans="30:31" ht="14" x14ac:dyDescent="0.2">
      <c r="AD463" s="1"/>
      <c r="AE463" s="7"/>
    </row>
    <row r="464" spans="30:31" ht="14" x14ac:dyDescent="0.2">
      <c r="AD464" s="1"/>
      <c r="AE464" s="7"/>
    </row>
    <row r="465" spans="30:31" ht="14" x14ac:dyDescent="0.2">
      <c r="AD465" s="1"/>
      <c r="AE465" s="7"/>
    </row>
    <row r="466" spans="30:31" ht="14" x14ac:dyDescent="0.2">
      <c r="AD466" s="1"/>
      <c r="AE466" s="7"/>
    </row>
    <row r="467" spans="30:31" ht="14" x14ac:dyDescent="0.2">
      <c r="AD467" s="1"/>
      <c r="AE467" s="7"/>
    </row>
    <row r="468" spans="30:31" ht="14" x14ac:dyDescent="0.2">
      <c r="AD468" s="1"/>
      <c r="AE468" s="7"/>
    </row>
    <row r="469" spans="30:31" ht="14" x14ac:dyDescent="0.2">
      <c r="AD469" s="1"/>
      <c r="AE469" s="7"/>
    </row>
    <row r="470" spans="30:31" ht="14" x14ac:dyDescent="0.2">
      <c r="AD470" s="1"/>
      <c r="AE470" s="7"/>
    </row>
    <row r="471" spans="30:31" ht="14" x14ac:dyDescent="0.2">
      <c r="AD471" s="1"/>
      <c r="AE471" s="7"/>
    </row>
    <row r="472" spans="30:31" ht="14" x14ac:dyDescent="0.2">
      <c r="AD472" s="1"/>
      <c r="AE472" s="7"/>
    </row>
    <row r="473" spans="30:31" ht="14" x14ac:dyDescent="0.2">
      <c r="AD473" s="1"/>
      <c r="AE473" s="7"/>
    </row>
    <row r="474" spans="30:31" ht="14" x14ac:dyDescent="0.2">
      <c r="AD474" s="1"/>
      <c r="AE474" s="7"/>
    </row>
    <row r="475" spans="30:31" ht="14" x14ac:dyDescent="0.2">
      <c r="AD475" s="1"/>
      <c r="AE475" s="7"/>
    </row>
    <row r="476" spans="30:31" ht="14" x14ac:dyDescent="0.2">
      <c r="AD476" s="1"/>
      <c r="AE476" s="7"/>
    </row>
    <row r="477" spans="30:31" ht="14" x14ac:dyDescent="0.2">
      <c r="AD477" s="1"/>
      <c r="AE477" s="7"/>
    </row>
    <row r="478" spans="30:31" ht="14" x14ac:dyDescent="0.2">
      <c r="AD478" s="1"/>
      <c r="AE478" s="7"/>
    </row>
    <row r="479" spans="30:31" ht="14" x14ac:dyDescent="0.2">
      <c r="AD479" s="1"/>
      <c r="AE479" s="7"/>
    </row>
    <row r="480" spans="30:31" ht="14" x14ac:dyDescent="0.2">
      <c r="AD480" s="1"/>
      <c r="AE480" s="7"/>
    </row>
    <row r="481" spans="30:31" ht="14" x14ac:dyDescent="0.2">
      <c r="AD481" s="1"/>
      <c r="AE481" s="7"/>
    </row>
    <row r="482" spans="30:31" ht="14" x14ac:dyDescent="0.2">
      <c r="AD482" s="1"/>
      <c r="AE482" s="7"/>
    </row>
    <row r="483" spans="30:31" ht="14" x14ac:dyDescent="0.2">
      <c r="AD483" s="1"/>
      <c r="AE483" s="7"/>
    </row>
    <row r="484" spans="30:31" ht="14" x14ac:dyDescent="0.2">
      <c r="AD484" s="1"/>
      <c r="AE484" s="7"/>
    </row>
    <row r="485" spans="30:31" ht="14" x14ac:dyDescent="0.2">
      <c r="AD485" s="1"/>
      <c r="AE485" s="7"/>
    </row>
    <row r="486" spans="30:31" ht="14" x14ac:dyDescent="0.2">
      <c r="AD486" s="1"/>
      <c r="AE486" s="7"/>
    </row>
    <row r="487" spans="30:31" ht="14" x14ac:dyDescent="0.2">
      <c r="AD487" s="1"/>
      <c r="AE487" s="7"/>
    </row>
    <row r="488" spans="30:31" ht="14" x14ac:dyDescent="0.2">
      <c r="AD488" s="1"/>
      <c r="AE488" s="7"/>
    </row>
    <row r="489" spans="30:31" ht="14" x14ac:dyDescent="0.2">
      <c r="AD489" s="1"/>
      <c r="AE489" s="7"/>
    </row>
    <row r="490" spans="30:31" ht="14" x14ac:dyDescent="0.2">
      <c r="AD490" s="1"/>
      <c r="AE490" s="7"/>
    </row>
    <row r="491" spans="30:31" ht="14" x14ac:dyDescent="0.2">
      <c r="AD491" s="1"/>
      <c r="AE491" s="7"/>
    </row>
    <row r="492" spans="30:31" ht="14" x14ac:dyDescent="0.2">
      <c r="AD492" s="1"/>
      <c r="AE492" s="7"/>
    </row>
    <row r="493" spans="30:31" ht="14" x14ac:dyDescent="0.2">
      <c r="AD493" s="1"/>
      <c r="AE493" s="7"/>
    </row>
    <row r="494" spans="30:31" ht="14" x14ac:dyDescent="0.2">
      <c r="AD494" s="1"/>
      <c r="AE494" s="7"/>
    </row>
    <row r="495" spans="30:31" ht="14" x14ac:dyDescent="0.2">
      <c r="AD495" s="1"/>
      <c r="AE495" s="7"/>
    </row>
    <row r="496" spans="30:31" ht="14" x14ac:dyDescent="0.2">
      <c r="AD496" s="1"/>
      <c r="AE496" s="7"/>
    </row>
    <row r="497" spans="30:31" ht="14" x14ac:dyDescent="0.2">
      <c r="AD497" s="1"/>
      <c r="AE497" s="7"/>
    </row>
    <row r="498" spans="30:31" ht="14" x14ac:dyDescent="0.2">
      <c r="AD498" s="1"/>
      <c r="AE498" s="7"/>
    </row>
    <row r="499" spans="30:31" ht="14" x14ac:dyDescent="0.2">
      <c r="AD499" s="1"/>
      <c r="AE499" s="7"/>
    </row>
    <row r="500" spans="30:31" ht="14" x14ac:dyDescent="0.2">
      <c r="AD500" s="1"/>
      <c r="AE500" s="7"/>
    </row>
    <row r="501" spans="30:31" ht="14" x14ac:dyDescent="0.2">
      <c r="AD501" s="1"/>
      <c r="AE501" s="7"/>
    </row>
    <row r="502" spans="30:31" ht="14" x14ac:dyDescent="0.2">
      <c r="AD502" s="1"/>
      <c r="AE502" s="7"/>
    </row>
    <row r="503" spans="30:31" ht="14" x14ac:dyDescent="0.2">
      <c r="AD503" s="1"/>
      <c r="AE503" s="7"/>
    </row>
    <row r="504" spans="30:31" ht="14" x14ac:dyDescent="0.2">
      <c r="AD504" s="1"/>
      <c r="AE504" s="7"/>
    </row>
    <row r="505" spans="30:31" ht="14" x14ac:dyDescent="0.2">
      <c r="AD505" s="1"/>
      <c r="AE505" s="7"/>
    </row>
    <row r="506" spans="30:31" ht="14" x14ac:dyDescent="0.2">
      <c r="AD506" s="1"/>
      <c r="AE506" s="7"/>
    </row>
    <row r="507" spans="30:31" ht="14" x14ac:dyDescent="0.2">
      <c r="AD507" s="1"/>
      <c r="AE507" s="7"/>
    </row>
    <row r="508" spans="30:31" ht="14" x14ac:dyDescent="0.2">
      <c r="AD508" s="1"/>
      <c r="AE508" s="7"/>
    </row>
    <row r="509" spans="30:31" ht="14" x14ac:dyDescent="0.2">
      <c r="AD509" s="1"/>
      <c r="AE509" s="7"/>
    </row>
    <row r="510" spans="30:31" ht="14" x14ac:dyDescent="0.2">
      <c r="AD510" s="1"/>
      <c r="AE510" s="7"/>
    </row>
    <row r="511" spans="30:31" ht="14" x14ac:dyDescent="0.2">
      <c r="AD511" s="1"/>
      <c r="AE511" s="7"/>
    </row>
    <row r="512" spans="30:31" ht="14" x14ac:dyDescent="0.2">
      <c r="AD512" s="1"/>
      <c r="AE512" s="7"/>
    </row>
    <row r="513" spans="30:31" ht="14" x14ac:dyDescent="0.2">
      <c r="AD513" s="1"/>
      <c r="AE513" s="7"/>
    </row>
    <row r="514" spans="30:31" ht="14" x14ac:dyDescent="0.2">
      <c r="AD514" s="1"/>
      <c r="AE514" s="7"/>
    </row>
    <row r="515" spans="30:31" ht="14" x14ac:dyDescent="0.2">
      <c r="AD515" s="1"/>
      <c r="AE515" s="7"/>
    </row>
    <row r="516" spans="30:31" ht="14" x14ac:dyDescent="0.2">
      <c r="AD516" s="1"/>
      <c r="AE516" s="7"/>
    </row>
    <row r="517" spans="30:31" ht="14" x14ac:dyDescent="0.2">
      <c r="AD517" s="1"/>
      <c r="AE517" s="7"/>
    </row>
    <row r="518" spans="30:31" ht="14" x14ac:dyDescent="0.2">
      <c r="AD518" s="1"/>
      <c r="AE518" s="7"/>
    </row>
    <row r="519" spans="30:31" ht="14" x14ac:dyDescent="0.2">
      <c r="AD519" s="1"/>
      <c r="AE519" s="7"/>
    </row>
    <row r="520" spans="30:31" ht="14" x14ac:dyDescent="0.2">
      <c r="AD520" s="1"/>
      <c r="AE520" s="7"/>
    </row>
    <row r="521" spans="30:31" ht="14" x14ac:dyDescent="0.2">
      <c r="AD521" s="1"/>
      <c r="AE521" s="7"/>
    </row>
    <row r="522" spans="30:31" ht="14" x14ac:dyDescent="0.2">
      <c r="AD522" s="1"/>
      <c r="AE522" s="7"/>
    </row>
    <row r="523" spans="30:31" ht="14" x14ac:dyDescent="0.2">
      <c r="AD523" s="1"/>
      <c r="AE523" s="7"/>
    </row>
    <row r="524" spans="30:31" ht="14" x14ac:dyDescent="0.2">
      <c r="AD524" s="1"/>
      <c r="AE524" s="7"/>
    </row>
    <row r="525" spans="30:31" ht="14" x14ac:dyDescent="0.2">
      <c r="AD525" s="1"/>
      <c r="AE525" s="7"/>
    </row>
    <row r="526" spans="30:31" ht="14" x14ac:dyDescent="0.2">
      <c r="AD526" s="1"/>
      <c r="AE526" s="7"/>
    </row>
    <row r="527" spans="30:31" ht="14" x14ac:dyDescent="0.2">
      <c r="AD527" s="1"/>
      <c r="AE527" s="7"/>
    </row>
    <row r="528" spans="30:31" ht="14" x14ac:dyDescent="0.2">
      <c r="AD528" s="1"/>
      <c r="AE528" s="7"/>
    </row>
    <row r="529" spans="30:31" ht="14" x14ac:dyDescent="0.2">
      <c r="AD529" s="1"/>
      <c r="AE529" s="7"/>
    </row>
    <row r="530" spans="30:31" ht="14" x14ac:dyDescent="0.2">
      <c r="AD530" s="1"/>
      <c r="AE530" s="7"/>
    </row>
    <row r="531" spans="30:31" ht="14" x14ac:dyDescent="0.2">
      <c r="AD531" s="1"/>
      <c r="AE531" s="7"/>
    </row>
    <row r="532" spans="30:31" ht="14" x14ac:dyDescent="0.2">
      <c r="AD532" s="1"/>
      <c r="AE532" s="7"/>
    </row>
    <row r="533" spans="30:31" ht="14" x14ac:dyDescent="0.2">
      <c r="AD533" s="1"/>
      <c r="AE533" s="7"/>
    </row>
    <row r="534" spans="30:31" ht="14" x14ac:dyDescent="0.2">
      <c r="AD534" s="1"/>
      <c r="AE534" s="7"/>
    </row>
    <row r="535" spans="30:31" ht="14" x14ac:dyDescent="0.2">
      <c r="AD535" s="1"/>
      <c r="AE535" s="7"/>
    </row>
    <row r="536" spans="30:31" ht="14" x14ac:dyDescent="0.2">
      <c r="AD536" s="1"/>
      <c r="AE536" s="7"/>
    </row>
    <row r="537" spans="30:31" ht="14" x14ac:dyDescent="0.2">
      <c r="AD537" s="1"/>
      <c r="AE537" s="7"/>
    </row>
    <row r="538" spans="30:31" ht="14" x14ac:dyDescent="0.2">
      <c r="AD538" s="1"/>
      <c r="AE538" s="7"/>
    </row>
    <row r="539" spans="30:31" ht="14" x14ac:dyDescent="0.2">
      <c r="AD539" s="1"/>
      <c r="AE539" s="7"/>
    </row>
    <row r="540" spans="30:31" ht="14" x14ac:dyDescent="0.2">
      <c r="AD540" s="1"/>
      <c r="AE540" s="7"/>
    </row>
    <row r="541" spans="30:31" ht="14" x14ac:dyDescent="0.2">
      <c r="AD541" s="1"/>
      <c r="AE541" s="7"/>
    </row>
    <row r="542" spans="30:31" ht="14" x14ac:dyDescent="0.2">
      <c r="AD542" s="1"/>
      <c r="AE542" s="7"/>
    </row>
    <row r="543" spans="30:31" ht="14" x14ac:dyDescent="0.2">
      <c r="AD543" s="1"/>
      <c r="AE543" s="7"/>
    </row>
    <row r="544" spans="30:31" ht="14" x14ac:dyDescent="0.2">
      <c r="AD544" s="1"/>
      <c r="AE544" s="7"/>
    </row>
    <row r="545" spans="30:31" ht="14" x14ac:dyDescent="0.2">
      <c r="AD545" s="1"/>
      <c r="AE545" s="7"/>
    </row>
    <row r="546" spans="30:31" ht="14" x14ac:dyDescent="0.2">
      <c r="AD546" s="1"/>
      <c r="AE546" s="7"/>
    </row>
    <row r="547" spans="30:31" ht="14" x14ac:dyDescent="0.2">
      <c r="AD547" s="1"/>
      <c r="AE547" s="7"/>
    </row>
    <row r="548" spans="30:31" ht="14" x14ac:dyDescent="0.2">
      <c r="AD548" s="1"/>
      <c r="AE548" s="7"/>
    </row>
    <row r="549" spans="30:31" ht="14" x14ac:dyDescent="0.2">
      <c r="AD549" s="1"/>
      <c r="AE549" s="7"/>
    </row>
    <row r="550" spans="30:31" ht="14" x14ac:dyDescent="0.2">
      <c r="AD550" s="1"/>
      <c r="AE550" s="7"/>
    </row>
    <row r="551" spans="30:31" ht="14" x14ac:dyDescent="0.2">
      <c r="AD551" s="1"/>
      <c r="AE551" s="7"/>
    </row>
    <row r="552" spans="30:31" ht="14" x14ac:dyDescent="0.2">
      <c r="AD552" s="1"/>
      <c r="AE552" s="7"/>
    </row>
    <row r="553" spans="30:31" ht="14" x14ac:dyDescent="0.2">
      <c r="AD553" s="1"/>
      <c r="AE553" s="7"/>
    </row>
    <row r="554" spans="30:31" ht="14" x14ac:dyDescent="0.2">
      <c r="AD554" s="1"/>
      <c r="AE554" s="7"/>
    </row>
    <row r="555" spans="30:31" ht="14" x14ac:dyDescent="0.2">
      <c r="AD555" s="1"/>
      <c r="AE555" s="7"/>
    </row>
    <row r="556" spans="30:31" ht="14" x14ac:dyDescent="0.2">
      <c r="AD556" s="1"/>
      <c r="AE556" s="7"/>
    </row>
    <row r="557" spans="30:31" ht="14" x14ac:dyDescent="0.2">
      <c r="AD557" s="1"/>
      <c r="AE557" s="7"/>
    </row>
    <row r="558" spans="30:31" ht="14" x14ac:dyDescent="0.2">
      <c r="AD558" s="1"/>
      <c r="AE558" s="7"/>
    </row>
    <row r="559" spans="30:31" ht="14" x14ac:dyDescent="0.2">
      <c r="AD559" s="1"/>
      <c r="AE559" s="7"/>
    </row>
    <row r="560" spans="30:31" ht="14" x14ac:dyDescent="0.2">
      <c r="AD560" s="1"/>
      <c r="AE560" s="7"/>
    </row>
    <row r="561" spans="30:31" ht="14" x14ac:dyDescent="0.2">
      <c r="AD561" s="1"/>
      <c r="AE561" s="7"/>
    </row>
    <row r="562" spans="30:31" ht="14" x14ac:dyDescent="0.2">
      <c r="AD562" s="1"/>
      <c r="AE562" s="7"/>
    </row>
    <row r="563" spans="30:31" ht="14" x14ac:dyDescent="0.2">
      <c r="AD563" s="1"/>
      <c r="AE563" s="7"/>
    </row>
    <row r="564" spans="30:31" ht="14" x14ac:dyDescent="0.2">
      <c r="AD564" s="1"/>
      <c r="AE564" s="7"/>
    </row>
    <row r="565" spans="30:31" ht="14" x14ac:dyDescent="0.2">
      <c r="AD565" s="1"/>
      <c r="AE565" s="7"/>
    </row>
    <row r="566" spans="30:31" ht="14" x14ac:dyDescent="0.2">
      <c r="AD566" s="1"/>
      <c r="AE566" s="7"/>
    </row>
    <row r="567" spans="30:31" ht="14" x14ac:dyDescent="0.2">
      <c r="AD567" s="1"/>
      <c r="AE567" s="7"/>
    </row>
    <row r="568" spans="30:31" ht="14" x14ac:dyDescent="0.2">
      <c r="AD568" s="1"/>
      <c r="AE568" s="7"/>
    </row>
    <row r="569" spans="30:31" ht="14" x14ac:dyDescent="0.2">
      <c r="AD569" s="1"/>
      <c r="AE569" s="7"/>
    </row>
    <row r="570" spans="30:31" ht="14" x14ac:dyDescent="0.2">
      <c r="AD570" s="1"/>
      <c r="AE570" s="7"/>
    </row>
    <row r="571" spans="30:31" ht="14" x14ac:dyDescent="0.2">
      <c r="AD571" s="1"/>
      <c r="AE571" s="7"/>
    </row>
    <row r="572" spans="30:31" ht="14" x14ac:dyDescent="0.2">
      <c r="AD572" s="1"/>
      <c r="AE572" s="7"/>
    </row>
    <row r="573" spans="30:31" ht="14" x14ac:dyDescent="0.2">
      <c r="AD573" s="1"/>
      <c r="AE573" s="7"/>
    </row>
    <row r="574" spans="30:31" ht="14" x14ac:dyDescent="0.2">
      <c r="AD574" s="1"/>
      <c r="AE574" s="7"/>
    </row>
    <row r="575" spans="30:31" ht="14" x14ac:dyDescent="0.2">
      <c r="AD575" s="1"/>
      <c r="AE575" s="7"/>
    </row>
    <row r="576" spans="30:31" ht="14" x14ac:dyDescent="0.2">
      <c r="AD576" s="1"/>
      <c r="AE576" s="7"/>
    </row>
    <row r="577" spans="30:31" ht="14" x14ac:dyDescent="0.2">
      <c r="AD577" s="1"/>
      <c r="AE577" s="7"/>
    </row>
    <row r="578" spans="30:31" ht="14" x14ac:dyDescent="0.2">
      <c r="AD578" s="1"/>
      <c r="AE578" s="7"/>
    </row>
    <row r="579" spans="30:31" ht="14" x14ac:dyDescent="0.2">
      <c r="AD579" s="1"/>
      <c r="AE579" s="7"/>
    </row>
    <row r="580" spans="30:31" ht="14" x14ac:dyDescent="0.2">
      <c r="AD580" s="1"/>
      <c r="AE580" s="7"/>
    </row>
    <row r="581" spans="30:31" ht="14" x14ac:dyDescent="0.2">
      <c r="AD581" s="1"/>
      <c r="AE581" s="7"/>
    </row>
    <row r="582" spans="30:31" ht="14" x14ac:dyDescent="0.2">
      <c r="AD582" s="1"/>
      <c r="AE582" s="7"/>
    </row>
    <row r="583" spans="30:31" ht="14" x14ac:dyDescent="0.2">
      <c r="AD583" s="1"/>
      <c r="AE583" s="7"/>
    </row>
    <row r="584" spans="30:31" ht="14" x14ac:dyDescent="0.2">
      <c r="AD584" s="1"/>
      <c r="AE584" s="7"/>
    </row>
    <row r="585" spans="30:31" ht="14" x14ac:dyDescent="0.2">
      <c r="AD585" s="1"/>
      <c r="AE585" s="7"/>
    </row>
    <row r="586" spans="30:31" ht="14" x14ac:dyDescent="0.2">
      <c r="AD586" s="1"/>
      <c r="AE586" s="7"/>
    </row>
    <row r="587" spans="30:31" ht="14" x14ac:dyDescent="0.2">
      <c r="AD587" s="1"/>
      <c r="AE587" s="7"/>
    </row>
    <row r="588" spans="30:31" ht="14" x14ac:dyDescent="0.2">
      <c r="AD588" s="1"/>
      <c r="AE588" s="7"/>
    </row>
    <row r="589" spans="30:31" ht="14" x14ac:dyDescent="0.2">
      <c r="AD589" s="1"/>
      <c r="AE589" s="7"/>
    </row>
    <row r="590" spans="30:31" ht="14" x14ac:dyDescent="0.2">
      <c r="AD590" s="1"/>
      <c r="AE590" s="7"/>
    </row>
    <row r="591" spans="30:31" ht="14" x14ac:dyDescent="0.2">
      <c r="AD591" s="1"/>
      <c r="AE591" s="7"/>
    </row>
    <row r="592" spans="30:31" ht="14" x14ac:dyDescent="0.2">
      <c r="AD592" s="1"/>
      <c r="AE592" s="7"/>
    </row>
    <row r="593" spans="30:31" ht="14" x14ac:dyDescent="0.2">
      <c r="AD593" s="1"/>
      <c r="AE593" s="7"/>
    </row>
    <row r="594" spans="30:31" ht="14" x14ac:dyDescent="0.2">
      <c r="AD594" s="1"/>
      <c r="AE594" s="7"/>
    </row>
    <row r="595" spans="30:31" ht="14" x14ac:dyDescent="0.2">
      <c r="AD595" s="1"/>
      <c r="AE595" s="7"/>
    </row>
    <row r="596" spans="30:31" ht="14" x14ac:dyDescent="0.2">
      <c r="AD596" s="1"/>
      <c r="AE596" s="7"/>
    </row>
    <row r="597" spans="30:31" ht="14" x14ac:dyDescent="0.2">
      <c r="AD597" s="1"/>
      <c r="AE597" s="7"/>
    </row>
    <row r="598" spans="30:31" ht="14" x14ac:dyDescent="0.2">
      <c r="AD598" s="1"/>
      <c r="AE598" s="7"/>
    </row>
    <row r="599" spans="30:31" ht="14" x14ac:dyDescent="0.2">
      <c r="AD599" s="1"/>
      <c r="AE599" s="7"/>
    </row>
    <row r="600" spans="30:31" ht="14" x14ac:dyDescent="0.2">
      <c r="AD600" s="1"/>
      <c r="AE600" s="7"/>
    </row>
    <row r="601" spans="30:31" ht="14" x14ac:dyDescent="0.2">
      <c r="AD601" s="1"/>
      <c r="AE601" s="7"/>
    </row>
    <row r="602" spans="30:31" ht="14" x14ac:dyDescent="0.2">
      <c r="AD602" s="1"/>
      <c r="AE602" s="7"/>
    </row>
    <row r="603" spans="30:31" ht="14" x14ac:dyDescent="0.2">
      <c r="AD603" s="1"/>
      <c r="AE603" s="7"/>
    </row>
    <row r="604" spans="30:31" ht="14" x14ac:dyDescent="0.2">
      <c r="AD604" s="1"/>
      <c r="AE604" s="7"/>
    </row>
    <row r="605" spans="30:31" ht="14" x14ac:dyDescent="0.2">
      <c r="AD605" s="1"/>
      <c r="AE605" s="7"/>
    </row>
    <row r="606" spans="30:31" ht="14" x14ac:dyDescent="0.2">
      <c r="AD606" s="1"/>
      <c r="AE606" s="7"/>
    </row>
    <row r="607" spans="30:31" ht="14" x14ac:dyDescent="0.2">
      <c r="AD607" s="1"/>
      <c r="AE607" s="7"/>
    </row>
    <row r="608" spans="30:31" ht="14" x14ac:dyDescent="0.2">
      <c r="AD608" s="1"/>
      <c r="AE608" s="7"/>
    </row>
    <row r="609" spans="30:31" ht="14" x14ac:dyDescent="0.2">
      <c r="AD609" s="1"/>
      <c r="AE609" s="7"/>
    </row>
    <row r="610" spans="30:31" ht="14" x14ac:dyDescent="0.2">
      <c r="AD610" s="1"/>
      <c r="AE610" s="7"/>
    </row>
    <row r="611" spans="30:31" ht="14" x14ac:dyDescent="0.2">
      <c r="AD611" s="1"/>
      <c r="AE611" s="7"/>
    </row>
    <row r="612" spans="30:31" ht="14" x14ac:dyDescent="0.2">
      <c r="AD612" s="1"/>
      <c r="AE612" s="7"/>
    </row>
    <row r="613" spans="30:31" ht="14" x14ac:dyDescent="0.2">
      <c r="AD613" s="1"/>
      <c r="AE613" s="7"/>
    </row>
    <row r="614" spans="30:31" ht="14" x14ac:dyDescent="0.2">
      <c r="AD614" s="1"/>
      <c r="AE614" s="7"/>
    </row>
    <row r="615" spans="30:31" ht="14" x14ac:dyDescent="0.2">
      <c r="AD615" s="1"/>
      <c r="AE615" s="7"/>
    </row>
    <row r="616" spans="30:31" ht="14" x14ac:dyDescent="0.2">
      <c r="AD616" s="1"/>
      <c r="AE616" s="7"/>
    </row>
    <row r="617" spans="30:31" ht="14" x14ac:dyDescent="0.2">
      <c r="AD617" s="1"/>
      <c r="AE617" s="7"/>
    </row>
    <row r="618" spans="30:31" ht="14" x14ac:dyDescent="0.2">
      <c r="AD618" s="1"/>
      <c r="AE618" s="7"/>
    </row>
    <row r="619" spans="30:31" ht="14" x14ac:dyDescent="0.2">
      <c r="AD619" s="1"/>
      <c r="AE619" s="7"/>
    </row>
    <row r="620" spans="30:31" ht="14" x14ac:dyDescent="0.2">
      <c r="AD620" s="1"/>
      <c r="AE620" s="7"/>
    </row>
    <row r="621" spans="30:31" ht="14" x14ac:dyDescent="0.2">
      <c r="AD621" s="1"/>
      <c r="AE621" s="7"/>
    </row>
    <row r="622" spans="30:31" ht="14" x14ac:dyDescent="0.2">
      <c r="AD622" s="1"/>
      <c r="AE622" s="7"/>
    </row>
    <row r="623" spans="30:31" ht="14" x14ac:dyDescent="0.2">
      <c r="AD623" s="1"/>
      <c r="AE623" s="7"/>
    </row>
    <row r="624" spans="30:31" ht="14" x14ac:dyDescent="0.2">
      <c r="AD624" s="1"/>
      <c r="AE624" s="7"/>
    </row>
    <row r="625" spans="30:31" ht="14" x14ac:dyDescent="0.2">
      <c r="AD625" s="1"/>
      <c r="AE625" s="7"/>
    </row>
    <row r="626" spans="30:31" ht="14" x14ac:dyDescent="0.2">
      <c r="AD626" s="1"/>
      <c r="AE626" s="7"/>
    </row>
    <row r="627" spans="30:31" ht="14" x14ac:dyDescent="0.2">
      <c r="AD627" s="1"/>
      <c r="AE627" s="7"/>
    </row>
    <row r="628" spans="30:31" ht="14" x14ac:dyDescent="0.2">
      <c r="AD628" s="1"/>
      <c r="AE628" s="7"/>
    </row>
    <row r="629" spans="30:31" ht="14" x14ac:dyDescent="0.2">
      <c r="AD629" s="1"/>
      <c r="AE629" s="7"/>
    </row>
    <row r="630" spans="30:31" ht="14" x14ac:dyDescent="0.2">
      <c r="AD630" s="1"/>
      <c r="AE630" s="7"/>
    </row>
    <row r="631" spans="30:31" ht="14" x14ac:dyDescent="0.2">
      <c r="AD631" s="1"/>
      <c r="AE631" s="7"/>
    </row>
    <row r="632" spans="30:31" ht="14" x14ac:dyDescent="0.2">
      <c r="AD632" s="1"/>
      <c r="AE632" s="7"/>
    </row>
    <row r="633" spans="30:31" ht="14" x14ac:dyDescent="0.2">
      <c r="AD633" s="1"/>
      <c r="AE633" s="7"/>
    </row>
    <row r="634" spans="30:31" ht="14" x14ac:dyDescent="0.2">
      <c r="AD634" s="1"/>
      <c r="AE634" s="7"/>
    </row>
    <row r="635" spans="30:31" ht="14" x14ac:dyDescent="0.2">
      <c r="AD635" s="1"/>
      <c r="AE635" s="7"/>
    </row>
    <row r="636" spans="30:31" ht="14" x14ac:dyDescent="0.2">
      <c r="AD636" s="1"/>
      <c r="AE636" s="7"/>
    </row>
    <row r="637" spans="30:31" ht="14" x14ac:dyDescent="0.2">
      <c r="AD637" s="1"/>
      <c r="AE637" s="7"/>
    </row>
    <row r="638" spans="30:31" ht="14" x14ac:dyDescent="0.2">
      <c r="AD638" s="1"/>
      <c r="AE638" s="7"/>
    </row>
    <row r="639" spans="30:31" ht="14" x14ac:dyDescent="0.2">
      <c r="AD639" s="1"/>
      <c r="AE639" s="7"/>
    </row>
    <row r="640" spans="30:31" ht="14" x14ac:dyDescent="0.2">
      <c r="AD640" s="1"/>
      <c r="AE640" s="7"/>
    </row>
    <row r="641" spans="30:31" ht="14" x14ac:dyDescent="0.2">
      <c r="AD641" s="1"/>
      <c r="AE641" s="7"/>
    </row>
    <row r="642" spans="30:31" ht="14" x14ac:dyDescent="0.2">
      <c r="AD642" s="1"/>
      <c r="AE642" s="7"/>
    </row>
    <row r="643" spans="30:31" ht="14" x14ac:dyDescent="0.2">
      <c r="AD643" s="1"/>
      <c r="AE643" s="7"/>
    </row>
    <row r="644" spans="30:31" ht="14" x14ac:dyDescent="0.2">
      <c r="AD644" s="1"/>
      <c r="AE644" s="7"/>
    </row>
    <row r="645" spans="30:31" ht="14" x14ac:dyDescent="0.2">
      <c r="AD645" s="1"/>
      <c r="AE645" s="7"/>
    </row>
    <row r="646" spans="30:31" ht="14" x14ac:dyDescent="0.2">
      <c r="AD646" s="1"/>
      <c r="AE646" s="7"/>
    </row>
    <row r="647" spans="30:31" ht="14" x14ac:dyDescent="0.2">
      <c r="AD647" s="1"/>
      <c r="AE647" s="7"/>
    </row>
    <row r="648" spans="30:31" ht="14" x14ac:dyDescent="0.2">
      <c r="AD648" s="1"/>
      <c r="AE648" s="7"/>
    </row>
    <row r="649" spans="30:31" ht="14" x14ac:dyDescent="0.2">
      <c r="AD649" s="1"/>
      <c r="AE649" s="7"/>
    </row>
    <row r="650" spans="30:31" ht="14" x14ac:dyDescent="0.2">
      <c r="AD650" s="1"/>
      <c r="AE650" s="7"/>
    </row>
    <row r="651" spans="30:31" ht="14" x14ac:dyDescent="0.2">
      <c r="AD651" s="1"/>
      <c r="AE651" s="7"/>
    </row>
    <row r="652" spans="30:31" ht="14" x14ac:dyDescent="0.2">
      <c r="AD652" s="1"/>
      <c r="AE652" s="7"/>
    </row>
    <row r="653" spans="30:31" ht="14" x14ac:dyDescent="0.2">
      <c r="AD653" s="1"/>
      <c r="AE653" s="7"/>
    </row>
    <row r="654" spans="30:31" ht="14" x14ac:dyDescent="0.2">
      <c r="AD654" s="1"/>
      <c r="AE654" s="7"/>
    </row>
    <row r="655" spans="30:31" ht="14" x14ac:dyDescent="0.2">
      <c r="AD655" s="1"/>
      <c r="AE655" s="7"/>
    </row>
    <row r="656" spans="30:31" ht="14" x14ac:dyDescent="0.2">
      <c r="AD656" s="1"/>
      <c r="AE656" s="7"/>
    </row>
    <row r="657" spans="30:31" ht="14" x14ac:dyDescent="0.2">
      <c r="AD657" s="1"/>
      <c r="AE657" s="7"/>
    </row>
    <row r="658" spans="30:31" ht="14" x14ac:dyDescent="0.2">
      <c r="AD658" s="1"/>
      <c r="AE658" s="7"/>
    </row>
    <row r="659" spans="30:31" ht="14" x14ac:dyDescent="0.2">
      <c r="AD659" s="1"/>
      <c r="AE659" s="7"/>
    </row>
    <row r="660" spans="30:31" ht="14" x14ac:dyDescent="0.2">
      <c r="AD660" s="1"/>
      <c r="AE660" s="7"/>
    </row>
    <row r="661" spans="30:31" ht="14" x14ac:dyDescent="0.2">
      <c r="AD661" s="1"/>
      <c r="AE661" s="7"/>
    </row>
    <row r="662" spans="30:31" ht="14" x14ac:dyDescent="0.2">
      <c r="AD662" s="1"/>
      <c r="AE662" s="7"/>
    </row>
    <row r="663" spans="30:31" ht="14" x14ac:dyDescent="0.2">
      <c r="AD663" s="1"/>
      <c r="AE663" s="7"/>
    </row>
    <row r="664" spans="30:31" ht="14" x14ac:dyDescent="0.2">
      <c r="AD664" s="1"/>
      <c r="AE664" s="7"/>
    </row>
    <row r="665" spans="30:31" ht="14" x14ac:dyDescent="0.2">
      <c r="AD665" s="1"/>
      <c r="AE665" s="7"/>
    </row>
    <row r="666" spans="30:31" ht="14" x14ac:dyDescent="0.2">
      <c r="AD666" s="1"/>
      <c r="AE666" s="7"/>
    </row>
    <row r="667" spans="30:31" ht="14" x14ac:dyDescent="0.2">
      <c r="AD667" s="1"/>
      <c r="AE667" s="7"/>
    </row>
    <row r="668" spans="30:31" ht="14" x14ac:dyDescent="0.2">
      <c r="AD668" s="1"/>
      <c r="AE668" s="7"/>
    </row>
    <row r="669" spans="30:31" ht="14" x14ac:dyDescent="0.2">
      <c r="AD669" s="1"/>
      <c r="AE669" s="7"/>
    </row>
    <row r="670" spans="30:31" ht="14" x14ac:dyDescent="0.2">
      <c r="AD670" s="1"/>
      <c r="AE670" s="7"/>
    </row>
    <row r="671" spans="30:31" ht="14" x14ac:dyDescent="0.2">
      <c r="AD671" s="1"/>
      <c r="AE671" s="7"/>
    </row>
    <row r="672" spans="30:31" ht="14" x14ac:dyDescent="0.2">
      <c r="AD672" s="1"/>
      <c r="AE672" s="7"/>
    </row>
    <row r="673" spans="30:31" ht="14" x14ac:dyDescent="0.2">
      <c r="AD673" s="1"/>
      <c r="AE673" s="7"/>
    </row>
    <row r="674" spans="30:31" ht="14" x14ac:dyDescent="0.2">
      <c r="AD674" s="1"/>
      <c r="AE674" s="7"/>
    </row>
    <row r="675" spans="30:31" ht="14" x14ac:dyDescent="0.2">
      <c r="AD675" s="1"/>
      <c r="AE675" s="7"/>
    </row>
    <row r="676" spans="30:31" ht="14" x14ac:dyDescent="0.2">
      <c r="AD676" s="1"/>
      <c r="AE676" s="7"/>
    </row>
    <row r="677" spans="30:31" ht="14" x14ac:dyDescent="0.2">
      <c r="AD677" s="1"/>
      <c r="AE677" s="7"/>
    </row>
    <row r="678" spans="30:31" ht="14" x14ac:dyDescent="0.2">
      <c r="AD678" s="1"/>
      <c r="AE678" s="7"/>
    </row>
    <row r="679" spans="30:31" ht="14" x14ac:dyDescent="0.2">
      <c r="AD679" s="1"/>
      <c r="AE679" s="7"/>
    </row>
    <row r="680" spans="30:31" ht="14" x14ac:dyDescent="0.2">
      <c r="AD680" s="1"/>
      <c r="AE680" s="7"/>
    </row>
    <row r="681" spans="30:31" ht="14" x14ac:dyDescent="0.2">
      <c r="AD681" s="1"/>
      <c r="AE681" s="7"/>
    </row>
    <row r="682" spans="30:31" ht="14" x14ac:dyDescent="0.2">
      <c r="AD682" s="1"/>
      <c r="AE682" s="7"/>
    </row>
    <row r="683" spans="30:31" ht="14" x14ac:dyDescent="0.2">
      <c r="AD683" s="1"/>
      <c r="AE683" s="7"/>
    </row>
    <row r="684" spans="30:31" ht="14" x14ac:dyDescent="0.2">
      <c r="AD684" s="1"/>
      <c r="AE684" s="7"/>
    </row>
    <row r="685" spans="30:31" ht="14" x14ac:dyDescent="0.2">
      <c r="AD685" s="1"/>
      <c r="AE685" s="7"/>
    </row>
    <row r="686" spans="30:31" ht="14" x14ac:dyDescent="0.2">
      <c r="AD686" s="1"/>
      <c r="AE686" s="7"/>
    </row>
    <row r="687" spans="30:31" ht="14" x14ac:dyDescent="0.2">
      <c r="AD687" s="1"/>
      <c r="AE687" s="7"/>
    </row>
    <row r="688" spans="30:31" ht="14" x14ac:dyDescent="0.2">
      <c r="AD688" s="1"/>
      <c r="AE688" s="7"/>
    </row>
    <row r="689" spans="30:31" ht="14" x14ac:dyDescent="0.2">
      <c r="AD689" s="1"/>
      <c r="AE689" s="7"/>
    </row>
    <row r="690" spans="30:31" ht="14" x14ac:dyDescent="0.2">
      <c r="AD690" s="1"/>
      <c r="AE690" s="7"/>
    </row>
    <row r="691" spans="30:31" ht="14" x14ac:dyDescent="0.2">
      <c r="AD691" s="1"/>
      <c r="AE691" s="7"/>
    </row>
    <row r="692" spans="30:31" ht="14" x14ac:dyDescent="0.2">
      <c r="AD692" s="1"/>
      <c r="AE692" s="7"/>
    </row>
    <row r="693" spans="30:31" ht="14" x14ac:dyDescent="0.2">
      <c r="AD693" s="1"/>
      <c r="AE693" s="7"/>
    </row>
    <row r="694" spans="30:31" ht="14" x14ac:dyDescent="0.2">
      <c r="AD694" s="1"/>
      <c r="AE694" s="7"/>
    </row>
    <row r="695" spans="30:31" ht="14" x14ac:dyDescent="0.2">
      <c r="AD695" s="1"/>
      <c r="AE695" s="7"/>
    </row>
    <row r="696" spans="30:31" ht="14" x14ac:dyDescent="0.2">
      <c r="AD696" s="1"/>
      <c r="AE696" s="7"/>
    </row>
    <row r="697" spans="30:31" ht="14" x14ac:dyDescent="0.2">
      <c r="AD697" s="1"/>
      <c r="AE697" s="7"/>
    </row>
    <row r="698" spans="30:31" ht="14" x14ac:dyDescent="0.2">
      <c r="AD698" s="1"/>
      <c r="AE698" s="7"/>
    </row>
    <row r="699" spans="30:31" ht="14" x14ac:dyDescent="0.2">
      <c r="AD699" s="1"/>
      <c r="AE699" s="7"/>
    </row>
    <row r="700" spans="30:31" ht="14" x14ac:dyDescent="0.2">
      <c r="AD700" s="1"/>
      <c r="AE700" s="7"/>
    </row>
    <row r="701" spans="30:31" ht="14" x14ac:dyDescent="0.2">
      <c r="AD701" s="1"/>
      <c r="AE701" s="7"/>
    </row>
    <row r="702" spans="30:31" ht="14" x14ac:dyDescent="0.2">
      <c r="AD702" s="1"/>
      <c r="AE702" s="7"/>
    </row>
    <row r="703" spans="30:31" ht="14" x14ac:dyDescent="0.2">
      <c r="AD703" s="1"/>
      <c r="AE703" s="7"/>
    </row>
    <row r="704" spans="30:31" ht="14" x14ac:dyDescent="0.2">
      <c r="AD704" s="1"/>
      <c r="AE704" s="7"/>
    </row>
    <row r="705" spans="30:31" ht="14" x14ac:dyDescent="0.2">
      <c r="AD705" s="1"/>
      <c r="AE705" s="7"/>
    </row>
    <row r="706" spans="30:31" ht="14" x14ac:dyDescent="0.2">
      <c r="AD706" s="1"/>
      <c r="AE706" s="7"/>
    </row>
    <row r="707" spans="30:31" ht="14" x14ac:dyDescent="0.2">
      <c r="AD707" s="1"/>
      <c r="AE707" s="7"/>
    </row>
    <row r="708" spans="30:31" ht="14" x14ac:dyDescent="0.2">
      <c r="AD708" s="1"/>
      <c r="AE708" s="7"/>
    </row>
    <row r="709" spans="30:31" ht="14" x14ac:dyDescent="0.2">
      <c r="AD709" s="1"/>
      <c r="AE709" s="7"/>
    </row>
    <row r="710" spans="30:31" ht="14" x14ac:dyDescent="0.2">
      <c r="AD710" s="1"/>
      <c r="AE710" s="7"/>
    </row>
    <row r="711" spans="30:31" ht="14" x14ac:dyDescent="0.2">
      <c r="AD711" s="1"/>
      <c r="AE711" s="7"/>
    </row>
    <row r="712" spans="30:31" ht="14" x14ac:dyDescent="0.2">
      <c r="AD712" s="1"/>
      <c r="AE712" s="7"/>
    </row>
    <row r="713" spans="30:31" ht="14" x14ac:dyDescent="0.2">
      <c r="AD713" s="1"/>
      <c r="AE713" s="7"/>
    </row>
    <row r="714" spans="30:31" ht="14" x14ac:dyDescent="0.2">
      <c r="AD714" s="1"/>
      <c r="AE714" s="7"/>
    </row>
    <row r="715" spans="30:31" ht="14" x14ac:dyDescent="0.2">
      <c r="AD715" s="1"/>
      <c r="AE715" s="7"/>
    </row>
    <row r="716" spans="30:31" ht="14" x14ac:dyDescent="0.2">
      <c r="AD716" s="1"/>
      <c r="AE716" s="7"/>
    </row>
    <row r="717" spans="30:31" ht="14" x14ac:dyDescent="0.2">
      <c r="AD717" s="1"/>
      <c r="AE717" s="7"/>
    </row>
    <row r="718" spans="30:31" ht="14" x14ac:dyDescent="0.2">
      <c r="AD718" s="1"/>
      <c r="AE718" s="7"/>
    </row>
    <row r="719" spans="30:31" ht="14" x14ac:dyDescent="0.2">
      <c r="AD719" s="1"/>
      <c r="AE719" s="7"/>
    </row>
    <row r="720" spans="30:31" ht="14" x14ac:dyDescent="0.2">
      <c r="AD720" s="1"/>
      <c r="AE720" s="7"/>
    </row>
    <row r="721" spans="30:31" ht="14" x14ac:dyDescent="0.2">
      <c r="AD721" s="1"/>
      <c r="AE721" s="7"/>
    </row>
    <row r="722" spans="30:31" ht="14" x14ac:dyDescent="0.2">
      <c r="AD722" s="1"/>
      <c r="AE722" s="7"/>
    </row>
    <row r="723" spans="30:31" ht="14" x14ac:dyDescent="0.2">
      <c r="AD723" s="1"/>
      <c r="AE723" s="7"/>
    </row>
    <row r="724" spans="30:31" ht="14" x14ac:dyDescent="0.2">
      <c r="AD724" s="1"/>
      <c r="AE724" s="7"/>
    </row>
    <row r="725" spans="30:31" ht="14" x14ac:dyDescent="0.2">
      <c r="AD725" s="1"/>
      <c r="AE725" s="7"/>
    </row>
    <row r="726" spans="30:31" ht="14" x14ac:dyDescent="0.2">
      <c r="AD726" s="1"/>
      <c r="AE726" s="7"/>
    </row>
    <row r="727" spans="30:31" ht="14" x14ac:dyDescent="0.2">
      <c r="AD727" s="1"/>
      <c r="AE727" s="7"/>
    </row>
    <row r="728" spans="30:31" ht="14" x14ac:dyDescent="0.2">
      <c r="AD728" s="1"/>
      <c r="AE728" s="7"/>
    </row>
    <row r="729" spans="30:31" ht="14" x14ac:dyDescent="0.2">
      <c r="AD729" s="1"/>
      <c r="AE729" s="7"/>
    </row>
    <row r="730" spans="30:31" ht="14" x14ac:dyDescent="0.2">
      <c r="AD730" s="1"/>
      <c r="AE730" s="7"/>
    </row>
    <row r="731" spans="30:31" ht="14" x14ac:dyDescent="0.2">
      <c r="AD731" s="1"/>
      <c r="AE731" s="7"/>
    </row>
    <row r="732" spans="30:31" ht="14" x14ac:dyDescent="0.2">
      <c r="AD732" s="1"/>
      <c r="AE732" s="7"/>
    </row>
    <row r="733" spans="30:31" ht="14" x14ac:dyDescent="0.2">
      <c r="AD733" s="1"/>
      <c r="AE733" s="7"/>
    </row>
    <row r="734" spans="30:31" ht="14" x14ac:dyDescent="0.2">
      <c r="AD734" s="1"/>
      <c r="AE734" s="7"/>
    </row>
    <row r="735" spans="30:31" ht="14" x14ac:dyDescent="0.2">
      <c r="AD735" s="1"/>
      <c r="AE735" s="7"/>
    </row>
    <row r="736" spans="30:31" ht="14" x14ac:dyDescent="0.2">
      <c r="AD736" s="1"/>
      <c r="AE736" s="7"/>
    </row>
    <row r="737" spans="30:31" ht="14" x14ac:dyDescent="0.2">
      <c r="AD737" s="1"/>
      <c r="AE737" s="7"/>
    </row>
    <row r="738" spans="30:31" ht="14" x14ac:dyDescent="0.2">
      <c r="AD738" s="1"/>
      <c r="AE738" s="7"/>
    </row>
    <row r="739" spans="30:31" ht="14" x14ac:dyDescent="0.2">
      <c r="AD739" s="1"/>
      <c r="AE739" s="7"/>
    </row>
    <row r="740" spans="30:31" ht="14" x14ac:dyDescent="0.2">
      <c r="AD740" s="1"/>
      <c r="AE740" s="7"/>
    </row>
    <row r="741" spans="30:31" ht="14" x14ac:dyDescent="0.2">
      <c r="AD741" s="1"/>
      <c r="AE741" s="7"/>
    </row>
    <row r="742" spans="30:31" ht="14" x14ac:dyDescent="0.2">
      <c r="AD742" s="1"/>
      <c r="AE742" s="7"/>
    </row>
    <row r="743" spans="30:31" ht="14" x14ac:dyDescent="0.2">
      <c r="AD743" s="1"/>
      <c r="AE743" s="7"/>
    </row>
    <row r="744" spans="30:31" ht="14" x14ac:dyDescent="0.2">
      <c r="AD744" s="1"/>
      <c r="AE744" s="7"/>
    </row>
    <row r="745" spans="30:31" ht="14" x14ac:dyDescent="0.2">
      <c r="AD745" s="1"/>
      <c r="AE745" s="7"/>
    </row>
    <row r="746" spans="30:31" ht="14" x14ac:dyDescent="0.2">
      <c r="AD746" s="1"/>
      <c r="AE746" s="7"/>
    </row>
    <row r="747" spans="30:31" ht="14" x14ac:dyDescent="0.2">
      <c r="AD747" s="1"/>
      <c r="AE747" s="7"/>
    </row>
    <row r="748" spans="30:31" ht="14" x14ac:dyDescent="0.2">
      <c r="AD748" s="1"/>
      <c r="AE748" s="7"/>
    </row>
    <row r="749" spans="30:31" ht="14" x14ac:dyDescent="0.2">
      <c r="AD749" s="1"/>
      <c r="AE749" s="7"/>
    </row>
    <row r="750" spans="30:31" ht="14" x14ac:dyDescent="0.2">
      <c r="AD750" s="1"/>
      <c r="AE750" s="7"/>
    </row>
    <row r="751" spans="30:31" ht="14" x14ac:dyDescent="0.2">
      <c r="AD751" s="1"/>
      <c r="AE751" s="7"/>
    </row>
    <row r="752" spans="30:31" ht="14" x14ac:dyDescent="0.2">
      <c r="AD752" s="1"/>
      <c r="AE752" s="7"/>
    </row>
    <row r="753" spans="30:31" ht="14" x14ac:dyDescent="0.2">
      <c r="AD753" s="1"/>
      <c r="AE753" s="7"/>
    </row>
    <row r="754" spans="30:31" ht="14" x14ac:dyDescent="0.2">
      <c r="AD754" s="1"/>
      <c r="AE754" s="7"/>
    </row>
    <row r="755" spans="30:31" ht="14" x14ac:dyDescent="0.2">
      <c r="AD755" s="1"/>
      <c r="AE755" s="7"/>
    </row>
    <row r="756" spans="30:31" ht="14" x14ac:dyDescent="0.2">
      <c r="AD756" s="1"/>
      <c r="AE756" s="7"/>
    </row>
    <row r="757" spans="30:31" ht="14" x14ac:dyDescent="0.2">
      <c r="AD757" s="1"/>
      <c r="AE757" s="7"/>
    </row>
    <row r="758" spans="30:31" ht="14" x14ac:dyDescent="0.2">
      <c r="AD758" s="1"/>
      <c r="AE758" s="7"/>
    </row>
    <row r="759" spans="30:31" ht="14" x14ac:dyDescent="0.2">
      <c r="AD759" s="1"/>
      <c r="AE759" s="7"/>
    </row>
    <row r="760" spans="30:31" ht="14" x14ac:dyDescent="0.2">
      <c r="AD760" s="1"/>
      <c r="AE760" s="7"/>
    </row>
    <row r="761" spans="30:31" ht="14" x14ac:dyDescent="0.2">
      <c r="AD761" s="1"/>
      <c r="AE761" s="7"/>
    </row>
    <row r="762" spans="30:31" ht="14" x14ac:dyDescent="0.2">
      <c r="AD762" s="1"/>
      <c r="AE762" s="7"/>
    </row>
    <row r="763" spans="30:31" ht="14" x14ac:dyDescent="0.2">
      <c r="AD763" s="1"/>
      <c r="AE763" s="7"/>
    </row>
    <row r="764" spans="30:31" ht="14" x14ac:dyDescent="0.2">
      <c r="AD764" s="1"/>
      <c r="AE764" s="7"/>
    </row>
    <row r="765" spans="30:31" ht="14" x14ac:dyDescent="0.2">
      <c r="AD765" s="1"/>
      <c r="AE765" s="7"/>
    </row>
    <row r="766" spans="30:31" ht="14" x14ac:dyDescent="0.2">
      <c r="AD766" s="1"/>
      <c r="AE766" s="7"/>
    </row>
    <row r="767" spans="30:31" ht="14" x14ac:dyDescent="0.2">
      <c r="AD767" s="1"/>
      <c r="AE767" s="7"/>
    </row>
    <row r="768" spans="30:31" ht="14" x14ac:dyDescent="0.2">
      <c r="AD768" s="1"/>
      <c r="AE768" s="7"/>
    </row>
    <row r="769" spans="30:31" ht="14" x14ac:dyDescent="0.2">
      <c r="AD769" s="1"/>
      <c r="AE769" s="7"/>
    </row>
    <row r="770" spans="30:31" ht="14" x14ac:dyDescent="0.2">
      <c r="AD770" s="1"/>
      <c r="AE770" s="7"/>
    </row>
    <row r="771" spans="30:31" ht="14" x14ac:dyDescent="0.2">
      <c r="AD771" s="1"/>
      <c r="AE771" s="7"/>
    </row>
    <row r="772" spans="30:31" ht="14" x14ac:dyDescent="0.2">
      <c r="AD772" s="1"/>
      <c r="AE772" s="7"/>
    </row>
    <row r="773" spans="30:31" ht="14" x14ac:dyDescent="0.2">
      <c r="AD773" s="1"/>
      <c r="AE773" s="7"/>
    </row>
    <row r="774" spans="30:31" ht="14" x14ac:dyDescent="0.2">
      <c r="AD774" s="1"/>
      <c r="AE774" s="7"/>
    </row>
    <row r="775" spans="30:31" ht="14" x14ac:dyDescent="0.2">
      <c r="AD775" s="1"/>
      <c r="AE775" s="7"/>
    </row>
    <row r="776" spans="30:31" ht="14" x14ac:dyDescent="0.2">
      <c r="AD776" s="1"/>
      <c r="AE776" s="7"/>
    </row>
    <row r="777" spans="30:31" ht="14" x14ac:dyDescent="0.2">
      <c r="AD777" s="1"/>
      <c r="AE777" s="7"/>
    </row>
    <row r="778" spans="30:31" ht="14" x14ac:dyDescent="0.2">
      <c r="AD778" s="1"/>
      <c r="AE778" s="7"/>
    </row>
    <row r="779" spans="30:31" ht="14" x14ac:dyDescent="0.2">
      <c r="AD779" s="1"/>
      <c r="AE779" s="7"/>
    </row>
    <row r="780" spans="30:31" ht="14" x14ac:dyDescent="0.2">
      <c r="AD780" s="1"/>
      <c r="AE780" s="7"/>
    </row>
    <row r="781" spans="30:31" ht="14" x14ac:dyDescent="0.2">
      <c r="AD781" s="1"/>
      <c r="AE781" s="7"/>
    </row>
    <row r="782" spans="30:31" ht="14" x14ac:dyDescent="0.2">
      <c r="AD782" s="1"/>
      <c r="AE782" s="7"/>
    </row>
    <row r="783" spans="30:31" ht="14" x14ac:dyDescent="0.2">
      <c r="AD783" s="1"/>
      <c r="AE783" s="7"/>
    </row>
    <row r="784" spans="30:31" ht="14" x14ac:dyDescent="0.2">
      <c r="AD784" s="1"/>
      <c r="AE784" s="7"/>
    </row>
    <row r="785" spans="30:31" ht="14" x14ac:dyDescent="0.2">
      <c r="AD785" s="1"/>
      <c r="AE785" s="7"/>
    </row>
    <row r="786" spans="30:31" ht="14" x14ac:dyDescent="0.2">
      <c r="AD786" s="1"/>
      <c r="AE786" s="7"/>
    </row>
    <row r="787" spans="30:31" ht="14" x14ac:dyDescent="0.2">
      <c r="AD787" s="1"/>
      <c r="AE787" s="7"/>
    </row>
    <row r="788" spans="30:31" ht="14" x14ac:dyDescent="0.2">
      <c r="AD788" s="1"/>
      <c r="AE788" s="7"/>
    </row>
    <row r="789" spans="30:31" ht="14" x14ac:dyDescent="0.2">
      <c r="AD789" s="1"/>
      <c r="AE789" s="7"/>
    </row>
    <row r="790" spans="30:31" ht="14" x14ac:dyDescent="0.2">
      <c r="AD790" s="1"/>
      <c r="AE790" s="7"/>
    </row>
    <row r="791" spans="30:31" ht="14" x14ac:dyDescent="0.2">
      <c r="AD791" s="1"/>
      <c r="AE791" s="7"/>
    </row>
    <row r="792" spans="30:31" ht="14" x14ac:dyDescent="0.2">
      <c r="AD792" s="1"/>
      <c r="AE792" s="7"/>
    </row>
    <row r="793" spans="30:31" ht="14" x14ac:dyDescent="0.2">
      <c r="AD793" s="1"/>
      <c r="AE793" s="7"/>
    </row>
    <row r="794" spans="30:31" ht="14" x14ac:dyDescent="0.2">
      <c r="AD794" s="1"/>
      <c r="AE794" s="7"/>
    </row>
    <row r="795" spans="30:31" ht="14" x14ac:dyDescent="0.2">
      <c r="AD795" s="1"/>
      <c r="AE795" s="7"/>
    </row>
    <row r="796" spans="30:31" ht="14" x14ac:dyDescent="0.2">
      <c r="AD796" s="1"/>
      <c r="AE796" s="7"/>
    </row>
    <row r="797" spans="30:31" ht="14" x14ac:dyDescent="0.2">
      <c r="AD797" s="1"/>
      <c r="AE797" s="7"/>
    </row>
    <row r="798" spans="30:31" ht="14" x14ac:dyDescent="0.2">
      <c r="AD798" s="1"/>
      <c r="AE798" s="7"/>
    </row>
    <row r="799" spans="30:31" ht="14" x14ac:dyDescent="0.2">
      <c r="AD799" s="1"/>
      <c r="AE799" s="7"/>
    </row>
    <row r="800" spans="30:31" ht="14" x14ac:dyDescent="0.2">
      <c r="AD800" s="1"/>
      <c r="AE800" s="7"/>
    </row>
    <row r="801" spans="30:31" ht="14" x14ac:dyDescent="0.2">
      <c r="AD801" s="1"/>
      <c r="AE801" s="7"/>
    </row>
    <row r="802" spans="30:31" ht="14" x14ac:dyDescent="0.2">
      <c r="AD802" s="1"/>
      <c r="AE802" s="7"/>
    </row>
    <row r="803" spans="30:31" ht="14" x14ac:dyDescent="0.2">
      <c r="AD803" s="1"/>
      <c r="AE803" s="7"/>
    </row>
    <row r="804" spans="30:31" ht="14" x14ac:dyDescent="0.2">
      <c r="AD804" s="1"/>
      <c r="AE804" s="7"/>
    </row>
    <row r="805" spans="30:31" ht="14" x14ac:dyDescent="0.2">
      <c r="AD805" s="1"/>
      <c r="AE805" s="7"/>
    </row>
    <row r="806" spans="30:31" ht="14" x14ac:dyDescent="0.2">
      <c r="AD806" s="1"/>
      <c r="AE806" s="7"/>
    </row>
    <row r="807" spans="30:31" ht="14" x14ac:dyDescent="0.2">
      <c r="AD807" s="1"/>
      <c r="AE807" s="7"/>
    </row>
    <row r="808" spans="30:31" ht="14" x14ac:dyDescent="0.2">
      <c r="AD808" s="1"/>
      <c r="AE808" s="7"/>
    </row>
    <row r="809" spans="30:31" ht="14" x14ac:dyDescent="0.2">
      <c r="AD809" s="1"/>
      <c r="AE809" s="7"/>
    </row>
    <row r="810" spans="30:31" ht="14" x14ac:dyDescent="0.2">
      <c r="AD810" s="1"/>
      <c r="AE810" s="7"/>
    </row>
    <row r="811" spans="30:31" ht="14" x14ac:dyDescent="0.2">
      <c r="AD811" s="1"/>
      <c r="AE811" s="7"/>
    </row>
    <row r="812" spans="30:31" ht="14" x14ac:dyDescent="0.2">
      <c r="AD812" s="1"/>
      <c r="AE812" s="7"/>
    </row>
    <row r="813" spans="30:31" ht="14" x14ac:dyDescent="0.2">
      <c r="AD813" s="1"/>
      <c r="AE813" s="7"/>
    </row>
    <row r="814" spans="30:31" ht="14" x14ac:dyDescent="0.2">
      <c r="AD814" s="1"/>
      <c r="AE814" s="7"/>
    </row>
    <row r="815" spans="30:31" ht="14" x14ac:dyDescent="0.2">
      <c r="AD815" s="1"/>
      <c r="AE815" s="7"/>
    </row>
    <row r="816" spans="30:31" ht="14" x14ac:dyDescent="0.2">
      <c r="AD816" s="1"/>
      <c r="AE816" s="7"/>
    </row>
    <row r="817" spans="30:31" ht="14" x14ac:dyDescent="0.2">
      <c r="AD817" s="1"/>
      <c r="AE817" s="7"/>
    </row>
    <row r="818" spans="30:31" ht="14" x14ac:dyDescent="0.2">
      <c r="AD818" s="1"/>
      <c r="AE818" s="7"/>
    </row>
    <row r="819" spans="30:31" ht="14" x14ac:dyDescent="0.2">
      <c r="AD819" s="1"/>
      <c r="AE819" s="7"/>
    </row>
    <row r="820" spans="30:31" ht="14" x14ac:dyDescent="0.2">
      <c r="AD820" s="1"/>
      <c r="AE820" s="7"/>
    </row>
    <row r="821" spans="30:31" ht="14" x14ac:dyDescent="0.2">
      <c r="AD821" s="1"/>
      <c r="AE821" s="7"/>
    </row>
    <row r="822" spans="30:31" ht="14" x14ac:dyDescent="0.2">
      <c r="AD822" s="1"/>
      <c r="AE822" s="7"/>
    </row>
    <row r="823" spans="30:31" ht="14" x14ac:dyDescent="0.2">
      <c r="AD823" s="1"/>
      <c r="AE823" s="7"/>
    </row>
    <row r="824" spans="30:31" ht="14" x14ac:dyDescent="0.2">
      <c r="AD824" s="1"/>
      <c r="AE824" s="7"/>
    </row>
    <row r="825" spans="30:31" ht="14" x14ac:dyDescent="0.2">
      <c r="AD825" s="1"/>
      <c r="AE825" s="7"/>
    </row>
    <row r="826" spans="30:31" ht="14" x14ac:dyDescent="0.2">
      <c r="AD826" s="1"/>
      <c r="AE826" s="7"/>
    </row>
    <row r="827" spans="30:31" ht="14" x14ac:dyDescent="0.2">
      <c r="AD827" s="1"/>
      <c r="AE827" s="7"/>
    </row>
    <row r="828" spans="30:31" ht="14" x14ac:dyDescent="0.2">
      <c r="AD828" s="1"/>
      <c r="AE828" s="7"/>
    </row>
    <row r="829" spans="30:31" ht="14" x14ac:dyDescent="0.2">
      <c r="AD829" s="1"/>
      <c r="AE829" s="7"/>
    </row>
    <row r="830" spans="30:31" ht="14" x14ac:dyDescent="0.2">
      <c r="AD830" s="1"/>
      <c r="AE830" s="7"/>
    </row>
    <row r="831" spans="30:31" ht="14" x14ac:dyDescent="0.2">
      <c r="AD831" s="1"/>
      <c r="AE831" s="7"/>
    </row>
    <row r="832" spans="30:31" ht="14" x14ac:dyDescent="0.2">
      <c r="AD832" s="1"/>
      <c r="AE832" s="7"/>
    </row>
    <row r="833" spans="30:31" ht="14" x14ac:dyDescent="0.2">
      <c r="AD833" s="1"/>
      <c r="AE833" s="7"/>
    </row>
    <row r="834" spans="30:31" ht="14" x14ac:dyDescent="0.2">
      <c r="AD834" s="1"/>
      <c r="AE834" s="7"/>
    </row>
    <row r="835" spans="30:31" ht="14" x14ac:dyDescent="0.2">
      <c r="AD835" s="1"/>
      <c r="AE835" s="7"/>
    </row>
    <row r="836" spans="30:31" ht="14" x14ac:dyDescent="0.2">
      <c r="AD836" s="1"/>
      <c r="AE836" s="7"/>
    </row>
    <row r="837" spans="30:31" ht="14" x14ac:dyDescent="0.2">
      <c r="AD837" s="1"/>
      <c r="AE837" s="7"/>
    </row>
    <row r="838" spans="30:31" ht="14" x14ac:dyDescent="0.2">
      <c r="AD838" s="1"/>
      <c r="AE838" s="7"/>
    </row>
    <row r="839" spans="30:31" ht="14" x14ac:dyDescent="0.2">
      <c r="AD839" s="1"/>
      <c r="AE839" s="7"/>
    </row>
    <row r="840" spans="30:31" ht="14" x14ac:dyDescent="0.2">
      <c r="AD840" s="1"/>
      <c r="AE840" s="7"/>
    </row>
    <row r="841" spans="30:31" ht="14" x14ac:dyDescent="0.2">
      <c r="AD841" s="1"/>
      <c r="AE841" s="7"/>
    </row>
    <row r="842" spans="30:31" ht="14" x14ac:dyDescent="0.2">
      <c r="AD842" s="1"/>
      <c r="AE842" s="7"/>
    </row>
    <row r="843" spans="30:31" ht="14" x14ac:dyDescent="0.2">
      <c r="AD843" s="1"/>
      <c r="AE843" s="7"/>
    </row>
    <row r="844" spans="30:31" ht="14" x14ac:dyDescent="0.2">
      <c r="AD844" s="1"/>
      <c r="AE844" s="7"/>
    </row>
    <row r="845" spans="30:31" ht="14" x14ac:dyDescent="0.2">
      <c r="AD845" s="1"/>
      <c r="AE845" s="7"/>
    </row>
    <row r="846" spans="30:31" ht="14" x14ac:dyDescent="0.2">
      <c r="AD846" s="1"/>
      <c r="AE846" s="7"/>
    </row>
    <row r="847" spans="30:31" ht="14" x14ac:dyDescent="0.2">
      <c r="AD847" s="1"/>
      <c r="AE847" s="7"/>
    </row>
    <row r="848" spans="30:31" ht="14" x14ac:dyDescent="0.2">
      <c r="AD848" s="1"/>
      <c r="AE848" s="7"/>
    </row>
    <row r="849" spans="30:31" ht="14" x14ac:dyDescent="0.2">
      <c r="AD849" s="1"/>
      <c r="AE849" s="7"/>
    </row>
    <row r="850" spans="30:31" ht="14" x14ac:dyDescent="0.2">
      <c r="AD850" s="1"/>
      <c r="AE850" s="7"/>
    </row>
    <row r="851" spans="30:31" ht="14" x14ac:dyDescent="0.2">
      <c r="AD851" s="1"/>
      <c r="AE851" s="7"/>
    </row>
    <row r="852" spans="30:31" ht="14" x14ac:dyDescent="0.2">
      <c r="AD852" s="1"/>
      <c r="AE852" s="7"/>
    </row>
    <row r="853" spans="30:31" ht="14" x14ac:dyDescent="0.2">
      <c r="AD853" s="1"/>
      <c r="AE853" s="7"/>
    </row>
    <row r="854" spans="30:31" ht="14" x14ac:dyDescent="0.2">
      <c r="AD854" s="1"/>
      <c r="AE854" s="7"/>
    </row>
    <row r="855" spans="30:31" ht="14" x14ac:dyDescent="0.2">
      <c r="AD855" s="1"/>
      <c r="AE855" s="7"/>
    </row>
    <row r="856" spans="30:31" ht="14" x14ac:dyDescent="0.2">
      <c r="AD856" s="1"/>
      <c r="AE856" s="7"/>
    </row>
    <row r="857" spans="30:31" ht="14" x14ac:dyDescent="0.2">
      <c r="AD857" s="1"/>
      <c r="AE857" s="7"/>
    </row>
    <row r="858" spans="30:31" ht="14" x14ac:dyDescent="0.2">
      <c r="AD858" s="1"/>
      <c r="AE858" s="7"/>
    </row>
    <row r="859" spans="30:31" ht="14" x14ac:dyDescent="0.2">
      <c r="AD859" s="1"/>
      <c r="AE859" s="7"/>
    </row>
    <row r="860" spans="30:31" ht="14" x14ac:dyDescent="0.2">
      <c r="AD860" s="1"/>
      <c r="AE860" s="7"/>
    </row>
    <row r="861" spans="30:31" ht="14" x14ac:dyDescent="0.2">
      <c r="AD861" s="1"/>
      <c r="AE861" s="7"/>
    </row>
    <row r="862" spans="30:31" ht="14" x14ac:dyDescent="0.2">
      <c r="AD862" s="1"/>
      <c r="AE862" s="7"/>
    </row>
    <row r="863" spans="30:31" ht="14" x14ac:dyDescent="0.2">
      <c r="AD863" s="1"/>
      <c r="AE863" s="7"/>
    </row>
    <row r="864" spans="30:31" ht="14" x14ac:dyDescent="0.2">
      <c r="AD864" s="1"/>
      <c r="AE864" s="7"/>
    </row>
    <row r="865" spans="30:31" ht="14" x14ac:dyDescent="0.2">
      <c r="AD865" s="1"/>
      <c r="AE865" s="7"/>
    </row>
    <row r="866" spans="30:31" ht="14" x14ac:dyDescent="0.2">
      <c r="AD866" s="1"/>
      <c r="AE866" s="7"/>
    </row>
    <row r="867" spans="30:31" ht="14" x14ac:dyDescent="0.2">
      <c r="AD867" s="1"/>
      <c r="AE867" s="7"/>
    </row>
    <row r="868" spans="30:31" ht="14" x14ac:dyDescent="0.2">
      <c r="AD868" s="1"/>
      <c r="AE868" s="7"/>
    </row>
    <row r="869" spans="30:31" ht="14" x14ac:dyDescent="0.2">
      <c r="AD869" s="1"/>
      <c r="AE869" s="7"/>
    </row>
    <row r="870" spans="30:31" ht="14" x14ac:dyDescent="0.2">
      <c r="AD870" s="1"/>
      <c r="AE870" s="7"/>
    </row>
    <row r="871" spans="30:31" ht="14" x14ac:dyDescent="0.2">
      <c r="AD871" s="1"/>
      <c r="AE871" s="7"/>
    </row>
    <row r="872" spans="30:31" ht="14" x14ac:dyDescent="0.2">
      <c r="AD872" s="1"/>
      <c r="AE872" s="7"/>
    </row>
    <row r="873" spans="30:31" ht="14" x14ac:dyDescent="0.2">
      <c r="AD873" s="1"/>
      <c r="AE873" s="7"/>
    </row>
    <row r="874" spans="30:31" ht="14" x14ac:dyDescent="0.2">
      <c r="AD874" s="1"/>
      <c r="AE874" s="7"/>
    </row>
    <row r="875" spans="30:31" ht="14" x14ac:dyDescent="0.2">
      <c r="AD875" s="1"/>
      <c r="AE875" s="7"/>
    </row>
    <row r="876" spans="30:31" ht="14" x14ac:dyDescent="0.2">
      <c r="AD876" s="1"/>
      <c r="AE876" s="7"/>
    </row>
    <row r="877" spans="30:31" ht="14" x14ac:dyDescent="0.2">
      <c r="AD877" s="1"/>
      <c r="AE877" s="7"/>
    </row>
    <row r="878" spans="30:31" ht="14" x14ac:dyDescent="0.2">
      <c r="AD878" s="1"/>
      <c r="AE878" s="7"/>
    </row>
    <row r="879" spans="30:31" ht="14" x14ac:dyDescent="0.2">
      <c r="AD879" s="1"/>
      <c r="AE879" s="7"/>
    </row>
    <row r="880" spans="30:31" ht="14" x14ac:dyDescent="0.2">
      <c r="AD880" s="1"/>
      <c r="AE880" s="7"/>
    </row>
    <row r="881" spans="30:31" ht="14" x14ac:dyDescent="0.2">
      <c r="AD881" s="1"/>
      <c r="AE881" s="7"/>
    </row>
    <row r="882" spans="30:31" ht="14" x14ac:dyDescent="0.2">
      <c r="AD882" s="1"/>
      <c r="AE882" s="7"/>
    </row>
    <row r="883" spans="30:31" ht="14" x14ac:dyDescent="0.2">
      <c r="AD883" s="1"/>
      <c r="AE883" s="7"/>
    </row>
    <row r="884" spans="30:31" ht="14" x14ac:dyDescent="0.2">
      <c r="AD884" s="1"/>
      <c r="AE884" s="7"/>
    </row>
    <row r="885" spans="30:31" ht="14" x14ac:dyDescent="0.2">
      <c r="AD885" s="1"/>
      <c r="AE885" s="7"/>
    </row>
    <row r="886" spans="30:31" ht="14" x14ac:dyDescent="0.2">
      <c r="AD886" s="1"/>
      <c r="AE886" s="7"/>
    </row>
    <row r="887" spans="30:31" ht="14" x14ac:dyDescent="0.2">
      <c r="AD887" s="1"/>
      <c r="AE887" s="7"/>
    </row>
    <row r="888" spans="30:31" ht="14" x14ac:dyDescent="0.2">
      <c r="AD888" s="1"/>
      <c r="AE888" s="7"/>
    </row>
    <row r="889" spans="30:31" ht="14" x14ac:dyDescent="0.2">
      <c r="AD889" s="1"/>
      <c r="AE889" s="7"/>
    </row>
    <row r="890" spans="30:31" ht="14" x14ac:dyDescent="0.2">
      <c r="AD890" s="1"/>
      <c r="AE890" s="7"/>
    </row>
    <row r="891" spans="30:31" ht="14" x14ac:dyDescent="0.2">
      <c r="AD891" s="1"/>
      <c r="AE891" s="7"/>
    </row>
    <row r="892" spans="30:31" ht="14" x14ac:dyDescent="0.2">
      <c r="AD892" s="1"/>
      <c r="AE892" s="7"/>
    </row>
    <row r="893" spans="30:31" ht="14" x14ac:dyDescent="0.2">
      <c r="AD893" s="1"/>
      <c r="AE893" s="7"/>
    </row>
    <row r="894" spans="30:31" ht="14" x14ac:dyDescent="0.2">
      <c r="AD894" s="1"/>
      <c r="AE894" s="7"/>
    </row>
    <row r="895" spans="30:31" ht="14" x14ac:dyDescent="0.2">
      <c r="AD895" s="1"/>
      <c r="AE895" s="7"/>
    </row>
    <row r="896" spans="30:31" ht="14" x14ac:dyDescent="0.2">
      <c r="AD896" s="1"/>
      <c r="AE896" s="7"/>
    </row>
    <row r="897" spans="30:31" ht="14" x14ac:dyDescent="0.2">
      <c r="AD897" s="1"/>
      <c r="AE897" s="7"/>
    </row>
    <row r="898" spans="30:31" ht="14" x14ac:dyDescent="0.2">
      <c r="AD898" s="1"/>
      <c r="AE898" s="7"/>
    </row>
    <row r="899" spans="30:31" ht="14" x14ac:dyDescent="0.2">
      <c r="AD899" s="1"/>
      <c r="AE899" s="7"/>
    </row>
    <row r="900" spans="30:31" ht="14" x14ac:dyDescent="0.2">
      <c r="AD900" s="1"/>
      <c r="AE900" s="7"/>
    </row>
    <row r="901" spans="30:31" ht="14" x14ac:dyDescent="0.2">
      <c r="AD901" s="1"/>
      <c r="AE901" s="7"/>
    </row>
    <row r="902" spans="30:31" ht="14" x14ac:dyDescent="0.2">
      <c r="AD902" s="1"/>
      <c r="AE902" s="7"/>
    </row>
    <row r="903" spans="30:31" ht="14" x14ac:dyDescent="0.2">
      <c r="AD903" s="1"/>
      <c r="AE903" s="7"/>
    </row>
    <row r="904" spans="30:31" ht="14" x14ac:dyDescent="0.2">
      <c r="AD904" s="1"/>
      <c r="AE904" s="7"/>
    </row>
    <row r="905" spans="30:31" ht="14" x14ac:dyDescent="0.2">
      <c r="AD905" s="1"/>
      <c r="AE905" s="7"/>
    </row>
    <row r="906" spans="30:31" ht="14" x14ac:dyDescent="0.2">
      <c r="AD906" s="1"/>
      <c r="AE906" s="7"/>
    </row>
    <row r="907" spans="30:31" ht="14" x14ac:dyDescent="0.2">
      <c r="AD907" s="1"/>
      <c r="AE907" s="7"/>
    </row>
    <row r="908" spans="30:31" ht="14" x14ac:dyDescent="0.2">
      <c r="AD908" s="1"/>
      <c r="AE908" s="7"/>
    </row>
    <row r="909" spans="30:31" ht="14" x14ac:dyDescent="0.2">
      <c r="AD909" s="1"/>
      <c r="AE909" s="7"/>
    </row>
    <row r="910" spans="30:31" ht="14" x14ac:dyDescent="0.2">
      <c r="AD910" s="1"/>
      <c r="AE910" s="7"/>
    </row>
    <row r="911" spans="30:31" ht="14" x14ac:dyDescent="0.2">
      <c r="AD911" s="1"/>
      <c r="AE911" s="7"/>
    </row>
    <row r="912" spans="30:31" ht="14" x14ac:dyDescent="0.2">
      <c r="AD912" s="1"/>
      <c r="AE912" s="7"/>
    </row>
    <row r="913" spans="30:31" ht="14" x14ac:dyDescent="0.2">
      <c r="AD913" s="1"/>
      <c r="AE913" s="7"/>
    </row>
    <row r="914" spans="30:31" ht="14" x14ac:dyDescent="0.2">
      <c r="AD914" s="1"/>
      <c r="AE914" s="7"/>
    </row>
    <row r="915" spans="30:31" ht="14" x14ac:dyDescent="0.2">
      <c r="AD915" s="1"/>
      <c r="AE915" s="7"/>
    </row>
    <row r="916" spans="30:31" ht="14" x14ac:dyDescent="0.2">
      <c r="AD916" s="1"/>
      <c r="AE916" s="7"/>
    </row>
    <row r="917" spans="30:31" ht="14" x14ac:dyDescent="0.2">
      <c r="AD917" s="1"/>
      <c r="AE917" s="7"/>
    </row>
    <row r="918" spans="30:31" ht="14" x14ac:dyDescent="0.2">
      <c r="AD918" s="1"/>
      <c r="AE918" s="7"/>
    </row>
    <row r="919" spans="30:31" ht="14" x14ac:dyDescent="0.2">
      <c r="AD919" s="1"/>
      <c r="AE919" s="7"/>
    </row>
    <row r="920" spans="30:31" ht="14" x14ac:dyDescent="0.2">
      <c r="AD920" s="1"/>
      <c r="AE920" s="7"/>
    </row>
    <row r="921" spans="30:31" ht="14" x14ac:dyDescent="0.2">
      <c r="AD921" s="1"/>
      <c r="AE921" s="7"/>
    </row>
    <row r="922" spans="30:31" ht="14" x14ac:dyDescent="0.2">
      <c r="AD922" s="1"/>
      <c r="AE922" s="7"/>
    </row>
    <row r="923" spans="30:31" ht="14" x14ac:dyDescent="0.2">
      <c r="AD923" s="1"/>
      <c r="AE923" s="7"/>
    </row>
    <row r="924" spans="30:31" ht="14" x14ac:dyDescent="0.2">
      <c r="AD924" s="1"/>
      <c r="AE924" s="7"/>
    </row>
    <row r="925" spans="30:31" ht="14" x14ac:dyDescent="0.2">
      <c r="AD925" s="1"/>
      <c r="AE925" s="7"/>
    </row>
    <row r="926" spans="30:31" ht="14" x14ac:dyDescent="0.2">
      <c r="AD926" s="1"/>
      <c r="AE926" s="7"/>
    </row>
    <row r="927" spans="30:31" ht="14" x14ac:dyDescent="0.2">
      <c r="AD927" s="1"/>
      <c r="AE927" s="7"/>
    </row>
    <row r="928" spans="30:31" ht="14" x14ac:dyDescent="0.2">
      <c r="AD928" s="1"/>
      <c r="AE928" s="7"/>
    </row>
    <row r="929" spans="30:31" ht="14" x14ac:dyDescent="0.2">
      <c r="AD929" s="1"/>
      <c r="AE929" s="7"/>
    </row>
    <row r="930" spans="30:31" ht="14" x14ac:dyDescent="0.2">
      <c r="AD930" s="1"/>
      <c r="AE930" s="7"/>
    </row>
    <row r="931" spans="30:31" ht="14" x14ac:dyDescent="0.2">
      <c r="AD931" s="1"/>
      <c r="AE931" s="7"/>
    </row>
    <row r="932" spans="30:31" ht="14" x14ac:dyDescent="0.2">
      <c r="AD932" s="1"/>
      <c r="AE932" s="7"/>
    </row>
    <row r="933" spans="30:31" ht="14" x14ac:dyDescent="0.2">
      <c r="AD933" s="1"/>
      <c r="AE933" s="7"/>
    </row>
    <row r="934" spans="30:31" ht="14" x14ac:dyDescent="0.2">
      <c r="AD934" s="1"/>
      <c r="AE934" s="7"/>
    </row>
    <row r="935" spans="30:31" ht="14" x14ac:dyDescent="0.2">
      <c r="AD935" s="1"/>
      <c r="AE935" s="7"/>
    </row>
    <row r="936" spans="30:31" ht="14" x14ac:dyDescent="0.2">
      <c r="AD936" s="1"/>
      <c r="AE936" s="7"/>
    </row>
    <row r="937" spans="30:31" ht="14" x14ac:dyDescent="0.2">
      <c r="AD937" s="1"/>
      <c r="AE937" s="7"/>
    </row>
    <row r="938" spans="30:31" ht="14" x14ac:dyDescent="0.2">
      <c r="AD938" s="1"/>
      <c r="AE938" s="7"/>
    </row>
    <row r="939" spans="30:31" ht="14" x14ac:dyDescent="0.2">
      <c r="AD939" s="1"/>
      <c r="AE939" s="7"/>
    </row>
    <row r="940" spans="30:31" ht="14" x14ac:dyDescent="0.2">
      <c r="AD940" s="1"/>
      <c r="AE940" s="7"/>
    </row>
    <row r="941" spans="30:31" ht="14" x14ac:dyDescent="0.2">
      <c r="AD941" s="1"/>
      <c r="AE941" s="7"/>
    </row>
    <row r="942" spans="30:31" ht="14" x14ac:dyDescent="0.2">
      <c r="AD942" s="1"/>
      <c r="AE942" s="7"/>
    </row>
    <row r="943" spans="30:31" ht="14" x14ac:dyDescent="0.2">
      <c r="AD943" s="1"/>
      <c r="AE943" s="7"/>
    </row>
    <row r="944" spans="30:31" ht="14" x14ac:dyDescent="0.2">
      <c r="AD944" s="1"/>
      <c r="AE944" s="7"/>
    </row>
    <row r="945" spans="30:31" ht="14" x14ac:dyDescent="0.2">
      <c r="AD945" s="1"/>
      <c r="AE945" s="7"/>
    </row>
    <row r="946" spans="30:31" ht="14" x14ac:dyDescent="0.2">
      <c r="AD946" s="1"/>
      <c r="AE946" s="7"/>
    </row>
    <row r="947" spans="30:31" ht="14" x14ac:dyDescent="0.2">
      <c r="AD947" s="1"/>
      <c r="AE947" s="7"/>
    </row>
    <row r="948" spans="30:31" ht="14" x14ac:dyDescent="0.2">
      <c r="AD948" s="1"/>
      <c r="AE948" s="7"/>
    </row>
    <row r="949" spans="30:31" ht="14" x14ac:dyDescent="0.2">
      <c r="AD949" s="1"/>
      <c r="AE949" s="7"/>
    </row>
    <row r="950" spans="30:31" ht="14" x14ac:dyDescent="0.2">
      <c r="AD950" s="1"/>
      <c r="AE950" s="7"/>
    </row>
    <row r="951" spans="30:31" ht="14" x14ac:dyDescent="0.2">
      <c r="AD951" s="1"/>
      <c r="AE951" s="7"/>
    </row>
    <row r="952" spans="30:31" ht="14" x14ac:dyDescent="0.2">
      <c r="AD952" s="1"/>
      <c r="AE952" s="7"/>
    </row>
    <row r="953" spans="30:31" ht="14" x14ac:dyDescent="0.2">
      <c r="AD953" s="1"/>
      <c r="AE953" s="7"/>
    </row>
    <row r="954" spans="30:31" ht="14" x14ac:dyDescent="0.2">
      <c r="AD954" s="1"/>
      <c r="AE954" s="7"/>
    </row>
    <row r="955" spans="30:31" ht="14" x14ac:dyDescent="0.2">
      <c r="AD955" s="1"/>
      <c r="AE955" s="7"/>
    </row>
    <row r="956" spans="30:31" ht="14" x14ac:dyDescent="0.2">
      <c r="AD956" s="1"/>
      <c r="AE956" s="7"/>
    </row>
    <row r="957" spans="30:31" ht="14" x14ac:dyDescent="0.2">
      <c r="AD957" s="1"/>
      <c r="AE957" s="7"/>
    </row>
    <row r="958" spans="30:31" ht="14" x14ac:dyDescent="0.2">
      <c r="AD958" s="1"/>
      <c r="AE958" s="7"/>
    </row>
    <row r="959" spans="30:31" ht="14" x14ac:dyDescent="0.2">
      <c r="AD959" s="1"/>
      <c r="AE959" s="7"/>
    </row>
    <row r="960" spans="30:31" ht="14" x14ac:dyDescent="0.2">
      <c r="AD960" s="1"/>
      <c r="AE960" s="7"/>
    </row>
    <row r="961" spans="30:31" ht="14" x14ac:dyDescent="0.2">
      <c r="AD961" s="1"/>
      <c r="AE961" s="7"/>
    </row>
    <row r="962" spans="30:31" ht="14" x14ac:dyDescent="0.2">
      <c r="AD962" s="1"/>
      <c r="AE962" s="7"/>
    </row>
    <row r="963" spans="30:31" ht="14" x14ac:dyDescent="0.2">
      <c r="AD963" s="1"/>
      <c r="AE963" s="7"/>
    </row>
    <row r="964" spans="30:31" ht="14" x14ac:dyDescent="0.2">
      <c r="AD964" s="1"/>
      <c r="AE964" s="7"/>
    </row>
    <row r="965" spans="30:31" ht="14" x14ac:dyDescent="0.2">
      <c r="AD965" s="1"/>
      <c r="AE965" s="7"/>
    </row>
    <row r="966" spans="30:31" ht="14" x14ac:dyDescent="0.2">
      <c r="AD966" s="1"/>
      <c r="AE966" s="7"/>
    </row>
    <row r="967" spans="30:31" ht="14" x14ac:dyDescent="0.2">
      <c r="AD967" s="1"/>
      <c r="AE967" s="7"/>
    </row>
    <row r="968" spans="30:31" ht="14" x14ac:dyDescent="0.2">
      <c r="AD968" s="1"/>
      <c r="AE968" s="7"/>
    </row>
    <row r="969" spans="30:31" ht="14" x14ac:dyDescent="0.2">
      <c r="AD969" s="1"/>
      <c r="AE969" s="7"/>
    </row>
    <row r="970" spans="30:31" ht="14" x14ac:dyDescent="0.2">
      <c r="AD970" s="1"/>
      <c r="AE970" s="7"/>
    </row>
    <row r="971" spans="30:31" ht="14" x14ac:dyDescent="0.2">
      <c r="AD971" s="1"/>
      <c r="AE971" s="7"/>
    </row>
    <row r="972" spans="30:31" ht="14" x14ac:dyDescent="0.2">
      <c r="AD972" s="1"/>
      <c r="AE972" s="7"/>
    </row>
    <row r="973" spans="30:31" ht="14" x14ac:dyDescent="0.2">
      <c r="AD973" s="1"/>
      <c r="AE973" s="7"/>
    </row>
    <row r="974" spans="30:31" ht="14" x14ac:dyDescent="0.2">
      <c r="AD974" s="1"/>
      <c r="AE974" s="7"/>
    </row>
    <row r="975" spans="30:31" ht="14" x14ac:dyDescent="0.2">
      <c r="AD975" s="1"/>
      <c r="AE975" s="7"/>
    </row>
    <row r="976" spans="30:31" ht="14" x14ac:dyDescent="0.2">
      <c r="AD976" s="1"/>
      <c r="AE976" s="7"/>
    </row>
    <row r="977" spans="30:31" ht="14" x14ac:dyDescent="0.2">
      <c r="AD977" s="1"/>
      <c r="AE977" s="7"/>
    </row>
    <row r="978" spans="30:31" ht="14" x14ac:dyDescent="0.2">
      <c r="AD978" s="1"/>
      <c r="AE978" s="7"/>
    </row>
    <row r="979" spans="30:31" ht="14" x14ac:dyDescent="0.2">
      <c r="AD979" s="1"/>
      <c r="AE979" s="7"/>
    </row>
    <row r="980" spans="30:31" ht="14" x14ac:dyDescent="0.2">
      <c r="AD980" s="1"/>
      <c r="AE980" s="7"/>
    </row>
    <row r="981" spans="30:31" ht="14" x14ac:dyDescent="0.2">
      <c r="AD981" s="1"/>
      <c r="AE981" s="7"/>
    </row>
    <row r="982" spans="30:31" ht="14" x14ac:dyDescent="0.2">
      <c r="AD982" s="1"/>
      <c r="AE982" s="7"/>
    </row>
    <row r="983" spans="30:31" ht="14" x14ac:dyDescent="0.2">
      <c r="AD983" s="1"/>
      <c r="AE983" s="7"/>
    </row>
    <row r="984" spans="30:31" ht="14" x14ac:dyDescent="0.2">
      <c r="AD984" s="1"/>
      <c r="AE984" s="7"/>
    </row>
    <row r="985" spans="30:31" ht="14" x14ac:dyDescent="0.2">
      <c r="AD985" s="1"/>
      <c r="AE985" s="7"/>
    </row>
    <row r="986" spans="30:31" ht="14" x14ac:dyDescent="0.2">
      <c r="AD986" s="1"/>
      <c r="AE986" s="7"/>
    </row>
    <row r="987" spans="30:31" ht="14" x14ac:dyDescent="0.2">
      <c r="AD987" s="1"/>
      <c r="AE987" s="7"/>
    </row>
    <row r="988" spans="30:31" ht="14" x14ac:dyDescent="0.2">
      <c r="AD988" s="1"/>
      <c r="AE988" s="7"/>
    </row>
    <row r="989" spans="30:31" ht="14" x14ac:dyDescent="0.2">
      <c r="AD989" s="1"/>
      <c r="AE989" s="7"/>
    </row>
    <row r="990" spans="30:31" ht="14" x14ac:dyDescent="0.2">
      <c r="AD990" s="1"/>
      <c r="AE990" s="7"/>
    </row>
    <row r="991" spans="30:31" ht="14" x14ac:dyDescent="0.2">
      <c r="AD991" s="1"/>
      <c r="AE991" s="7"/>
    </row>
    <row r="992" spans="30:31" ht="14" x14ac:dyDescent="0.2">
      <c r="AD992" s="1"/>
      <c r="AE992" s="7"/>
    </row>
    <row r="993" spans="30:31" ht="14" x14ac:dyDescent="0.2">
      <c r="AD993" s="1"/>
      <c r="AE993" s="7"/>
    </row>
    <row r="994" spans="30:31" ht="14" x14ac:dyDescent="0.2">
      <c r="AD994" s="1"/>
      <c r="AE994" s="7"/>
    </row>
    <row r="995" spans="30:31" ht="14" x14ac:dyDescent="0.2">
      <c r="AD995" s="1"/>
      <c r="AE995" s="7"/>
    </row>
    <row r="996" spans="30:31" ht="14" x14ac:dyDescent="0.2">
      <c r="AD996" s="1"/>
      <c r="AE996" s="7"/>
    </row>
    <row r="997" spans="30:31" ht="14" x14ac:dyDescent="0.2">
      <c r="AD997" s="1"/>
      <c r="AE997" s="7"/>
    </row>
    <row r="998" spans="30:31" ht="14" x14ac:dyDescent="0.2">
      <c r="AD998" s="1"/>
      <c r="AE998" s="7"/>
    </row>
    <row r="999" spans="30:31" ht="14" x14ac:dyDescent="0.2">
      <c r="AD999" s="1"/>
      <c r="AE999" s="7"/>
    </row>
    <row r="1000" spans="30:31" ht="14" x14ac:dyDescent="0.2">
      <c r="AD1000" s="1"/>
      <c r="AE1000" s="7"/>
    </row>
    <row r="1001" spans="30:31" ht="14" x14ac:dyDescent="0.2">
      <c r="AD1001" s="1"/>
      <c r="AE1001" s="7"/>
    </row>
    <row r="1002" spans="30:31" ht="14" x14ac:dyDescent="0.2">
      <c r="AD1002" s="1"/>
      <c r="AE1002" s="7"/>
    </row>
    <row r="1003" spans="30:31" ht="14" x14ac:dyDescent="0.2">
      <c r="AD1003" s="1"/>
      <c r="AE1003" s="7"/>
    </row>
    <row r="1004" spans="30:31" ht="14" x14ac:dyDescent="0.2">
      <c r="AD1004" s="1"/>
      <c r="AE1004" s="7"/>
    </row>
    <row r="1005" spans="30:31" ht="14" x14ac:dyDescent="0.2">
      <c r="AD1005" s="1"/>
      <c r="AE1005" s="7"/>
    </row>
    <row r="1006" spans="30:31" ht="14" x14ac:dyDescent="0.2">
      <c r="AD1006" s="1"/>
      <c r="AE1006" s="7"/>
    </row>
    <row r="1007" spans="30:31" ht="14" x14ac:dyDescent="0.2">
      <c r="AD1007" s="1"/>
      <c r="AE1007" s="7"/>
    </row>
  </sheetData>
  <conditionalFormatting sqref="B43">
    <cfRule type="cellIs" dxfId="80" priority="3" operator="greaterThanOrEqual">
      <formula>0</formula>
    </cfRule>
    <cfRule type="cellIs" dxfId="79" priority="4" operator="lessThanOrEqual">
      <formula>0</formula>
    </cfRule>
  </conditionalFormatting>
  <conditionalFormatting sqref="B2:L2 N2:AC2 V4">
    <cfRule type="cellIs" dxfId="78" priority="7" operator="greaterThan">
      <formula>4200</formula>
    </cfRule>
  </conditionalFormatting>
  <conditionalFormatting sqref="B33:AD33 AG33:BD33">
    <cfRule type="cellIs" dxfId="77" priority="1" operator="greaterThanOrEqual">
      <formula>0</formula>
    </cfRule>
    <cfRule type="cellIs" dxfId="76" priority="2" operator="lessThanOrEqual">
      <formula>0</formula>
    </cfRule>
  </conditionalFormatting>
  <conditionalFormatting sqref="AE33">
    <cfRule type="cellIs" dxfId="75" priority="5" operator="greaterThanOrEqual">
      <formula>1</formula>
    </cfRule>
    <cfRule type="cellIs" dxfId="74" priority="6" operator="lessThan">
      <formul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outlinePr summaryBelow="0" summaryRight="0"/>
  </sheetPr>
  <dimension ref="A1:BG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9" width="9" customWidth="1"/>
  </cols>
  <sheetData>
    <row r="1" spans="1:59" ht="15.75" customHeight="1" x14ac:dyDescent="0.2">
      <c r="A1" s="8" t="s">
        <v>127</v>
      </c>
      <c r="B1" s="64">
        <v>45717</v>
      </c>
      <c r="C1" s="64">
        <v>45718</v>
      </c>
      <c r="D1" s="64">
        <v>45719</v>
      </c>
      <c r="E1" s="64">
        <v>45720</v>
      </c>
      <c r="F1" s="64">
        <v>45721</v>
      </c>
      <c r="G1" s="64">
        <v>45722</v>
      </c>
      <c r="H1" s="64">
        <v>45723</v>
      </c>
      <c r="I1" s="64">
        <v>45724</v>
      </c>
      <c r="J1" s="64">
        <v>45725</v>
      </c>
      <c r="K1" s="64">
        <v>45726</v>
      </c>
      <c r="L1" s="64">
        <v>45727</v>
      </c>
      <c r="M1" s="64">
        <v>45728</v>
      </c>
      <c r="N1" s="64">
        <v>45729</v>
      </c>
      <c r="O1" s="64">
        <v>45730</v>
      </c>
      <c r="P1" s="64">
        <v>45731</v>
      </c>
      <c r="Q1" s="64">
        <v>45732</v>
      </c>
      <c r="R1" s="85">
        <v>45733</v>
      </c>
      <c r="S1" s="64">
        <v>45734</v>
      </c>
      <c r="T1" s="64">
        <v>45735</v>
      </c>
      <c r="U1" s="64">
        <v>45736</v>
      </c>
      <c r="V1" s="64">
        <v>45737</v>
      </c>
      <c r="W1" s="64">
        <v>45738</v>
      </c>
      <c r="X1" s="64">
        <v>45739</v>
      </c>
      <c r="Y1" s="64">
        <v>45740</v>
      </c>
      <c r="Z1" s="64">
        <v>45741</v>
      </c>
      <c r="AA1" s="64">
        <v>45742</v>
      </c>
      <c r="AB1" s="64">
        <v>45743</v>
      </c>
      <c r="AC1" s="64">
        <v>45744</v>
      </c>
      <c r="AD1" s="64">
        <v>45745</v>
      </c>
      <c r="AE1" s="64">
        <v>45746</v>
      </c>
      <c r="AF1" s="64">
        <v>45747</v>
      </c>
      <c r="AG1" s="22" t="s">
        <v>0</v>
      </c>
      <c r="AH1" s="22" t="s">
        <v>153</v>
      </c>
      <c r="AI1" s="8" t="s">
        <v>161</v>
      </c>
      <c r="AJ1" s="65"/>
      <c r="AK1" s="65"/>
      <c r="AL1" s="65"/>
      <c r="AM1" s="65"/>
      <c r="AN1" s="65"/>
      <c r="AO1" s="65"/>
      <c r="AP1" s="65"/>
      <c r="AQ1" s="65"/>
      <c r="AR1" s="65"/>
      <c r="AS1" s="65"/>
      <c r="AT1" s="65"/>
      <c r="AU1" s="65"/>
      <c r="AV1" s="65"/>
      <c r="AW1" s="65"/>
      <c r="AX1" s="65"/>
      <c r="AY1" s="65"/>
      <c r="AZ1" s="65"/>
      <c r="BA1" s="65"/>
      <c r="BB1" s="65"/>
      <c r="BC1" s="65"/>
      <c r="BD1" s="65"/>
      <c r="BE1" s="65"/>
      <c r="BF1" s="65"/>
      <c r="BG1" s="65"/>
    </row>
    <row r="2" spans="1:59" ht="15.75" customHeight="1" x14ac:dyDescent="0.2">
      <c r="A2" s="4" t="s">
        <v>162</v>
      </c>
      <c r="B2" s="66">
        <v>3200</v>
      </c>
      <c r="C2" s="66">
        <v>3200</v>
      </c>
      <c r="D2" s="66">
        <v>3200</v>
      </c>
      <c r="E2" s="66">
        <v>3200</v>
      </c>
      <c r="F2" s="66">
        <v>3200</v>
      </c>
      <c r="G2" s="66">
        <v>0</v>
      </c>
      <c r="H2" s="66">
        <v>3200</v>
      </c>
      <c r="I2" s="66">
        <v>3200</v>
      </c>
      <c r="J2" s="66">
        <v>2900</v>
      </c>
      <c r="K2" s="66">
        <v>2900</v>
      </c>
      <c r="L2" s="66">
        <v>2900</v>
      </c>
      <c r="M2" s="66">
        <v>2900</v>
      </c>
      <c r="N2" s="66">
        <v>2900</v>
      </c>
      <c r="O2" s="66">
        <v>2900</v>
      </c>
      <c r="P2" s="66">
        <v>2900</v>
      </c>
      <c r="Q2" s="66">
        <v>2900</v>
      </c>
      <c r="R2" s="69">
        <v>0</v>
      </c>
      <c r="S2" s="66">
        <v>2900</v>
      </c>
      <c r="T2" s="66">
        <v>2900</v>
      </c>
      <c r="U2" s="66">
        <v>2900</v>
      </c>
      <c r="V2" s="66">
        <v>2900</v>
      </c>
      <c r="W2" s="66">
        <v>2900</v>
      </c>
      <c r="X2" s="66">
        <v>2900</v>
      </c>
      <c r="Y2" s="66">
        <v>2900</v>
      </c>
      <c r="Z2" s="66">
        <v>2900</v>
      </c>
      <c r="AA2" s="66">
        <v>2900</v>
      </c>
      <c r="AB2" s="66">
        <v>2900</v>
      </c>
      <c r="AC2" s="66">
        <v>2900</v>
      </c>
      <c r="AD2" s="66">
        <v>2900</v>
      </c>
      <c r="AE2" s="66">
        <v>2900</v>
      </c>
      <c r="AF2" s="66">
        <v>2900</v>
      </c>
      <c r="AG2" s="56">
        <f t="shared" ref="AG2:AG4" si="0">SUM(B2:AF2)</f>
        <v>86200</v>
      </c>
      <c r="AH2" s="67">
        <f t="shared" ref="AH2:AH4" si="1">IFERROR(AVERAGE(B2:AF2),0)</f>
        <v>2780.6451612903224</v>
      </c>
      <c r="AI2" s="68">
        <f t="shared" ref="AI2:AI4" si="2">(AH2/$AH$29)*100</f>
        <v>23.915015689027118</v>
      </c>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ht="15.75" customHeight="1" x14ac:dyDescent="0.2">
      <c r="A3" s="4" t="s">
        <v>163</v>
      </c>
      <c r="B3" s="59">
        <f t="shared" ref="B3:F3" si="3">$B$39/$B$59</f>
        <v>3242.1379310344828</v>
      </c>
      <c r="C3" s="59">
        <f t="shared" si="3"/>
        <v>3242.1379310344828</v>
      </c>
      <c r="D3" s="59">
        <f t="shared" si="3"/>
        <v>3242.1379310344828</v>
      </c>
      <c r="E3" s="59">
        <f t="shared" si="3"/>
        <v>3242.1379310344828</v>
      </c>
      <c r="F3" s="59">
        <f t="shared" si="3"/>
        <v>3242.1379310344828</v>
      </c>
      <c r="G3" s="59">
        <v>0</v>
      </c>
      <c r="H3" s="59">
        <f t="shared" ref="H3:Q3" si="4">$B$39/$B$59</f>
        <v>3242.1379310344828</v>
      </c>
      <c r="I3" s="59">
        <f t="shared" si="4"/>
        <v>3242.1379310344828</v>
      </c>
      <c r="J3" s="59">
        <f t="shared" si="4"/>
        <v>3242.1379310344828</v>
      </c>
      <c r="K3" s="59">
        <f t="shared" si="4"/>
        <v>3242.1379310344828</v>
      </c>
      <c r="L3" s="59">
        <f t="shared" si="4"/>
        <v>3242.1379310344828</v>
      </c>
      <c r="M3" s="59">
        <f t="shared" si="4"/>
        <v>3242.1379310344828</v>
      </c>
      <c r="N3" s="59">
        <f t="shared" si="4"/>
        <v>3242.1379310344828</v>
      </c>
      <c r="O3" s="59">
        <f t="shared" si="4"/>
        <v>3242.1379310344828</v>
      </c>
      <c r="P3" s="59">
        <f t="shared" si="4"/>
        <v>3242.1379310344828</v>
      </c>
      <c r="Q3" s="59">
        <f t="shared" si="4"/>
        <v>3242.1379310344828</v>
      </c>
      <c r="R3" s="69">
        <v>0</v>
      </c>
      <c r="S3" s="59">
        <f t="shared" ref="S3:AF3" si="5">$B$39/$B$59</f>
        <v>3242.1379310344828</v>
      </c>
      <c r="T3" s="59">
        <f t="shared" si="5"/>
        <v>3242.1379310344828</v>
      </c>
      <c r="U3" s="59">
        <f t="shared" si="5"/>
        <v>3242.1379310344828</v>
      </c>
      <c r="V3" s="59">
        <f t="shared" si="5"/>
        <v>3242.1379310344828</v>
      </c>
      <c r="W3" s="59">
        <f t="shared" si="5"/>
        <v>3242.1379310344828</v>
      </c>
      <c r="X3" s="59">
        <f t="shared" si="5"/>
        <v>3242.1379310344828</v>
      </c>
      <c r="Y3" s="59">
        <f t="shared" si="5"/>
        <v>3242.1379310344828</v>
      </c>
      <c r="Z3" s="59">
        <f t="shared" si="5"/>
        <v>3242.1379310344828</v>
      </c>
      <c r="AA3" s="59">
        <f t="shared" si="5"/>
        <v>3242.1379310344828</v>
      </c>
      <c r="AB3" s="59">
        <f t="shared" si="5"/>
        <v>3242.1379310344828</v>
      </c>
      <c r="AC3" s="59">
        <f t="shared" si="5"/>
        <v>3242.1379310344828</v>
      </c>
      <c r="AD3" s="59">
        <f t="shared" si="5"/>
        <v>3242.1379310344828</v>
      </c>
      <c r="AE3" s="59">
        <f t="shared" si="5"/>
        <v>3242.1379310344828</v>
      </c>
      <c r="AF3" s="59">
        <f t="shared" si="5"/>
        <v>3242.1379310344828</v>
      </c>
      <c r="AG3" s="56">
        <f t="shared" si="0"/>
        <v>94021.999999999985</v>
      </c>
      <c r="AH3" s="67">
        <f t="shared" si="1"/>
        <v>3032.9677419354834</v>
      </c>
      <c r="AI3" s="68">
        <f t="shared" si="2"/>
        <v>26.085123029161345</v>
      </c>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ht="15.75" customHeight="1" x14ac:dyDescent="0.2">
      <c r="A4" s="4" t="s">
        <v>20</v>
      </c>
      <c r="B4" s="69">
        <f t="shared" ref="B4:F4" si="6">$B$42/$B$59</f>
        <v>1864.9310344827586</v>
      </c>
      <c r="C4" s="69">
        <f t="shared" si="6"/>
        <v>1864.9310344827586</v>
      </c>
      <c r="D4" s="69">
        <f t="shared" si="6"/>
        <v>1864.9310344827586</v>
      </c>
      <c r="E4" s="69">
        <f t="shared" si="6"/>
        <v>1864.9310344827586</v>
      </c>
      <c r="F4" s="69">
        <f t="shared" si="6"/>
        <v>1864.9310344827586</v>
      </c>
      <c r="G4" s="69">
        <v>0</v>
      </c>
      <c r="H4" s="69">
        <f t="shared" ref="H4:Q4" si="7">$B$42/$B$59</f>
        <v>1864.9310344827586</v>
      </c>
      <c r="I4" s="69">
        <f t="shared" si="7"/>
        <v>1864.9310344827586</v>
      </c>
      <c r="J4" s="69">
        <f t="shared" si="7"/>
        <v>1864.9310344827586</v>
      </c>
      <c r="K4" s="69">
        <f t="shared" si="7"/>
        <v>1864.9310344827586</v>
      </c>
      <c r="L4" s="69">
        <f t="shared" si="7"/>
        <v>1864.9310344827586</v>
      </c>
      <c r="M4" s="69">
        <f t="shared" si="7"/>
        <v>1864.9310344827586</v>
      </c>
      <c r="N4" s="69">
        <f t="shared" si="7"/>
        <v>1864.9310344827586</v>
      </c>
      <c r="O4" s="69">
        <f t="shared" si="7"/>
        <v>1864.9310344827586</v>
      </c>
      <c r="P4" s="69">
        <f t="shared" si="7"/>
        <v>1864.9310344827586</v>
      </c>
      <c r="Q4" s="69">
        <f t="shared" si="7"/>
        <v>1864.9310344827586</v>
      </c>
      <c r="R4" s="69">
        <v>0</v>
      </c>
      <c r="S4" s="69">
        <f t="shared" ref="S4:AF4" si="8">$B$42/$B$59</f>
        <v>1864.9310344827586</v>
      </c>
      <c r="T4" s="69">
        <f t="shared" si="8"/>
        <v>1864.9310344827586</v>
      </c>
      <c r="U4" s="69">
        <f t="shared" si="8"/>
        <v>1864.9310344827586</v>
      </c>
      <c r="V4" s="69">
        <f t="shared" si="8"/>
        <v>1864.9310344827586</v>
      </c>
      <c r="W4" s="69">
        <f t="shared" si="8"/>
        <v>1864.9310344827586</v>
      </c>
      <c r="X4" s="69">
        <f t="shared" si="8"/>
        <v>1864.9310344827586</v>
      </c>
      <c r="Y4" s="69">
        <f t="shared" si="8"/>
        <v>1864.9310344827586</v>
      </c>
      <c r="Z4" s="69">
        <f t="shared" si="8"/>
        <v>1864.9310344827586</v>
      </c>
      <c r="AA4" s="69">
        <f t="shared" si="8"/>
        <v>1864.9310344827586</v>
      </c>
      <c r="AB4" s="69">
        <f t="shared" si="8"/>
        <v>1864.9310344827586</v>
      </c>
      <c r="AC4" s="69">
        <f t="shared" si="8"/>
        <v>1864.9310344827586</v>
      </c>
      <c r="AD4" s="69">
        <f t="shared" si="8"/>
        <v>1864.9310344827586</v>
      </c>
      <c r="AE4" s="69">
        <f t="shared" si="8"/>
        <v>1864.9310344827586</v>
      </c>
      <c r="AF4" s="69">
        <f t="shared" si="8"/>
        <v>1864.9310344827586</v>
      </c>
      <c r="AG4" s="56">
        <f t="shared" si="0"/>
        <v>54083.000000000015</v>
      </c>
      <c r="AH4" s="67">
        <f t="shared" si="1"/>
        <v>1744.612903225807</v>
      </c>
      <c r="AI4" s="68">
        <f t="shared" si="2"/>
        <v>15.004591572037754</v>
      </c>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1"/>
      <c r="AH5" s="71"/>
      <c r="AI5" s="72"/>
      <c r="AJ5" s="14"/>
      <c r="AK5" s="14"/>
      <c r="AL5" s="14"/>
      <c r="AM5" s="14"/>
      <c r="AN5" s="14"/>
      <c r="AO5" s="14"/>
      <c r="AP5" s="14"/>
      <c r="AQ5" s="14"/>
      <c r="AR5" s="14"/>
      <c r="AS5" s="14"/>
      <c r="AT5" s="14"/>
      <c r="AU5" s="14"/>
      <c r="AV5" s="14"/>
      <c r="AW5" s="73"/>
      <c r="AX5" s="73"/>
      <c r="AY5" s="73"/>
      <c r="AZ5" s="73"/>
      <c r="BA5" s="73"/>
      <c r="BB5" s="73"/>
      <c r="BC5" s="73"/>
      <c r="BD5" s="73"/>
      <c r="BE5" s="73"/>
      <c r="BF5" s="73"/>
      <c r="BG5" s="73"/>
    </row>
    <row r="6" spans="1:59" ht="15.75" customHeight="1" x14ac:dyDescent="0.2">
      <c r="A6" s="4" t="s">
        <v>165</v>
      </c>
      <c r="B6" s="69">
        <v>2000</v>
      </c>
      <c r="C6" s="69">
        <v>2000</v>
      </c>
      <c r="D6" s="69">
        <v>1000</v>
      </c>
      <c r="E6" s="69">
        <v>2000</v>
      </c>
      <c r="F6" s="69">
        <v>1500</v>
      </c>
      <c r="G6" s="69">
        <v>0</v>
      </c>
      <c r="H6" s="69">
        <v>1500</v>
      </c>
      <c r="I6" s="69">
        <v>1000</v>
      </c>
      <c r="J6" s="69">
        <v>2000</v>
      </c>
      <c r="K6" s="69">
        <v>1000</v>
      </c>
      <c r="L6" s="69">
        <v>1000</v>
      </c>
      <c r="M6" s="69">
        <v>1000</v>
      </c>
      <c r="N6" s="69">
        <v>900</v>
      </c>
      <c r="O6" s="69">
        <v>2000</v>
      </c>
      <c r="P6" s="69">
        <v>1500</v>
      </c>
      <c r="Q6" s="69">
        <v>2500</v>
      </c>
      <c r="R6" s="69">
        <v>0</v>
      </c>
      <c r="S6" s="69">
        <v>1500</v>
      </c>
      <c r="T6" s="69">
        <v>1200</v>
      </c>
      <c r="U6" s="69">
        <v>1000</v>
      </c>
      <c r="V6" s="69">
        <v>2000</v>
      </c>
      <c r="W6" s="69">
        <v>2000</v>
      </c>
      <c r="X6" s="69">
        <v>1500</v>
      </c>
      <c r="Y6" s="69">
        <v>1000</v>
      </c>
      <c r="Z6" s="69">
        <v>2000</v>
      </c>
      <c r="AA6" s="69">
        <v>1500</v>
      </c>
      <c r="AB6" s="69">
        <v>2000</v>
      </c>
      <c r="AC6" s="69">
        <v>1500</v>
      </c>
      <c r="AD6" s="69">
        <v>1500</v>
      </c>
      <c r="AE6" s="69">
        <v>1500</v>
      </c>
      <c r="AF6" s="69">
        <v>3000</v>
      </c>
      <c r="AG6" s="56">
        <f t="shared" ref="AG6:AG8" si="9">SUM(B6:AF6)</f>
        <v>46100</v>
      </c>
      <c r="AH6" s="67">
        <f t="shared" ref="AH6:AH8" si="10">IFERROR(AVERAGE(B6:AF6),0)</f>
        <v>1487.0967741935483</v>
      </c>
      <c r="AI6" s="68">
        <f t="shared" ref="AI6:AI8" si="11">(AH6/$AH$29)*100</f>
        <v>12.789816975222159</v>
      </c>
      <c r="AJ6" s="14"/>
      <c r="AK6" s="14"/>
      <c r="AS6" s="14"/>
      <c r="AT6" s="14"/>
      <c r="AU6" s="14"/>
      <c r="AV6" s="14"/>
      <c r="AW6" s="14"/>
      <c r="AX6" s="14"/>
      <c r="AY6" s="14"/>
      <c r="AZ6" s="14"/>
      <c r="BA6" s="14"/>
      <c r="BB6" s="14"/>
      <c r="BC6" s="14"/>
      <c r="BD6" s="14"/>
      <c r="BE6" s="14"/>
      <c r="BF6" s="14"/>
      <c r="BG6" s="14"/>
    </row>
    <row r="7" spans="1:59" ht="15.75" customHeight="1" x14ac:dyDescent="0.2">
      <c r="A7" s="4" t="s">
        <v>166</v>
      </c>
      <c r="B7" s="69">
        <f t="shared" ref="B7:F7" si="12">$B$51/$B$59</f>
        <v>162.93103448275863</v>
      </c>
      <c r="C7" s="69">
        <f t="shared" si="12"/>
        <v>162.93103448275863</v>
      </c>
      <c r="D7" s="69">
        <f t="shared" si="12"/>
        <v>162.93103448275863</v>
      </c>
      <c r="E7" s="69">
        <f t="shared" si="12"/>
        <v>162.93103448275863</v>
      </c>
      <c r="F7" s="69">
        <f t="shared" si="12"/>
        <v>162.93103448275863</v>
      </c>
      <c r="G7" s="69">
        <v>0</v>
      </c>
      <c r="H7" s="69">
        <f t="shared" ref="H7:Q7" si="13">$B$51/$B$59</f>
        <v>162.93103448275863</v>
      </c>
      <c r="I7" s="69">
        <f t="shared" si="13"/>
        <v>162.93103448275863</v>
      </c>
      <c r="J7" s="69">
        <f t="shared" si="13"/>
        <v>162.93103448275863</v>
      </c>
      <c r="K7" s="69">
        <f t="shared" si="13"/>
        <v>162.93103448275863</v>
      </c>
      <c r="L7" s="69">
        <f t="shared" si="13"/>
        <v>162.93103448275863</v>
      </c>
      <c r="M7" s="69">
        <f t="shared" si="13"/>
        <v>162.93103448275863</v>
      </c>
      <c r="N7" s="69">
        <f t="shared" si="13"/>
        <v>162.93103448275863</v>
      </c>
      <c r="O7" s="69">
        <f t="shared" si="13"/>
        <v>162.93103448275863</v>
      </c>
      <c r="P7" s="69">
        <f t="shared" si="13"/>
        <v>162.93103448275863</v>
      </c>
      <c r="Q7" s="69">
        <f t="shared" si="13"/>
        <v>162.93103448275863</v>
      </c>
      <c r="R7" s="69">
        <v>0</v>
      </c>
      <c r="S7" s="69">
        <f t="shared" ref="S7:AF7" si="14">$B$51/$B$59</f>
        <v>162.93103448275863</v>
      </c>
      <c r="T7" s="69">
        <f t="shared" si="14"/>
        <v>162.93103448275863</v>
      </c>
      <c r="U7" s="69">
        <f t="shared" si="14"/>
        <v>162.93103448275863</v>
      </c>
      <c r="V7" s="69">
        <f t="shared" si="14"/>
        <v>162.93103448275863</v>
      </c>
      <c r="W7" s="69">
        <f t="shared" si="14"/>
        <v>162.93103448275863</v>
      </c>
      <c r="X7" s="69">
        <f t="shared" si="14"/>
        <v>162.93103448275863</v>
      </c>
      <c r="Y7" s="69">
        <f t="shared" si="14"/>
        <v>162.93103448275863</v>
      </c>
      <c r="Z7" s="69">
        <f t="shared" si="14"/>
        <v>162.93103448275863</v>
      </c>
      <c r="AA7" s="69">
        <f t="shared" si="14"/>
        <v>162.93103448275863</v>
      </c>
      <c r="AB7" s="69">
        <f t="shared" si="14"/>
        <v>162.93103448275863</v>
      </c>
      <c r="AC7" s="69">
        <f t="shared" si="14"/>
        <v>162.93103448275863</v>
      </c>
      <c r="AD7" s="69">
        <f t="shared" si="14"/>
        <v>162.93103448275863</v>
      </c>
      <c r="AE7" s="69">
        <f t="shared" si="14"/>
        <v>162.93103448275863</v>
      </c>
      <c r="AF7" s="69">
        <f t="shared" si="14"/>
        <v>162.93103448275863</v>
      </c>
      <c r="AG7" s="56">
        <f t="shared" si="9"/>
        <v>4725.0000000000018</v>
      </c>
      <c r="AH7" s="67">
        <f t="shared" si="10"/>
        <v>152.41935483870972</v>
      </c>
      <c r="AI7" s="68">
        <f t="shared" si="11"/>
        <v>1.3108868808660463</v>
      </c>
      <c r="AJ7" s="14"/>
      <c r="AK7" s="14"/>
      <c r="AS7" s="14"/>
      <c r="AT7" s="14"/>
      <c r="AU7" s="14"/>
      <c r="AV7" s="14"/>
      <c r="AW7" s="14"/>
      <c r="AX7" s="14"/>
      <c r="AY7" s="14"/>
      <c r="AZ7" s="14"/>
      <c r="BA7" s="14"/>
      <c r="BB7" s="14"/>
      <c r="BC7" s="14"/>
      <c r="BD7" s="14"/>
      <c r="BE7" s="14"/>
      <c r="BF7" s="14"/>
      <c r="BG7" s="14"/>
    </row>
    <row r="8" spans="1:59" ht="15.75" customHeight="1" x14ac:dyDescent="0.2">
      <c r="A8" s="4" t="s">
        <v>167</v>
      </c>
      <c r="B8" s="69">
        <f t="shared" ref="B8:F8" si="15">$B$52/$B$59</f>
        <v>232.06896551724137</v>
      </c>
      <c r="C8" s="69">
        <f t="shared" si="15"/>
        <v>232.06896551724137</v>
      </c>
      <c r="D8" s="69">
        <f t="shared" si="15"/>
        <v>232.06896551724137</v>
      </c>
      <c r="E8" s="69">
        <f t="shared" si="15"/>
        <v>232.06896551724137</v>
      </c>
      <c r="F8" s="69">
        <f t="shared" si="15"/>
        <v>232.06896551724137</v>
      </c>
      <c r="G8" s="69">
        <v>0</v>
      </c>
      <c r="H8" s="69">
        <f t="shared" ref="H8:Q8" si="16">$B$52/$B$59</f>
        <v>232.06896551724137</v>
      </c>
      <c r="I8" s="69">
        <f t="shared" si="16"/>
        <v>232.06896551724137</v>
      </c>
      <c r="J8" s="69">
        <f t="shared" si="16"/>
        <v>232.06896551724137</v>
      </c>
      <c r="K8" s="69">
        <f t="shared" si="16"/>
        <v>232.06896551724137</v>
      </c>
      <c r="L8" s="69">
        <f t="shared" si="16"/>
        <v>232.06896551724137</v>
      </c>
      <c r="M8" s="69">
        <f t="shared" si="16"/>
        <v>232.06896551724137</v>
      </c>
      <c r="N8" s="69">
        <f t="shared" si="16"/>
        <v>232.06896551724137</v>
      </c>
      <c r="O8" s="69">
        <f t="shared" si="16"/>
        <v>232.06896551724137</v>
      </c>
      <c r="P8" s="69">
        <f t="shared" si="16"/>
        <v>232.06896551724137</v>
      </c>
      <c r="Q8" s="69">
        <f t="shared" si="16"/>
        <v>232.06896551724137</v>
      </c>
      <c r="R8" s="69">
        <v>0</v>
      </c>
      <c r="S8" s="69">
        <f t="shared" ref="S8:AF8" si="17">$B$52/$B$59</f>
        <v>232.06896551724137</v>
      </c>
      <c r="T8" s="69">
        <f t="shared" si="17"/>
        <v>232.06896551724137</v>
      </c>
      <c r="U8" s="69">
        <f t="shared" si="17"/>
        <v>232.06896551724137</v>
      </c>
      <c r="V8" s="69">
        <f t="shared" si="17"/>
        <v>232.06896551724137</v>
      </c>
      <c r="W8" s="69">
        <f t="shared" si="17"/>
        <v>232.06896551724137</v>
      </c>
      <c r="X8" s="69">
        <f t="shared" si="17"/>
        <v>232.06896551724137</v>
      </c>
      <c r="Y8" s="69">
        <f t="shared" si="17"/>
        <v>232.06896551724137</v>
      </c>
      <c r="Z8" s="69">
        <f t="shared" si="17"/>
        <v>232.06896551724137</v>
      </c>
      <c r="AA8" s="69">
        <f t="shared" si="17"/>
        <v>232.06896551724137</v>
      </c>
      <c r="AB8" s="69">
        <f t="shared" si="17"/>
        <v>232.06896551724137</v>
      </c>
      <c r="AC8" s="69">
        <f t="shared" si="17"/>
        <v>232.06896551724137</v>
      </c>
      <c r="AD8" s="69">
        <f t="shared" si="17"/>
        <v>232.06896551724137</v>
      </c>
      <c r="AE8" s="69">
        <f t="shared" si="17"/>
        <v>232.06896551724137</v>
      </c>
      <c r="AF8" s="69">
        <f t="shared" si="17"/>
        <v>232.06896551724137</v>
      </c>
      <c r="AG8" s="56">
        <f t="shared" si="9"/>
        <v>6729.9999999999945</v>
      </c>
      <c r="AH8" s="67">
        <f t="shared" si="10"/>
        <v>217.09677419354821</v>
      </c>
      <c r="AI8" s="68">
        <f t="shared" si="11"/>
        <v>1.8671468165562926</v>
      </c>
      <c r="AJ8" s="14"/>
      <c r="AK8" s="14"/>
      <c r="AN8" s="74"/>
      <c r="AS8" s="14"/>
      <c r="AT8" s="14"/>
      <c r="AU8" s="14"/>
      <c r="AV8" s="14"/>
      <c r="AW8" s="14"/>
      <c r="AX8" s="14"/>
      <c r="AY8" s="14"/>
      <c r="AZ8" s="14"/>
      <c r="BA8" s="14"/>
      <c r="BB8" s="14"/>
      <c r="BC8" s="14"/>
      <c r="BD8" s="14"/>
      <c r="BE8" s="14"/>
      <c r="BF8" s="14"/>
      <c r="BG8" s="14"/>
    </row>
    <row r="9" spans="1:59"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1"/>
      <c r="AH9" s="71"/>
      <c r="AI9" s="72"/>
      <c r="AJ9" s="14"/>
      <c r="AK9" s="14"/>
      <c r="AN9" s="74"/>
      <c r="AS9" s="14"/>
      <c r="AT9" s="14"/>
      <c r="AU9" s="14"/>
      <c r="AV9" s="14"/>
      <c r="AW9" s="73"/>
      <c r="AX9" s="73"/>
      <c r="AY9" s="73"/>
      <c r="AZ9" s="73"/>
      <c r="BA9" s="73"/>
      <c r="BB9" s="73"/>
      <c r="BC9" s="73"/>
      <c r="BD9" s="73"/>
      <c r="BE9" s="73"/>
      <c r="BF9" s="73"/>
      <c r="BG9" s="73"/>
    </row>
    <row r="10" spans="1:59" ht="15.75" customHeight="1" x14ac:dyDescent="0.2">
      <c r="A10" s="4" t="s">
        <v>169</v>
      </c>
      <c r="B10" s="69">
        <f>30+20+160+50+10+45+30+30+30+20</f>
        <v>425</v>
      </c>
      <c r="C10" s="69">
        <f>40+20+30+120+30+30+30+160+50+30</f>
        <v>540</v>
      </c>
      <c r="D10" s="69">
        <f>20+10+10+20+30+30+50+50+120</f>
        <v>340</v>
      </c>
      <c r="E10" s="69">
        <f>10+20+20+20+60+30+30+120</f>
        <v>310</v>
      </c>
      <c r="F10" s="69">
        <f>10+10+20+30+20+30+50+120</f>
        <v>290</v>
      </c>
      <c r="G10" s="69">
        <v>0</v>
      </c>
      <c r="H10" s="69">
        <f>20+10+20+20+30+40+60+120</f>
        <v>320</v>
      </c>
      <c r="I10" s="69">
        <f>20+20+20+120+20+30+40+30+40+50</f>
        <v>390</v>
      </c>
      <c r="J10" s="69">
        <f>20+20+30+20+30+40+160</f>
        <v>320</v>
      </c>
      <c r="K10" s="69">
        <f>30+10+10+30+30+200+50+30+30</f>
        <v>420</v>
      </c>
      <c r="L10" s="69">
        <f>20+10+10+100+20+50+20+30</f>
        <v>260</v>
      </c>
      <c r="M10" s="69">
        <f>20+20+200+20+30+20+30+30</f>
        <v>370</v>
      </c>
      <c r="N10" s="69">
        <f>30+20+30+10+100+40+30+50+40</f>
        <v>350</v>
      </c>
      <c r="O10" s="69">
        <f>10+10+10+20+200+30+30+40+30+40</f>
        <v>420</v>
      </c>
      <c r="P10" s="69">
        <f>20+20+160+30+30+30+50+20+30</f>
        <v>390</v>
      </c>
      <c r="Q10" s="69">
        <f>20+10+200+30+30+30+120+20+50</f>
        <v>510</v>
      </c>
      <c r="R10" s="69">
        <v>0</v>
      </c>
      <c r="S10" s="69">
        <f>20+20+120+30+30+30+30+20+20</f>
        <v>320</v>
      </c>
      <c r="T10" s="69">
        <f>20+20+100+20+30+20+20+30+20</f>
        <v>280</v>
      </c>
      <c r="U10" s="69">
        <f>10+120+20+30+30+50</f>
        <v>260</v>
      </c>
      <c r="V10" s="69">
        <f>20+20+120+20+20+30+30+30+20+50+30</f>
        <v>390</v>
      </c>
      <c r="W10" s="69">
        <f>20+20+20+200+30+20+50+30+30</f>
        <v>420</v>
      </c>
      <c r="X10" s="69">
        <f>40+20+250+30+30+30+20+30+40+50+50+30</f>
        <v>620</v>
      </c>
      <c r="Y10" s="69">
        <f>20+10+20+30+30+80+1650+30+40</f>
        <v>1910</v>
      </c>
      <c r="Z10" s="69">
        <f>20+10+30+40+50+100+30+30+30+20</f>
        <v>360</v>
      </c>
      <c r="AA10" s="69">
        <f>20+20+70+20+20+30+30+20+30+30</f>
        <v>290</v>
      </c>
      <c r="AB10" s="69">
        <f>20+20+30+150+30+120+30+30+50+50</f>
        <v>530</v>
      </c>
      <c r="AC10" s="69">
        <f>30+20+30+20+120+30+30+30</f>
        <v>310</v>
      </c>
      <c r="AD10" s="69">
        <f>30+20+30+100+30+20+50+30+30+60+30</f>
        <v>430</v>
      </c>
      <c r="AE10" s="69">
        <f>30+20+50+150+30+20+30+50+30</f>
        <v>410</v>
      </c>
      <c r="AF10" s="69">
        <f>110+40+50+120+80+20+20+30+60+30</f>
        <v>560</v>
      </c>
      <c r="AG10" s="56">
        <f t="shared" ref="AG10:AG18" si="18">SUM(B10:AD10)</f>
        <v>11775</v>
      </c>
      <c r="AH10" s="67">
        <f t="shared" ref="AH10:AH18" si="19">IFERROR(AVERAGE(B10:AF10),0)</f>
        <v>411.12903225806451</v>
      </c>
      <c r="AI10" s="68">
        <f t="shared" ref="AI10:AI18" si="20">(AH10/$AH$29)*100</f>
        <v>3.5359266236270379</v>
      </c>
      <c r="AJ10" s="14">
        <v>150</v>
      </c>
      <c r="AK10" s="14"/>
      <c r="AN10" s="74"/>
      <c r="AS10" s="14"/>
      <c r="AT10" s="14"/>
      <c r="AU10" s="14"/>
      <c r="AV10" s="14"/>
      <c r="AW10" s="14"/>
      <c r="AX10" s="14"/>
      <c r="AY10" s="14"/>
      <c r="AZ10" s="14"/>
      <c r="BA10" s="14"/>
      <c r="BB10" s="14"/>
      <c r="BC10" s="14"/>
      <c r="BD10" s="14"/>
      <c r="BE10" s="14"/>
      <c r="BF10" s="14"/>
      <c r="BG10" s="14"/>
    </row>
    <row r="11" spans="1:59" ht="15.75" customHeight="1" x14ac:dyDescent="0.2">
      <c r="A11" s="4" t="s">
        <v>170</v>
      </c>
      <c r="B11" s="69">
        <v>150</v>
      </c>
      <c r="C11" s="69">
        <v>200</v>
      </c>
      <c r="D11" s="69">
        <v>150</v>
      </c>
      <c r="E11" s="69">
        <v>100</v>
      </c>
      <c r="F11" s="69">
        <v>150</v>
      </c>
      <c r="G11" s="69">
        <v>0</v>
      </c>
      <c r="H11" s="69">
        <v>150</v>
      </c>
      <c r="I11" s="69">
        <v>150</v>
      </c>
      <c r="J11" s="69">
        <v>150</v>
      </c>
      <c r="K11" s="69">
        <v>150</v>
      </c>
      <c r="L11" s="69">
        <v>150</v>
      </c>
      <c r="M11" s="69">
        <v>100</v>
      </c>
      <c r="N11" s="69">
        <v>100</v>
      </c>
      <c r="O11" s="69">
        <v>150</v>
      </c>
      <c r="P11" s="69">
        <v>200</v>
      </c>
      <c r="Q11" s="69">
        <v>200</v>
      </c>
      <c r="R11" s="69">
        <v>0</v>
      </c>
      <c r="S11" s="69">
        <v>150</v>
      </c>
      <c r="T11" s="69">
        <v>150</v>
      </c>
      <c r="U11" s="69">
        <v>150</v>
      </c>
      <c r="V11" s="69">
        <v>150</v>
      </c>
      <c r="W11" s="69">
        <v>150</v>
      </c>
      <c r="X11" s="69">
        <v>200</v>
      </c>
      <c r="Y11" s="69">
        <v>150</v>
      </c>
      <c r="Z11" s="69">
        <v>150</v>
      </c>
      <c r="AA11" s="69">
        <v>150</v>
      </c>
      <c r="AB11" s="69">
        <v>150</v>
      </c>
      <c r="AC11" s="69">
        <v>100</v>
      </c>
      <c r="AD11" s="69">
        <v>200</v>
      </c>
      <c r="AE11" s="69">
        <v>250</v>
      </c>
      <c r="AF11" s="69">
        <v>300</v>
      </c>
      <c r="AG11" s="56">
        <f t="shared" si="18"/>
        <v>4100</v>
      </c>
      <c r="AH11" s="67">
        <f t="shared" si="19"/>
        <v>150</v>
      </c>
      <c r="AI11" s="68">
        <f t="shared" si="20"/>
        <v>1.2900791525983308</v>
      </c>
      <c r="AK11" s="14"/>
      <c r="AN11" s="74"/>
      <c r="AS11" s="14"/>
      <c r="AT11" s="14"/>
      <c r="AU11" s="14"/>
      <c r="AV11" s="14"/>
      <c r="AW11" s="14"/>
      <c r="AX11" s="14"/>
      <c r="AY11" s="14"/>
      <c r="AZ11" s="14"/>
      <c r="BA11" s="14"/>
      <c r="BB11" s="14"/>
      <c r="BC11" s="14"/>
      <c r="BD11" s="14"/>
      <c r="BE11" s="14"/>
      <c r="BF11" s="14"/>
      <c r="BG11" s="14"/>
    </row>
    <row r="12" spans="1:59" ht="15.75" customHeight="1" x14ac:dyDescent="0.2">
      <c r="A12" s="4" t="s">
        <v>171</v>
      </c>
      <c r="B12" s="69">
        <v>100</v>
      </c>
      <c r="C12" s="69">
        <v>130</v>
      </c>
      <c r="D12" s="69">
        <v>100</v>
      </c>
      <c r="E12" s="69">
        <v>65</v>
      </c>
      <c r="F12" s="69">
        <v>65</v>
      </c>
      <c r="G12" s="69">
        <v>0</v>
      </c>
      <c r="H12" s="69">
        <v>100</v>
      </c>
      <c r="I12" s="69">
        <v>65</v>
      </c>
      <c r="J12" s="69">
        <v>100</v>
      </c>
      <c r="K12" s="69">
        <v>0</v>
      </c>
      <c r="L12" s="69">
        <v>100</v>
      </c>
      <c r="M12" s="69">
        <v>100</v>
      </c>
      <c r="N12" s="69">
        <v>65</v>
      </c>
      <c r="O12" s="69">
        <v>65</v>
      </c>
      <c r="P12" s="69">
        <v>100</v>
      </c>
      <c r="Q12" s="69">
        <v>65</v>
      </c>
      <c r="R12" s="69">
        <v>0</v>
      </c>
      <c r="S12" s="69">
        <v>100</v>
      </c>
      <c r="T12" s="69">
        <v>100</v>
      </c>
      <c r="U12" s="69">
        <v>100</v>
      </c>
      <c r="V12" s="69">
        <v>65</v>
      </c>
      <c r="W12" s="69">
        <v>65</v>
      </c>
      <c r="X12" s="69">
        <v>100</v>
      </c>
      <c r="Y12" s="69">
        <v>65</v>
      </c>
      <c r="Z12" s="69">
        <v>100</v>
      </c>
      <c r="AA12" s="69">
        <v>100</v>
      </c>
      <c r="AB12" s="69">
        <v>100</v>
      </c>
      <c r="AC12" s="69">
        <v>100</v>
      </c>
      <c r="AD12" s="69">
        <v>100</v>
      </c>
      <c r="AE12" s="69">
        <v>100</v>
      </c>
      <c r="AF12" s="69">
        <v>130</v>
      </c>
      <c r="AG12" s="56">
        <f t="shared" si="18"/>
        <v>2315</v>
      </c>
      <c r="AH12" s="67">
        <f t="shared" si="19"/>
        <v>82.096774193548384</v>
      </c>
      <c r="AI12" s="68">
        <f t="shared" si="20"/>
        <v>0.70607557921779607</v>
      </c>
      <c r="AK12" s="14"/>
      <c r="AN12" s="74"/>
      <c r="AS12" s="14"/>
      <c r="AT12" s="14"/>
      <c r="AU12" s="14"/>
      <c r="AV12" s="14"/>
      <c r="AW12" s="14"/>
      <c r="AX12" s="14"/>
      <c r="AY12" s="14"/>
      <c r="AZ12" s="14"/>
      <c r="BA12" s="14"/>
      <c r="BB12" s="14"/>
      <c r="BC12" s="14"/>
      <c r="BD12" s="14"/>
      <c r="BE12" s="14"/>
      <c r="BF12" s="14"/>
      <c r="BG12" s="14"/>
    </row>
    <row r="13" spans="1:59" ht="15.75" customHeight="1" x14ac:dyDescent="0.2">
      <c r="A13" s="4" t="s">
        <v>172</v>
      </c>
      <c r="B13" s="69">
        <v>0</v>
      </c>
      <c r="C13" s="69">
        <v>370</v>
      </c>
      <c r="D13" s="69">
        <v>0</v>
      </c>
      <c r="E13" s="69">
        <v>370</v>
      </c>
      <c r="F13" s="69">
        <v>0</v>
      </c>
      <c r="G13" s="69">
        <v>0</v>
      </c>
      <c r="H13" s="69">
        <v>0</v>
      </c>
      <c r="I13" s="69">
        <v>0</v>
      </c>
      <c r="J13" s="69">
        <v>0</v>
      </c>
      <c r="K13" s="69">
        <v>370</v>
      </c>
      <c r="L13" s="69">
        <v>0</v>
      </c>
      <c r="M13" s="69">
        <v>370</v>
      </c>
      <c r="N13" s="69">
        <v>0</v>
      </c>
      <c r="O13" s="69">
        <v>0</v>
      </c>
      <c r="P13" s="69">
        <v>370</v>
      </c>
      <c r="Q13" s="69">
        <v>370</v>
      </c>
      <c r="R13" s="69">
        <v>0</v>
      </c>
      <c r="S13" s="69">
        <v>370</v>
      </c>
      <c r="T13" s="69">
        <v>0</v>
      </c>
      <c r="U13" s="69">
        <v>0</v>
      </c>
      <c r="V13" s="69">
        <v>0</v>
      </c>
      <c r="W13" s="69">
        <v>370</v>
      </c>
      <c r="X13" s="69">
        <v>370</v>
      </c>
      <c r="Y13" s="69">
        <v>0</v>
      </c>
      <c r="Z13" s="69">
        <v>0</v>
      </c>
      <c r="AA13" s="69">
        <v>0</v>
      </c>
      <c r="AB13" s="69">
        <v>370</v>
      </c>
      <c r="AC13" s="69">
        <v>370</v>
      </c>
      <c r="AD13" s="69">
        <v>370</v>
      </c>
      <c r="AE13" s="69">
        <v>740</v>
      </c>
      <c r="AF13" s="69">
        <v>0</v>
      </c>
      <c r="AG13" s="56">
        <f t="shared" si="18"/>
        <v>4440</v>
      </c>
      <c r="AH13" s="67">
        <f t="shared" si="19"/>
        <v>167.09677419354838</v>
      </c>
      <c r="AI13" s="68">
        <f t="shared" si="20"/>
        <v>1.4371204323568503</v>
      </c>
      <c r="AK13" s="14"/>
      <c r="AN13" s="74"/>
      <c r="AS13" s="14"/>
      <c r="AT13" s="14"/>
      <c r="AU13" s="14"/>
      <c r="AV13" s="14"/>
      <c r="AW13" s="14"/>
      <c r="AX13" s="14"/>
      <c r="AY13" s="14"/>
      <c r="AZ13" s="14"/>
      <c r="BA13" s="14"/>
      <c r="BB13" s="14"/>
      <c r="BC13" s="14"/>
      <c r="BD13" s="14"/>
      <c r="BE13" s="14"/>
      <c r="BF13" s="14"/>
      <c r="BG13" s="14"/>
    </row>
    <row r="14" spans="1:59" ht="15.75" customHeight="1" x14ac:dyDescent="0.2">
      <c r="A14" s="4" t="s">
        <v>173</v>
      </c>
      <c r="B14" s="69">
        <v>0</v>
      </c>
      <c r="C14" s="69">
        <v>0</v>
      </c>
      <c r="D14" s="69">
        <v>80</v>
      </c>
      <c r="E14" s="69">
        <v>120</v>
      </c>
      <c r="F14" s="69">
        <v>0</v>
      </c>
      <c r="G14" s="69">
        <v>0</v>
      </c>
      <c r="H14" s="69">
        <v>0</v>
      </c>
      <c r="I14" s="69">
        <v>0</v>
      </c>
      <c r="J14" s="69">
        <v>0</v>
      </c>
      <c r="K14" s="69">
        <v>160</v>
      </c>
      <c r="L14" s="69">
        <v>0</v>
      </c>
      <c r="M14" s="69">
        <v>80</v>
      </c>
      <c r="N14" s="69">
        <v>40</v>
      </c>
      <c r="O14" s="69">
        <v>0</v>
      </c>
      <c r="P14" s="69">
        <v>196</v>
      </c>
      <c r="Q14" s="69">
        <v>120</v>
      </c>
      <c r="R14" s="69">
        <v>0</v>
      </c>
      <c r="S14" s="69">
        <v>80</v>
      </c>
      <c r="T14" s="69">
        <v>0</v>
      </c>
      <c r="U14" s="69">
        <v>80</v>
      </c>
      <c r="V14" s="69">
        <v>0</v>
      </c>
      <c r="W14" s="69">
        <v>0</v>
      </c>
      <c r="X14" s="69">
        <v>150</v>
      </c>
      <c r="Y14" s="69">
        <v>80</v>
      </c>
      <c r="Z14" s="69">
        <v>0</v>
      </c>
      <c r="AA14" s="69">
        <v>0</v>
      </c>
      <c r="AB14" s="69">
        <v>178</v>
      </c>
      <c r="AC14" s="69">
        <v>160</v>
      </c>
      <c r="AD14" s="69">
        <v>0</v>
      </c>
      <c r="AE14" s="69">
        <v>160</v>
      </c>
      <c r="AF14" s="69">
        <v>0</v>
      </c>
      <c r="AG14" s="56">
        <f t="shared" si="18"/>
        <v>1524</v>
      </c>
      <c r="AH14" s="67">
        <f t="shared" si="19"/>
        <v>54.322580645161288</v>
      </c>
      <c r="AI14" s="68">
        <f t="shared" si="20"/>
        <v>0.46720285870442779</v>
      </c>
      <c r="AJ14" s="14"/>
      <c r="AK14" s="14"/>
      <c r="AS14" s="14"/>
      <c r="AT14" s="14"/>
      <c r="AU14" s="14"/>
      <c r="AV14" s="14"/>
      <c r="AW14" s="14"/>
      <c r="AX14" s="14"/>
      <c r="AY14" s="14"/>
      <c r="AZ14" s="14"/>
      <c r="BA14" s="14"/>
      <c r="BB14" s="14"/>
      <c r="BC14" s="14"/>
      <c r="BD14" s="14"/>
      <c r="BE14" s="14"/>
      <c r="BF14" s="14"/>
      <c r="BG14" s="14"/>
    </row>
    <row r="15" spans="1:59" ht="15.75" customHeight="1" x14ac:dyDescent="0.2">
      <c r="A15" s="4" t="s">
        <v>174</v>
      </c>
      <c r="B15" s="69">
        <v>70</v>
      </c>
      <c r="C15" s="69">
        <v>0</v>
      </c>
      <c r="D15" s="69">
        <v>70</v>
      </c>
      <c r="E15" s="69">
        <v>0</v>
      </c>
      <c r="F15" s="69">
        <v>0</v>
      </c>
      <c r="G15" s="69">
        <v>0</v>
      </c>
      <c r="H15" s="69">
        <v>0</v>
      </c>
      <c r="I15" s="69">
        <v>70</v>
      </c>
      <c r="J15" s="69">
        <v>0</v>
      </c>
      <c r="K15" s="69">
        <v>0</v>
      </c>
      <c r="L15" s="69">
        <v>0</v>
      </c>
      <c r="M15" s="69">
        <v>0</v>
      </c>
      <c r="N15" s="69">
        <v>0</v>
      </c>
      <c r="O15" s="69">
        <v>0</v>
      </c>
      <c r="P15" s="69">
        <v>105</v>
      </c>
      <c r="Q15" s="69">
        <v>0</v>
      </c>
      <c r="R15" s="69">
        <v>0</v>
      </c>
      <c r="S15" s="69">
        <v>0</v>
      </c>
      <c r="T15" s="69">
        <v>70</v>
      </c>
      <c r="U15" s="69">
        <v>0</v>
      </c>
      <c r="V15" s="69">
        <v>0</v>
      </c>
      <c r="W15" s="69">
        <v>0</v>
      </c>
      <c r="X15" s="69">
        <v>140</v>
      </c>
      <c r="Y15" s="69">
        <v>0</v>
      </c>
      <c r="Z15" s="69">
        <v>0</v>
      </c>
      <c r="AA15" s="69">
        <v>0</v>
      </c>
      <c r="AB15" s="69">
        <v>0</v>
      </c>
      <c r="AC15" s="69">
        <v>0</v>
      </c>
      <c r="AD15" s="69">
        <v>0</v>
      </c>
      <c r="AE15" s="69">
        <v>175</v>
      </c>
      <c r="AF15" s="69">
        <v>0</v>
      </c>
      <c r="AG15" s="56">
        <f t="shared" si="18"/>
        <v>525</v>
      </c>
      <c r="AH15" s="67">
        <f t="shared" si="19"/>
        <v>22.580645161290324</v>
      </c>
      <c r="AI15" s="68">
        <f t="shared" si="20"/>
        <v>0.19420546383200679</v>
      </c>
      <c r="AJ15" s="14"/>
      <c r="AK15" s="14"/>
      <c r="AS15" s="14"/>
      <c r="AT15" s="14"/>
      <c r="AU15" s="14"/>
      <c r="AV15" s="14"/>
      <c r="AW15" s="14"/>
      <c r="AX15" s="14"/>
      <c r="AY15" s="14"/>
      <c r="AZ15" s="14"/>
      <c r="BA15" s="14"/>
      <c r="BB15" s="14"/>
      <c r="BC15" s="14"/>
      <c r="BD15" s="14"/>
      <c r="BE15" s="14"/>
      <c r="BF15" s="14"/>
      <c r="BG15" s="14"/>
    </row>
    <row r="16" spans="1:59" ht="15.75" customHeight="1" x14ac:dyDescent="0.2">
      <c r="A16" s="4" t="s">
        <v>175</v>
      </c>
      <c r="B16" s="69">
        <v>170</v>
      </c>
      <c r="C16" s="69">
        <v>0</v>
      </c>
      <c r="D16" s="69">
        <v>170</v>
      </c>
      <c r="E16" s="69">
        <v>0</v>
      </c>
      <c r="F16" s="69">
        <v>0</v>
      </c>
      <c r="G16" s="69">
        <v>0</v>
      </c>
      <c r="H16" s="69">
        <v>170</v>
      </c>
      <c r="I16" s="69">
        <v>0</v>
      </c>
      <c r="J16" s="69">
        <v>170</v>
      </c>
      <c r="K16" s="69">
        <v>160</v>
      </c>
      <c r="L16" s="69">
        <v>0</v>
      </c>
      <c r="M16" s="69">
        <v>160</v>
      </c>
      <c r="N16" s="69">
        <v>160</v>
      </c>
      <c r="O16" s="69">
        <v>0</v>
      </c>
      <c r="P16" s="69">
        <v>160</v>
      </c>
      <c r="Q16" s="69">
        <v>160</v>
      </c>
      <c r="R16" s="69">
        <v>0</v>
      </c>
      <c r="S16" s="69">
        <v>160</v>
      </c>
      <c r="T16" s="69">
        <v>0</v>
      </c>
      <c r="U16" s="69">
        <v>160</v>
      </c>
      <c r="V16" s="69">
        <v>0</v>
      </c>
      <c r="W16" s="69">
        <v>160</v>
      </c>
      <c r="X16" s="69">
        <v>160</v>
      </c>
      <c r="Y16" s="69">
        <v>0</v>
      </c>
      <c r="Z16" s="69">
        <v>150</v>
      </c>
      <c r="AA16" s="69">
        <v>0</v>
      </c>
      <c r="AB16" s="69">
        <v>150</v>
      </c>
      <c r="AC16" s="69">
        <v>0</v>
      </c>
      <c r="AD16" s="69">
        <v>150</v>
      </c>
      <c r="AE16" s="69">
        <v>150</v>
      </c>
      <c r="AF16" s="69">
        <v>0</v>
      </c>
      <c r="AG16" s="56">
        <f t="shared" si="18"/>
        <v>2570</v>
      </c>
      <c r="AH16" s="67">
        <f t="shared" si="19"/>
        <v>87.741935483870961</v>
      </c>
      <c r="AI16" s="68">
        <f t="shared" si="20"/>
        <v>0.75462694517579776</v>
      </c>
      <c r="AJ16" s="14"/>
      <c r="AK16" s="14"/>
      <c r="AS16" s="14"/>
      <c r="AT16" s="14"/>
      <c r="AU16" s="14"/>
      <c r="AV16" s="14"/>
      <c r="AW16" s="14"/>
      <c r="AX16" s="14"/>
      <c r="AY16" s="14"/>
      <c r="AZ16" s="14"/>
      <c r="BA16" s="14"/>
      <c r="BB16" s="14"/>
      <c r="BC16" s="14"/>
      <c r="BD16" s="14"/>
      <c r="BE16" s="14"/>
      <c r="BF16" s="14"/>
      <c r="BG16" s="14"/>
    </row>
    <row r="17" spans="1:59" ht="15.75" customHeight="1" x14ac:dyDescent="0.2">
      <c r="A17" s="4" t="s">
        <v>176</v>
      </c>
      <c r="B17" s="69">
        <v>0</v>
      </c>
      <c r="C17" s="69">
        <v>0</v>
      </c>
      <c r="D17" s="69">
        <v>0</v>
      </c>
      <c r="E17" s="69">
        <f>55+35+35</f>
        <v>125</v>
      </c>
      <c r="F17" s="69">
        <v>89</v>
      </c>
      <c r="G17" s="69">
        <v>0</v>
      </c>
      <c r="H17" s="69">
        <v>0</v>
      </c>
      <c r="I17" s="69">
        <v>0</v>
      </c>
      <c r="J17" s="69">
        <v>500</v>
      </c>
      <c r="K17" s="69">
        <f>100+200</f>
        <v>300</v>
      </c>
      <c r="L17" s="69">
        <v>0</v>
      </c>
      <c r="M17" s="69">
        <v>89</v>
      </c>
      <c r="N17" s="69">
        <v>0</v>
      </c>
      <c r="O17" s="69">
        <v>0</v>
      </c>
      <c r="P17" s="69">
        <v>89</v>
      </c>
      <c r="Q17" s="69">
        <v>0</v>
      </c>
      <c r="R17" s="69">
        <v>0</v>
      </c>
      <c r="S17" s="69">
        <v>0</v>
      </c>
      <c r="T17" s="69">
        <f>200+65</f>
        <v>265</v>
      </c>
      <c r="U17" s="69">
        <v>0</v>
      </c>
      <c r="V17" s="69">
        <v>89</v>
      </c>
      <c r="W17" s="69">
        <v>0</v>
      </c>
      <c r="X17" s="69">
        <v>0</v>
      </c>
      <c r="Y17" s="69">
        <v>0</v>
      </c>
      <c r="Z17" s="69">
        <v>0</v>
      </c>
      <c r="AA17" s="69">
        <v>89</v>
      </c>
      <c r="AB17" s="69">
        <v>0</v>
      </c>
      <c r="AC17" s="69">
        <v>200</v>
      </c>
      <c r="AD17" s="69">
        <v>0</v>
      </c>
      <c r="AE17" s="69">
        <v>89</v>
      </c>
      <c r="AF17" s="69">
        <f>240+110</f>
        <v>350</v>
      </c>
      <c r="AG17" s="56">
        <f t="shared" si="18"/>
        <v>1835</v>
      </c>
      <c r="AH17" s="67">
        <f t="shared" si="19"/>
        <v>73.354838709677423</v>
      </c>
      <c r="AI17" s="68">
        <f t="shared" si="20"/>
        <v>0.63089032107711929</v>
      </c>
      <c r="AJ17" s="14"/>
      <c r="AK17" s="14"/>
      <c r="AS17" s="14"/>
      <c r="AT17" s="14"/>
      <c r="AU17" s="14"/>
      <c r="AV17" s="14"/>
      <c r="AW17" s="75"/>
      <c r="AX17" s="14"/>
      <c r="AY17" s="14"/>
      <c r="AZ17" s="14"/>
      <c r="BA17" s="14"/>
      <c r="BB17" s="14"/>
      <c r="BC17" s="14"/>
      <c r="BD17" s="14"/>
      <c r="BE17" s="14"/>
      <c r="BF17" s="14"/>
      <c r="BG17" s="14"/>
    </row>
    <row r="18" spans="1:59" ht="15.75" customHeight="1" x14ac:dyDescent="0.2">
      <c r="A18" s="4" t="s">
        <v>177</v>
      </c>
      <c r="B18" s="69">
        <v>70</v>
      </c>
      <c r="C18" s="69">
        <f>240+120</f>
        <v>360</v>
      </c>
      <c r="D18" s="69">
        <v>0</v>
      </c>
      <c r="E18" s="69">
        <v>0</v>
      </c>
      <c r="F18" s="69">
        <v>0</v>
      </c>
      <c r="G18" s="69">
        <v>0</v>
      </c>
      <c r="H18" s="69">
        <v>150</v>
      </c>
      <c r="I18" s="69">
        <v>0</v>
      </c>
      <c r="J18" s="69">
        <v>0</v>
      </c>
      <c r="K18" s="69">
        <v>0</v>
      </c>
      <c r="L18" s="69">
        <v>100</v>
      </c>
      <c r="M18" s="69">
        <v>70</v>
      </c>
      <c r="N18" s="69">
        <v>0</v>
      </c>
      <c r="O18" s="69">
        <v>0</v>
      </c>
      <c r="P18" s="69">
        <v>0</v>
      </c>
      <c r="Q18" s="69">
        <f>140+240</f>
        <v>380</v>
      </c>
      <c r="R18" s="69">
        <v>0</v>
      </c>
      <c r="S18" s="69">
        <v>0</v>
      </c>
      <c r="T18" s="69">
        <v>0</v>
      </c>
      <c r="U18" s="69">
        <v>140</v>
      </c>
      <c r="V18" s="69">
        <v>0</v>
      </c>
      <c r="W18" s="69">
        <v>70</v>
      </c>
      <c r="X18" s="69">
        <v>0</v>
      </c>
      <c r="Y18" s="69">
        <v>70</v>
      </c>
      <c r="Z18" s="69">
        <v>0</v>
      </c>
      <c r="AA18" s="69">
        <v>60</v>
      </c>
      <c r="AB18" s="69">
        <f>80+250</f>
        <v>330</v>
      </c>
      <c r="AC18" s="69">
        <v>0</v>
      </c>
      <c r="AD18" s="69">
        <v>0</v>
      </c>
      <c r="AE18" s="69">
        <v>70</v>
      </c>
      <c r="AF18" s="69">
        <v>100</v>
      </c>
      <c r="AG18" s="56">
        <f t="shared" si="18"/>
        <v>1800</v>
      </c>
      <c r="AH18" s="67">
        <f t="shared" si="19"/>
        <v>63.548387096774192</v>
      </c>
      <c r="AI18" s="68">
        <f t="shared" si="20"/>
        <v>0.54654966249864767</v>
      </c>
      <c r="AJ18" s="14"/>
      <c r="AK18" s="14"/>
      <c r="AS18" s="14"/>
      <c r="AT18" s="14"/>
      <c r="AU18" s="14"/>
      <c r="AV18" s="14"/>
      <c r="AW18" s="75"/>
      <c r="AX18" s="14"/>
      <c r="AY18" s="14"/>
      <c r="AZ18" s="14"/>
      <c r="BA18" s="14"/>
      <c r="BB18" s="14"/>
      <c r="BC18" s="14"/>
      <c r="BD18" s="14"/>
      <c r="BE18" s="14"/>
      <c r="BF18" s="14"/>
      <c r="BG18" s="14"/>
    </row>
    <row r="19" spans="1:59"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1"/>
      <c r="AH19" s="71"/>
      <c r="AI19" s="72"/>
      <c r="AJ19" s="14"/>
      <c r="AK19" s="14"/>
      <c r="AS19" s="14"/>
      <c r="AT19" s="14"/>
      <c r="AU19" s="14"/>
      <c r="AV19" s="14"/>
      <c r="AW19" s="75"/>
      <c r="AX19" s="73"/>
      <c r="AY19" s="73"/>
      <c r="AZ19" s="73"/>
      <c r="BA19" s="73"/>
      <c r="BB19" s="73"/>
      <c r="BC19" s="73"/>
      <c r="BD19" s="73"/>
      <c r="BE19" s="73"/>
      <c r="BF19" s="73"/>
      <c r="BG19" s="73"/>
    </row>
    <row r="20" spans="1:59" ht="15.75" customHeight="1" x14ac:dyDescent="0.2">
      <c r="A20" s="4" t="s">
        <v>179</v>
      </c>
      <c r="B20" s="69">
        <f t="shared" ref="B20:F20" si="21">$B$53/$B$59</f>
        <v>827.58620689655174</v>
      </c>
      <c r="C20" s="69">
        <f t="shared" si="21"/>
        <v>827.58620689655174</v>
      </c>
      <c r="D20" s="69">
        <f t="shared" si="21"/>
        <v>827.58620689655174</v>
      </c>
      <c r="E20" s="69">
        <f t="shared" si="21"/>
        <v>827.58620689655174</v>
      </c>
      <c r="F20" s="69">
        <f t="shared" si="21"/>
        <v>827.58620689655174</v>
      </c>
      <c r="G20" s="69">
        <v>0</v>
      </c>
      <c r="H20" s="69">
        <f t="shared" ref="H20:Q20" si="22">$B$53/$B$59</f>
        <v>827.58620689655174</v>
      </c>
      <c r="I20" s="69">
        <f t="shared" si="22"/>
        <v>827.58620689655174</v>
      </c>
      <c r="J20" s="69">
        <f t="shared" si="22"/>
        <v>827.58620689655174</v>
      </c>
      <c r="K20" s="69">
        <f t="shared" si="22"/>
        <v>827.58620689655174</v>
      </c>
      <c r="L20" s="69">
        <f t="shared" si="22"/>
        <v>827.58620689655174</v>
      </c>
      <c r="M20" s="69">
        <f t="shared" si="22"/>
        <v>827.58620689655174</v>
      </c>
      <c r="N20" s="69">
        <f t="shared" si="22"/>
        <v>827.58620689655174</v>
      </c>
      <c r="O20" s="69">
        <f t="shared" si="22"/>
        <v>827.58620689655174</v>
      </c>
      <c r="P20" s="69">
        <f t="shared" si="22"/>
        <v>827.58620689655174</v>
      </c>
      <c r="Q20" s="69">
        <f t="shared" si="22"/>
        <v>827.58620689655174</v>
      </c>
      <c r="R20" s="69">
        <v>0</v>
      </c>
      <c r="S20" s="69">
        <f t="shared" ref="S20:AF20" si="23">$B$53/$B$59</f>
        <v>827.58620689655174</v>
      </c>
      <c r="T20" s="69">
        <f t="shared" si="23"/>
        <v>827.58620689655174</v>
      </c>
      <c r="U20" s="69">
        <f t="shared" si="23"/>
        <v>827.58620689655174</v>
      </c>
      <c r="V20" s="69">
        <f t="shared" si="23"/>
        <v>827.58620689655174</v>
      </c>
      <c r="W20" s="69">
        <f t="shared" si="23"/>
        <v>827.58620689655174</v>
      </c>
      <c r="X20" s="69">
        <f t="shared" si="23"/>
        <v>827.58620689655174</v>
      </c>
      <c r="Y20" s="69">
        <f t="shared" si="23"/>
        <v>827.58620689655174</v>
      </c>
      <c r="Z20" s="69">
        <f t="shared" si="23"/>
        <v>827.58620689655174</v>
      </c>
      <c r="AA20" s="69">
        <f t="shared" si="23"/>
        <v>827.58620689655174</v>
      </c>
      <c r="AB20" s="69">
        <f t="shared" si="23"/>
        <v>827.58620689655174</v>
      </c>
      <c r="AC20" s="69">
        <f t="shared" si="23"/>
        <v>827.58620689655174</v>
      </c>
      <c r="AD20" s="69">
        <f t="shared" si="23"/>
        <v>827.58620689655174</v>
      </c>
      <c r="AE20" s="69">
        <f t="shared" si="23"/>
        <v>827.58620689655174</v>
      </c>
      <c r="AF20" s="69">
        <f t="shared" si="23"/>
        <v>827.58620689655174</v>
      </c>
      <c r="AG20" s="56">
        <f t="shared" ref="AG20:AG22" si="24">SUM(B20:AF20)</f>
        <v>24000</v>
      </c>
      <c r="AH20" s="67">
        <f t="shared" ref="AH20:AH22" si="25">IFERROR(AVERAGE(B20:AF20),0)</f>
        <v>774.19354838709683</v>
      </c>
      <c r="AI20" s="68">
        <f t="shared" ref="AI20:AI22" si="26">(AH20/$AH$29)*100</f>
        <v>6.6584730456688046</v>
      </c>
      <c r="AJ20" s="14"/>
      <c r="AK20" s="14"/>
      <c r="AS20" s="14"/>
      <c r="AT20" s="14"/>
      <c r="AU20" s="14"/>
      <c r="AV20" s="14"/>
      <c r="AW20" s="75"/>
      <c r="AX20" s="14"/>
      <c r="AY20" s="14"/>
      <c r="AZ20" s="14"/>
      <c r="BA20" s="14"/>
      <c r="BB20" s="14"/>
      <c r="BC20" s="14"/>
      <c r="BD20" s="14"/>
      <c r="BE20" s="14"/>
      <c r="BF20" s="14"/>
      <c r="BG20" s="14"/>
    </row>
    <row r="21" spans="1:59" ht="15.75" customHeight="1" x14ac:dyDescent="0.2">
      <c r="A21" s="4" t="s">
        <v>180</v>
      </c>
      <c r="B21" s="69">
        <f t="shared" ref="B21:F21" si="27">$B$54/$B$59</f>
        <v>86.206896551724142</v>
      </c>
      <c r="C21" s="69">
        <f t="shared" si="27"/>
        <v>86.206896551724142</v>
      </c>
      <c r="D21" s="69">
        <f t="shared" si="27"/>
        <v>86.206896551724142</v>
      </c>
      <c r="E21" s="69">
        <f t="shared" si="27"/>
        <v>86.206896551724142</v>
      </c>
      <c r="F21" s="69">
        <f t="shared" si="27"/>
        <v>86.206896551724142</v>
      </c>
      <c r="G21" s="69">
        <v>0</v>
      </c>
      <c r="H21" s="69">
        <f t="shared" ref="H21:Q21" si="28">$B$54/$B$59</f>
        <v>86.206896551724142</v>
      </c>
      <c r="I21" s="69">
        <f t="shared" si="28"/>
        <v>86.206896551724142</v>
      </c>
      <c r="J21" s="69">
        <f t="shared" si="28"/>
        <v>86.206896551724142</v>
      </c>
      <c r="K21" s="69">
        <f t="shared" si="28"/>
        <v>86.206896551724142</v>
      </c>
      <c r="L21" s="69">
        <f t="shared" si="28"/>
        <v>86.206896551724142</v>
      </c>
      <c r="M21" s="69">
        <f t="shared" si="28"/>
        <v>86.206896551724142</v>
      </c>
      <c r="N21" s="69">
        <f t="shared" si="28"/>
        <v>86.206896551724142</v>
      </c>
      <c r="O21" s="69">
        <f t="shared" si="28"/>
        <v>86.206896551724142</v>
      </c>
      <c r="P21" s="69">
        <f t="shared" si="28"/>
        <v>86.206896551724142</v>
      </c>
      <c r="Q21" s="69">
        <f t="shared" si="28"/>
        <v>86.206896551724142</v>
      </c>
      <c r="R21" s="69">
        <v>0</v>
      </c>
      <c r="S21" s="69">
        <f t="shared" ref="S21:AF21" si="29">$B$54/$B$59</f>
        <v>86.206896551724142</v>
      </c>
      <c r="T21" s="69">
        <f t="shared" si="29"/>
        <v>86.206896551724142</v>
      </c>
      <c r="U21" s="69">
        <f t="shared" si="29"/>
        <v>86.206896551724142</v>
      </c>
      <c r="V21" s="69">
        <f t="shared" si="29"/>
        <v>86.206896551724142</v>
      </c>
      <c r="W21" s="69">
        <f t="shared" si="29"/>
        <v>86.206896551724142</v>
      </c>
      <c r="X21" s="69">
        <f t="shared" si="29"/>
        <v>86.206896551724142</v>
      </c>
      <c r="Y21" s="69">
        <f t="shared" si="29"/>
        <v>86.206896551724142</v>
      </c>
      <c r="Z21" s="69">
        <f t="shared" si="29"/>
        <v>86.206896551724142</v>
      </c>
      <c r="AA21" s="69">
        <f t="shared" si="29"/>
        <v>86.206896551724142</v>
      </c>
      <c r="AB21" s="69">
        <f t="shared" si="29"/>
        <v>86.206896551724142</v>
      </c>
      <c r="AC21" s="69">
        <f t="shared" si="29"/>
        <v>86.206896551724142</v>
      </c>
      <c r="AD21" s="69">
        <f t="shared" si="29"/>
        <v>86.206896551724142</v>
      </c>
      <c r="AE21" s="69">
        <f t="shared" si="29"/>
        <v>86.206896551724142</v>
      </c>
      <c r="AF21" s="69">
        <f t="shared" si="29"/>
        <v>86.206896551724142</v>
      </c>
      <c r="AG21" s="56">
        <f t="shared" si="24"/>
        <v>2500.0000000000009</v>
      </c>
      <c r="AH21" s="67">
        <f t="shared" si="25"/>
        <v>80.645161290322605</v>
      </c>
      <c r="AI21" s="68">
        <f t="shared" si="26"/>
        <v>0.69359094225716733</v>
      </c>
      <c r="AJ21" s="14"/>
      <c r="AK21" s="14"/>
      <c r="AS21" s="14"/>
      <c r="AT21" s="14"/>
      <c r="AU21" s="14"/>
      <c r="AV21" s="14"/>
      <c r="AW21" s="75"/>
      <c r="AX21" s="14"/>
      <c r="AY21" s="14"/>
      <c r="AZ21" s="14"/>
      <c r="BA21" s="14"/>
      <c r="BB21" s="14"/>
      <c r="BC21" s="14"/>
      <c r="BD21" s="14"/>
      <c r="BE21" s="14"/>
      <c r="BF21" s="14"/>
      <c r="BG21" s="14"/>
    </row>
    <row r="22" spans="1:59" ht="15.75" customHeight="1" x14ac:dyDescent="0.2">
      <c r="A22" s="4" t="s">
        <v>181</v>
      </c>
      <c r="B22" s="69">
        <f t="shared" ref="B22:F22" si="30">$B$55/$B$59</f>
        <v>0</v>
      </c>
      <c r="C22" s="69">
        <f t="shared" si="30"/>
        <v>0</v>
      </c>
      <c r="D22" s="69">
        <f t="shared" si="30"/>
        <v>0</v>
      </c>
      <c r="E22" s="69">
        <f t="shared" si="30"/>
        <v>0</v>
      </c>
      <c r="F22" s="69">
        <f t="shared" si="30"/>
        <v>0</v>
      </c>
      <c r="G22" s="69">
        <v>0</v>
      </c>
      <c r="H22" s="69">
        <f t="shared" ref="H22:Q22" si="31">$B$55/$B$59</f>
        <v>0</v>
      </c>
      <c r="I22" s="69">
        <f t="shared" si="31"/>
        <v>0</v>
      </c>
      <c r="J22" s="69">
        <f t="shared" si="31"/>
        <v>0</v>
      </c>
      <c r="K22" s="69">
        <f t="shared" si="31"/>
        <v>0</v>
      </c>
      <c r="L22" s="69">
        <f t="shared" si="31"/>
        <v>0</v>
      </c>
      <c r="M22" s="69">
        <f t="shared" si="31"/>
        <v>0</v>
      </c>
      <c r="N22" s="69">
        <f t="shared" si="31"/>
        <v>0</v>
      </c>
      <c r="O22" s="69">
        <f t="shared" si="31"/>
        <v>0</v>
      </c>
      <c r="P22" s="69">
        <f t="shared" si="31"/>
        <v>0</v>
      </c>
      <c r="Q22" s="69">
        <f t="shared" si="31"/>
        <v>0</v>
      </c>
      <c r="R22" s="69">
        <v>0</v>
      </c>
      <c r="S22" s="69">
        <f t="shared" ref="S22:AF22" si="32">$B$55/$B$59</f>
        <v>0</v>
      </c>
      <c r="T22" s="69">
        <f t="shared" si="32"/>
        <v>0</v>
      </c>
      <c r="U22" s="69">
        <f t="shared" si="32"/>
        <v>0</v>
      </c>
      <c r="V22" s="69">
        <f t="shared" si="32"/>
        <v>0</v>
      </c>
      <c r="W22" s="69">
        <f t="shared" si="32"/>
        <v>0</v>
      </c>
      <c r="X22" s="69">
        <f t="shared" si="32"/>
        <v>0</v>
      </c>
      <c r="Y22" s="69">
        <f t="shared" si="32"/>
        <v>0</v>
      </c>
      <c r="Z22" s="69">
        <f t="shared" si="32"/>
        <v>0</v>
      </c>
      <c r="AA22" s="69">
        <f t="shared" si="32"/>
        <v>0</v>
      </c>
      <c r="AB22" s="69">
        <f t="shared" si="32"/>
        <v>0</v>
      </c>
      <c r="AC22" s="69">
        <f t="shared" si="32"/>
        <v>0</v>
      </c>
      <c r="AD22" s="69">
        <f t="shared" si="32"/>
        <v>0</v>
      </c>
      <c r="AE22" s="69">
        <f t="shared" si="32"/>
        <v>0</v>
      </c>
      <c r="AF22" s="69">
        <f t="shared" si="32"/>
        <v>0</v>
      </c>
      <c r="AG22" s="56">
        <f t="shared" si="24"/>
        <v>0</v>
      </c>
      <c r="AH22" s="67">
        <f t="shared" si="25"/>
        <v>0</v>
      </c>
      <c r="AI22" s="68">
        <f t="shared" si="26"/>
        <v>0</v>
      </c>
      <c r="AJ22" s="14"/>
      <c r="AK22" s="14"/>
      <c r="AS22" s="14"/>
      <c r="AT22" s="14"/>
      <c r="AU22" s="14"/>
      <c r="AV22" s="14"/>
      <c r="AW22" s="75"/>
      <c r="AX22" s="14"/>
      <c r="AY22" s="14"/>
      <c r="AZ22" s="14"/>
      <c r="BA22" s="14"/>
      <c r="BB22" s="14"/>
      <c r="BC22" s="14"/>
      <c r="BD22" s="14"/>
      <c r="BE22" s="14"/>
      <c r="BF22" s="14"/>
      <c r="BG22" s="14"/>
    </row>
    <row r="23" spans="1:59"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1"/>
      <c r="AH23" s="71"/>
      <c r="AI23" s="72"/>
      <c r="AJ23" s="14"/>
      <c r="AK23" s="14"/>
      <c r="AS23" s="14"/>
      <c r="AT23" s="14"/>
      <c r="AU23" s="14"/>
      <c r="AV23" s="14"/>
      <c r="AW23" s="75"/>
      <c r="AX23" s="73"/>
      <c r="AY23" s="73"/>
      <c r="AZ23" s="73"/>
      <c r="BA23" s="73"/>
      <c r="BB23" s="73"/>
      <c r="BC23" s="73"/>
      <c r="BD23" s="73"/>
      <c r="BE23" s="73"/>
      <c r="BF23" s="73"/>
      <c r="BG23" s="73"/>
    </row>
    <row r="24" spans="1:59" ht="15.75" customHeight="1" x14ac:dyDescent="0.2">
      <c r="A24" s="4" t="s">
        <v>183</v>
      </c>
      <c r="B24" s="69">
        <v>0</v>
      </c>
      <c r="C24" s="69">
        <v>0</v>
      </c>
      <c r="D24" s="69">
        <v>0</v>
      </c>
      <c r="E24" s="69">
        <v>0</v>
      </c>
      <c r="F24" s="69">
        <v>0</v>
      </c>
      <c r="G24" s="69">
        <v>0</v>
      </c>
      <c r="H24" s="69">
        <v>0</v>
      </c>
      <c r="I24" s="69">
        <v>0</v>
      </c>
      <c r="J24" s="69">
        <v>0</v>
      </c>
      <c r="K24" s="69">
        <v>0</v>
      </c>
      <c r="L24" s="69">
        <v>640</v>
      </c>
      <c r="M24" s="69">
        <v>0</v>
      </c>
      <c r="N24" s="69">
        <v>0</v>
      </c>
      <c r="O24" s="69">
        <v>0</v>
      </c>
      <c r="P24" s="69">
        <v>0</v>
      </c>
      <c r="Q24" s="69">
        <v>0</v>
      </c>
      <c r="R24" s="69">
        <v>0</v>
      </c>
      <c r="S24" s="69">
        <v>0</v>
      </c>
      <c r="T24" s="69">
        <v>100</v>
      </c>
      <c r="U24" s="69">
        <v>0</v>
      </c>
      <c r="V24" s="69">
        <v>0</v>
      </c>
      <c r="W24" s="69">
        <v>0</v>
      </c>
      <c r="X24" s="69">
        <v>0</v>
      </c>
      <c r="Y24" s="69">
        <v>0</v>
      </c>
      <c r="Z24" s="69">
        <v>0</v>
      </c>
      <c r="AA24" s="69">
        <v>0</v>
      </c>
      <c r="AB24" s="69">
        <v>0</v>
      </c>
      <c r="AC24" s="69">
        <v>0</v>
      </c>
      <c r="AD24" s="69">
        <v>0</v>
      </c>
      <c r="AE24" s="69">
        <v>0</v>
      </c>
      <c r="AF24" s="69">
        <f>760+90</f>
        <v>850</v>
      </c>
      <c r="AG24" s="56">
        <f t="shared" ref="AG24:AG32" si="33">SUM(B24:AF24)</f>
        <v>1590</v>
      </c>
      <c r="AH24" s="67">
        <f t="shared" ref="AH24:AH28" si="34">IFERROR(AVERAGE(B24:AF24),0)</f>
        <v>51.29032258064516</v>
      </c>
      <c r="AI24" s="68">
        <f t="shared" ref="AI24:AI29" si="35">(AH24/$AH$29)*100</f>
        <v>0.44112383927555832</v>
      </c>
      <c r="AJ24" s="14"/>
      <c r="AK24" s="14"/>
      <c r="AS24" s="14"/>
      <c r="AT24" s="14"/>
      <c r="AU24" s="14"/>
      <c r="AV24" s="14"/>
      <c r="AW24" s="75"/>
      <c r="AX24" s="14"/>
      <c r="AY24" s="14"/>
      <c r="AZ24" s="14"/>
      <c r="BA24" s="14"/>
      <c r="BB24" s="14"/>
      <c r="BC24" s="14"/>
      <c r="BD24" s="14"/>
      <c r="BE24" s="14"/>
      <c r="BF24" s="14"/>
      <c r="BG24" s="14"/>
    </row>
    <row r="25" spans="1:59" ht="15.75" customHeight="1" x14ac:dyDescent="0.2">
      <c r="A25" s="4" t="s">
        <v>184</v>
      </c>
      <c r="B25" s="69">
        <v>300</v>
      </c>
      <c r="C25" s="69">
        <v>300</v>
      </c>
      <c r="D25" s="69">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69">
        <v>0</v>
      </c>
      <c r="AG25" s="56">
        <f t="shared" si="33"/>
        <v>600</v>
      </c>
      <c r="AH25" s="67">
        <f t="shared" si="34"/>
        <v>19.35483870967742</v>
      </c>
      <c r="AI25" s="68">
        <f t="shared" si="35"/>
        <v>0.16646182614172012</v>
      </c>
      <c r="AJ25" s="14"/>
      <c r="AK25" s="14"/>
      <c r="AL25" s="14"/>
      <c r="AM25" s="14"/>
      <c r="AN25" s="14"/>
      <c r="AO25" s="14"/>
      <c r="AP25" s="14"/>
      <c r="AQ25" s="14"/>
      <c r="AR25" s="14"/>
      <c r="AS25" s="14"/>
      <c r="AT25" s="14"/>
      <c r="AU25" s="14"/>
      <c r="AV25" s="14"/>
      <c r="AW25" s="75"/>
      <c r="AX25" s="14"/>
      <c r="AY25" s="14"/>
      <c r="AZ25" s="14"/>
      <c r="BA25" s="14"/>
      <c r="BB25" s="14"/>
      <c r="BC25" s="14"/>
      <c r="BD25" s="14"/>
      <c r="BE25" s="14"/>
      <c r="BF25" s="14"/>
      <c r="BG25" s="14"/>
    </row>
    <row r="26" spans="1:59" ht="15.75" customHeight="1" x14ac:dyDescent="0.2">
      <c r="A26" s="4" t="s">
        <v>185</v>
      </c>
      <c r="B26" s="69">
        <v>70</v>
      </c>
      <c r="C26" s="69">
        <v>0</v>
      </c>
      <c r="D26" s="69">
        <f>280+70</f>
        <v>350</v>
      </c>
      <c r="E26" s="69">
        <v>180</v>
      </c>
      <c r="F26" s="69">
        <v>0</v>
      </c>
      <c r="G26" s="69">
        <v>0</v>
      </c>
      <c r="H26" s="69">
        <v>0</v>
      </c>
      <c r="I26" s="69">
        <v>2100</v>
      </c>
      <c r="J26" s="69">
        <v>200</v>
      </c>
      <c r="K26" s="69">
        <v>0</v>
      </c>
      <c r="L26" s="69">
        <v>220</v>
      </c>
      <c r="M26" s="69">
        <v>0</v>
      </c>
      <c r="N26" s="69">
        <v>0</v>
      </c>
      <c r="O26" s="69">
        <v>0</v>
      </c>
      <c r="P26" s="69">
        <v>0</v>
      </c>
      <c r="Q26" s="69">
        <v>0</v>
      </c>
      <c r="R26" s="69">
        <v>0</v>
      </c>
      <c r="S26" s="69">
        <v>220</v>
      </c>
      <c r="T26" s="69">
        <v>0</v>
      </c>
      <c r="U26" s="69">
        <v>0</v>
      </c>
      <c r="V26" s="69">
        <v>285</v>
      </c>
      <c r="W26" s="69">
        <v>0</v>
      </c>
      <c r="X26" s="69">
        <v>100</v>
      </c>
      <c r="Y26" s="69">
        <v>0</v>
      </c>
      <c r="Z26" s="69">
        <v>0</v>
      </c>
      <c r="AA26" s="69">
        <f>310+150+90</f>
        <v>550</v>
      </c>
      <c r="AB26" s="69">
        <v>0</v>
      </c>
      <c r="AC26" s="69">
        <v>0</v>
      </c>
      <c r="AD26" s="69">
        <v>110</v>
      </c>
      <c r="AE26" s="69">
        <v>0</v>
      </c>
      <c r="AF26" s="69">
        <v>40</v>
      </c>
      <c r="AG26" s="56">
        <f t="shared" si="33"/>
        <v>4425</v>
      </c>
      <c r="AH26" s="67">
        <f t="shared" si="34"/>
        <v>142.74193548387098</v>
      </c>
      <c r="AI26" s="68">
        <f t="shared" si="35"/>
        <v>1.2276559677951859</v>
      </c>
      <c r="AJ26" s="14"/>
      <c r="AK26" s="14"/>
      <c r="AL26" s="14"/>
      <c r="AM26" s="14"/>
      <c r="AN26" s="14"/>
      <c r="AO26" s="14"/>
      <c r="AP26" s="14"/>
      <c r="AQ26" s="14"/>
      <c r="AR26" s="14"/>
      <c r="AS26" s="14"/>
      <c r="AT26" s="14"/>
      <c r="AU26" s="14"/>
      <c r="AV26" s="14"/>
      <c r="AW26" s="75"/>
      <c r="AX26" s="14"/>
      <c r="AY26" s="14"/>
      <c r="AZ26" s="14"/>
      <c r="BA26" s="14"/>
      <c r="BB26" s="14"/>
      <c r="BC26" s="14"/>
      <c r="BD26" s="14"/>
      <c r="BE26" s="14"/>
      <c r="BF26" s="14"/>
      <c r="BG26" s="14"/>
    </row>
    <row r="27" spans="1:59" ht="15.75" customHeight="1" x14ac:dyDescent="0.2">
      <c r="A27" s="4" t="s">
        <v>186</v>
      </c>
      <c r="B27" s="69">
        <v>0</v>
      </c>
      <c r="C27" s="69">
        <v>0</v>
      </c>
      <c r="D27" s="69">
        <v>0</v>
      </c>
      <c r="E27" s="69">
        <v>0</v>
      </c>
      <c r="F27" s="69">
        <v>0</v>
      </c>
      <c r="G27" s="69">
        <v>0</v>
      </c>
      <c r="H27" s="69">
        <v>0</v>
      </c>
      <c r="I27" s="69">
        <v>0</v>
      </c>
      <c r="J27" s="69">
        <v>0</v>
      </c>
      <c r="K27" s="69">
        <v>0</v>
      </c>
      <c r="L27" s="69">
        <v>0</v>
      </c>
      <c r="M27" s="69">
        <v>0</v>
      </c>
      <c r="N27" s="69">
        <v>0</v>
      </c>
      <c r="O27" s="69">
        <v>0</v>
      </c>
      <c r="P27" s="69">
        <v>0</v>
      </c>
      <c r="Q27" s="69">
        <v>0</v>
      </c>
      <c r="R27" s="69">
        <v>0</v>
      </c>
      <c r="S27" s="69">
        <v>400</v>
      </c>
      <c r="T27" s="69">
        <v>0</v>
      </c>
      <c r="U27" s="69">
        <v>0</v>
      </c>
      <c r="V27" s="69">
        <v>0</v>
      </c>
      <c r="W27" s="69">
        <v>0</v>
      </c>
      <c r="X27" s="69">
        <v>0</v>
      </c>
      <c r="Y27" s="69">
        <v>0</v>
      </c>
      <c r="Z27" s="69">
        <v>0</v>
      </c>
      <c r="AA27" s="69">
        <v>0</v>
      </c>
      <c r="AB27" s="69">
        <v>0</v>
      </c>
      <c r="AC27" s="69">
        <v>0</v>
      </c>
      <c r="AD27" s="69">
        <v>0</v>
      </c>
      <c r="AE27" s="69">
        <v>0</v>
      </c>
      <c r="AF27" s="69">
        <v>0</v>
      </c>
      <c r="AG27" s="56">
        <f t="shared" si="33"/>
        <v>400</v>
      </c>
      <c r="AH27" s="67">
        <f t="shared" si="34"/>
        <v>12.903225806451612</v>
      </c>
      <c r="AI27" s="68">
        <f t="shared" si="35"/>
        <v>0.11097455076114673</v>
      </c>
      <c r="AJ27" s="14"/>
      <c r="AK27" s="14"/>
      <c r="AL27" s="14"/>
      <c r="AM27" s="14"/>
      <c r="AN27" s="14"/>
      <c r="AO27" s="14"/>
      <c r="AP27" s="14"/>
      <c r="AQ27" s="14"/>
      <c r="AR27" s="14"/>
      <c r="AS27" s="14"/>
      <c r="AT27" s="14"/>
      <c r="AU27" s="14"/>
      <c r="AV27" s="14"/>
      <c r="AW27" s="75"/>
      <c r="AX27" s="14"/>
      <c r="AY27" s="14"/>
      <c r="AZ27" s="14"/>
      <c r="BA27" s="14"/>
      <c r="BB27" s="14"/>
      <c r="BC27" s="14"/>
      <c r="BD27" s="14"/>
      <c r="BE27" s="14"/>
      <c r="BF27" s="14"/>
      <c r="BG27" s="14"/>
    </row>
    <row r="28" spans="1:59"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600</v>
      </c>
      <c r="W28" s="69">
        <v>0</v>
      </c>
      <c r="X28" s="69">
        <v>0</v>
      </c>
      <c r="Y28" s="69">
        <v>0</v>
      </c>
      <c r="Z28" s="69">
        <v>0</v>
      </c>
      <c r="AA28" s="69">
        <v>0</v>
      </c>
      <c r="AB28" s="69">
        <v>0</v>
      </c>
      <c r="AC28" s="69">
        <v>0</v>
      </c>
      <c r="AD28" s="69">
        <v>0</v>
      </c>
      <c r="AE28" s="69">
        <v>0</v>
      </c>
      <c r="AF28" s="69">
        <v>0</v>
      </c>
      <c r="AG28" s="56">
        <f t="shared" si="33"/>
        <v>600</v>
      </c>
      <c r="AH28" s="67">
        <f t="shared" si="34"/>
        <v>19.35483870967742</v>
      </c>
      <c r="AI28" s="68">
        <f t="shared" si="35"/>
        <v>0.16646182614172012</v>
      </c>
      <c r="AJ28" s="14"/>
      <c r="AK28" s="14"/>
      <c r="AL28" s="14"/>
      <c r="AM28" s="14"/>
      <c r="AN28" s="14"/>
      <c r="AO28" s="14"/>
      <c r="AP28" s="14"/>
      <c r="AQ28" s="14"/>
      <c r="AR28" s="14"/>
      <c r="AS28" s="14"/>
      <c r="AT28" s="14"/>
      <c r="AU28" s="14"/>
      <c r="AV28" s="14"/>
      <c r="AW28" s="75"/>
      <c r="AX28" s="14"/>
      <c r="AY28" s="14"/>
      <c r="AZ28" s="14"/>
      <c r="BA28" s="14"/>
      <c r="BB28" s="14"/>
      <c r="BC28" s="14"/>
      <c r="BD28" s="14"/>
      <c r="BE28" s="14"/>
      <c r="BF28" s="14"/>
      <c r="BG28" s="14"/>
    </row>
    <row r="29" spans="1:59" ht="15.75" customHeight="1" x14ac:dyDescent="0.2">
      <c r="A29" s="10" t="s">
        <v>0</v>
      </c>
      <c r="B29" s="76">
        <f t="shared" ref="B29:AF29" si="36">SUM(B2:B28)</f>
        <v>12970.862068965518</v>
      </c>
      <c r="C29" s="76">
        <f t="shared" si="36"/>
        <v>13515.862068965518</v>
      </c>
      <c r="D29" s="76">
        <f t="shared" si="36"/>
        <v>11875.862068965518</v>
      </c>
      <c r="E29" s="76">
        <f t="shared" si="36"/>
        <v>12885.862068965518</v>
      </c>
      <c r="F29" s="76">
        <f t="shared" si="36"/>
        <v>11709.862068965518</v>
      </c>
      <c r="G29" s="76">
        <f t="shared" si="36"/>
        <v>0</v>
      </c>
      <c r="H29" s="76">
        <f t="shared" si="36"/>
        <v>12005.862068965518</v>
      </c>
      <c r="I29" s="76">
        <f t="shared" si="36"/>
        <v>13390.862068965518</v>
      </c>
      <c r="J29" s="76">
        <f t="shared" si="36"/>
        <v>12755.862068965518</v>
      </c>
      <c r="K29" s="76">
        <f t="shared" si="36"/>
        <v>11875.862068965518</v>
      </c>
      <c r="L29" s="76">
        <f t="shared" si="36"/>
        <v>11785.862068965518</v>
      </c>
      <c r="M29" s="76">
        <f t="shared" si="36"/>
        <v>11654.862068965518</v>
      </c>
      <c r="N29" s="76">
        <f t="shared" si="36"/>
        <v>10930.862068965518</v>
      </c>
      <c r="O29" s="76">
        <f t="shared" si="36"/>
        <v>11950.862068965518</v>
      </c>
      <c r="P29" s="76">
        <f t="shared" si="36"/>
        <v>12425.862068965518</v>
      </c>
      <c r="Q29" s="76">
        <f t="shared" si="36"/>
        <v>13620.862068965518</v>
      </c>
      <c r="R29" s="76">
        <f t="shared" si="36"/>
        <v>0</v>
      </c>
      <c r="S29" s="76">
        <f t="shared" si="36"/>
        <v>12615.862068965518</v>
      </c>
      <c r="T29" s="76">
        <f t="shared" si="36"/>
        <v>11480.862068965518</v>
      </c>
      <c r="U29" s="76">
        <f t="shared" si="36"/>
        <v>11205.862068965518</v>
      </c>
      <c r="V29" s="76">
        <f t="shared" si="36"/>
        <v>12894.862068965518</v>
      </c>
      <c r="W29" s="76">
        <f t="shared" si="36"/>
        <v>12550.862068965518</v>
      </c>
      <c r="X29" s="76">
        <f t="shared" si="36"/>
        <v>12655.862068965518</v>
      </c>
      <c r="Y29" s="76">
        <f t="shared" si="36"/>
        <v>12590.862068965518</v>
      </c>
      <c r="Z29" s="76">
        <f t="shared" si="36"/>
        <v>12075.862068965518</v>
      </c>
      <c r="AA29" s="76">
        <f t="shared" si="36"/>
        <v>12054.862068965518</v>
      </c>
      <c r="AB29" s="76">
        <f t="shared" si="36"/>
        <v>13123.862068965518</v>
      </c>
      <c r="AC29" s="76">
        <f t="shared" si="36"/>
        <v>12055.862068965518</v>
      </c>
      <c r="AD29" s="76">
        <f t="shared" si="36"/>
        <v>12175.862068965518</v>
      </c>
      <c r="AE29" s="76">
        <f t="shared" si="36"/>
        <v>12959.862068965518</v>
      </c>
      <c r="AF29" s="76">
        <f t="shared" si="36"/>
        <v>14645.862068965518</v>
      </c>
      <c r="AG29" s="28">
        <f t="shared" si="33"/>
        <v>360442.99999999988</v>
      </c>
      <c r="AH29" s="28">
        <f>AVERAGE(B29:AF29)</f>
        <v>11627.193548387093</v>
      </c>
      <c r="AI29" s="77">
        <f t="shared" si="35"/>
        <v>100</v>
      </c>
      <c r="AJ29" s="14"/>
      <c r="AK29" s="14"/>
      <c r="AL29" s="14"/>
      <c r="AM29" s="14"/>
      <c r="AN29" s="14"/>
      <c r="AO29" s="14"/>
      <c r="AP29" s="14"/>
      <c r="AQ29" s="14"/>
      <c r="AR29" s="14"/>
      <c r="AS29" s="14"/>
      <c r="AT29" s="14"/>
      <c r="AU29" s="14"/>
      <c r="AV29" s="14"/>
      <c r="AW29" s="75"/>
      <c r="AX29" s="75"/>
      <c r="AY29" s="75"/>
      <c r="AZ29" s="75"/>
      <c r="BA29" s="75"/>
      <c r="BB29" s="75"/>
      <c r="BC29" s="75"/>
      <c r="BD29" s="75"/>
      <c r="BE29" s="75"/>
      <c r="BF29" s="75"/>
      <c r="BG29" s="75"/>
    </row>
    <row r="30" spans="1:59" ht="15.75" customHeight="1" x14ac:dyDescent="0.2">
      <c r="A30" s="4" t="s">
        <v>188</v>
      </c>
      <c r="B30" s="69">
        <v>3675</v>
      </c>
      <c r="C30" s="69">
        <v>6715</v>
      </c>
      <c r="D30" s="69">
        <v>3150</v>
      </c>
      <c r="E30" s="69">
        <v>3085</v>
      </c>
      <c r="F30" s="69">
        <v>5205</v>
      </c>
      <c r="G30" s="69">
        <v>0</v>
      </c>
      <c r="H30" s="69">
        <v>4610</v>
      </c>
      <c r="I30" s="69">
        <v>8120</v>
      </c>
      <c r="J30" s="69">
        <v>5865</v>
      </c>
      <c r="K30" s="69">
        <v>3695</v>
      </c>
      <c r="L30" s="69">
        <v>4920</v>
      </c>
      <c r="M30" s="69">
        <v>5660</v>
      </c>
      <c r="N30" s="69">
        <v>2555</v>
      </c>
      <c r="O30" s="69">
        <v>9425</v>
      </c>
      <c r="P30" s="69">
        <v>5135</v>
      </c>
      <c r="Q30" s="69">
        <v>8025</v>
      </c>
      <c r="R30" s="69">
        <v>0</v>
      </c>
      <c r="S30" s="69">
        <v>5300</v>
      </c>
      <c r="T30" s="69">
        <v>416</v>
      </c>
      <c r="U30" s="69">
        <v>6085</v>
      </c>
      <c r="V30" s="69">
        <v>5350</v>
      </c>
      <c r="W30" s="69">
        <v>6850</v>
      </c>
      <c r="X30" s="69">
        <v>6255</v>
      </c>
      <c r="Y30" s="69">
        <v>5170</v>
      </c>
      <c r="Z30" s="69">
        <v>5560</v>
      </c>
      <c r="AA30" s="69">
        <v>5834</v>
      </c>
      <c r="AB30" s="69">
        <v>7675</v>
      </c>
      <c r="AC30" s="69">
        <v>4610</v>
      </c>
      <c r="AD30" s="69">
        <v>8965</v>
      </c>
      <c r="AE30" s="69">
        <v>8655</v>
      </c>
      <c r="AF30" s="69">
        <v>5215</v>
      </c>
      <c r="AG30" s="56">
        <f t="shared" si="33"/>
        <v>161780</v>
      </c>
      <c r="AH30" s="67">
        <f t="shared" ref="AH30:AH32" si="37">IFERROR(AVERAGE(B30:AF30),0)</f>
        <v>5218.7096774193551</v>
      </c>
      <c r="AI30" s="68">
        <f t="shared" ref="AI30:AI31" si="38">IFERROR((AH30/$AH$32)*100,0)</f>
        <v>55.405627551439764</v>
      </c>
      <c r="AJ30" s="14"/>
      <c r="AK30" s="14"/>
      <c r="AL30" s="14"/>
      <c r="AM30" s="14"/>
      <c r="AN30" s="14"/>
      <c r="AO30" s="14"/>
      <c r="AP30" s="14"/>
      <c r="AQ30" s="14"/>
      <c r="AR30" s="14"/>
      <c r="AS30" s="14"/>
      <c r="AT30" s="14"/>
      <c r="AU30" s="14"/>
      <c r="AV30" s="14"/>
      <c r="AW30" s="75"/>
      <c r="AX30" s="75"/>
      <c r="AY30" s="75"/>
      <c r="AZ30" s="75"/>
      <c r="BA30" s="75"/>
      <c r="BB30" s="75"/>
      <c r="BC30" s="75"/>
      <c r="BD30" s="75"/>
      <c r="BE30" s="75"/>
      <c r="BF30" s="75"/>
      <c r="BG30" s="75"/>
    </row>
    <row r="31" spans="1:59" ht="15.75" customHeight="1" x14ac:dyDescent="0.2">
      <c r="A31" s="4" t="s">
        <v>189</v>
      </c>
      <c r="B31" s="78">
        <f t="shared" ref="B31:AF31" si="39">B32-B30</f>
        <v>5052</v>
      </c>
      <c r="C31" s="78">
        <f t="shared" si="39"/>
        <v>3475</v>
      </c>
      <c r="D31" s="78">
        <f t="shared" si="39"/>
        <v>3550</v>
      </c>
      <c r="E31" s="78">
        <f t="shared" si="39"/>
        <v>4435</v>
      </c>
      <c r="F31" s="78">
        <f t="shared" si="39"/>
        <v>2240</v>
      </c>
      <c r="G31" s="78">
        <f t="shared" si="39"/>
        <v>0</v>
      </c>
      <c r="H31" s="78">
        <f t="shared" si="39"/>
        <v>1115</v>
      </c>
      <c r="I31" s="78">
        <f t="shared" si="39"/>
        <v>1695</v>
      </c>
      <c r="J31" s="78">
        <f t="shared" si="39"/>
        <v>5460</v>
      </c>
      <c r="K31" s="78">
        <f t="shared" si="39"/>
        <v>970</v>
      </c>
      <c r="L31" s="78">
        <f t="shared" si="39"/>
        <v>2325</v>
      </c>
      <c r="M31" s="78">
        <f t="shared" si="39"/>
        <v>5610</v>
      </c>
      <c r="N31" s="78">
        <f t="shared" si="39"/>
        <v>5225</v>
      </c>
      <c r="O31" s="78">
        <f t="shared" si="39"/>
        <v>8045</v>
      </c>
      <c r="P31" s="78">
        <f t="shared" si="39"/>
        <v>7340</v>
      </c>
      <c r="Q31" s="78">
        <f t="shared" si="39"/>
        <v>7760</v>
      </c>
      <c r="R31" s="78">
        <f t="shared" si="39"/>
        <v>0</v>
      </c>
      <c r="S31" s="78">
        <f t="shared" si="39"/>
        <v>1550</v>
      </c>
      <c r="T31" s="78">
        <f t="shared" si="39"/>
        <v>5029</v>
      </c>
      <c r="U31" s="78">
        <f t="shared" si="39"/>
        <v>5375</v>
      </c>
      <c r="V31" s="78">
        <f t="shared" si="39"/>
        <v>3955</v>
      </c>
      <c r="W31" s="78">
        <f t="shared" si="39"/>
        <v>6865</v>
      </c>
      <c r="X31" s="78">
        <f t="shared" si="39"/>
        <v>3800</v>
      </c>
      <c r="Y31" s="78">
        <f t="shared" si="39"/>
        <v>3930</v>
      </c>
      <c r="Z31" s="78">
        <f t="shared" si="39"/>
        <v>2270</v>
      </c>
      <c r="AA31" s="78">
        <f t="shared" si="39"/>
        <v>2551</v>
      </c>
      <c r="AB31" s="78">
        <f t="shared" si="39"/>
        <v>5705</v>
      </c>
      <c r="AC31" s="78">
        <f t="shared" si="39"/>
        <v>6495</v>
      </c>
      <c r="AD31" s="78">
        <f t="shared" si="39"/>
        <v>3770</v>
      </c>
      <c r="AE31" s="78">
        <f t="shared" si="39"/>
        <v>3380</v>
      </c>
      <c r="AF31" s="78">
        <f t="shared" si="39"/>
        <v>11240</v>
      </c>
      <c r="AG31" s="56">
        <f t="shared" si="33"/>
        <v>130212</v>
      </c>
      <c r="AH31" s="67">
        <f t="shared" si="37"/>
        <v>4200.3870967741932</v>
      </c>
      <c r="AI31" s="68">
        <f t="shared" si="38"/>
        <v>44.594372448560229</v>
      </c>
      <c r="AJ31" s="14"/>
      <c r="AK31" s="14"/>
      <c r="AL31" s="14"/>
      <c r="AM31" s="14"/>
      <c r="AN31" s="14"/>
      <c r="AO31" s="14"/>
      <c r="AP31" s="14"/>
      <c r="AQ31" s="14"/>
      <c r="AR31" s="14"/>
      <c r="AS31" s="14"/>
      <c r="AT31" s="14"/>
      <c r="AU31" s="14"/>
      <c r="AV31" s="14"/>
      <c r="AW31" s="75"/>
      <c r="AX31" s="75"/>
      <c r="AY31" s="75"/>
      <c r="AZ31" s="75"/>
      <c r="BA31" s="75"/>
      <c r="BB31" s="75"/>
      <c r="BC31" s="75"/>
      <c r="BD31" s="75"/>
      <c r="BE31" s="75"/>
      <c r="BF31" s="75"/>
      <c r="BG31" s="75"/>
    </row>
    <row r="32" spans="1:59" ht="15.75" customHeight="1" x14ac:dyDescent="0.2">
      <c r="A32" s="4" t="s">
        <v>190</v>
      </c>
      <c r="B32" s="69">
        <v>8727</v>
      </c>
      <c r="C32" s="69">
        <v>10190</v>
      </c>
      <c r="D32" s="69">
        <v>6700</v>
      </c>
      <c r="E32" s="69">
        <v>7520</v>
      </c>
      <c r="F32" s="69">
        <v>7445</v>
      </c>
      <c r="G32" s="69">
        <v>0</v>
      </c>
      <c r="H32" s="69">
        <v>5725</v>
      </c>
      <c r="I32" s="69">
        <v>9815</v>
      </c>
      <c r="J32" s="69">
        <v>11325</v>
      </c>
      <c r="K32" s="69">
        <v>4665</v>
      </c>
      <c r="L32" s="69">
        <v>7245</v>
      </c>
      <c r="M32" s="69">
        <v>11270</v>
      </c>
      <c r="N32" s="69">
        <v>7780</v>
      </c>
      <c r="O32" s="69">
        <v>17470</v>
      </c>
      <c r="P32" s="69">
        <v>12475</v>
      </c>
      <c r="Q32" s="69">
        <v>15785</v>
      </c>
      <c r="R32" s="69">
        <v>0</v>
      </c>
      <c r="S32" s="69">
        <v>6850</v>
      </c>
      <c r="T32" s="69">
        <v>5445</v>
      </c>
      <c r="U32" s="69">
        <v>11460</v>
      </c>
      <c r="V32" s="69">
        <v>9305</v>
      </c>
      <c r="W32" s="69">
        <v>13715</v>
      </c>
      <c r="X32" s="69">
        <v>10055</v>
      </c>
      <c r="Y32" s="69">
        <v>9100</v>
      </c>
      <c r="Z32" s="69">
        <v>7830</v>
      </c>
      <c r="AA32" s="69">
        <v>8385</v>
      </c>
      <c r="AB32" s="69">
        <v>13380</v>
      </c>
      <c r="AC32" s="69">
        <v>11105</v>
      </c>
      <c r="AD32" s="69">
        <v>12735</v>
      </c>
      <c r="AE32" s="69">
        <v>12035</v>
      </c>
      <c r="AF32" s="69">
        <v>16455</v>
      </c>
      <c r="AG32" s="56">
        <f t="shared" si="33"/>
        <v>291992</v>
      </c>
      <c r="AH32" s="67">
        <f t="shared" si="37"/>
        <v>9419.0967741935492</v>
      </c>
      <c r="AI32" s="68">
        <f>IFERROR((AH32/$AH$32)*100,0)</f>
        <v>100</v>
      </c>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row>
    <row r="33" spans="1:35" ht="15.75" customHeight="1" x14ac:dyDescent="0.2">
      <c r="A33" s="4" t="s">
        <v>191</v>
      </c>
      <c r="B33" s="69">
        <f t="shared" ref="B33:AF33" si="40">B32-B29</f>
        <v>-4243.8620689655181</v>
      </c>
      <c r="C33" s="69">
        <f t="shared" si="40"/>
        <v>-3325.8620689655181</v>
      </c>
      <c r="D33" s="69">
        <f t="shared" si="40"/>
        <v>-5175.8620689655181</v>
      </c>
      <c r="E33" s="69">
        <f t="shared" si="40"/>
        <v>-5365.8620689655181</v>
      </c>
      <c r="F33" s="69">
        <f t="shared" si="40"/>
        <v>-4264.8620689655181</v>
      </c>
      <c r="G33" s="69">
        <f t="shared" si="40"/>
        <v>0</v>
      </c>
      <c r="H33" s="69">
        <f t="shared" si="40"/>
        <v>-6280.8620689655181</v>
      </c>
      <c r="I33" s="69">
        <f t="shared" si="40"/>
        <v>-3575.8620689655181</v>
      </c>
      <c r="J33" s="69">
        <f t="shared" si="40"/>
        <v>-1430.8620689655181</v>
      </c>
      <c r="K33" s="69">
        <f t="shared" si="40"/>
        <v>-7210.8620689655181</v>
      </c>
      <c r="L33" s="69">
        <f t="shared" si="40"/>
        <v>-4540.8620689655181</v>
      </c>
      <c r="M33" s="69">
        <f t="shared" si="40"/>
        <v>-384.86206896551812</v>
      </c>
      <c r="N33" s="69">
        <f t="shared" si="40"/>
        <v>-3150.8620689655181</v>
      </c>
      <c r="O33" s="69">
        <f t="shared" si="40"/>
        <v>5519.1379310344819</v>
      </c>
      <c r="P33" s="69">
        <f t="shared" si="40"/>
        <v>49.13793103448188</v>
      </c>
      <c r="Q33" s="69">
        <f t="shared" si="40"/>
        <v>2164.1379310344819</v>
      </c>
      <c r="R33" s="69">
        <f t="shared" si="40"/>
        <v>0</v>
      </c>
      <c r="S33" s="69">
        <f t="shared" si="40"/>
        <v>-5765.8620689655181</v>
      </c>
      <c r="T33" s="69">
        <f t="shared" si="40"/>
        <v>-6035.8620689655181</v>
      </c>
      <c r="U33" s="69">
        <f t="shared" si="40"/>
        <v>254.13793103448188</v>
      </c>
      <c r="V33" s="59">
        <f t="shared" si="40"/>
        <v>-3589.8620689655181</v>
      </c>
      <c r="W33" s="59">
        <f t="shared" si="40"/>
        <v>1164.1379310344819</v>
      </c>
      <c r="X33" s="59">
        <f t="shared" si="40"/>
        <v>-2600.8620689655181</v>
      </c>
      <c r="Y33" s="59">
        <f t="shared" si="40"/>
        <v>-3490.8620689655181</v>
      </c>
      <c r="Z33" s="59">
        <f t="shared" si="40"/>
        <v>-4245.8620689655181</v>
      </c>
      <c r="AA33" s="59">
        <f t="shared" si="40"/>
        <v>-3669.8620689655181</v>
      </c>
      <c r="AB33" s="59">
        <f t="shared" si="40"/>
        <v>256.13793103448188</v>
      </c>
      <c r="AC33" s="59">
        <f t="shared" si="40"/>
        <v>-950.86206896551812</v>
      </c>
      <c r="AD33" s="59">
        <f t="shared" si="40"/>
        <v>559.13793103448188</v>
      </c>
      <c r="AE33" s="59">
        <f t="shared" si="40"/>
        <v>-924.86206896551812</v>
      </c>
      <c r="AF33" s="59">
        <f t="shared" si="40"/>
        <v>1809.1379310344819</v>
      </c>
      <c r="AG33" s="81">
        <f>SUM(B33:AF33)+B40+B41</f>
        <v>-41453.000000000102</v>
      </c>
      <c r="AH33" s="5">
        <f>AVERAGE(B33:AF33,B40,B41)</f>
        <v>-1256.1515151515182</v>
      </c>
      <c r="AI33" s="68"/>
    </row>
    <row r="34" spans="1:35"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7"/>
      <c r="AH34" s="7"/>
    </row>
    <row r="35" spans="1:35" ht="15.75" customHeight="1" x14ac:dyDescent="0.2">
      <c r="A35" s="4" t="s">
        <v>13</v>
      </c>
      <c r="B35" s="59">
        <f t="shared" ref="B35:B38" si="41">SUM(B29:AF29)</f>
        <v>360442.99999999988</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7"/>
      <c r="AH35" s="7"/>
    </row>
    <row r="36" spans="1:35" ht="15.75" customHeight="1" x14ac:dyDescent="0.2">
      <c r="A36" s="4" t="s">
        <v>14</v>
      </c>
      <c r="B36" s="59">
        <f t="shared" si="41"/>
        <v>161780</v>
      </c>
      <c r="C36" s="6"/>
      <c r="I36" s="14" t="s">
        <v>221</v>
      </c>
      <c r="J36" s="14" t="s">
        <v>198</v>
      </c>
      <c r="M36" s="6"/>
      <c r="N36" s="6"/>
      <c r="O36" s="6"/>
      <c r="P36" s="6"/>
      <c r="Q36" s="6"/>
      <c r="R36" s="6"/>
      <c r="S36" s="6"/>
      <c r="T36" s="6"/>
      <c r="U36" s="6"/>
      <c r="V36" s="6"/>
      <c r="W36" s="6"/>
      <c r="X36" s="6"/>
      <c r="Y36" s="6"/>
      <c r="Z36" s="6"/>
      <c r="AA36" s="6" t="s">
        <v>222</v>
      </c>
      <c r="AB36" s="6"/>
      <c r="AC36" s="6"/>
      <c r="AD36" s="6"/>
      <c r="AE36" s="6"/>
      <c r="AF36" s="6"/>
      <c r="AG36" s="7"/>
      <c r="AH36" s="7"/>
    </row>
    <row r="37" spans="1:35" ht="15.75" customHeight="1" x14ac:dyDescent="0.2">
      <c r="A37" s="4" t="s">
        <v>15</v>
      </c>
      <c r="B37" s="59">
        <f t="shared" si="41"/>
        <v>130212</v>
      </c>
      <c r="C37" s="6"/>
      <c r="M37" s="6"/>
      <c r="N37" s="6"/>
      <c r="O37" s="6"/>
      <c r="P37" s="6" t="s">
        <v>127</v>
      </c>
      <c r="Q37" s="6"/>
      <c r="R37" s="6"/>
      <c r="S37" s="6"/>
      <c r="T37" s="6"/>
      <c r="U37" s="6"/>
      <c r="V37" s="6"/>
      <c r="W37" s="6"/>
      <c r="X37" s="6"/>
      <c r="Y37" s="6"/>
      <c r="Z37" s="6"/>
      <c r="AA37" s="6"/>
      <c r="AB37" s="6"/>
      <c r="AC37" s="6"/>
      <c r="AD37" s="6"/>
      <c r="AE37" s="6"/>
      <c r="AF37" s="6"/>
      <c r="AG37" s="7"/>
      <c r="AH37" s="7"/>
    </row>
    <row r="38" spans="1:35" ht="15.75" customHeight="1" x14ac:dyDescent="0.2">
      <c r="A38" s="4" t="s">
        <v>16</v>
      </c>
      <c r="B38" s="59">
        <f t="shared" si="41"/>
        <v>291992</v>
      </c>
      <c r="C38" s="6"/>
      <c r="N38" s="6"/>
      <c r="O38" s="6"/>
      <c r="P38" s="6"/>
      <c r="Q38" s="6"/>
      <c r="R38" s="6"/>
      <c r="S38" s="6"/>
      <c r="T38" s="6"/>
      <c r="U38" s="6"/>
      <c r="V38" s="6"/>
      <c r="W38" s="6"/>
      <c r="X38" s="6"/>
      <c r="Y38" s="6"/>
      <c r="Z38" s="6"/>
      <c r="AA38" s="6"/>
      <c r="AB38" s="6"/>
      <c r="AC38" s="6"/>
      <c r="AD38" s="6"/>
      <c r="AE38" s="6"/>
      <c r="AF38" s="6"/>
      <c r="AG38" s="7"/>
      <c r="AH38" s="7"/>
    </row>
    <row r="39" spans="1:35" ht="15.75" customHeight="1" x14ac:dyDescent="0.2">
      <c r="A39" s="4" t="s">
        <v>17</v>
      </c>
      <c r="B39" s="80">
        <f>Expenses!G20</f>
        <v>94022</v>
      </c>
      <c r="C39" s="6"/>
      <c r="O39" s="6"/>
      <c r="P39" s="6"/>
      <c r="Q39" s="6"/>
      <c r="R39" s="6"/>
      <c r="S39" s="6"/>
      <c r="T39" s="6"/>
      <c r="U39" s="6"/>
      <c r="V39" s="6"/>
      <c r="W39" s="6"/>
      <c r="X39" s="6"/>
      <c r="Y39" s="6"/>
      <c r="Z39" s="6"/>
      <c r="AA39" s="6"/>
      <c r="AB39" s="6"/>
      <c r="AC39" s="6"/>
      <c r="AD39" s="6"/>
      <c r="AE39" s="6"/>
      <c r="AF39" s="6"/>
      <c r="AG39" s="7"/>
      <c r="AH39" s="7"/>
    </row>
    <row r="40" spans="1:35" ht="15.75" customHeight="1" x14ac:dyDescent="0.2">
      <c r="A40" s="4" t="s">
        <v>18</v>
      </c>
      <c r="B40" s="32">
        <f>4304+3990+3150+3204</f>
        <v>14648</v>
      </c>
      <c r="C40" s="6"/>
      <c r="M40" s="6"/>
      <c r="N40" s="6"/>
      <c r="O40" s="6"/>
      <c r="P40" s="6"/>
      <c r="Q40" s="6"/>
      <c r="R40" s="6"/>
      <c r="S40" s="6"/>
      <c r="T40" s="6" t="s">
        <v>127</v>
      </c>
      <c r="U40" s="6"/>
      <c r="V40" s="6"/>
      <c r="W40" s="6"/>
      <c r="X40" s="6"/>
      <c r="Y40" s="6"/>
      <c r="Z40" s="6"/>
      <c r="AA40" s="6"/>
      <c r="AB40" s="6"/>
      <c r="AC40" s="6"/>
      <c r="AD40" s="6"/>
      <c r="AE40" s="6"/>
      <c r="AF40" s="6"/>
      <c r="AG40" s="7"/>
      <c r="AH40" s="7"/>
    </row>
    <row r="41" spans="1:35" ht="15.75" customHeight="1" x14ac:dyDescent="0.2">
      <c r="A41" s="4" t="s">
        <v>19</v>
      </c>
      <c r="B41" s="82">
        <f>1853+4205+3416+2876</f>
        <v>12350</v>
      </c>
      <c r="C41" s="6"/>
      <c r="M41" s="6"/>
      <c r="N41" s="6"/>
      <c r="O41" s="6"/>
      <c r="P41" s="6"/>
      <c r="Q41" s="6"/>
      <c r="R41" s="6"/>
      <c r="S41" s="6"/>
      <c r="T41" s="6"/>
      <c r="U41" s="6"/>
      <c r="V41" s="6"/>
      <c r="W41" s="6"/>
      <c r="X41" s="6"/>
      <c r="Y41" s="6"/>
      <c r="Z41" s="6"/>
      <c r="AA41" s="6"/>
      <c r="AB41" s="6"/>
      <c r="AC41" s="6"/>
      <c r="AD41" s="6"/>
      <c r="AE41" s="6"/>
      <c r="AF41" s="6"/>
      <c r="AG41" s="7"/>
      <c r="AH41" s="7"/>
    </row>
    <row r="42" spans="1:35" ht="15.75" customHeight="1" x14ac:dyDescent="0.2">
      <c r="A42" s="4" t="s">
        <v>20</v>
      </c>
      <c r="B42" s="59">
        <f>Stock!M72</f>
        <v>54083</v>
      </c>
      <c r="C42" s="6"/>
      <c r="M42" s="6"/>
      <c r="N42" s="6"/>
      <c r="O42" s="6"/>
      <c r="P42" s="6"/>
      <c r="Q42" s="6"/>
      <c r="R42" s="6"/>
      <c r="S42" s="6"/>
      <c r="T42" s="6"/>
      <c r="U42" s="6"/>
      <c r="V42" s="6"/>
      <c r="W42" s="6"/>
      <c r="X42" s="6"/>
      <c r="Y42" s="6"/>
      <c r="Z42" s="6"/>
      <c r="AA42" s="6"/>
      <c r="AB42" s="6"/>
      <c r="AC42" s="6"/>
      <c r="AD42" s="6"/>
      <c r="AE42" s="6"/>
      <c r="AF42" s="6"/>
      <c r="AG42" s="7"/>
      <c r="AH42" s="7"/>
    </row>
    <row r="43" spans="1:35" ht="15.75" customHeight="1" x14ac:dyDescent="0.2">
      <c r="A43" s="4" t="s">
        <v>21</v>
      </c>
      <c r="B43" s="59">
        <f>B38-B35+B40+B41</f>
        <v>-41452.999999999884</v>
      </c>
      <c r="C43" s="6"/>
      <c r="M43" s="6"/>
      <c r="N43" s="6"/>
      <c r="O43" s="6"/>
      <c r="P43" s="6"/>
      <c r="Q43" s="6"/>
      <c r="R43" s="6"/>
      <c r="S43" s="6"/>
      <c r="T43" s="6"/>
      <c r="U43" s="6"/>
      <c r="V43" s="6"/>
      <c r="W43" s="6"/>
      <c r="X43" s="6"/>
      <c r="Y43" s="6"/>
      <c r="Z43" s="6"/>
      <c r="AA43" s="6"/>
      <c r="AB43" s="6"/>
      <c r="AC43" s="6"/>
      <c r="AD43" s="6"/>
      <c r="AE43" s="6"/>
      <c r="AF43" s="6"/>
      <c r="AG43" s="7"/>
      <c r="AH43" s="7"/>
    </row>
    <row r="44" spans="1:35" ht="15.75" customHeight="1" x14ac:dyDescent="0.2">
      <c r="B44" s="6"/>
      <c r="C44" s="6"/>
      <c r="M44" s="6"/>
      <c r="N44" s="6"/>
      <c r="O44" s="6"/>
      <c r="P44" s="6"/>
      <c r="Q44" s="6"/>
      <c r="R44" s="6"/>
      <c r="S44" s="6"/>
      <c r="T44" s="6"/>
      <c r="U44" s="6"/>
      <c r="V44" s="6"/>
      <c r="W44" s="6"/>
      <c r="X44" s="6"/>
      <c r="Y44" s="6"/>
      <c r="Z44" s="6"/>
      <c r="AA44" s="6"/>
      <c r="AB44" s="6"/>
      <c r="AC44" s="6"/>
      <c r="AD44" s="6"/>
      <c r="AE44" s="6"/>
      <c r="AF44" s="6"/>
      <c r="AG44" s="7"/>
      <c r="AH44" s="7"/>
    </row>
    <row r="45" spans="1:35" ht="15.75" customHeight="1" x14ac:dyDescent="0.2">
      <c r="A45" s="4" t="s">
        <v>201</v>
      </c>
      <c r="B45" s="59">
        <v>1000</v>
      </c>
      <c r="C45" s="59">
        <v>1000</v>
      </c>
      <c r="D45" s="59">
        <v>1000</v>
      </c>
      <c r="E45" s="59">
        <v>3200</v>
      </c>
      <c r="F45" s="59">
        <v>2300</v>
      </c>
      <c r="G45" s="59">
        <v>0</v>
      </c>
      <c r="H45" s="59">
        <v>3200</v>
      </c>
      <c r="I45" s="59">
        <v>3200</v>
      </c>
      <c r="J45" s="59">
        <v>0</v>
      </c>
      <c r="K45" s="59">
        <v>2900</v>
      </c>
      <c r="L45" s="59">
        <v>2000</v>
      </c>
      <c r="M45" s="59">
        <v>0</v>
      </c>
      <c r="N45" s="59">
        <v>0</v>
      </c>
      <c r="O45" s="59">
        <v>0</v>
      </c>
      <c r="P45" s="59">
        <v>0</v>
      </c>
      <c r="Q45" s="59">
        <v>0</v>
      </c>
      <c r="R45" s="59">
        <v>0</v>
      </c>
      <c r="S45" s="59">
        <v>0</v>
      </c>
      <c r="T45" s="59">
        <v>0</v>
      </c>
      <c r="U45" s="59">
        <v>0</v>
      </c>
      <c r="V45" s="59">
        <v>0</v>
      </c>
      <c r="W45" s="59">
        <v>0</v>
      </c>
      <c r="X45" s="59">
        <v>0</v>
      </c>
      <c r="Y45" s="59">
        <v>0</v>
      </c>
      <c r="Z45" s="59">
        <v>2900</v>
      </c>
      <c r="AA45" s="59">
        <v>2900</v>
      </c>
      <c r="AB45" s="59">
        <v>0</v>
      </c>
      <c r="AC45" s="59">
        <v>0</v>
      </c>
      <c r="AD45" s="59">
        <v>0</v>
      </c>
      <c r="AE45" s="59">
        <v>2900</v>
      </c>
      <c r="AF45" s="59">
        <v>0</v>
      </c>
      <c r="AG45" s="56">
        <f t="shared" ref="AG45:AG47" si="42">SUM(B45:AF45)</f>
        <v>28500</v>
      </c>
      <c r="AH45" s="7"/>
    </row>
    <row r="46" spans="1:35" ht="15.75" customHeight="1" x14ac:dyDescent="0.2">
      <c r="A46" s="4" t="s">
        <v>202</v>
      </c>
      <c r="B46" s="59">
        <v>0</v>
      </c>
      <c r="C46" s="59">
        <v>1000</v>
      </c>
      <c r="D46" s="59">
        <v>0</v>
      </c>
      <c r="E46" s="59">
        <v>500</v>
      </c>
      <c r="F46" s="59">
        <v>0</v>
      </c>
      <c r="G46" s="59">
        <v>0</v>
      </c>
      <c r="H46" s="59">
        <v>600</v>
      </c>
      <c r="I46" s="59">
        <v>2000</v>
      </c>
      <c r="J46" s="59">
        <v>1200</v>
      </c>
      <c r="K46" s="59">
        <v>600</v>
      </c>
      <c r="L46" s="59">
        <v>700</v>
      </c>
      <c r="M46" s="59">
        <v>1300</v>
      </c>
      <c r="N46" s="59">
        <v>0</v>
      </c>
      <c r="O46" s="59">
        <v>0</v>
      </c>
      <c r="P46" s="59">
        <v>0</v>
      </c>
      <c r="Q46" s="59">
        <v>800</v>
      </c>
      <c r="R46" s="59">
        <v>0</v>
      </c>
      <c r="S46" s="59">
        <v>0</v>
      </c>
      <c r="T46" s="59">
        <v>1000</v>
      </c>
      <c r="U46" s="59">
        <v>0</v>
      </c>
      <c r="V46" s="59">
        <v>600</v>
      </c>
      <c r="W46" s="59">
        <v>0</v>
      </c>
      <c r="X46" s="59">
        <v>800</v>
      </c>
      <c r="Y46" s="59">
        <v>2200</v>
      </c>
      <c r="Z46" s="59">
        <v>0</v>
      </c>
      <c r="AA46" s="59">
        <v>0</v>
      </c>
      <c r="AB46" s="59">
        <v>600</v>
      </c>
      <c r="AC46" s="59">
        <v>0</v>
      </c>
      <c r="AD46" s="59">
        <v>0</v>
      </c>
      <c r="AE46" s="59">
        <v>2100</v>
      </c>
      <c r="AF46" s="59">
        <v>1000</v>
      </c>
      <c r="AG46" s="56">
        <f t="shared" si="42"/>
        <v>17000</v>
      </c>
      <c r="AH46" s="7"/>
    </row>
    <row r="47" spans="1:35" ht="15.75" customHeight="1" x14ac:dyDescent="0.2">
      <c r="A47" s="4" t="s">
        <v>203</v>
      </c>
      <c r="B47" s="59">
        <f t="shared" ref="B47:AF47" si="43">B4+B3+B7+B8+(SUM(B20:B22))+B45+B46</f>
        <v>7415.8620689655172</v>
      </c>
      <c r="C47" s="59">
        <f t="shared" si="43"/>
        <v>8415.8620689655181</v>
      </c>
      <c r="D47" s="59">
        <f t="shared" si="43"/>
        <v>7415.8620689655172</v>
      </c>
      <c r="E47" s="59">
        <f t="shared" si="43"/>
        <v>10115.862068965518</v>
      </c>
      <c r="F47" s="59">
        <f t="shared" si="43"/>
        <v>8715.8620689655181</v>
      </c>
      <c r="G47" s="59">
        <f t="shared" si="43"/>
        <v>0</v>
      </c>
      <c r="H47" s="59">
        <f t="shared" si="43"/>
        <v>10215.862068965518</v>
      </c>
      <c r="I47" s="59">
        <f t="shared" si="43"/>
        <v>11615.862068965518</v>
      </c>
      <c r="J47" s="59">
        <f t="shared" si="43"/>
        <v>7615.8620689655172</v>
      </c>
      <c r="K47" s="59">
        <f t="shared" si="43"/>
        <v>9915.8620689655181</v>
      </c>
      <c r="L47" s="59">
        <f t="shared" si="43"/>
        <v>9115.8620689655181</v>
      </c>
      <c r="M47" s="59">
        <f t="shared" si="43"/>
        <v>7715.8620689655172</v>
      </c>
      <c r="N47" s="59">
        <f t="shared" si="43"/>
        <v>6415.8620689655172</v>
      </c>
      <c r="O47" s="59">
        <f t="shared" si="43"/>
        <v>6415.8620689655172</v>
      </c>
      <c r="P47" s="59">
        <f t="shared" si="43"/>
        <v>6415.8620689655172</v>
      </c>
      <c r="Q47" s="59">
        <f t="shared" si="43"/>
        <v>7215.8620689655172</v>
      </c>
      <c r="R47" s="59">
        <f t="shared" si="43"/>
        <v>0</v>
      </c>
      <c r="S47" s="59">
        <f t="shared" si="43"/>
        <v>6415.8620689655172</v>
      </c>
      <c r="T47" s="59">
        <f t="shared" si="43"/>
        <v>7415.8620689655172</v>
      </c>
      <c r="U47" s="59">
        <f t="shared" si="43"/>
        <v>6415.8620689655172</v>
      </c>
      <c r="V47" s="59">
        <f t="shared" si="43"/>
        <v>7015.8620689655172</v>
      </c>
      <c r="W47" s="59">
        <f t="shared" si="43"/>
        <v>6415.8620689655172</v>
      </c>
      <c r="X47" s="59">
        <f t="shared" si="43"/>
        <v>7215.8620689655172</v>
      </c>
      <c r="Y47" s="59">
        <f t="shared" si="43"/>
        <v>8615.8620689655181</v>
      </c>
      <c r="Z47" s="59">
        <f t="shared" si="43"/>
        <v>9315.8620689655181</v>
      </c>
      <c r="AA47" s="59">
        <f t="shared" si="43"/>
        <v>9315.8620689655181</v>
      </c>
      <c r="AB47" s="59">
        <f t="shared" si="43"/>
        <v>7015.8620689655172</v>
      </c>
      <c r="AC47" s="59">
        <f t="shared" si="43"/>
        <v>6415.8620689655172</v>
      </c>
      <c r="AD47" s="59">
        <f t="shared" si="43"/>
        <v>6415.8620689655172</v>
      </c>
      <c r="AE47" s="59">
        <f t="shared" si="43"/>
        <v>11415.862068965518</v>
      </c>
      <c r="AF47" s="59">
        <f t="shared" si="43"/>
        <v>7415.8620689655172</v>
      </c>
      <c r="AG47" s="67">
        <f t="shared" si="42"/>
        <v>231559.99999999991</v>
      </c>
      <c r="AH47" s="7"/>
    </row>
    <row r="48" spans="1:35" ht="15.75" customHeight="1" x14ac:dyDescent="0.2">
      <c r="A48" s="4" t="s">
        <v>204</v>
      </c>
      <c r="B48" s="59">
        <f>B31-B29+B47+10277</f>
        <v>9774</v>
      </c>
      <c r="C48" s="59">
        <f t="shared" ref="C48:AF48" si="44">B48+C31-C29+C47</f>
        <v>8149</v>
      </c>
      <c r="D48" s="59">
        <f t="shared" si="44"/>
        <v>7238.9999999999991</v>
      </c>
      <c r="E48" s="59">
        <f t="shared" si="44"/>
        <v>8904</v>
      </c>
      <c r="F48" s="59">
        <f t="shared" si="44"/>
        <v>8150</v>
      </c>
      <c r="G48" s="59">
        <f t="shared" si="44"/>
        <v>8150</v>
      </c>
      <c r="H48" s="59">
        <f t="shared" si="44"/>
        <v>7475</v>
      </c>
      <c r="I48" s="59">
        <f t="shared" si="44"/>
        <v>7395</v>
      </c>
      <c r="J48" s="59">
        <f t="shared" si="44"/>
        <v>7714.9999999999991</v>
      </c>
      <c r="K48" s="59">
        <f t="shared" si="44"/>
        <v>6725</v>
      </c>
      <c r="L48" s="59">
        <f t="shared" si="44"/>
        <v>6380</v>
      </c>
      <c r="M48" s="59">
        <f t="shared" si="44"/>
        <v>8050.9999999999991</v>
      </c>
      <c r="N48" s="59">
        <f t="shared" si="44"/>
        <v>8761</v>
      </c>
      <c r="O48" s="59">
        <f t="shared" si="44"/>
        <v>11271</v>
      </c>
      <c r="P48" s="59">
        <f t="shared" si="44"/>
        <v>12601</v>
      </c>
      <c r="Q48" s="59">
        <f t="shared" si="44"/>
        <v>13956</v>
      </c>
      <c r="R48" s="59">
        <f t="shared" si="44"/>
        <v>13956</v>
      </c>
      <c r="S48" s="59">
        <f t="shared" si="44"/>
        <v>9306</v>
      </c>
      <c r="T48" s="59">
        <f t="shared" si="44"/>
        <v>10270</v>
      </c>
      <c r="U48" s="59">
        <f t="shared" si="44"/>
        <v>10855</v>
      </c>
      <c r="V48" s="59">
        <f t="shared" si="44"/>
        <v>8931</v>
      </c>
      <c r="W48" s="59">
        <f t="shared" si="44"/>
        <v>9661</v>
      </c>
      <c r="X48" s="59">
        <f t="shared" si="44"/>
        <v>8020.9999999999991</v>
      </c>
      <c r="Y48" s="59">
        <f t="shared" si="44"/>
        <v>7976</v>
      </c>
      <c r="Z48" s="59">
        <f t="shared" si="44"/>
        <v>7486</v>
      </c>
      <c r="AA48" s="59">
        <f t="shared" si="44"/>
        <v>7298</v>
      </c>
      <c r="AB48" s="59">
        <f t="shared" si="44"/>
        <v>6894.9999999999991</v>
      </c>
      <c r="AC48" s="59">
        <f t="shared" si="44"/>
        <v>7749.9999999999991</v>
      </c>
      <c r="AD48" s="59">
        <f t="shared" si="44"/>
        <v>5759.9999999999991</v>
      </c>
      <c r="AE48" s="59">
        <f t="shared" si="44"/>
        <v>7596</v>
      </c>
      <c r="AF48" s="59">
        <f t="shared" si="44"/>
        <v>11606</v>
      </c>
      <c r="AG48" s="7"/>
      <c r="AH48" s="7"/>
    </row>
    <row r="49" spans="1:34"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7"/>
      <c r="AH49" s="7"/>
    </row>
    <row r="50" spans="1:34" ht="15.75" customHeight="1" x14ac:dyDescent="0.2">
      <c r="AG50" s="1"/>
      <c r="AH50" s="7"/>
    </row>
    <row r="51" spans="1:34" ht="15.75" customHeight="1" x14ac:dyDescent="0.2">
      <c r="A51" s="4" t="s">
        <v>166</v>
      </c>
      <c r="B51" s="4">
        <f>2100+2625</f>
        <v>4725</v>
      </c>
      <c r="AG51" s="1"/>
      <c r="AH51" s="7"/>
    </row>
    <row r="52" spans="1:34" ht="15.75" customHeight="1" x14ac:dyDescent="0.2">
      <c r="A52" s="4" t="s">
        <v>205</v>
      </c>
      <c r="B52" s="4">
        <f>5000+1730</f>
        <v>6730</v>
      </c>
      <c r="AG52" s="1"/>
      <c r="AH52" s="7"/>
    </row>
    <row r="53" spans="1:34" ht="15.75" customHeight="1" x14ac:dyDescent="0.2">
      <c r="A53" s="4" t="s">
        <v>179</v>
      </c>
      <c r="B53" s="4">
        <f>6000+6000+6000+6000</f>
        <v>24000</v>
      </c>
      <c r="I53" s="14" t="s">
        <v>206</v>
      </c>
      <c r="AG53" s="1"/>
      <c r="AH53" s="7"/>
    </row>
    <row r="54" spans="1:34" ht="15.75" customHeight="1" x14ac:dyDescent="0.2">
      <c r="A54" s="4" t="s">
        <v>180</v>
      </c>
      <c r="B54" s="4">
        <v>2500</v>
      </c>
      <c r="G54" s="6"/>
      <c r="AG54" s="1"/>
      <c r="AH54" s="7"/>
    </row>
    <row r="55" spans="1:34" ht="15.75" customHeight="1" x14ac:dyDescent="0.2">
      <c r="A55" s="4" t="s">
        <v>181</v>
      </c>
      <c r="B55" s="4">
        <v>0</v>
      </c>
      <c r="AG55" s="1"/>
      <c r="AH55" s="7"/>
    </row>
    <row r="56" spans="1:34" ht="15.75" customHeight="1" x14ac:dyDescent="0.2">
      <c r="B56" s="83">
        <f>SUM(B51:B55)</f>
        <v>37955</v>
      </c>
      <c r="J56" s="84" t="s">
        <v>207</v>
      </c>
      <c r="K56" s="59">
        <f>AF32</f>
        <v>16455</v>
      </c>
      <c r="L56" s="59">
        <f>D32</f>
        <v>6700</v>
      </c>
      <c r="M56" s="59">
        <f>K32</f>
        <v>4665</v>
      </c>
      <c r="N56" s="59">
        <f>R32</f>
        <v>0</v>
      </c>
      <c r="O56" s="59">
        <f>Y32</f>
        <v>9100</v>
      </c>
      <c r="P56" s="84">
        <f t="shared" ref="P56:P62" si="45">AVERAGEIF(K56:O56,"&lt;&gt;0")</f>
        <v>9230</v>
      </c>
      <c r="R56" s="6"/>
      <c r="AG56" s="1"/>
      <c r="AH56" s="7"/>
    </row>
    <row r="57" spans="1:34" ht="15.75" customHeight="1" x14ac:dyDescent="0.2">
      <c r="J57" s="84" t="s">
        <v>208</v>
      </c>
      <c r="K57" s="4"/>
      <c r="L57" s="59">
        <f>E32</f>
        <v>7520</v>
      </c>
      <c r="M57" s="59">
        <f>L32</f>
        <v>7245</v>
      </c>
      <c r="N57" s="59">
        <f>S32</f>
        <v>6850</v>
      </c>
      <c r="O57" s="59">
        <f>Z32</f>
        <v>7830</v>
      </c>
      <c r="P57" s="84">
        <f t="shared" si="45"/>
        <v>7361.25</v>
      </c>
      <c r="AG57" s="1"/>
      <c r="AH57" s="7"/>
    </row>
    <row r="58" spans="1:34" ht="15.75" customHeight="1" x14ac:dyDescent="0.2">
      <c r="J58" s="84" t="s">
        <v>209</v>
      </c>
      <c r="K58" s="4"/>
      <c r="L58" s="36">
        <f>F32</f>
        <v>7445</v>
      </c>
      <c r="M58" s="59">
        <f>M32</f>
        <v>11270</v>
      </c>
      <c r="N58" s="59">
        <f>T32</f>
        <v>5445</v>
      </c>
      <c r="O58" s="59">
        <f>AA32</f>
        <v>8385</v>
      </c>
      <c r="P58" s="84">
        <f t="shared" si="45"/>
        <v>8136.25</v>
      </c>
      <c r="AG58" s="1"/>
      <c r="AH58" s="7"/>
    </row>
    <row r="59" spans="1:34" ht="15.75" customHeight="1" x14ac:dyDescent="0.2">
      <c r="A59" s="14" t="s">
        <v>210</v>
      </c>
      <c r="B59" s="14">
        <v>29</v>
      </c>
      <c r="J59" s="84" t="s">
        <v>211</v>
      </c>
      <c r="K59" s="4"/>
      <c r="L59" s="36">
        <f>G32</f>
        <v>0</v>
      </c>
      <c r="M59" s="59">
        <f>N32</f>
        <v>7780</v>
      </c>
      <c r="N59" s="59">
        <f>U32</f>
        <v>11460</v>
      </c>
      <c r="O59" s="59">
        <f>AB32</f>
        <v>13380</v>
      </c>
      <c r="P59" s="84">
        <f t="shared" si="45"/>
        <v>10873.333333333334</v>
      </c>
      <c r="AG59" s="1"/>
      <c r="AH59" s="7"/>
    </row>
    <row r="60" spans="1:34" ht="15.75" customHeight="1" x14ac:dyDescent="0.2">
      <c r="J60" s="84" t="s">
        <v>212</v>
      </c>
      <c r="K60" s="4"/>
      <c r="L60" s="36">
        <f>H32</f>
        <v>5725</v>
      </c>
      <c r="M60" s="59">
        <f>O32</f>
        <v>17470</v>
      </c>
      <c r="N60" s="59">
        <f>V32</f>
        <v>9305</v>
      </c>
      <c r="O60" s="59">
        <f>AC32</f>
        <v>11105</v>
      </c>
      <c r="P60" s="84">
        <f t="shared" si="45"/>
        <v>10901.25</v>
      </c>
      <c r="AG60" s="1"/>
      <c r="AH60" s="7"/>
    </row>
    <row r="61" spans="1:34" ht="15.75" customHeight="1" x14ac:dyDescent="0.2">
      <c r="J61" s="84" t="s">
        <v>213</v>
      </c>
      <c r="K61" s="59">
        <f>B32</f>
        <v>8727</v>
      </c>
      <c r="L61" s="36">
        <f>I32</f>
        <v>9815</v>
      </c>
      <c r="M61" s="59">
        <f>P32</f>
        <v>12475</v>
      </c>
      <c r="N61" s="59">
        <f>W32</f>
        <v>13715</v>
      </c>
      <c r="O61" s="59">
        <f>AD32</f>
        <v>12735</v>
      </c>
      <c r="P61" s="84">
        <f t="shared" si="45"/>
        <v>11493.4</v>
      </c>
      <c r="AG61" s="1"/>
      <c r="AH61" s="7"/>
    </row>
    <row r="62" spans="1:34" ht="15.75" customHeight="1" x14ac:dyDescent="0.2">
      <c r="J62" s="84" t="s">
        <v>214</v>
      </c>
      <c r="K62" s="59">
        <f>C32</f>
        <v>10190</v>
      </c>
      <c r="L62" s="59">
        <f>J32</f>
        <v>11325</v>
      </c>
      <c r="M62" s="59">
        <f>Q32</f>
        <v>15785</v>
      </c>
      <c r="N62" s="59">
        <f>X32</f>
        <v>10055</v>
      </c>
      <c r="O62" s="59">
        <f>AF32</f>
        <v>16455</v>
      </c>
      <c r="P62" s="84">
        <f t="shared" si="45"/>
        <v>12762</v>
      </c>
      <c r="AG62" s="1"/>
      <c r="AH62" s="7"/>
    </row>
    <row r="63" spans="1:34" ht="15.75" customHeight="1" x14ac:dyDescent="0.2">
      <c r="Q63" s="14" t="s">
        <v>127</v>
      </c>
      <c r="AG63" s="1"/>
      <c r="AH63" s="7"/>
    </row>
    <row r="64" spans="1:34" ht="15.75" customHeight="1" x14ac:dyDescent="0.2">
      <c r="AG64" s="1"/>
      <c r="AH64" s="7"/>
    </row>
    <row r="65" spans="25:34" ht="14" x14ac:dyDescent="0.2">
      <c r="AG65" s="1"/>
      <c r="AH65" s="7"/>
    </row>
    <row r="66" spans="25:34" ht="14" x14ac:dyDescent="0.2">
      <c r="Y66" s="14" t="s">
        <v>206</v>
      </c>
      <c r="AG66" s="1"/>
      <c r="AH66" s="7"/>
    </row>
    <row r="67" spans="25:34" ht="14" x14ac:dyDescent="0.2">
      <c r="AG67" s="1"/>
      <c r="AH67" s="7"/>
    </row>
    <row r="68" spans="25:34" ht="14" x14ac:dyDescent="0.2">
      <c r="AG68" s="1"/>
      <c r="AH68" s="7"/>
    </row>
    <row r="69" spans="25:34" ht="14" x14ac:dyDescent="0.2">
      <c r="AG69" s="1"/>
      <c r="AH69" s="7"/>
    </row>
    <row r="70" spans="25:34" ht="14" x14ac:dyDescent="0.2">
      <c r="AG70" s="1"/>
      <c r="AH70" s="7"/>
    </row>
    <row r="71" spans="25:34" ht="14" x14ac:dyDescent="0.2">
      <c r="AG71" s="1"/>
      <c r="AH71" s="7"/>
    </row>
    <row r="72" spans="25:34" ht="14" x14ac:dyDescent="0.2">
      <c r="AG72" s="1"/>
      <c r="AH72" s="7"/>
    </row>
    <row r="73" spans="25:34" ht="14" x14ac:dyDescent="0.2">
      <c r="AG73" s="1"/>
      <c r="AH73" s="7"/>
    </row>
    <row r="74" spans="25:34" ht="14" x14ac:dyDescent="0.2">
      <c r="AG74" s="1"/>
      <c r="AH74" s="7"/>
    </row>
    <row r="75" spans="25:34" ht="14" x14ac:dyDescent="0.2">
      <c r="AG75" s="1"/>
      <c r="AH75" s="7"/>
    </row>
    <row r="76" spans="25:34" ht="14" x14ac:dyDescent="0.2">
      <c r="AG76" s="1"/>
      <c r="AH76" s="7"/>
    </row>
    <row r="77" spans="25:34" ht="14" x14ac:dyDescent="0.2">
      <c r="AG77" s="1"/>
      <c r="AH77" s="7"/>
    </row>
    <row r="78" spans="25:34" ht="14" x14ac:dyDescent="0.2">
      <c r="AG78" s="1"/>
      <c r="AH78" s="7"/>
    </row>
    <row r="79" spans="25:34" ht="14" x14ac:dyDescent="0.2">
      <c r="AG79" s="1"/>
      <c r="AH79" s="7"/>
    </row>
    <row r="80" spans="25:34" ht="14" x14ac:dyDescent="0.2">
      <c r="AG80" s="1"/>
      <c r="AH80" s="7"/>
    </row>
    <row r="81" spans="33:34" ht="14" x14ac:dyDescent="0.2">
      <c r="AG81" s="1"/>
      <c r="AH81" s="7"/>
    </row>
    <row r="82" spans="33:34" ht="14" x14ac:dyDescent="0.2">
      <c r="AG82" s="1"/>
      <c r="AH82" s="7"/>
    </row>
    <row r="83" spans="33:34" ht="14" x14ac:dyDescent="0.2">
      <c r="AG83" s="1"/>
      <c r="AH83" s="7"/>
    </row>
    <row r="84" spans="33:34" ht="14" x14ac:dyDescent="0.2">
      <c r="AG84" s="1"/>
      <c r="AH84" s="7"/>
    </row>
    <row r="85" spans="33:34" ht="14" x14ac:dyDescent="0.2">
      <c r="AG85" s="1"/>
      <c r="AH85" s="7"/>
    </row>
    <row r="86" spans="33:34" ht="14" x14ac:dyDescent="0.2">
      <c r="AG86" s="1"/>
      <c r="AH86" s="7"/>
    </row>
    <row r="87" spans="33:34" ht="14" x14ac:dyDescent="0.2">
      <c r="AG87" s="1"/>
      <c r="AH87" s="7"/>
    </row>
    <row r="88" spans="33:34" ht="14" x14ac:dyDescent="0.2">
      <c r="AG88" s="1"/>
      <c r="AH88" s="7"/>
    </row>
    <row r="89" spans="33:34" ht="14" x14ac:dyDescent="0.2">
      <c r="AG89" s="1"/>
      <c r="AH89" s="7"/>
    </row>
    <row r="90" spans="33:34" ht="14" x14ac:dyDescent="0.2">
      <c r="AG90" s="1"/>
      <c r="AH90" s="7"/>
    </row>
    <row r="91" spans="33:34" ht="14" x14ac:dyDescent="0.2">
      <c r="AG91" s="1"/>
      <c r="AH91" s="7"/>
    </row>
    <row r="92" spans="33:34" ht="14" x14ac:dyDescent="0.2">
      <c r="AG92" s="1"/>
      <c r="AH92" s="7"/>
    </row>
    <row r="93" spans="33:34" ht="14" x14ac:dyDescent="0.2">
      <c r="AG93" s="1"/>
      <c r="AH93" s="7"/>
    </row>
    <row r="94" spans="33:34" ht="14" x14ac:dyDescent="0.2">
      <c r="AG94" s="1"/>
      <c r="AH94" s="7"/>
    </row>
    <row r="95" spans="33:34" ht="14" x14ac:dyDescent="0.2">
      <c r="AG95" s="1"/>
      <c r="AH95" s="7"/>
    </row>
    <row r="96" spans="33:34" ht="14" x14ac:dyDescent="0.2">
      <c r="AG96" s="1"/>
      <c r="AH96" s="7"/>
    </row>
    <row r="97" spans="33:34" ht="14" x14ac:dyDescent="0.2">
      <c r="AG97" s="1"/>
      <c r="AH97" s="7"/>
    </row>
    <row r="98" spans="33:34" ht="14" x14ac:dyDescent="0.2">
      <c r="AG98" s="1"/>
      <c r="AH98" s="7"/>
    </row>
    <row r="99" spans="33:34" ht="14" x14ac:dyDescent="0.2">
      <c r="AG99" s="1"/>
      <c r="AH99" s="7"/>
    </row>
    <row r="100" spans="33:34" ht="14" x14ac:dyDescent="0.2">
      <c r="AG100" s="1"/>
      <c r="AH100" s="7"/>
    </row>
    <row r="101" spans="33:34" ht="14" x14ac:dyDescent="0.2">
      <c r="AG101" s="1"/>
      <c r="AH101" s="7"/>
    </row>
    <row r="102" spans="33:34" ht="14" x14ac:dyDescent="0.2">
      <c r="AG102" s="1"/>
      <c r="AH102" s="7"/>
    </row>
    <row r="103" spans="33:34" ht="14" x14ac:dyDescent="0.2">
      <c r="AG103" s="1"/>
      <c r="AH103" s="7"/>
    </row>
    <row r="104" spans="33:34" ht="14" x14ac:dyDescent="0.2">
      <c r="AG104" s="1"/>
      <c r="AH104" s="7"/>
    </row>
    <row r="105" spans="33:34" ht="14" x14ac:dyDescent="0.2">
      <c r="AG105" s="1"/>
      <c r="AH105" s="7"/>
    </row>
    <row r="106" spans="33:34" ht="14" x14ac:dyDescent="0.2">
      <c r="AG106" s="1"/>
      <c r="AH106" s="7"/>
    </row>
    <row r="107" spans="33:34" ht="14" x14ac:dyDescent="0.2">
      <c r="AG107" s="1"/>
      <c r="AH107" s="7"/>
    </row>
    <row r="108" spans="33:34" ht="14" x14ac:dyDescent="0.2">
      <c r="AG108" s="1"/>
      <c r="AH108" s="7"/>
    </row>
    <row r="109" spans="33:34" ht="14" x14ac:dyDescent="0.2">
      <c r="AG109" s="1"/>
      <c r="AH109" s="7"/>
    </row>
    <row r="110" spans="33:34" ht="14" x14ac:dyDescent="0.2">
      <c r="AG110" s="1"/>
      <c r="AH110" s="7"/>
    </row>
    <row r="111" spans="33:34" ht="14" x14ac:dyDescent="0.2">
      <c r="AG111" s="1"/>
      <c r="AH111" s="7"/>
    </row>
    <row r="112" spans="33:34" ht="14" x14ac:dyDescent="0.2">
      <c r="AG112" s="1"/>
      <c r="AH112" s="7"/>
    </row>
    <row r="113" spans="33:34" ht="14" x14ac:dyDescent="0.2">
      <c r="AG113" s="1"/>
      <c r="AH113" s="7"/>
    </row>
    <row r="114" spans="33:34" ht="14" x14ac:dyDescent="0.2">
      <c r="AG114" s="1"/>
      <c r="AH114" s="7"/>
    </row>
    <row r="115" spans="33:34" ht="14" x14ac:dyDescent="0.2">
      <c r="AG115" s="1"/>
      <c r="AH115" s="7"/>
    </row>
    <row r="116" spans="33:34" ht="14" x14ac:dyDescent="0.2">
      <c r="AG116" s="1"/>
      <c r="AH116" s="7"/>
    </row>
    <row r="117" spans="33:34" ht="14" x14ac:dyDescent="0.2">
      <c r="AG117" s="1"/>
      <c r="AH117" s="7"/>
    </row>
    <row r="118" spans="33:34" ht="14" x14ac:dyDescent="0.2">
      <c r="AG118" s="1"/>
      <c r="AH118" s="7"/>
    </row>
    <row r="119" spans="33:34" ht="14" x14ac:dyDescent="0.2">
      <c r="AG119" s="1"/>
      <c r="AH119" s="7"/>
    </row>
    <row r="120" spans="33:34" ht="14" x14ac:dyDescent="0.2">
      <c r="AG120" s="1"/>
      <c r="AH120" s="7"/>
    </row>
    <row r="121" spans="33:34" ht="14" x14ac:dyDescent="0.2">
      <c r="AG121" s="1"/>
      <c r="AH121" s="7"/>
    </row>
    <row r="122" spans="33:34" ht="14" x14ac:dyDescent="0.2">
      <c r="AG122" s="1"/>
      <c r="AH122" s="7"/>
    </row>
    <row r="123" spans="33:34" ht="14" x14ac:dyDescent="0.2">
      <c r="AG123" s="1"/>
      <c r="AH123" s="7"/>
    </row>
    <row r="124" spans="33:34" ht="14" x14ac:dyDescent="0.2">
      <c r="AG124" s="1"/>
      <c r="AH124" s="7"/>
    </row>
    <row r="125" spans="33:34" ht="14" x14ac:dyDescent="0.2">
      <c r="AG125" s="1"/>
      <c r="AH125" s="7"/>
    </row>
    <row r="126" spans="33:34" ht="14" x14ac:dyDescent="0.2">
      <c r="AG126" s="1"/>
      <c r="AH126" s="7"/>
    </row>
    <row r="127" spans="33:34" ht="14" x14ac:dyDescent="0.2">
      <c r="AG127" s="1"/>
      <c r="AH127" s="7"/>
    </row>
    <row r="128" spans="33:34" ht="14" x14ac:dyDescent="0.2">
      <c r="AG128" s="1"/>
      <c r="AH128" s="7"/>
    </row>
    <row r="129" spans="33:34" ht="14" x14ac:dyDescent="0.2">
      <c r="AG129" s="1"/>
      <c r="AH129" s="7"/>
    </row>
    <row r="130" spans="33:34" ht="14" x14ac:dyDescent="0.2">
      <c r="AG130" s="1"/>
      <c r="AH130" s="7"/>
    </row>
    <row r="131" spans="33:34" ht="14" x14ac:dyDescent="0.2">
      <c r="AG131" s="1"/>
      <c r="AH131" s="7"/>
    </row>
    <row r="132" spans="33:34" ht="14" x14ac:dyDescent="0.2">
      <c r="AG132" s="1"/>
      <c r="AH132" s="7"/>
    </row>
    <row r="133" spans="33:34" ht="14" x14ac:dyDescent="0.2">
      <c r="AG133" s="1"/>
      <c r="AH133" s="7"/>
    </row>
    <row r="134" spans="33:34" ht="14" x14ac:dyDescent="0.2">
      <c r="AG134" s="1"/>
      <c r="AH134" s="7"/>
    </row>
    <row r="135" spans="33:34" ht="14" x14ac:dyDescent="0.2">
      <c r="AG135" s="1"/>
      <c r="AH135" s="7"/>
    </row>
    <row r="136" spans="33:34" ht="14" x14ac:dyDescent="0.2">
      <c r="AG136" s="1"/>
      <c r="AH136" s="7"/>
    </row>
    <row r="137" spans="33:34" ht="14" x14ac:dyDescent="0.2">
      <c r="AG137" s="1"/>
      <c r="AH137" s="7"/>
    </row>
    <row r="138" spans="33:34" ht="14" x14ac:dyDescent="0.2">
      <c r="AG138" s="1"/>
      <c r="AH138" s="7"/>
    </row>
    <row r="139" spans="33:34" ht="14" x14ac:dyDescent="0.2">
      <c r="AG139" s="1"/>
      <c r="AH139" s="7"/>
    </row>
    <row r="140" spans="33:34" ht="14" x14ac:dyDescent="0.2">
      <c r="AG140" s="1"/>
      <c r="AH140" s="7"/>
    </row>
    <row r="141" spans="33:34" ht="14" x14ac:dyDescent="0.2">
      <c r="AG141" s="1"/>
      <c r="AH141" s="7"/>
    </row>
    <row r="142" spans="33:34" ht="14" x14ac:dyDescent="0.2">
      <c r="AG142" s="1"/>
      <c r="AH142" s="7"/>
    </row>
    <row r="143" spans="33:34" ht="14" x14ac:dyDescent="0.2">
      <c r="AG143" s="1"/>
      <c r="AH143" s="7"/>
    </row>
    <row r="144" spans="33:34" ht="14" x14ac:dyDescent="0.2">
      <c r="AG144" s="1"/>
      <c r="AH144" s="7"/>
    </row>
    <row r="145" spans="33:34" ht="14" x14ac:dyDescent="0.2">
      <c r="AG145" s="1"/>
      <c r="AH145" s="7"/>
    </row>
    <row r="146" spans="33:34" ht="14" x14ac:dyDescent="0.2">
      <c r="AG146" s="1"/>
      <c r="AH146" s="7"/>
    </row>
    <row r="147" spans="33:34" ht="14" x14ac:dyDescent="0.2">
      <c r="AG147" s="1"/>
      <c r="AH147" s="7"/>
    </row>
    <row r="148" spans="33:34" ht="14" x14ac:dyDescent="0.2">
      <c r="AG148" s="1"/>
      <c r="AH148" s="7"/>
    </row>
    <row r="149" spans="33:34" ht="14" x14ac:dyDescent="0.2">
      <c r="AG149" s="1"/>
      <c r="AH149" s="7"/>
    </row>
    <row r="150" spans="33:34" ht="14" x14ac:dyDescent="0.2">
      <c r="AG150" s="1"/>
      <c r="AH150" s="7"/>
    </row>
    <row r="151" spans="33:34" ht="14" x14ac:dyDescent="0.2">
      <c r="AG151" s="1"/>
      <c r="AH151" s="7"/>
    </row>
    <row r="152" spans="33:34" ht="14" x14ac:dyDescent="0.2">
      <c r="AG152" s="1"/>
      <c r="AH152" s="7"/>
    </row>
    <row r="153" spans="33:34" ht="14" x14ac:dyDescent="0.2">
      <c r="AG153" s="1"/>
      <c r="AH153" s="7"/>
    </row>
    <row r="154" spans="33:34" ht="14" x14ac:dyDescent="0.2">
      <c r="AG154" s="1"/>
      <c r="AH154" s="7"/>
    </row>
    <row r="155" spans="33:34" ht="14" x14ac:dyDescent="0.2">
      <c r="AG155" s="1"/>
      <c r="AH155" s="7"/>
    </row>
    <row r="156" spans="33:34" ht="14" x14ac:dyDescent="0.2">
      <c r="AG156" s="1"/>
      <c r="AH156" s="7"/>
    </row>
    <row r="157" spans="33:34" ht="14" x14ac:dyDescent="0.2">
      <c r="AG157" s="1"/>
      <c r="AH157" s="7"/>
    </row>
    <row r="158" spans="33:34" ht="14" x14ac:dyDescent="0.2">
      <c r="AG158" s="1"/>
      <c r="AH158" s="7"/>
    </row>
    <row r="159" spans="33:34" ht="14" x14ac:dyDescent="0.2">
      <c r="AG159" s="1"/>
      <c r="AH159" s="7"/>
    </row>
    <row r="160" spans="33:34" ht="14" x14ac:dyDescent="0.2">
      <c r="AG160" s="1"/>
      <c r="AH160" s="7"/>
    </row>
    <row r="161" spans="33:34" ht="14" x14ac:dyDescent="0.2">
      <c r="AG161" s="1"/>
      <c r="AH161" s="7"/>
    </row>
    <row r="162" spans="33:34" ht="14" x14ac:dyDescent="0.2">
      <c r="AG162" s="1"/>
      <c r="AH162" s="7"/>
    </row>
    <row r="163" spans="33:34" ht="14" x14ac:dyDescent="0.2">
      <c r="AG163" s="1"/>
      <c r="AH163" s="7"/>
    </row>
    <row r="164" spans="33:34" ht="14" x14ac:dyDescent="0.2">
      <c r="AG164" s="1"/>
      <c r="AH164" s="7"/>
    </row>
    <row r="165" spans="33:34" ht="14" x14ac:dyDescent="0.2">
      <c r="AG165" s="1"/>
      <c r="AH165" s="7"/>
    </row>
    <row r="166" spans="33:34" ht="14" x14ac:dyDescent="0.2">
      <c r="AG166" s="1"/>
      <c r="AH166" s="7"/>
    </row>
    <row r="167" spans="33:34" ht="14" x14ac:dyDescent="0.2">
      <c r="AG167" s="1"/>
      <c r="AH167" s="7"/>
    </row>
    <row r="168" spans="33:34" ht="14" x14ac:dyDescent="0.2">
      <c r="AG168" s="1"/>
      <c r="AH168" s="7"/>
    </row>
    <row r="169" spans="33:34" ht="14" x14ac:dyDescent="0.2">
      <c r="AG169" s="1"/>
      <c r="AH169" s="7"/>
    </row>
    <row r="170" spans="33:34" ht="14" x14ac:dyDescent="0.2">
      <c r="AG170" s="1"/>
      <c r="AH170" s="7"/>
    </row>
    <row r="171" spans="33:34" ht="14" x14ac:dyDescent="0.2">
      <c r="AG171" s="1"/>
      <c r="AH171" s="7"/>
    </row>
    <row r="172" spans="33:34" ht="14" x14ac:dyDescent="0.2">
      <c r="AG172" s="1"/>
      <c r="AH172" s="7"/>
    </row>
    <row r="173" spans="33:34" ht="14" x14ac:dyDescent="0.2">
      <c r="AG173" s="1"/>
      <c r="AH173" s="7"/>
    </row>
    <row r="174" spans="33:34" ht="14" x14ac:dyDescent="0.2">
      <c r="AG174" s="1"/>
      <c r="AH174" s="7"/>
    </row>
    <row r="175" spans="33:34" ht="14" x14ac:dyDescent="0.2">
      <c r="AG175" s="1"/>
      <c r="AH175" s="7"/>
    </row>
    <row r="176" spans="33:34" ht="14" x14ac:dyDescent="0.2">
      <c r="AG176" s="1"/>
      <c r="AH176" s="7"/>
    </row>
    <row r="177" spans="33:34" ht="14" x14ac:dyDescent="0.2">
      <c r="AG177" s="1"/>
      <c r="AH177" s="7"/>
    </row>
    <row r="178" spans="33:34" ht="14" x14ac:dyDescent="0.2">
      <c r="AG178" s="1"/>
      <c r="AH178" s="7"/>
    </row>
    <row r="179" spans="33:34" ht="14" x14ac:dyDescent="0.2">
      <c r="AG179" s="1"/>
      <c r="AH179" s="7"/>
    </row>
    <row r="180" spans="33:34" ht="14" x14ac:dyDescent="0.2">
      <c r="AG180" s="1"/>
      <c r="AH180" s="7"/>
    </row>
    <row r="181" spans="33:34" ht="14" x14ac:dyDescent="0.2">
      <c r="AG181" s="1"/>
      <c r="AH181" s="7"/>
    </row>
    <row r="182" spans="33:34" ht="14" x14ac:dyDescent="0.2">
      <c r="AG182" s="1"/>
      <c r="AH182" s="7"/>
    </row>
    <row r="183" spans="33:34" ht="14" x14ac:dyDescent="0.2">
      <c r="AG183" s="1"/>
      <c r="AH183" s="7"/>
    </row>
    <row r="184" spans="33:34" ht="14" x14ac:dyDescent="0.2">
      <c r="AG184" s="1"/>
      <c r="AH184" s="7"/>
    </row>
    <row r="185" spans="33:34" ht="14" x14ac:dyDescent="0.2">
      <c r="AG185" s="1"/>
      <c r="AH185" s="7"/>
    </row>
    <row r="186" spans="33:34" ht="14" x14ac:dyDescent="0.2">
      <c r="AG186" s="1"/>
      <c r="AH186" s="7"/>
    </row>
    <row r="187" spans="33:34" ht="14" x14ac:dyDescent="0.2">
      <c r="AG187" s="1"/>
      <c r="AH187" s="7"/>
    </row>
    <row r="188" spans="33:34" ht="14" x14ac:dyDescent="0.2">
      <c r="AG188" s="1"/>
      <c r="AH188" s="7"/>
    </row>
    <row r="189" spans="33:34" ht="14" x14ac:dyDescent="0.2">
      <c r="AG189" s="1"/>
      <c r="AH189" s="7"/>
    </row>
    <row r="190" spans="33:34" ht="14" x14ac:dyDescent="0.2">
      <c r="AG190" s="1"/>
      <c r="AH190" s="7"/>
    </row>
    <row r="191" spans="33:34" ht="14" x14ac:dyDescent="0.2">
      <c r="AG191" s="1"/>
      <c r="AH191" s="7"/>
    </row>
    <row r="192" spans="33:34" ht="14" x14ac:dyDescent="0.2">
      <c r="AG192" s="1"/>
      <c r="AH192" s="7"/>
    </row>
    <row r="193" spans="33:34" ht="14" x14ac:dyDescent="0.2">
      <c r="AG193" s="1"/>
      <c r="AH193" s="7"/>
    </row>
    <row r="194" spans="33:34" ht="14" x14ac:dyDescent="0.2">
      <c r="AG194" s="1"/>
      <c r="AH194" s="7"/>
    </row>
    <row r="195" spans="33:34" ht="14" x14ac:dyDescent="0.2">
      <c r="AG195" s="1"/>
      <c r="AH195" s="7"/>
    </row>
    <row r="196" spans="33:34" ht="14" x14ac:dyDescent="0.2">
      <c r="AG196" s="1"/>
      <c r="AH196" s="7"/>
    </row>
    <row r="197" spans="33:34" ht="14" x14ac:dyDescent="0.2">
      <c r="AG197" s="1"/>
      <c r="AH197" s="7"/>
    </row>
    <row r="198" spans="33:34" ht="14" x14ac:dyDescent="0.2">
      <c r="AG198" s="1"/>
      <c r="AH198" s="7"/>
    </row>
    <row r="199" spans="33:34" ht="14" x14ac:dyDescent="0.2">
      <c r="AG199" s="1"/>
      <c r="AH199" s="7"/>
    </row>
    <row r="200" spans="33:34" ht="14" x14ac:dyDescent="0.2">
      <c r="AG200" s="1"/>
      <c r="AH200" s="7"/>
    </row>
    <row r="201" spans="33:34" ht="14" x14ac:dyDescent="0.2">
      <c r="AG201" s="1"/>
      <c r="AH201" s="7"/>
    </row>
    <row r="202" spans="33:34" ht="14" x14ac:dyDescent="0.2">
      <c r="AG202" s="1"/>
      <c r="AH202" s="7"/>
    </row>
    <row r="203" spans="33:34" ht="14" x14ac:dyDescent="0.2">
      <c r="AG203" s="1"/>
      <c r="AH203" s="7"/>
    </row>
    <row r="204" spans="33:34" ht="14" x14ac:dyDescent="0.2">
      <c r="AG204" s="1"/>
      <c r="AH204" s="7"/>
    </row>
    <row r="205" spans="33:34" ht="14" x14ac:dyDescent="0.2">
      <c r="AG205" s="1"/>
      <c r="AH205" s="7"/>
    </row>
    <row r="206" spans="33:34" ht="14" x14ac:dyDescent="0.2">
      <c r="AG206" s="1"/>
      <c r="AH206" s="7"/>
    </row>
    <row r="207" spans="33:34" ht="14" x14ac:dyDescent="0.2">
      <c r="AG207" s="1"/>
      <c r="AH207" s="7"/>
    </row>
    <row r="208" spans="33:34" ht="14" x14ac:dyDescent="0.2">
      <c r="AG208" s="1"/>
      <c r="AH208" s="7"/>
    </row>
    <row r="209" spans="33:34" ht="14" x14ac:dyDescent="0.2">
      <c r="AG209" s="1"/>
      <c r="AH209" s="7"/>
    </row>
    <row r="210" spans="33:34" ht="14" x14ac:dyDescent="0.2">
      <c r="AG210" s="1"/>
      <c r="AH210" s="7"/>
    </row>
    <row r="211" spans="33:34" ht="14" x14ac:dyDescent="0.2">
      <c r="AG211" s="1"/>
      <c r="AH211" s="7"/>
    </row>
    <row r="212" spans="33:34" ht="14" x14ac:dyDescent="0.2">
      <c r="AG212" s="1"/>
      <c r="AH212" s="7"/>
    </row>
    <row r="213" spans="33:34" ht="14" x14ac:dyDescent="0.2">
      <c r="AG213" s="1"/>
      <c r="AH213" s="7"/>
    </row>
    <row r="214" spans="33:34" ht="14" x14ac:dyDescent="0.2">
      <c r="AG214" s="1"/>
      <c r="AH214" s="7"/>
    </row>
    <row r="215" spans="33:34" ht="14" x14ac:dyDescent="0.2">
      <c r="AG215" s="1"/>
      <c r="AH215" s="7"/>
    </row>
    <row r="216" spans="33:34" ht="14" x14ac:dyDescent="0.2">
      <c r="AG216" s="1"/>
      <c r="AH216" s="7"/>
    </row>
    <row r="217" spans="33:34" ht="14" x14ac:dyDescent="0.2">
      <c r="AG217" s="1"/>
      <c r="AH217" s="7"/>
    </row>
    <row r="218" spans="33:34" ht="14" x14ac:dyDescent="0.2">
      <c r="AG218" s="1"/>
      <c r="AH218" s="7"/>
    </row>
    <row r="219" spans="33:34" ht="14" x14ac:dyDescent="0.2">
      <c r="AG219" s="1"/>
      <c r="AH219" s="7"/>
    </row>
    <row r="220" spans="33:34" ht="14" x14ac:dyDescent="0.2">
      <c r="AG220" s="1"/>
      <c r="AH220" s="7"/>
    </row>
    <row r="221" spans="33:34" ht="14" x14ac:dyDescent="0.2">
      <c r="AG221" s="1"/>
      <c r="AH221" s="7"/>
    </row>
    <row r="222" spans="33:34" ht="14" x14ac:dyDescent="0.2">
      <c r="AG222" s="1"/>
      <c r="AH222" s="7"/>
    </row>
    <row r="223" spans="33:34" ht="14" x14ac:dyDescent="0.2">
      <c r="AG223" s="1"/>
      <c r="AH223" s="7"/>
    </row>
    <row r="224" spans="33:34" ht="14" x14ac:dyDescent="0.2">
      <c r="AG224" s="1"/>
      <c r="AH224" s="7"/>
    </row>
    <row r="225" spans="33:34" ht="14" x14ac:dyDescent="0.2">
      <c r="AG225" s="1"/>
      <c r="AH225" s="7"/>
    </row>
    <row r="226" spans="33:34" ht="14" x14ac:dyDescent="0.2">
      <c r="AG226" s="1"/>
      <c r="AH226" s="7"/>
    </row>
    <row r="227" spans="33:34" ht="14" x14ac:dyDescent="0.2">
      <c r="AG227" s="1"/>
      <c r="AH227" s="7"/>
    </row>
    <row r="228" spans="33:34" ht="14" x14ac:dyDescent="0.2">
      <c r="AG228" s="1"/>
      <c r="AH228" s="7"/>
    </row>
    <row r="229" spans="33:34" ht="14" x14ac:dyDescent="0.2">
      <c r="AG229" s="1"/>
      <c r="AH229" s="7"/>
    </row>
    <row r="230" spans="33:34" ht="14" x14ac:dyDescent="0.2">
      <c r="AG230" s="1"/>
      <c r="AH230" s="7"/>
    </row>
    <row r="231" spans="33:34" ht="14" x14ac:dyDescent="0.2">
      <c r="AG231" s="1"/>
      <c r="AH231" s="7"/>
    </row>
    <row r="232" spans="33:34" ht="14" x14ac:dyDescent="0.2">
      <c r="AG232" s="1"/>
      <c r="AH232" s="7"/>
    </row>
    <row r="233" spans="33:34" ht="14" x14ac:dyDescent="0.2">
      <c r="AG233" s="1"/>
      <c r="AH233" s="7"/>
    </row>
    <row r="234" spans="33:34" ht="14" x14ac:dyDescent="0.2">
      <c r="AG234" s="1"/>
      <c r="AH234" s="7"/>
    </row>
    <row r="235" spans="33:34" ht="14" x14ac:dyDescent="0.2">
      <c r="AG235" s="1"/>
      <c r="AH235" s="7"/>
    </row>
    <row r="236" spans="33:34" ht="14" x14ac:dyDescent="0.2">
      <c r="AG236" s="1"/>
      <c r="AH236" s="7"/>
    </row>
    <row r="237" spans="33:34" ht="14" x14ac:dyDescent="0.2">
      <c r="AG237" s="1"/>
      <c r="AH237" s="7"/>
    </row>
    <row r="238" spans="33:34" ht="14" x14ac:dyDescent="0.2">
      <c r="AG238" s="1"/>
      <c r="AH238" s="7"/>
    </row>
    <row r="239" spans="33:34" ht="14" x14ac:dyDescent="0.2">
      <c r="AG239" s="1"/>
      <c r="AH239" s="7"/>
    </row>
    <row r="240" spans="33:34" ht="14" x14ac:dyDescent="0.2">
      <c r="AG240" s="1"/>
      <c r="AH240" s="7"/>
    </row>
    <row r="241" spans="33:34" ht="14" x14ac:dyDescent="0.2">
      <c r="AG241" s="1"/>
      <c r="AH241" s="7"/>
    </row>
    <row r="242" spans="33:34" ht="14" x14ac:dyDescent="0.2">
      <c r="AG242" s="1"/>
      <c r="AH242" s="7"/>
    </row>
    <row r="243" spans="33:34" ht="14" x14ac:dyDescent="0.2">
      <c r="AG243" s="1"/>
      <c r="AH243" s="7"/>
    </row>
    <row r="244" spans="33:34" ht="14" x14ac:dyDescent="0.2">
      <c r="AG244" s="1"/>
      <c r="AH244" s="7"/>
    </row>
    <row r="245" spans="33:34" ht="14" x14ac:dyDescent="0.2">
      <c r="AG245" s="1"/>
      <c r="AH245" s="7"/>
    </row>
    <row r="246" spans="33:34" ht="14" x14ac:dyDescent="0.2">
      <c r="AG246" s="1"/>
      <c r="AH246" s="7"/>
    </row>
    <row r="247" spans="33:34" ht="14" x14ac:dyDescent="0.2">
      <c r="AG247" s="1"/>
      <c r="AH247" s="7"/>
    </row>
    <row r="248" spans="33:34" ht="14" x14ac:dyDescent="0.2">
      <c r="AG248" s="1"/>
      <c r="AH248" s="7"/>
    </row>
    <row r="249" spans="33:34" ht="14" x14ac:dyDescent="0.2">
      <c r="AG249" s="1"/>
      <c r="AH249" s="7"/>
    </row>
    <row r="250" spans="33:34" ht="14" x14ac:dyDescent="0.2">
      <c r="AG250" s="1"/>
      <c r="AH250" s="7"/>
    </row>
    <row r="251" spans="33:34" ht="14" x14ac:dyDescent="0.2">
      <c r="AG251" s="1"/>
      <c r="AH251" s="7"/>
    </row>
    <row r="252" spans="33:34" ht="14" x14ac:dyDescent="0.2">
      <c r="AG252" s="1"/>
      <c r="AH252" s="7"/>
    </row>
    <row r="253" spans="33:34" ht="14" x14ac:dyDescent="0.2">
      <c r="AG253" s="1"/>
      <c r="AH253" s="7"/>
    </row>
    <row r="254" spans="33:34" ht="14" x14ac:dyDescent="0.2">
      <c r="AG254" s="1"/>
      <c r="AH254" s="7"/>
    </row>
    <row r="255" spans="33:34" ht="14" x14ac:dyDescent="0.2">
      <c r="AG255" s="1"/>
      <c r="AH255" s="7"/>
    </row>
    <row r="256" spans="33:34" ht="14" x14ac:dyDescent="0.2">
      <c r="AG256" s="1"/>
      <c r="AH256" s="7"/>
    </row>
    <row r="257" spans="33:34" ht="14" x14ac:dyDescent="0.2">
      <c r="AG257" s="1"/>
      <c r="AH257" s="7"/>
    </row>
    <row r="258" spans="33:34" ht="14" x14ac:dyDescent="0.2">
      <c r="AG258" s="1"/>
      <c r="AH258" s="7"/>
    </row>
    <row r="259" spans="33:34" ht="14" x14ac:dyDescent="0.2">
      <c r="AG259" s="1"/>
      <c r="AH259" s="7"/>
    </row>
    <row r="260" spans="33:34" ht="14" x14ac:dyDescent="0.2">
      <c r="AG260" s="1"/>
      <c r="AH260" s="7"/>
    </row>
    <row r="261" spans="33:34" ht="14" x14ac:dyDescent="0.2">
      <c r="AG261" s="1"/>
      <c r="AH261" s="7"/>
    </row>
    <row r="262" spans="33:34" ht="14" x14ac:dyDescent="0.2">
      <c r="AG262" s="1"/>
      <c r="AH262" s="7"/>
    </row>
    <row r="263" spans="33:34" ht="14" x14ac:dyDescent="0.2">
      <c r="AG263" s="1"/>
      <c r="AH263" s="7"/>
    </row>
    <row r="264" spans="33:34" ht="14" x14ac:dyDescent="0.2">
      <c r="AG264" s="1"/>
      <c r="AH264" s="7"/>
    </row>
    <row r="265" spans="33:34" ht="14" x14ac:dyDescent="0.2">
      <c r="AG265" s="1"/>
      <c r="AH265" s="7"/>
    </row>
    <row r="266" spans="33:34" ht="14" x14ac:dyDescent="0.2">
      <c r="AG266" s="1"/>
      <c r="AH266" s="7"/>
    </row>
    <row r="267" spans="33:34" ht="14" x14ac:dyDescent="0.2">
      <c r="AG267" s="1"/>
      <c r="AH267" s="7"/>
    </row>
    <row r="268" spans="33:34" ht="14" x14ac:dyDescent="0.2">
      <c r="AG268" s="1"/>
      <c r="AH268" s="7"/>
    </row>
    <row r="269" spans="33:34" ht="14" x14ac:dyDescent="0.2">
      <c r="AG269" s="1"/>
      <c r="AH269" s="7"/>
    </row>
    <row r="270" spans="33:34" ht="14" x14ac:dyDescent="0.2">
      <c r="AG270" s="1"/>
      <c r="AH270" s="7"/>
    </row>
    <row r="271" spans="33:34" ht="14" x14ac:dyDescent="0.2">
      <c r="AG271" s="1"/>
      <c r="AH271" s="7"/>
    </row>
    <row r="272" spans="33:34" ht="14" x14ac:dyDescent="0.2">
      <c r="AG272" s="1"/>
      <c r="AH272" s="7"/>
    </row>
    <row r="273" spans="33:34" ht="14" x14ac:dyDescent="0.2">
      <c r="AG273" s="1"/>
      <c r="AH273" s="7"/>
    </row>
    <row r="274" spans="33:34" ht="14" x14ac:dyDescent="0.2">
      <c r="AG274" s="1"/>
      <c r="AH274" s="7"/>
    </row>
    <row r="275" spans="33:34" ht="14" x14ac:dyDescent="0.2">
      <c r="AG275" s="1"/>
      <c r="AH275" s="7"/>
    </row>
    <row r="276" spans="33:34" ht="14" x14ac:dyDescent="0.2">
      <c r="AG276" s="1"/>
      <c r="AH276" s="7"/>
    </row>
    <row r="277" spans="33:34" ht="14" x14ac:dyDescent="0.2">
      <c r="AG277" s="1"/>
      <c r="AH277" s="7"/>
    </row>
    <row r="278" spans="33:34" ht="14" x14ac:dyDescent="0.2">
      <c r="AG278" s="1"/>
      <c r="AH278" s="7"/>
    </row>
    <row r="279" spans="33:34" ht="14" x14ac:dyDescent="0.2">
      <c r="AG279" s="1"/>
      <c r="AH279" s="7"/>
    </row>
    <row r="280" spans="33:34" ht="14" x14ac:dyDescent="0.2">
      <c r="AG280" s="1"/>
      <c r="AH280" s="7"/>
    </row>
    <row r="281" spans="33:34" ht="14" x14ac:dyDescent="0.2">
      <c r="AG281" s="1"/>
      <c r="AH281" s="7"/>
    </row>
    <row r="282" spans="33:34" ht="14" x14ac:dyDescent="0.2">
      <c r="AG282" s="1"/>
      <c r="AH282" s="7"/>
    </row>
    <row r="283" spans="33:34" ht="14" x14ac:dyDescent="0.2">
      <c r="AG283" s="1"/>
      <c r="AH283" s="7"/>
    </row>
    <row r="284" spans="33:34" ht="14" x14ac:dyDescent="0.2">
      <c r="AG284" s="1"/>
      <c r="AH284" s="7"/>
    </row>
    <row r="285" spans="33:34" ht="14" x14ac:dyDescent="0.2">
      <c r="AG285" s="1"/>
      <c r="AH285" s="7"/>
    </row>
    <row r="286" spans="33:34" ht="14" x14ac:dyDescent="0.2">
      <c r="AG286" s="1"/>
      <c r="AH286" s="7"/>
    </row>
    <row r="287" spans="33:34" ht="14" x14ac:dyDescent="0.2">
      <c r="AG287" s="1"/>
      <c r="AH287" s="7"/>
    </row>
    <row r="288" spans="33:34" ht="14" x14ac:dyDescent="0.2">
      <c r="AG288" s="1"/>
      <c r="AH288" s="7"/>
    </row>
    <row r="289" spans="33:34" ht="14" x14ac:dyDescent="0.2">
      <c r="AG289" s="1"/>
      <c r="AH289" s="7"/>
    </row>
    <row r="290" spans="33:34" ht="14" x14ac:dyDescent="0.2">
      <c r="AG290" s="1"/>
      <c r="AH290" s="7"/>
    </row>
    <row r="291" spans="33:34" ht="14" x14ac:dyDescent="0.2">
      <c r="AG291" s="1"/>
      <c r="AH291" s="7"/>
    </row>
    <row r="292" spans="33:34" ht="14" x14ac:dyDescent="0.2">
      <c r="AG292" s="1"/>
      <c r="AH292" s="7"/>
    </row>
    <row r="293" spans="33:34" ht="14" x14ac:dyDescent="0.2">
      <c r="AG293" s="1"/>
      <c r="AH293" s="7"/>
    </row>
    <row r="294" spans="33:34" ht="14" x14ac:dyDescent="0.2">
      <c r="AG294" s="1"/>
      <c r="AH294" s="7"/>
    </row>
    <row r="295" spans="33:34" ht="14" x14ac:dyDescent="0.2">
      <c r="AG295" s="1"/>
      <c r="AH295" s="7"/>
    </row>
    <row r="296" spans="33:34" ht="14" x14ac:dyDescent="0.2">
      <c r="AG296" s="1"/>
      <c r="AH296" s="7"/>
    </row>
    <row r="297" spans="33:34" ht="14" x14ac:dyDescent="0.2">
      <c r="AG297" s="1"/>
      <c r="AH297" s="7"/>
    </row>
    <row r="298" spans="33:34" ht="14" x14ac:dyDescent="0.2">
      <c r="AG298" s="1"/>
      <c r="AH298" s="7"/>
    </row>
    <row r="299" spans="33:34" ht="14" x14ac:dyDescent="0.2">
      <c r="AG299" s="1"/>
      <c r="AH299" s="7"/>
    </row>
    <row r="300" spans="33:34" ht="14" x14ac:dyDescent="0.2">
      <c r="AG300" s="1"/>
      <c r="AH300" s="7"/>
    </row>
    <row r="301" spans="33:34" ht="14" x14ac:dyDescent="0.2">
      <c r="AG301" s="1"/>
      <c r="AH301" s="7"/>
    </row>
    <row r="302" spans="33:34" ht="14" x14ac:dyDescent="0.2">
      <c r="AG302" s="1"/>
      <c r="AH302" s="7"/>
    </row>
    <row r="303" spans="33:34" ht="14" x14ac:dyDescent="0.2">
      <c r="AG303" s="1"/>
      <c r="AH303" s="7"/>
    </row>
    <row r="304" spans="33:34" ht="14" x14ac:dyDescent="0.2">
      <c r="AG304" s="1"/>
      <c r="AH304" s="7"/>
    </row>
    <row r="305" spans="33:34" ht="14" x14ac:dyDescent="0.2">
      <c r="AG305" s="1"/>
      <c r="AH305" s="7"/>
    </row>
    <row r="306" spans="33:34" ht="14" x14ac:dyDescent="0.2">
      <c r="AG306" s="1"/>
      <c r="AH306" s="7"/>
    </row>
    <row r="307" spans="33:34" ht="14" x14ac:dyDescent="0.2">
      <c r="AG307" s="1"/>
      <c r="AH307" s="7"/>
    </row>
    <row r="308" spans="33:34" ht="14" x14ac:dyDescent="0.2">
      <c r="AG308" s="1"/>
      <c r="AH308" s="7"/>
    </row>
    <row r="309" spans="33:34" ht="14" x14ac:dyDescent="0.2">
      <c r="AG309" s="1"/>
      <c r="AH309" s="7"/>
    </row>
    <row r="310" spans="33:34" ht="14" x14ac:dyDescent="0.2">
      <c r="AG310" s="1"/>
      <c r="AH310" s="7"/>
    </row>
    <row r="311" spans="33:34" ht="14" x14ac:dyDescent="0.2">
      <c r="AG311" s="1"/>
      <c r="AH311" s="7"/>
    </row>
    <row r="312" spans="33:34" ht="14" x14ac:dyDescent="0.2">
      <c r="AG312" s="1"/>
      <c r="AH312" s="7"/>
    </row>
    <row r="313" spans="33:34" ht="14" x14ac:dyDescent="0.2">
      <c r="AG313" s="1"/>
      <c r="AH313" s="7"/>
    </row>
    <row r="314" spans="33:34" ht="14" x14ac:dyDescent="0.2">
      <c r="AG314" s="1"/>
      <c r="AH314" s="7"/>
    </row>
    <row r="315" spans="33:34" ht="14" x14ac:dyDescent="0.2">
      <c r="AG315" s="1"/>
      <c r="AH315" s="7"/>
    </row>
    <row r="316" spans="33:34" ht="14" x14ac:dyDescent="0.2">
      <c r="AG316" s="1"/>
      <c r="AH316" s="7"/>
    </row>
    <row r="317" spans="33:34" ht="14" x14ac:dyDescent="0.2">
      <c r="AG317" s="1"/>
      <c r="AH317" s="7"/>
    </row>
    <row r="318" spans="33:34" ht="14" x14ac:dyDescent="0.2">
      <c r="AG318" s="1"/>
      <c r="AH318" s="7"/>
    </row>
    <row r="319" spans="33:34" ht="14" x14ac:dyDescent="0.2">
      <c r="AG319" s="1"/>
      <c r="AH319" s="7"/>
    </row>
    <row r="320" spans="33:34" ht="14" x14ac:dyDescent="0.2">
      <c r="AG320" s="1"/>
      <c r="AH320" s="7"/>
    </row>
    <row r="321" spans="33:34" ht="14" x14ac:dyDescent="0.2">
      <c r="AG321" s="1"/>
      <c r="AH321" s="7"/>
    </row>
    <row r="322" spans="33:34" ht="14" x14ac:dyDescent="0.2">
      <c r="AG322" s="1"/>
      <c r="AH322" s="7"/>
    </row>
    <row r="323" spans="33:34" ht="14" x14ac:dyDescent="0.2">
      <c r="AG323" s="1"/>
      <c r="AH323" s="7"/>
    </row>
    <row r="324" spans="33:34" ht="14" x14ac:dyDescent="0.2">
      <c r="AG324" s="1"/>
      <c r="AH324" s="7"/>
    </row>
    <row r="325" spans="33:34" ht="14" x14ac:dyDescent="0.2">
      <c r="AG325" s="1"/>
      <c r="AH325" s="7"/>
    </row>
    <row r="326" spans="33:34" ht="14" x14ac:dyDescent="0.2">
      <c r="AG326" s="1"/>
      <c r="AH326" s="7"/>
    </row>
    <row r="327" spans="33:34" ht="14" x14ac:dyDescent="0.2">
      <c r="AG327" s="1"/>
      <c r="AH327" s="7"/>
    </row>
    <row r="328" spans="33:34" ht="14" x14ac:dyDescent="0.2">
      <c r="AG328" s="1"/>
      <c r="AH328" s="7"/>
    </row>
    <row r="329" spans="33:34" ht="14" x14ac:dyDescent="0.2">
      <c r="AG329" s="1"/>
      <c r="AH329" s="7"/>
    </row>
    <row r="330" spans="33:34" ht="14" x14ac:dyDescent="0.2">
      <c r="AG330" s="1"/>
      <c r="AH330" s="7"/>
    </row>
    <row r="331" spans="33:34" ht="14" x14ac:dyDescent="0.2">
      <c r="AG331" s="1"/>
      <c r="AH331" s="7"/>
    </row>
    <row r="332" spans="33:34" ht="14" x14ac:dyDescent="0.2">
      <c r="AG332" s="1"/>
      <c r="AH332" s="7"/>
    </row>
    <row r="333" spans="33:34" ht="14" x14ac:dyDescent="0.2">
      <c r="AG333" s="1"/>
      <c r="AH333" s="7"/>
    </row>
    <row r="334" spans="33:34" ht="14" x14ac:dyDescent="0.2">
      <c r="AG334" s="1"/>
      <c r="AH334" s="7"/>
    </row>
    <row r="335" spans="33:34" ht="14" x14ac:dyDescent="0.2">
      <c r="AG335" s="1"/>
      <c r="AH335" s="7"/>
    </row>
    <row r="336" spans="33:34" ht="14" x14ac:dyDescent="0.2">
      <c r="AG336" s="1"/>
      <c r="AH336" s="7"/>
    </row>
    <row r="337" spans="33:34" ht="14" x14ac:dyDescent="0.2">
      <c r="AG337" s="1"/>
      <c r="AH337" s="7"/>
    </row>
    <row r="338" spans="33:34" ht="14" x14ac:dyDescent="0.2">
      <c r="AG338" s="1"/>
      <c r="AH338" s="7"/>
    </row>
    <row r="339" spans="33:34" ht="14" x14ac:dyDescent="0.2">
      <c r="AG339" s="1"/>
      <c r="AH339" s="7"/>
    </row>
    <row r="340" spans="33:34" ht="14" x14ac:dyDescent="0.2">
      <c r="AG340" s="1"/>
      <c r="AH340" s="7"/>
    </row>
    <row r="341" spans="33:34" ht="14" x14ac:dyDescent="0.2">
      <c r="AG341" s="1"/>
      <c r="AH341" s="7"/>
    </row>
    <row r="342" spans="33:34" ht="14" x14ac:dyDescent="0.2">
      <c r="AG342" s="1"/>
      <c r="AH342" s="7"/>
    </row>
    <row r="343" spans="33:34" ht="14" x14ac:dyDescent="0.2">
      <c r="AG343" s="1"/>
      <c r="AH343" s="7"/>
    </row>
    <row r="344" spans="33:34" ht="14" x14ac:dyDescent="0.2">
      <c r="AG344" s="1"/>
      <c r="AH344" s="7"/>
    </row>
    <row r="345" spans="33:34" ht="14" x14ac:dyDescent="0.2">
      <c r="AG345" s="1"/>
      <c r="AH345" s="7"/>
    </row>
    <row r="346" spans="33:34" ht="14" x14ac:dyDescent="0.2">
      <c r="AG346" s="1"/>
      <c r="AH346" s="7"/>
    </row>
    <row r="347" spans="33:34" ht="14" x14ac:dyDescent="0.2">
      <c r="AG347" s="1"/>
      <c r="AH347" s="7"/>
    </row>
    <row r="348" spans="33:34" ht="14" x14ac:dyDescent="0.2">
      <c r="AG348" s="1"/>
      <c r="AH348" s="7"/>
    </row>
    <row r="349" spans="33:34" ht="14" x14ac:dyDescent="0.2">
      <c r="AG349" s="1"/>
      <c r="AH349" s="7"/>
    </row>
    <row r="350" spans="33:34" ht="14" x14ac:dyDescent="0.2">
      <c r="AG350" s="1"/>
      <c r="AH350" s="7"/>
    </row>
    <row r="351" spans="33:34" ht="14" x14ac:dyDescent="0.2">
      <c r="AG351" s="1"/>
      <c r="AH351" s="7"/>
    </row>
    <row r="352" spans="33:34" ht="14" x14ac:dyDescent="0.2">
      <c r="AG352" s="1"/>
      <c r="AH352" s="7"/>
    </row>
    <row r="353" spans="33:34" ht="14" x14ac:dyDescent="0.2">
      <c r="AG353" s="1"/>
      <c r="AH353" s="7"/>
    </row>
    <row r="354" spans="33:34" ht="14" x14ac:dyDescent="0.2">
      <c r="AG354" s="1"/>
      <c r="AH354" s="7"/>
    </row>
    <row r="355" spans="33:34" ht="14" x14ac:dyDescent="0.2">
      <c r="AG355" s="1"/>
      <c r="AH355" s="7"/>
    </row>
    <row r="356" spans="33:34" ht="14" x14ac:dyDescent="0.2">
      <c r="AG356" s="1"/>
      <c r="AH356" s="7"/>
    </row>
    <row r="357" spans="33:34" ht="14" x14ac:dyDescent="0.2">
      <c r="AG357" s="1"/>
      <c r="AH357" s="7"/>
    </row>
    <row r="358" spans="33:34" ht="14" x14ac:dyDescent="0.2">
      <c r="AG358" s="1"/>
      <c r="AH358" s="7"/>
    </row>
    <row r="359" spans="33:34" ht="14" x14ac:dyDescent="0.2">
      <c r="AG359" s="1"/>
      <c r="AH359" s="7"/>
    </row>
    <row r="360" spans="33:34" ht="14" x14ac:dyDescent="0.2">
      <c r="AG360" s="1"/>
      <c r="AH360" s="7"/>
    </row>
    <row r="361" spans="33:34" ht="14" x14ac:dyDescent="0.2">
      <c r="AG361" s="1"/>
      <c r="AH361" s="7"/>
    </row>
    <row r="362" spans="33:34" ht="14" x14ac:dyDescent="0.2">
      <c r="AG362" s="1"/>
      <c r="AH362" s="7"/>
    </row>
    <row r="363" spans="33:34" ht="14" x14ac:dyDescent="0.2">
      <c r="AG363" s="1"/>
      <c r="AH363" s="7"/>
    </row>
    <row r="364" spans="33:34" ht="14" x14ac:dyDescent="0.2">
      <c r="AG364" s="1"/>
      <c r="AH364" s="7"/>
    </row>
    <row r="365" spans="33:34" ht="14" x14ac:dyDescent="0.2">
      <c r="AG365" s="1"/>
      <c r="AH365" s="7"/>
    </row>
    <row r="366" spans="33:34" ht="14" x14ac:dyDescent="0.2">
      <c r="AG366" s="1"/>
      <c r="AH366" s="7"/>
    </row>
    <row r="367" spans="33:34" ht="14" x14ac:dyDescent="0.2">
      <c r="AG367" s="1"/>
      <c r="AH367" s="7"/>
    </row>
    <row r="368" spans="33:34" ht="14" x14ac:dyDescent="0.2">
      <c r="AG368" s="1"/>
      <c r="AH368" s="7"/>
    </row>
    <row r="369" spans="33:34" ht="14" x14ac:dyDescent="0.2">
      <c r="AG369" s="1"/>
      <c r="AH369" s="7"/>
    </row>
    <row r="370" spans="33:34" ht="14" x14ac:dyDescent="0.2">
      <c r="AG370" s="1"/>
      <c r="AH370" s="7"/>
    </row>
    <row r="371" spans="33:34" ht="14" x14ac:dyDescent="0.2">
      <c r="AG371" s="1"/>
      <c r="AH371" s="7"/>
    </row>
    <row r="372" spans="33:34" ht="14" x14ac:dyDescent="0.2">
      <c r="AG372" s="1"/>
      <c r="AH372" s="7"/>
    </row>
    <row r="373" spans="33:34" ht="14" x14ac:dyDescent="0.2">
      <c r="AG373" s="1"/>
      <c r="AH373" s="7"/>
    </row>
    <row r="374" spans="33:34" ht="14" x14ac:dyDescent="0.2">
      <c r="AG374" s="1"/>
      <c r="AH374" s="7"/>
    </row>
    <row r="375" spans="33:34" ht="14" x14ac:dyDescent="0.2">
      <c r="AG375" s="1"/>
      <c r="AH375" s="7"/>
    </row>
    <row r="376" spans="33:34" ht="14" x14ac:dyDescent="0.2">
      <c r="AG376" s="1"/>
      <c r="AH376" s="7"/>
    </row>
    <row r="377" spans="33:34" ht="14" x14ac:dyDescent="0.2">
      <c r="AG377" s="1"/>
      <c r="AH377" s="7"/>
    </row>
    <row r="378" spans="33:34" ht="14" x14ac:dyDescent="0.2">
      <c r="AG378" s="1"/>
      <c r="AH378" s="7"/>
    </row>
    <row r="379" spans="33:34" ht="14" x14ac:dyDescent="0.2">
      <c r="AG379" s="1"/>
      <c r="AH379" s="7"/>
    </row>
    <row r="380" spans="33:34" ht="14" x14ac:dyDescent="0.2">
      <c r="AG380" s="1"/>
      <c r="AH380" s="7"/>
    </row>
    <row r="381" spans="33:34" ht="14" x14ac:dyDescent="0.2">
      <c r="AG381" s="1"/>
      <c r="AH381" s="7"/>
    </row>
    <row r="382" spans="33:34" ht="14" x14ac:dyDescent="0.2">
      <c r="AG382" s="1"/>
      <c r="AH382" s="7"/>
    </row>
    <row r="383" spans="33:34" ht="14" x14ac:dyDescent="0.2">
      <c r="AG383" s="1"/>
      <c r="AH383" s="7"/>
    </row>
    <row r="384" spans="33:34" ht="14" x14ac:dyDescent="0.2">
      <c r="AG384" s="1"/>
      <c r="AH384" s="7"/>
    </row>
    <row r="385" spans="33:34" ht="14" x14ac:dyDescent="0.2">
      <c r="AG385" s="1"/>
      <c r="AH385" s="7"/>
    </row>
    <row r="386" spans="33:34" ht="14" x14ac:dyDescent="0.2">
      <c r="AG386" s="1"/>
      <c r="AH386" s="7"/>
    </row>
    <row r="387" spans="33:34" ht="14" x14ac:dyDescent="0.2">
      <c r="AG387" s="1"/>
      <c r="AH387" s="7"/>
    </row>
    <row r="388" spans="33:34" ht="14" x14ac:dyDescent="0.2">
      <c r="AG388" s="1"/>
      <c r="AH388" s="7"/>
    </row>
    <row r="389" spans="33:34" ht="14" x14ac:dyDescent="0.2">
      <c r="AG389" s="1"/>
      <c r="AH389" s="7"/>
    </row>
    <row r="390" spans="33:34" ht="14" x14ac:dyDescent="0.2">
      <c r="AG390" s="1"/>
      <c r="AH390" s="7"/>
    </row>
    <row r="391" spans="33:34" ht="14" x14ac:dyDescent="0.2">
      <c r="AG391" s="1"/>
      <c r="AH391" s="7"/>
    </row>
    <row r="392" spans="33:34" ht="14" x14ac:dyDescent="0.2">
      <c r="AG392" s="1"/>
      <c r="AH392" s="7"/>
    </row>
    <row r="393" spans="33:34" ht="14" x14ac:dyDescent="0.2">
      <c r="AG393" s="1"/>
      <c r="AH393" s="7"/>
    </row>
    <row r="394" spans="33:34" ht="14" x14ac:dyDescent="0.2">
      <c r="AG394" s="1"/>
      <c r="AH394" s="7"/>
    </row>
    <row r="395" spans="33:34" ht="14" x14ac:dyDescent="0.2">
      <c r="AG395" s="1"/>
      <c r="AH395" s="7"/>
    </row>
    <row r="396" spans="33:34" ht="14" x14ac:dyDescent="0.2">
      <c r="AG396" s="1"/>
      <c r="AH396" s="7"/>
    </row>
    <row r="397" spans="33:34" ht="14" x14ac:dyDescent="0.2">
      <c r="AG397" s="1"/>
      <c r="AH397" s="7"/>
    </row>
    <row r="398" spans="33:34" ht="14" x14ac:dyDescent="0.2">
      <c r="AG398" s="1"/>
      <c r="AH398" s="7"/>
    </row>
    <row r="399" spans="33:34" ht="14" x14ac:dyDescent="0.2">
      <c r="AG399" s="1"/>
      <c r="AH399" s="7"/>
    </row>
    <row r="400" spans="33:34" ht="14" x14ac:dyDescent="0.2">
      <c r="AG400" s="1"/>
      <c r="AH400" s="7"/>
    </row>
    <row r="401" spans="33:34" ht="14" x14ac:dyDescent="0.2">
      <c r="AG401" s="1"/>
      <c r="AH401" s="7"/>
    </row>
    <row r="402" spans="33:34" ht="14" x14ac:dyDescent="0.2">
      <c r="AG402" s="1"/>
      <c r="AH402" s="7"/>
    </row>
    <row r="403" spans="33:34" ht="14" x14ac:dyDescent="0.2">
      <c r="AG403" s="1"/>
      <c r="AH403" s="7"/>
    </row>
    <row r="404" spans="33:34" ht="14" x14ac:dyDescent="0.2">
      <c r="AG404" s="1"/>
      <c r="AH404" s="7"/>
    </row>
    <row r="405" spans="33:34" ht="14" x14ac:dyDescent="0.2">
      <c r="AG405" s="1"/>
      <c r="AH405" s="7"/>
    </row>
    <row r="406" spans="33:34" ht="14" x14ac:dyDescent="0.2">
      <c r="AG406" s="1"/>
      <c r="AH406" s="7"/>
    </row>
    <row r="407" spans="33:34" ht="14" x14ac:dyDescent="0.2">
      <c r="AG407" s="1"/>
      <c r="AH407" s="7"/>
    </row>
    <row r="408" spans="33:34" ht="14" x14ac:dyDescent="0.2">
      <c r="AG408" s="1"/>
      <c r="AH408" s="7"/>
    </row>
    <row r="409" spans="33:34" ht="14" x14ac:dyDescent="0.2">
      <c r="AG409" s="1"/>
      <c r="AH409" s="7"/>
    </row>
    <row r="410" spans="33:34" ht="14" x14ac:dyDescent="0.2">
      <c r="AG410" s="1"/>
      <c r="AH410" s="7"/>
    </row>
    <row r="411" spans="33:34" ht="14" x14ac:dyDescent="0.2">
      <c r="AG411" s="1"/>
      <c r="AH411" s="7"/>
    </row>
    <row r="412" spans="33:34" ht="14" x14ac:dyDescent="0.2">
      <c r="AG412" s="1"/>
      <c r="AH412" s="7"/>
    </row>
    <row r="413" spans="33:34" ht="14" x14ac:dyDescent="0.2">
      <c r="AG413" s="1"/>
      <c r="AH413" s="7"/>
    </row>
    <row r="414" spans="33:34" ht="14" x14ac:dyDescent="0.2">
      <c r="AG414" s="1"/>
      <c r="AH414" s="7"/>
    </row>
    <row r="415" spans="33:34" ht="14" x14ac:dyDescent="0.2">
      <c r="AG415" s="1"/>
      <c r="AH415" s="7"/>
    </row>
    <row r="416" spans="33:34" ht="14" x14ac:dyDescent="0.2">
      <c r="AG416" s="1"/>
      <c r="AH416" s="7"/>
    </row>
    <row r="417" spans="33:34" ht="14" x14ac:dyDescent="0.2">
      <c r="AG417" s="1"/>
      <c r="AH417" s="7"/>
    </row>
    <row r="418" spans="33:34" ht="14" x14ac:dyDescent="0.2">
      <c r="AG418" s="1"/>
      <c r="AH418" s="7"/>
    </row>
    <row r="419" spans="33:34" ht="14" x14ac:dyDescent="0.2">
      <c r="AG419" s="1"/>
      <c r="AH419" s="7"/>
    </row>
    <row r="420" spans="33:34" ht="14" x14ac:dyDescent="0.2">
      <c r="AG420" s="1"/>
      <c r="AH420" s="7"/>
    </row>
    <row r="421" spans="33:34" ht="14" x14ac:dyDescent="0.2">
      <c r="AG421" s="1"/>
      <c r="AH421" s="7"/>
    </row>
    <row r="422" spans="33:34" ht="14" x14ac:dyDescent="0.2">
      <c r="AG422" s="1"/>
      <c r="AH422" s="7"/>
    </row>
    <row r="423" spans="33:34" ht="14" x14ac:dyDescent="0.2">
      <c r="AG423" s="1"/>
      <c r="AH423" s="7"/>
    </row>
    <row r="424" spans="33:34" ht="14" x14ac:dyDescent="0.2">
      <c r="AG424" s="1"/>
      <c r="AH424" s="7"/>
    </row>
    <row r="425" spans="33:34" ht="14" x14ac:dyDescent="0.2">
      <c r="AG425" s="1"/>
      <c r="AH425" s="7"/>
    </row>
    <row r="426" spans="33:34" ht="14" x14ac:dyDescent="0.2">
      <c r="AG426" s="1"/>
      <c r="AH426" s="7"/>
    </row>
    <row r="427" spans="33:34" ht="14" x14ac:dyDescent="0.2">
      <c r="AG427" s="1"/>
      <c r="AH427" s="7"/>
    </row>
    <row r="428" spans="33:34" ht="14" x14ac:dyDescent="0.2">
      <c r="AG428" s="1"/>
      <c r="AH428" s="7"/>
    </row>
    <row r="429" spans="33:34" ht="14" x14ac:dyDescent="0.2">
      <c r="AG429" s="1"/>
      <c r="AH429" s="7"/>
    </row>
    <row r="430" spans="33:34" ht="14" x14ac:dyDescent="0.2">
      <c r="AG430" s="1"/>
      <c r="AH430" s="7"/>
    </row>
    <row r="431" spans="33:34" ht="14" x14ac:dyDescent="0.2">
      <c r="AG431" s="1"/>
      <c r="AH431" s="7"/>
    </row>
    <row r="432" spans="33:34" ht="14" x14ac:dyDescent="0.2">
      <c r="AG432" s="1"/>
      <c r="AH432" s="7"/>
    </row>
    <row r="433" spans="33:34" ht="14" x14ac:dyDescent="0.2">
      <c r="AG433" s="1"/>
      <c r="AH433" s="7"/>
    </row>
    <row r="434" spans="33:34" ht="14" x14ac:dyDescent="0.2">
      <c r="AG434" s="1"/>
      <c r="AH434" s="7"/>
    </row>
    <row r="435" spans="33:34" ht="14" x14ac:dyDescent="0.2">
      <c r="AG435" s="1"/>
      <c r="AH435" s="7"/>
    </row>
    <row r="436" spans="33:34" ht="14" x14ac:dyDescent="0.2">
      <c r="AG436" s="1"/>
      <c r="AH436" s="7"/>
    </row>
    <row r="437" spans="33:34" ht="14" x14ac:dyDescent="0.2">
      <c r="AG437" s="1"/>
      <c r="AH437" s="7"/>
    </row>
    <row r="438" spans="33:34" ht="14" x14ac:dyDescent="0.2">
      <c r="AG438" s="1"/>
      <c r="AH438" s="7"/>
    </row>
    <row r="439" spans="33:34" ht="14" x14ac:dyDescent="0.2">
      <c r="AG439" s="1"/>
      <c r="AH439" s="7"/>
    </row>
    <row r="440" spans="33:34" ht="14" x14ac:dyDescent="0.2">
      <c r="AG440" s="1"/>
      <c r="AH440" s="7"/>
    </row>
    <row r="441" spans="33:34" ht="14" x14ac:dyDescent="0.2">
      <c r="AG441" s="1"/>
      <c r="AH441" s="7"/>
    </row>
    <row r="442" spans="33:34" ht="14" x14ac:dyDescent="0.2">
      <c r="AG442" s="1"/>
      <c r="AH442" s="7"/>
    </row>
    <row r="443" spans="33:34" ht="14" x14ac:dyDescent="0.2">
      <c r="AG443" s="1"/>
      <c r="AH443" s="7"/>
    </row>
    <row r="444" spans="33:34" ht="14" x14ac:dyDescent="0.2">
      <c r="AG444" s="1"/>
      <c r="AH444" s="7"/>
    </row>
    <row r="445" spans="33:34" ht="14" x14ac:dyDescent="0.2">
      <c r="AG445" s="1"/>
      <c r="AH445" s="7"/>
    </row>
    <row r="446" spans="33:34" ht="14" x14ac:dyDescent="0.2">
      <c r="AG446" s="1"/>
      <c r="AH446" s="7"/>
    </row>
    <row r="447" spans="33:34" ht="14" x14ac:dyDescent="0.2">
      <c r="AG447" s="1"/>
      <c r="AH447" s="7"/>
    </row>
    <row r="448" spans="33:34" ht="14" x14ac:dyDescent="0.2">
      <c r="AG448" s="1"/>
      <c r="AH448" s="7"/>
    </row>
    <row r="449" spans="33:34" ht="14" x14ac:dyDescent="0.2">
      <c r="AG449" s="1"/>
      <c r="AH449" s="7"/>
    </row>
    <row r="450" spans="33:34" ht="14" x14ac:dyDescent="0.2">
      <c r="AG450" s="1"/>
      <c r="AH450" s="7"/>
    </row>
    <row r="451" spans="33:34" ht="14" x14ac:dyDescent="0.2">
      <c r="AG451" s="1"/>
      <c r="AH451" s="7"/>
    </row>
    <row r="452" spans="33:34" ht="14" x14ac:dyDescent="0.2">
      <c r="AG452" s="1"/>
      <c r="AH452" s="7"/>
    </row>
    <row r="453" spans="33:34" ht="14" x14ac:dyDescent="0.2">
      <c r="AG453" s="1"/>
      <c r="AH453" s="7"/>
    </row>
    <row r="454" spans="33:34" ht="14" x14ac:dyDescent="0.2">
      <c r="AG454" s="1"/>
      <c r="AH454" s="7"/>
    </row>
    <row r="455" spans="33:34" ht="14" x14ac:dyDescent="0.2">
      <c r="AG455" s="1"/>
      <c r="AH455" s="7"/>
    </row>
    <row r="456" spans="33:34" ht="14" x14ac:dyDescent="0.2">
      <c r="AG456" s="1"/>
      <c r="AH456" s="7"/>
    </row>
    <row r="457" spans="33:34" ht="14" x14ac:dyDescent="0.2">
      <c r="AG457" s="1"/>
      <c r="AH457" s="7"/>
    </row>
    <row r="458" spans="33:34" ht="14" x14ac:dyDescent="0.2">
      <c r="AG458" s="1"/>
      <c r="AH458" s="7"/>
    </row>
    <row r="459" spans="33:34" ht="14" x14ac:dyDescent="0.2">
      <c r="AG459" s="1"/>
      <c r="AH459" s="7"/>
    </row>
    <row r="460" spans="33:34" ht="14" x14ac:dyDescent="0.2">
      <c r="AG460" s="1"/>
      <c r="AH460" s="7"/>
    </row>
    <row r="461" spans="33:34" ht="14" x14ac:dyDescent="0.2">
      <c r="AG461" s="1"/>
      <c r="AH461" s="7"/>
    </row>
    <row r="462" spans="33:34" ht="14" x14ac:dyDescent="0.2">
      <c r="AG462" s="1"/>
      <c r="AH462" s="7"/>
    </row>
    <row r="463" spans="33:34" ht="14" x14ac:dyDescent="0.2">
      <c r="AG463" s="1"/>
      <c r="AH463" s="7"/>
    </row>
    <row r="464" spans="33:34" ht="14" x14ac:dyDescent="0.2">
      <c r="AG464" s="1"/>
      <c r="AH464" s="7"/>
    </row>
    <row r="465" spans="33:34" ht="14" x14ac:dyDescent="0.2">
      <c r="AG465" s="1"/>
      <c r="AH465" s="7"/>
    </row>
    <row r="466" spans="33:34" ht="14" x14ac:dyDescent="0.2">
      <c r="AG466" s="1"/>
      <c r="AH466" s="7"/>
    </row>
    <row r="467" spans="33:34" ht="14" x14ac:dyDescent="0.2">
      <c r="AG467" s="1"/>
      <c r="AH467" s="7"/>
    </row>
    <row r="468" spans="33:34" ht="14" x14ac:dyDescent="0.2">
      <c r="AG468" s="1"/>
      <c r="AH468" s="7"/>
    </row>
    <row r="469" spans="33:34" ht="14" x14ac:dyDescent="0.2">
      <c r="AG469" s="1"/>
      <c r="AH469" s="7"/>
    </row>
    <row r="470" spans="33:34" ht="14" x14ac:dyDescent="0.2">
      <c r="AG470" s="1"/>
      <c r="AH470" s="7"/>
    </row>
    <row r="471" spans="33:34" ht="14" x14ac:dyDescent="0.2">
      <c r="AG471" s="1"/>
      <c r="AH471" s="7"/>
    </row>
    <row r="472" spans="33:34" ht="14" x14ac:dyDescent="0.2">
      <c r="AG472" s="1"/>
      <c r="AH472" s="7"/>
    </row>
    <row r="473" spans="33:34" ht="14" x14ac:dyDescent="0.2">
      <c r="AG473" s="1"/>
      <c r="AH473" s="7"/>
    </row>
    <row r="474" spans="33:34" ht="14" x14ac:dyDescent="0.2">
      <c r="AG474" s="1"/>
      <c r="AH474" s="7"/>
    </row>
    <row r="475" spans="33:34" ht="14" x14ac:dyDescent="0.2">
      <c r="AG475" s="1"/>
      <c r="AH475" s="7"/>
    </row>
    <row r="476" spans="33:34" ht="14" x14ac:dyDescent="0.2">
      <c r="AG476" s="1"/>
      <c r="AH476" s="7"/>
    </row>
    <row r="477" spans="33:34" ht="14" x14ac:dyDescent="0.2">
      <c r="AG477" s="1"/>
      <c r="AH477" s="7"/>
    </row>
    <row r="478" spans="33:34" ht="14" x14ac:dyDescent="0.2">
      <c r="AG478" s="1"/>
      <c r="AH478" s="7"/>
    </row>
    <row r="479" spans="33:34" ht="14" x14ac:dyDescent="0.2">
      <c r="AG479" s="1"/>
      <c r="AH479" s="7"/>
    </row>
    <row r="480" spans="33:34" ht="14" x14ac:dyDescent="0.2">
      <c r="AG480" s="1"/>
      <c r="AH480" s="7"/>
    </row>
    <row r="481" spans="33:34" ht="14" x14ac:dyDescent="0.2">
      <c r="AG481" s="1"/>
      <c r="AH481" s="7"/>
    </row>
    <row r="482" spans="33:34" ht="14" x14ac:dyDescent="0.2">
      <c r="AG482" s="1"/>
      <c r="AH482" s="7"/>
    </row>
    <row r="483" spans="33:34" ht="14" x14ac:dyDescent="0.2">
      <c r="AG483" s="1"/>
      <c r="AH483" s="7"/>
    </row>
    <row r="484" spans="33:34" ht="14" x14ac:dyDescent="0.2">
      <c r="AG484" s="1"/>
      <c r="AH484" s="7"/>
    </row>
    <row r="485" spans="33:34" ht="14" x14ac:dyDescent="0.2">
      <c r="AG485" s="1"/>
      <c r="AH485" s="7"/>
    </row>
    <row r="486" spans="33:34" ht="14" x14ac:dyDescent="0.2">
      <c r="AG486" s="1"/>
      <c r="AH486" s="7"/>
    </row>
    <row r="487" spans="33:34" ht="14" x14ac:dyDescent="0.2">
      <c r="AG487" s="1"/>
      <c r="AH487" s="7"/>
    </row>
    <row r="488" spans="33:34" ht="14" x14ac:dyDescent="0.2">
      <c r="AG488" s="1"/>
      <c r="AH488" s="7"/>
    </row>
    <row r="489" spans="33:34" ht="14" x14ac:dyDescent="0.2">
      <c r="AG489" s="1"/>
      <c r="AH489" s="7"/>
    </row>
    <row r="490" spans="33:34" ht="14" x14ac:dyDescent="0.2">
      <c r="AG490" s="1"/>
      <c r="AH490" s="7"/>
    </row>
    <row r="491" spans="33:34" ht="14" x14ac:dyDescent="0.2">
      <c r="AG491" s="1"/>
      <c r="AH491" s="7"/>
    </row>
    <row r="492" spans="33:34" ht="14" x14ac:dyDescent="0.2">
      <c r="AG492" s="1"/>
      <c r="AH492" s="7"/>
    </row>
    <row r="493" spans="33:34" ht="14" x14ac:dyDescent="0.2">
      <c r="AG493" s="1"/>
      <c r="AH493" s="7"/>
    </row>
    <row r="494" spans="33:34" ht="14" x14ac:dyDescent="0.2">
      <c r="AG494" s="1"/>
      <c r="AH494" s="7"/>
    </row>
    <row r="495" spans="33:34" ht="14" x14ac:dyDescent="0.2">
      <c r="AG495" s="1"/>
      <c r="AH495" s="7"/>
    </row>
    <row r="496" spans="33:34" ht="14" x14ac:dyDescent="0.2">
      <c r="AG496" s="1"/>
      <c r="AH496" s="7"/>
    </row>
    <row r="497" spans="33:34" ht="14" x14ac:dyDescent="0.2">
      <c r="AG497" s="1"/>
      <c r="AH497" s="7"/>
    </row>
    <row r="498" spans="33:34" ht="14" x14ac:dyDescent="0.2">
      <c r="AG498" s="1"/>
      <c r="AH498" s="7"/>
    </row>
    <row r="499" spans="33:34" ht="14" x14ac:dyDescent="0.2">
      <c r="AG499" s="1"/>
      <c r="AH499" s="7"/>
    </row>
    <row r="500" spans="33:34" ht="14" x14ac:dyDescent="0.2">
      <c r="AG500" s="1"/>
      <c r="AH500" s="7"/>
    </row>
    <row r="501" spans="33:34" ht="14" x14ac:dyDescent="0.2">
      <c r="AG501" s="1"/>
      <c r="AH501" s="7"/>
    </row>
    <row r="502" spans="33:34" ht="14" x14ac:dyDescent="0.2">
      <c r="AG502" s="1"/>
      <c r="AH502" s="7"/>
    </row>
    <row r="503" spans="33:34" ht="14" x14ac:dyDescent="0.2">
      <c r="AG503" s="1"/>
      <c r="AH503" s="7"/>
    </row>
    <row r="504" spans="33:34" ht="14" x14ac:dyDescent="0.2">
      <c r="AG504" s="1"/>
      <c r="AH504" s="7"/>
    </row>
    <row r="505" spans="33:34" ht="14" x14ac:dyDescent="0.2">
      <c r="AG505" s="1"/>
      <c r="AH505" s="7"/>
    </row>
    <row r="506" spans="33:34" ht="14" x14ac:dyDescent="0.2">
      <c r="AG506" s="1"/>
      <c r="AH506" s="7"/>
    </row>
    <row r="507" spans="33:34" ht="14" x14ac:dyDescent="0.2">
      <c r="AG507" s="1"/>
      <c r="AH507" s="7"/>
    </row>
    <row r="508" spans="33:34" ht="14" x14ac:dyDescent="0.2">
      <c r="AG508" s="1"/>
      <c r="AH508" s="7"/>
    </row>
    <row r="509" spans="33:34" ht="14" x14ac:dyDescent="0.2">
      <c r="AG509" s="1"/>
      <c r="AH509" s="7"/>
    </row>
    <row r="510" spans="33:34" ht="14" x14ac:dyDescent="0.2">
      <c r="AG510" s="1"/>
      <c r="AH510" s="7"/>
    </row>
    <row r="511" spans="33:34" ht="14" x14ac:dyDescent="0.2">
      <c r="AG511" s="1"/>
      <c r="AH511" s="7"/>
    </row>
    <row r="512" spans="33:34" ht="14" x14ac:dyDescent="0.2">
      <c r="AG512" s="1"/>
      <c r="AH512" s="7"/>
    </row>
    <row r="513" spans="33:34" ht="14" x14ac:dyDescent="0.2">
      <c r="AG513" s="1"/>
      <c r="AH513" s="7"/>
    </row>
    <row r="514" spans="33:34" ht="14" x14ac:dyDescent="0.2">
      <c r="AG514" s="1"/>
      <c r="AH514" s="7"/>
    </row>
    <row r="515" spans="33:34" ht="14" x14ac:dyDescent="0.2">
      <c r="AG515" s="1"/>
      <c r="AH515" s="7"/>
    </row>
    <row r="516" spans="33:34" ht="14" x14ac:dyDescent="0.2">
      <c r="AG516" s="1"/>
      <c r="AH516" s="7"/>
    </row>
    <row r="517" spans="33:34" ht="14" x14ac:dyDescent="0.2">
      <c r="AG517" s="1"/>
      <c r="AH517" s="7"/>
    </row>
    <row r="518" spans="33:34" ht="14" x14ac:dyDescent="0.2">
      <c r="AG518" s="1"/>
      <c r="AH518" s="7"/>
    </row>
    <row r="519" spans="33:34" ht="14" x14ac:dyDescent="0.2">
      <c r="AG519" s="1"/>
      <c r="AH519" s="7"/>
    </row>
    <row r="520" spans="33:34" ht="14" x14ac:dyDescent="0.2">
      <c r="AG520" s="1"/>
      <c r="AH520" s="7"/>
    </row>
    <row r="521" spans="33:34" ht="14" x14ac:dyDescent="0.2">
      <c r="AG521" s="1"/>
      <c r="AH521" s="7"/>
    </row>
    <row r="522" spans="33:34" ht="14" x14ac:dyDescent="0.2">
      <c r="AG522" s="1"/>
      <c r="AH522" s="7"/>
    </row>
    <row r="523" spans="33:34" ht="14" x14ac:dyDescent="0.2">
      <c r="AG523" s="1"/>
      <c r="AH523" s="7"/>
    </row>
    <row r="524" spans="33:34" ht="14" x14ac:dyDescent="0.2">
      <c r="AG524" s="1"/>
      <c r="AH524" s="7"/>
    </row>
    <row r="525" spans="33:34" ht="14" x14ac:dyDescent="0.2">
      <c r="AG525" s="1"/>
      <c r="AH525" s="7"/>
    </row>
    <row r="526" spans="33:34" ht="14" x14ac:dyDescent="0.2">
      <c r="AG526" s="1"/>
      <c r="AH526" s="7"/>
    </row>
    <row r="527" spans="33:34" ht="14" x14ac:dyDescent="0.2">
      <c r="AG527" s="1"/>
      <c r="AH527" s="7"/>
    </row>
    <row r="528" spans="33:34" ht="14" x14ac:dyDescent="0.2">
      <c r="AG528" s="1"/>
      <c r="AH528" s="7"/>
    </row>
    <row r="529" spans="33:34" ht="14" x14ac:dyDescent="0.2">
      <c r="AG529" s="1"/>
      <c r="AH529" s="7"/>
    </row>
    <row r="530" spans="33:34" ht="14" x14ac:dyDescent="0.2">
      <c r="AG530" s="1"/>
      <c r="AH530" s="7"/>
    </row>
    <row r="531" spans="33:34" ht="14" x14ac:dyDescent="0.2">
      <c r="AG531" s="1"/>
      <c r="AH531" s="7"/>
    </row>
    <row r="532" spans="33:34" ht="14" x14ac:dyDescent="0.2">
      <c r="AG532" s="1"/>
      <c r="AH532" s="7"/>
    </row>
    <row r="533" spans="33:34" ht="14" x14ac:dyDescent="0.2">
      <c r="AG533" s="1"/>
      <c r="AH533" s="7"/>
    </row>
    <row r="534" spans="33:34" ht="14" x14ac:dyDescent="0.2">
      <c r="AG534" s="1"/>
      <c r="AH534" s="7"/>
    </row>
    <row r="535" spans="33:34" ht="14" x14ac:dyDescent="0.2">
      <c r="AG535" s="1"/>
      <c r="AH535" s="7"/>
    </row>
    <row r="536" spans="33:34" ht="14" x14ac:dyDescent="0.2">
      <c r="AG536" s="1"/>
      <c r="AH536" s="7"/>
    </row>
    <row r="537" spans="33:34" ht="14" x14ac:dyDescent="0.2">
      <c r="AG537" s="1"/>
      <c r="AH537" s="7"/>
    </row>
    <row r="538" spans="33:34" ht="14" x14ac:dyDescent="0.2">
      <c r="AG538" s="1"/>
      <c r="AH538" s="7"/>
    </row>
    <row r="539" spans="33:34" ht="14" x14ac:dyDescent="0.2">
      <c r="AG539" s="1"/>
      <c r="AH539" s="7"/>
    </row>
    <row r="540" spans="33:34" ht="14" x14ac:dyDescent="0.2">
      <c r="AG540" s="1"/>
      <c r="AH540" s="7"/>
    </row>
    <row r="541" spans="33:34" ht="14" x14ac:dyDescent="0.2">
      <c r="AG541" s="1"/>
      <c r="AH541" s="7"/>
    </row>
    <row r="542" spans="33:34" ht="14" x14ac:dyDescent="0.2">
      <c r="AG542" s="1"/>
      <c r="AH542" s="7"/>
    </row>
    <row r="543" spans="33:34" ht="14" x14ac:dyDescent="0.2">
      <c r="AG543" s="1"/>
      <c r="AH543" s="7"/>
    </row>
    <row r="544" spans="33:34" ht="14" x14ac:dyDescent="0.2">
      <c r="AG544" s="1"/>
      <c r="AH544" s="7"/>
    </row>
    <row r="545" spans="33:34" ht="14" x14ac:dyDescent="0.2">
      <c r="AG545" s="1"/>
      <c r="AH545" s="7"/>
    </row>
    <row r="546" spans="33:34" ht="14" x14ac:dyDescent="0.2">
      <c r="AG546" s="1"/>
      <c r="AH546" s="7"/>
    </row>
    <row r="547" spans="33:34" ht="14" x14ac:dyDescent="0.2">
      <c r="AG547" s="1"/>
      <c r="AH547" s="7"/>
    </row>
    <row r="548" spans="33:34" ht="14" x14ac:dyDescent="0.2">
      <c r="AG548" s="1"/>
      <c r="AH548" s="7"/>
    </row>
    <row r="549" spans="33:34" ht="14" x14ac:dyDescent="0.2">
      <c r="AG549" s="1"/>
      <c r="AH549" s="7"/>
    </row>
    <row r="550" spans="33:34" ht="14" x14ac:dyDescent="0.2">
      <c r="AG550" s="1"/>
      <c r="AH550" s="7"/>
    </row>
    <row r="551" spans="33:34" ht="14" x14ac:dyDescent="0.2">
      <c r="AG551" s="1"/>
      <c r="AH551" s="7"/>
    </row>
    <row r="552" spans="33:34" ht="14" x14ac:dyDescent="0.2">
      <c r="AG552" s="1"/>
      <c r="AH552" s="7"/>
    </row>
    <row r="553" spans="33:34" ht="14" x14ac:dyDescent="0.2">
      <c r="AG553" s="1"/>
      <c r="AH553" s="7"/>
    </row>
    <row r="554" spans="33:34" ht="14" x14ac:dyDescent="0.2">
      <c r="AG554" s="1"/>
      <c r="AH554" s="7"/>
    </row>
    <row r="555" spans="33:34" ht="14" x14ac:dyDescent="0.2">
      <c r="AG555" s="1"/>
      <c r="AH555" s="7"/>
    </row>
    <row r="556" spans="33:34" ht="14" x14ac:dyDescent="0.2">
      <c r="AG556" s="1"/>
      <c r="AH556" s="7"/>
    </row>
    <row r="557" spans="33:34" ht="14" x14ac:dyDescent="0.2">
      <c r="AG557" s="1"/>
      <c r="AH557" s="7"/>
    </row>
    <row r="558" spans="33:34" ht="14" x14ac:dyDescent="0.2">
      <c r="AG558" s="1"/>
      <c r="AH558" s="7"/>
    </row>
    <row r="559" spans="33:34" ht="14" x14ac:dyDescent="0.2">
      <c r="AG559" s="1"/>
      <c r="AH559" s="7"/>
    </row>
    <row r="560" spans="33:34" ht="14" x14ac:dyDescent="0.2">
      <c r="AG560" s="1"/>
      <c r="AH560" s="7"/>
    </row>
    <row r="561" spans="33:34" ht="14" x14ac:dyDescent="0.2">
      <c r="AG561" s="1"/>
      <c r="AH561" s="7"/>
    </row>
    <row r="562" spans="33:34" ht="14" x14ac:dyDescent="0.2">
      <c r="AG562" s="1"/>
      <c r="AH562" s="7"/>
    </row>
    <row r="563" spans="33:34" ht="14" x14ac:dyDescent="0.2">
      <c r="AG563" s="1"/>
      <c r="AH563" s="7"/>
    </row>
    <row r="564" spans="33:34" ht="14" x14ac:dyDescent="0.2">
      <c r="AG564" s="1"/>
      <c r="AH564" s="7"/>
    </row>
    <row r="565" spans="33:34" ht="14" x14ac:dyDescent="0.2">
      <c r="AG565" s="1"/>
      <c r="AH565" s="7"/>
    </row>
    <row r="566" spans="33:34" ht="14" x14ac:dyDescent="0.2">
      <c r="AG566" s="1"/>
      <c r="AH566" s="7"/>
    </row>
    <row r="567" spans="33:34" ht="14" x14ac:dyDescent="0.2">
      <c r="AG567" s="1"/>
      <c r="AH567" s="7"/>
    </row>
    <row r="568" spans="33:34" ht="14" x14ac:dyDescent="0.2">
      <c r="AG568" s="1"/>
      <c r="AH568" s="7"/>
    </row>
    <row r="569" spans="33:34" ht="14" x14ac:dyDescent="0.2">
      <c r="AG569" s="1"/>
      <c r="AH569" s="7"/>
    </row>
    <row r="570" spans="33:34" ht="14" x14ac:dyDescent="0.2">
      <c r="AG570" s="1"/>
      <c r="AH570" s="7"/>
    </row>
    <row r="571" spans="33:34" ht="14" x14ac:dyDescent="0.2">
      <c r="AG571" s="1"/>
      <c r="AH571" s="7"/>
    </row>
    <row r="572" spans="33:34" ht="14" x14ac:dyDescent="0.2">
      <c r="AG572" s="1"/>
      <c r="AH572" s="7"/>
    </row>
    <row r="573" spans="33:34" ht="14" x14ac:dyDescent="0.2">
      <c r="AG573" s="1"/>
      <c r="AH573" s="7"/>
    </row>
    <row r="574" spans="33:34" ht="14" x14ac:dyDescent="0.2">
      <c r="AG574" s="1"/>
      <c r="AH574" s="7"/>
    </row>
    <row r="575" spans="33:34" ht="14" x14ac:dyDescent="0.2">
      <c r="AG575" s="1"/>
      <c r="AH575" s="7"/>
    </row>
    <row r="576" spans="33:34" ht="14" x14ac:dyDescent="0.2">
      <c r="AG576" s="1"/>
      <c r="AH576" s="7"/>
    </row>
    <row r="577" spans="33:34" ht="14" x14ac:dyDescent="0.2">
      <c r="AG577" s="1"/>
      <c r="AH577" s="7"/>
    </row>
    <row r="578" spans="33:34" ht="14" x14ac:dyDescent="0.2">
      <c r="AG578" s="1"/>
      <c r="AH578" s="7"/>
    </row>
    <row r="579" spans="33:34" ht="14" x14ac:dyDescent="0.2">
      <c r="AG579" s="1"/>
      <c r="AH579" s="7"/>
    </row>
    <row r="580" spans="33:34" ht="14" x14ac:dyDescent="0.2">
      <c r="AG580" s="1"/>
      <c r="AH580" s="7"/>
    </row>
    <row r="581" spans="33:34" ht="14" x14ac:dyDescent="0.2">
      <c r="AG581" s="1"/>
      <c r="AH581" s="7"/>
    </row>
    <row r="582" spans="33:34" ht="14" x14ac:dyDescent="0.2">
      <c r="AG582" s="1"/>
      <c r="AH582" s="7"/>
    </row>
    <row r="583" spans="33:34" ht="14" x14ac:dyDescent="0.2">
      <c r="AG583" s="1"/>
      <c r="AH583" s="7"/>
    </row>
    <row r="584" spans="33:34" ht="14" x14ac:dyDescent="0.2">
      <c r="AG584" s="1"/>
      <c r="AH584" s="7"/>
    </row>
    <row r="585" spans="33:34" ht="14" x14ac:dyDescent="0.2">
      <c r="AG585" s="1"/>
      <c r="AH585" s="7"/>
    </row>
    <row r="586" spans="33:34" ht="14" x14ac:dyDescent="0.2">
      <c r="AG586" s="1"/>
      <c r="AH586" s="7"/>
    </row>
    <row r="587" spans="33:34" ht="14" x14ac:dyDescent="0.2">
      <c r="AG587" s="1"/>
      <c r="AH587" s="7"/>
    </row>
    <row r="588" spans="33:34" ht="14" x14ac:dyDescent="0.2">
      <c r="AG588" s="1"/>
      <c r="AH588" s="7"/>
    </row>
    <row r="589" spans="33:34" ht="14" x14ac:dyDescent="0.2">
      <c r="AG589" s="1"/>
      <c r="AH589" s="7"/>
    </row>
    <row r="590" spans="33:34" ht="14" x14ac:dyDescent="0.2">
      <c r="AG590" s="1"/>
      <c r="AH590" s="7"/>
    </row>
    <row r="591" spans="33:34" ht="14" x14ac:dyDescent="0.2">
      <c r="AG591" s="1"/>
      <c r="AH591" s="7"/>
    </row>
    <row r="592" spans="33:34" ht="14" x14ac:dyDescent="0.2">
      <c r="AG592" s="1"/>
      <c r="AH592" s="7"/>
    </row>
    <row r="593" spans="33:34" ht="14" x14ac:dyDescent="0.2">
      <c r="AG593" s="1"/>
      <c r="AH593" s="7"/>
    </row>
    <row r="594" spans="33:34" ht="14" x14ac:dyDescent="0.2">
      <c r="AG594" s="1"/>
      <c r="AH594" s="7"/>
    </row>
    <row r="595" spans="33:34" ht="14" x14ac:dyDescent="0.2">
      <c r="AG595" s="1"/>
      <c r="AH595" s="7"/>
    </row>
    <row r="596" spans="33:34" ht="14" x14ac:dyDescent="0.2">
      <c r="AG596" s="1"/>
      <c r="AH596" s="7"/>
    </row>
    <row r="597" spans="33:34" ht="14" x14ac:dyDescent="0.2">
      <c r="AG597" s="1"/>
      <c r="AH597" s="7"/>
    </row>
    <row r="598" spans="33:34" ht="14" x14ac:dyDescent="0.2">
      <c r="AG598" s="1"/>
      <c r="AH598" s="7"/>
    </row>
    <row r="599" spans="33:34" ht="14" x14ac:dyDescent="0.2">
      <c r="AG599" s="1"/>
      <c r="AH599" s="7"/>
    </row>
    <row r="600" spans="33:34" ht="14" x14ac:dyDescent="0.2">
      <c r="AG600" s="1"/>
      <c r="AH600" s="7"/>
    </row>
    <row r="601" spans="33:34" ht="14" x14ac:dyDescent="0.2">
      <c r="AG601" s="1"/>
      <c r="AH601" s="7"/>
    </row>
    <row r="602" spans="33:34" ht="14" x14ac:dyDescent="0.2">
      <c r="AG602" s="1"/>
      <c r="AH602" s="7"/>
    </row>
    <row r="603" spans="33:34" ht="14" x14ac:dyDescent="0.2">
      <c r="AG603" s="1"/>
      <c r="AH603" s="7"/>
    </row>
    <row r="604" spans="33:34" ht="14" x14ac:dyDescent="0.2">
      <c r="AG604" s="1"/>
      <c r="AH604" s="7"/>
    </row>
    <row r="605" spans="33:34" ht="14" x14ac:dyDescent="0.2">
      <c r="AG605" s="1"/>
      <c r="AH605" s="7"/>
    </row>
    <row r="606" spans="33:34" ht="14" x14ac:dyDescent="0.2">
      <c r="AG606" s="1"/>
      <c r="AH606" s="7"/>
    </row>
    <row r="607" spans="33:34" ht="14" x14ac:dyDescent="0.2">
      <c r="AG607" s="1"/>
      <c r="AH607" s="7"/>
    </row>
    <row r="608" spans="33:34" ht="14" x14ac:dyDescent="0.2">
      <c r="AG608" s="1"/>
      <c r="AH608" s="7"/>
    </row>
    <row r="609" spans="33:34" ht="14" x14ac:dyDescent="0.2">
      <c r="AG609" s="1"/>
      <c r="AH609" s="7"/>
    </row>
    <row r="610" spans="33:34" ht="14" x14ac:dyDescent="0.2">
      <c r="AG610" s="1"/>
      <c r="AH610" s="7"/>
    </row>
    <row r="611" spans="33:34" ht="14" x14ac:dyDescent="0.2">
      <c r="AG611" s="1"/>
      <c r="AH611" s="7"/>
    </row>
    <row r="612" spans="33:34" ht="14" x14ac:dyDescent="0.2">
      <c r="AG612" s="1"/>
      <c r="AH612" s="7"/>
    </row>
    <row r="613" spans="33:34" ht="14" x14ac:dyDescent="0.2">
      <c r="AG613" s="1"/>
      <c r="AH613" s="7"/>
    </row>
    <row r="614" spans="33:34" ht="14" x14ac:dyDescent="0.2">
      <c r="AG614" s="1"/>
      <c r="AH614" s="7"/>
    </row>
    <row r="615" spans="33:34" ht="14" x14ac:dyDescent="0.2">
      <c r="AG615" s="1"/>
      <c r="AH615" s="7"/>
    </row>
    <row r="616" spans="33:34" ht="14" x14ac:dyDescent="0.2">
      <c r="AG616" s="1"/>
      <c r="AH616" s="7"/>
    </row>
    <row r="617" spans="33:34" ht="14" x14ac:dyDescent="0.2">
      <c r="AG617" s="1"/>
      <c r="AH617" s="7"/>
    </row>
    <row r="618" spans="33:34" ht="14" x14ac:dyDescent="0.2">
      <c r="AG618" s="1"/>
      <c r="AH618" s="7"/>
    </row>
    <row r="619" spans="33:34" ht="14" x14ac:dyDescent="0.2">
      <c r="AG619" s="1"/>
      <c r="AH619" s="7"/>
    </row>
    <row r="620" spans="33:34" ht="14" x14ac:dyDescent="0.2">
      <c r="AG620" s="1"/>
      <c r="AH620" s="7"/>
    </row>
    <row r="621" spans="33:34" ht="14" x14ac:dyDescent="0.2">
      <c r="AG621" s="1"/>
      <c r="AH621" s="7"/>
    </row>
    <row r="622" spans="33:34" ht="14" x14ac:dyDescent="0.2">
      <c r="AG622" s="1"/>
      <c r="AH622" s="7"/>
    </row>
    <row r="623" spans="33:34" ht="14" x14ac:dyDescent="0.2">
      <c r="AG623" s="1"/>
      <c r="AH623" s="7"/>
    </row>
    <row r="624" spans="33:34" ht="14" x14ac:dyDescent="0.2">
      <c r="AG624" s="1"/>
      <c r="AH624" s="7"/>
    </row>
    <row r="625" spans="33:34" ht="14" x14ac:dyDescent="0.2">
      <c r="AG625" s="1"/>
      <c r="AH625" s="7"/>
    </row>
    <row r="626" spans="33:34" ht="14" x14ac:dyDescent="0.2">
      <c r="AG626" s="1"/>
      <c r="AH626" s="7"/>
    </row>
    <row r="627" spans="33:34" ht="14" x14ac:dyDescent="0.2">
      <c r="AG627" s="1"/>
      <c r="AH627" s="7"/>
    </row>
    <row r="628" spans="33:34" ht="14" x14ac:dyDescent="0.2">
      <c r="AG628" s="1"/>
      <c r="AH628" s="7"/>
    </row>
    <row r="629" spans="33:34" ht="14" x14ac:dyDescent="0.2">
      <c r="AG629" s="1"/>
      <c r="AH629" s="7"/>
    </row>
    <row r="630" spans="33:34" ht="14" x14ac:dyDescent="0.2">
      <c r="AG630" s="1"/>
      <c r="AH630" s="7"/>
    </row>
    <row r="631" spans="33:34" ht="14" x14ac:dyDescent="0.2">
      <c r="AG631" s="1"/>
      <c r="AH631" s="7"/>
    </row>
    <row r="632" spans="33:34" ht="14" x14ac:dyDescent="0.2">
      <c r="AG632" s="1"/>
      <c r="AH632" s="7"/>
    </row>
    <row r="633" spans="33:34" ht="14" x14ac:dyDescent="0.2">
      <c r="AG633" s="1"/>
      <c r="AH633" s="7"/>
    </row>
    <row r="634" spans="33:34" ht="14" x14ac:dyDescent="0.2">
      <c r="AG634" s="1"/>
      <c r="AH634" s="7"/>
    </row>
    <row r="635" spans="33:34" ht="14" x14ac:dyDescent="0.2">
      <c r="AG635" s="1"/>
      <c r="AH635" s="7"/>
    </row>
    <row r="636" spans="33:34" ht="14" x14ac:dyDescent="0.2">
      <c r="AG636" s="1"/>
      <c r="AH636" s="7"/>
    </row>
    <row r="637" spans="33:34" ht="14" x14ac:dyDescent="0.2">
      <c r="AG637" s="1"/>
      <c r="AH637" s="7"/>
    </row>
    <row r="638" spans="33:34" ht="14" x14ac:dyDescent="0.2">
      <c r="AG638" s="1"/>
      <c r="AH638" s="7"/>
    </row>
    <row r="639" spans="33:34" ht="14" x14ac:dyDescent="0.2">
      <c r="AG639" s="1"/>
      <c r="AH639" s="7"/>
    </row>
    <row r="640" spans="33:34" ht="14" x14ac:dyDescent="0.2">
      <c r="AG640" s="1"/>
      <c r="AH640" s="7"/>
    </row>
    <row r="641" spans="33:34" ht="14" x14ac:dyDescent="0.2">
      <c r="AG641" s="1"/>
      <c r="AH641" s="7"/>
    </row>
    <row r="642" spans="33:34" ht="14" x14ac:dyDescent="0.2">
      <c r="AG642" s="1"/>
      <c r="AH642" s="7"/>
    </row>
    <row r="643" spans="33:34" ht="14" x14ac:dyDescent="0.2">
      <c r="AG643" s="1"/>
      <c r="AH643" s="7"/>
    </row>
    <row r="644" spans="33:34" ht="14" x14ac:dyDescent="0.2">
      <c r="AG644" s="1"/>
      <c r="AH644" s="7"/>
    </row>
    <row r="645" spans="33:34" ht="14" x14ac:dyDescent="0.2">
      <c r="AG645" s="1"/>
      <c r="AH645" s="7"/>
    </row>
    <row r="646" spans="33:34" ht="14" x14ac:dyDescent="0.2">
      <c r="AG646" s="1"/>
      <c r="AH646" s="7"/>
    </row>
    <row r="647" spans="33:34" ht="14" x14ac:dyDescent="0.2">
      <c r="AG647" s="1"/>
      <c r="AH647" s="7"/>
    </row>
    <row r="648" spans="33:34" ht="14" x14ac:dyDescent="0.2">
      <c r="AG648" s="1"/>
      <c r="AH648" s="7"/>
    </row>
    <row r="649" spans="33:34" ht="14" x14ac:dyDescent="0.2">
      <c r="AG649" s="1"/>
      <c r="AH649" s="7"/>
    </row>
    <row r="650" spans="33:34" ht="14" x14ac:dyDescent="0.2">
      <c r="AG650" s="1"/>
      <c r="AH650" s="7"/>
    </row>
    <row r="651" spans="33:34" ht="14" x14ac:dyDescent="0.2">
      <c r="AG651" s="1"/>
      <c r="AH651" s="7"/>
    </row>
    <row r="652" spans="33:34" ht="14" x14ac:dyDescent="0.2">
      <c r="AG652" s="1"/>
      <c r="AH652" s="7"/>
    </row>
    <row r="653" spans="33:34" ht="14" x14ac:dyDescent="0.2">
      <c r="AG653" s="1"/>
      <c r="AH653" s="7"/>
    </row>
    <row r="654" spans="33:34" ht="14" x14ac:dyDescent="0.2">
      <c r="AG654" s="1"/>
      <c r="AH654" s="7"/>
    </row>
    <row r="655" spans="33:34" ht="14" x14ac:dyDescent="0.2">
      <c r="AG655" s="1"/>
      <c r="AH655" s="7"/>
    </row>
    <row r="656" spans="33:34" ht="14" x14ac:dyDescent="0.2">
      <c r="AG656" s="1"/>
      <c r="AH656" s="7"/>
    </row>
    <row r="657" spans="33:34" ht="14" x14ac:dyDescent="0.2">
      <c r="AG657" s="1"/>
      <c r="AH657" s="7"/>
    </row>
    <row r="658" spans="33:34" ht="14" x14ac:dyDescent="0.2">
      <c r="AG658" s="1"/>
      <c r="AH658" s="7"/>
    </row>
    <row r="659" spans="33:34" ht="14" x14ac:dyDescent="0.2">
      <c r="AG659" s="1"/>
      <c r="AH659" s="7"/>
    </row>
    <row r="660" spans="33:34" ht="14" x14ac:dyDescent="0.2">
      <c r="AG660" s="1"/>
      <c r="AH660" s="7"/>
    </row>
    <row r="661" spans="33:34" ht="14" x14ac:dyDescent="0.2">
      <c r="AG661" s="1"/>
      <c r="AH661" s="7"/>
    </row>
    <row r="662" spans="33:34" ht="14" x14ac:dyDescent="0.2">
      <c r="AG662" s="1"/>
      <c r="AH662" s="7"/>
    </row>
    <row r="663" spans="33:34" ht="14" x14ac:dyDescent="0.2">
      <c r="AG663" s="1"/>
      <c r="AH663" s="7"/>
    </row>
    <row r="664" spans="33:34" ht="14" x14ac:dyDescent="0.2">
      <c r="AG664" s="1"/>
      <c r="AH664" s="7"/>
    </row>
    <row r="665" spans="33:34" ht="14" x14ac:dyDescent="0.2">
      <c r="AG665" s="1"/>
      <c r="AH665" s="7"/>
    </row>
    <row r="666" spans="33:34" ht="14" x14ac:dyDescent="0.2">
      <c r="AG666" s="1"/>
      <c r="AH666" s="7"/>
    </row>
    <row r="667" spans="33:34" ht="14" x14ac:dyDescent="0.2">
      <c r="AG667" s="1"/>
      <c r="AH667" s="7"/>
    </row>
    <row r="668" spans="33:34" ht="14" x14ac:dyDescent="0.2">
      <c r="AG668" s="1"/>
      <c r="AH668" s="7"/>
    </row>
    <row r="669" spans="33:34" ht="14" x14ac:dyDescent="0.2">
      <c r="AG669" s="1"/>
      <c r="AH669" s="7"/>
    </row>
    <row r="670" spans="33:34" ht="14" x14ac:dyDescent="0.2">
      <c r="AG670" s="1"/>
      <c r="AH670" s="7"/>
    </row>
    <row r="671" spans="33:34" ht="14" x14ac:dyDescent="0.2">
      <c r="AG671" s="1"/>
      <c r="AH671" s="7"/>
    </row>
    <row r="672" spans="33:34" ht="14" x14ac:dyDescent="0.2">
      <c r="AG672" s="1"/>
      <c r="AH672" s="7"/>
    </row>
    <row r="673" spans="33:34" ht="14" x14ac:dyDescent="0.2">
      <c r="AG673" s="1"/>
      <c r="AH673" s="7"/>
    </row>
    <row r="674" spans="33:34" ht="14" x14ac:dyDescent="0.2">
      <c r="AG674" s="1"/>
      <c r="AH674" s="7"/>
    </row>
    <row r="675" spans="33:34" ht="14" x14ac:dyDescent="0.2">
      <c r="AG675" s="1"/>
      <c r="AH675" s="7"/>
    </row>
    <row r="676" spans="33:34" ht="14" x14ac:dyDescent="0.2">
      <c r="AG676" s="1"/>
      <c r="AH676" s="7"/>
    </row>
    <row r="677" spans="33:34" ht="14" x14ac:dyDescent="0.2">
      <c r="AG677" s="1"/>
      <c r="AH677" s="7"/>
    </row>
    <row r="678" spans="33:34" ht="14" x14ac:dyDescent="0.2">
      <c r="AG678" s="1"/>
      <c r="AH678" s="7"/>
    </row>
    <row r="679" spans="33:34" ht="14" x14ac:dyDescent="0.2">
      <c r="AG679" s="1"/>
      <c r="AH679" s="7"/>
    </row>
    <row r="680" spans="33:34" ht="14" x14ac:dyDescent="0.2">
      <c r="AG680" s="1"/>
      <c r="AH680" s="7"/>
    </row>
    <row r="681" spans="33:34" ht="14" x14ac:dyDescent="0.2">
      <c r="AG681" s="1"/>
      <c r="AH681" s="7"/>
    </row>
    <row r="682" spans="33:34" ht="14" x14ac:dyDescent="0.2">
      <c r="AG682" s="1"/>
      <c r="AH682" s="7"/>
    </row>
    <row r="683" spans="33:34" ht="14" x14ac:dyDescent="0.2">
      <c r="AG683" s="1"/>
      <c r="AH683" s="7"/>
    </row>
    <row r="684" spans="33:34" ht="14" x14ac:dyDescent="0.2">
      <c r="AG684" s="1"/>
      <c r="AH684" s="7"/>
    </row>
    <row r="685" spans="33:34" ht="14" x14ac:dyDescent="0.2">
      <c r="AG685" s="1"/>
      <c r="AH685" s="7"/>
    </row>
    <row r="686" spans="33:34" ht="14" x14ac:dyDescent="0.2">
      <c r="AG686" s="1"/>
      <c r="AH686" s="7"/>
    </row>
    <row r="687" spans="33:34" ht="14" x14ac:dyDescent="0.2">
      <c r="AG687" s="1"/>
      <c r="AH687" s="7"/>
    </row>
    <row r="688" spans="33:34" ht="14" x14ac:dyDescent="0.2">
      <c r="AG688" s="1"/>
      <c r="AH688" s="7"/>
    </row>
    <row r="689" spans="33:34" ht="14" x14ac:dyDescent="0.2">
      <c r="AG689" s="1"/>
      <c r="AH689" s="7"/>
    </row>
    <row r="690" spans="33:34" ht="14" x14ac:dyDescent="0.2">
      <c r="AG690" s="1"/>
      <c r="AH690" s="7"/>
    </row>
    <row r="691" spans="33:34" ht="14" x14ac:dyDescent="0.2">
      <c r="AG691" s="1"/>
      <c r="AH691" s="7"/>
    </row>
    <row r="692" spans="33:34" ht="14" x14ac:dyDescent="0.2">
      <c r="AG692" s="1"/>
      <c r="AH692" s="7"/>
    </row>
    <row r="693" spans="33:34" ht="14" x14ac:dyDescent="0.2">
      <c r="AG693" s="1"/>
      <c r="AH693" s="7"/>
    </row>
    <row r="694" spans="33:34" ht="14" x14ac:dyDescent="0.2">
      <c r="AG694" s="1"/>
      <c r="AH694" s="7"/>
    </row>
    <row r="695" spans="33:34" ht="14" x14ac:dyDescent="0.2">
      <c r="AG695" s="1"/>
      <c r="AH695" s="7"/>
    </row>
    <row r="696" spans="33:34" ht="14" x14ac:dyDescent="0.2">
      <c r="AG696" s="1"/>
      <c r="AH696" s="7"/>
    </row>
    <row r="697" spans="33:34" ht="14" x14ac:dyDescent="0.2">
      <c r="AG697" s="1"/>
      <c r="AH697" s="7"/>
    </row>
    <row r="698" spans="33:34" ht="14" x14ac:dyDescent="0.2">
      <c r="AG698" s="1"/>
      <c r="AH698" s="7"/>
    </row>
    <row r="699" spans="33:34" ht="14" x14ac:dyDescent="0.2">
      <c r="AG699" s="1"/>
      <c r="AH699" s="7"/>
    </row>
    <row r="700" spans="33:34" ht="14" x14ac:dyDescent="0.2">
      <c r="AG700" s="1"/>
      <c r="AH700" s="7"/>
    </row>
    <row r="701" spans="33:34" ht="14" x14ac:dyDescent="0.2">
      <c r="AG701" s="1"/>
      <c r="AH701" s="7"/>
    </row>
    <row r="702" spans="33:34" ht="14" x14ac:dyDescent="0.2">
      <c r="AG702" s="1"/>
      <c r="AH702" s="7"/>
    </row>
    <row r="703" spans="33:34" ht="14" x14ac:dyDescent="0.2">
      <c r="AG703" s="1"/>
      <c r="AH703" s="7"/>
    </row>
    <row r="704" spans="33:34" ht="14" x14ac:dyDescent="0.2">
      <c r="AG704" s="1"/>
      <c r="AH704" s="7"/>
    </row>
    <row r="705" spans="33:34" ht="14" x14ac:dyDescent="0.2">
      <c r="AG705" s="1"/>
      <c r="AH705" s="7"/>
    </row>
    <row r="706" spans="33:34" ht="14" x14ac:dyDescent="0.2">
      <c r="AG706" s="1"/>
      <c r="AH706" s="7"/>
    </row>
    <row r="707" spans="33:34" ht="14" x14ac:dyDescent="0.2">
      <c r="AG707" s="1"/>
      <c r="AH707" s="7"/>
    </row>
    <row r="708" spans="33:34" ht="14" x14ac:dyDescent="0.2">
      <c r="AG708" s="1"/>
      <c r="AH708" s="7"/>
    </row>
    <row r="709" spans="33:34" ht="14" x14ac:dyDescent="0.2">
      <c r="AG709" s="1"/>
      <c r="AH709" s="7"/>
    </row>
    <row r="710" spans="33:34" ht="14" x14ac:dyDescent="0.2">
      <c r="AG710" s="1"/>
      <c r="AH710" s="7"/>
    </row>
    <row r="711" spans="33:34" ht="14" x14ac:dyDescent="0.2">
      <c r="AG711" s="1"/>
      <c r="AH711" s="7"/>
    </row>
    <row r="712" spans="33:34" ht="14" x14ac:dyDescent="0.2">
      <c r="AG712" s="1"/>
      <c r="AH712" s="7"/>
    </row>
    <row r="713" spans="33:34" ht="14" x14ac:dyDescent="0.2">
      <c r="AG713" s="1"/>
      <c r="AH713" s="7"/>
    </row>
    <row r="714" spans="33:34" ht="14" x14ac:dyDescent="0.2">
      <c r="AG714" s="1"/>
      <c r="AH714" s="7"/>
    </row>
    <row r="715" spans="33:34" ht="14" x14ac:dyDescent="0.2">
      <c r="AG715" s="1"/>
      <c r="AH715" s="7"/>
    </row>
    <row r="716" spans="33:34" ht="14" x14ac:dyDescent="0.2">
      <c r="AG716" s="1"/>
      <c r="AH716" s="7"/>
    </row>
    <row r="717" spans="33:34" ht="14" x14ac:dyDescent="0.2">
      <c r="AG717" s="1"/>
      <c r="AH717" s="7"/>
    </row>
    <row r="718" spans="33:34" ht="14" x14ac:dyDescent="0.2">
      <c r="AG718" s="1"/>
      <c r="AH718" s="7"/>
    </row>
    <row r="719" spans="33:34" ht="14" x14ac:dyDescent="0.2">
      <c r="AG719" s="1"/>
      <c r="AH719" s="7"/>
    </row>
    <row r="720" spans="33:34" ht="14" x14ac:dyDescent="0.2">
      <c r="AG720" s="1"/>
      <c r="AH720" s="7"/>
    </row>
    <row r="721" spans="33:34" ht="14" x14ac:dyDescent="0.2">
      <c r="AG721" s="1"/>
      <c r="AH721" s="7"/>
    </row>
    <row r="722" spans="33:34" ht="14" x14ac:dyDescent="0.2">
      <c r="AG722" s="1"/>
      <c r="AH722" s="7"/>
    </row>
    <row r="723" spans="33:34" ht="14" x14ac:dyDescent="0.2">
      <c r="AG723" s="1"/>
      <c r="AH723" s="7"/>
    </row>
    <row r="724" spans="33:34" ht="14" x14ac:dyDescent="0.2">
      <c r="AG724" s="1"/>
      <c r="AH724" s="7"/>
    </row>
    <row r="725" spans="33:34" ht="14" x14ac:dyDescent="0.2">
      <c r="AG725" s="1"/>
      <c r="AH725" s="7"/>
    </row>
    <row r="726" spans="33:34" ht="14" x14ac:dyDescent="0.2">
      <c r="AG726" s="1"/>
      <c r="AH726" s="7"/>
    </row>
    <row r="727" spans="33:34" ht="14" x14ac:dyDescent="0.2">
      <c r="AG727" s="1"/>
      <c r="AH727" s="7"/>
    </row>
    <row r="728" spans="33:34" ht="14" x14ac:dyDescent="0.2">
      <c r="AG728" s="1"/>
      <c r="AH728" s="7"/>
    </row>
    <row r="729" spans="33:34" ht="14" x14ac:dyDescent="0.2">
      <c r="AG729" s="1"/>
      <c r="AH729" s="7"/>
    </row>
    <row r="730" spans="33:34" ht="14" x14ac:dyDescent="0.2">
      <c r="AG730" s="1"/>
      <c r="AH730" s="7"/>
    </row>
    <row r="731" spans="33:34" ht="14" x14ac:dyDescent="0.2">
      <c r="AG731" s="1"/>
      <c r="AH731" s="7"/>
    </row>
    <row r="732" spans="33:34" ht="14" x14ac:dyDescent="0.2">
      <c r="AG732" s="1"/>
      <c r="AH732" s="7"/>
    </row>
    <row r="733" spans="33:34" ht="14" x14ac:dyDescent="0.2">
      <c r="AG733" s="1"/>
      <c r="AH733" s="7"/>
    </row>
    <row r="734" spans="33:34" ht="14" x14ac:dyDescent="0.2">
      <c r="AG734" s="1"/>
      <c r="AH734" s="7"/>
    </row>
    <row r="735" spans="33:34" ht="14" x14ac:dyDescent="0.2">
      <c r="AG735" s="1"/>
      <c r="AH735" s="7"/>
    </row>
    <row r="736" spans="33:34" ht="14" x14ac:dyDescent="0.2">
      <c r="AG736" s="1"/>
      <c r="AH736" s="7"/>
    </row>
    <row r="737" spans="33:34" ht="14" x14ac:dyDescent="0.2">
      <c r="AG737" s="1"/>
      <c r="AH737" s="7"/>
    </row>
    <row r="738" spans="33:34" ht="14" x14ac:dyDescent="0.2">
      <c r="AG738" s="1"/>
      <c r="AH738" s="7"/>
    </row>
    <row r="739" spans="33:34" ht="14" x14ac:dyDescent="0.2">
      <c r="AG739" s="1"/>
      <c r="AH739" s="7"/>
    </row>
    <row r="740" spans="33:34" ht="14" x14ac:dyDescent="0.2">
      <c r="AG740" s="1"/>
      <c r="AH740" s="7"/>
    </row>
    <row r="741" spans="33:34" ht="14" x14ac:dyDescent="0.2">
      <c r="AG741" s="1"/>
      <c r="AH741" s="7"/>
    </row>
    <row r="742" spans="33:34" ht="14" x14ac:dyDescent="0.2">
      <c r="AG742" s="1"/>
      <c r="AH742" s="7"/>
    </row>
    <row r="743" spans="33:34" ht="14" x14ac:dyDescent="0.2">
      <c r="AG743" s="1"/>
      <c r="AH743" s="7"/>
    </row>
    <row r="744" spans="33:34" ht="14" x14ac:dyDescent="0.2">
      <c r="AG744" s="1"/>
      <c r="AH744" s="7"/>
    </row>
    <row r="745" spans="33:34" ht="14" x14ac:dyDescent="0.2">
      <c r="AG745" s="1"/>
      <c r="AH745" s="7"/>
    </row>
    <row r="746" spans="33:34" ht="14" x14ac:dyDescent="0.2">
      <c r="AG746" s="1"/>
      <c r="AH746" s="7"/>
    </row>
    <row r="747" spans="33:34" ht="14" x14ac:dyDescent="0.2">
      <c r="AG747" s="1"/>
      <c r="AH747" s="7"/>
    </row>
    <row r="748" spans="33:34" ht="14" x14ac:dyDescent="0.2">
      <c r="AG748" s="1"/>
      <c r="AH748" s="7"/>
    </row>
    <row r="749" spans="33:34" ht="14" x14ac:dyDescent="0.2">
      <c r="AG749" s="1"/>
      <c r="AH749" s="7"/>
    </row>
    <row r="750" spans="33:34" ht="14" x14ac:dyDescent="0.2">
      <c r="AG750" s="1"/>
      <c r="AH750" s="7"/>
    </row>
    <row r="751" spans="33:34" ht="14" x14ac:dyDescent="0.2">
      <c r="AG751" s="1"/>
      <c r="AH751" s="7"/>
    </row>
    <row r="752" spans="33:34" ht="14" x14ac:dyDescent="0.2">
      <c r="AG752" s="1"/>
      <c r="AH752" s="7"/>
    </row>
    <row r="753" spans="33:34" ht="14" x14ac:dyDescent="0.2">
      <c r="AG753" s="1"/>
      <c r="AH753" s="7"/>
    </row>
    <row r="754" spans="33:34" ht="14" x14ac:dyDescent="0.2">
      <c r="AG754" s="1"/>
      <c r="AH754" s="7"/>
    </row>
    <row r="755" spans="33:34" ht="14" x14ac:dyDescent="0.2">
      <c r="AG755" s="1"/>
      <c r="AH755" s="7"/>
    </row>
    <row r="756" spans="33:34" ht="14" x14ac:dyDescent="0.2">
      <c r="AG756" s="1"/>
      <c r="AH756" s="7"/>
    </row>
    <row r="757" spans="33:34" ht="14" x14ac:dyDescent="0.2">
      <c r="AG757" s="1"/>
      <c r="AH757" s="7"/>
    </row>
    <row r="758" spans="33:34" ht="14" x14ac:dyDescent="0.2">
      <c r="AG758" s="1"/>
      <c r="AH758" s="7"/>
    </row>
    <row r="759" spans="33:34" ht="14" x14ac:dyDescent="0.2">
      <c r="AG759" s="1"/>
      <c r="AH759" s="7"/>
    </row>
    <row r="760" spans="33:34" ht="14" x14ac:dyDescent="0.2">
      <c r="AG760" s="1"/>
      <c r="AH760" s="7"/>
    </row>
    <row r="761" spans="33:34" ht="14" x14ac:dyDescent="0.2">
      <c r="AG761" s="1"/>
      <c r="AH761" s="7"/>
    </row>
    <row r="762" spans="33:34" ht="14" x14ac:dyDescent="0.2">
      <c r="AG762" s="1"/>
      <c r="AH762" s="7"/>
    </row>
    <row r="763" spans="33:34" ht="14" x14ac:dyDescent="0.2">
      <c r="AG763" s="1"/>
      <c r="AH763" s="7"/>
    </row>
    <row r="764" spans="33:34" ht="14" x14ac:dyDescent="0.2">
      <c r="AG764" s="1"/>
      <c r="AH764" s="7"/>
    </row>
    <row r="765" spans="33:34" ht="14" x14ac:dyDescent="0.2">
      <c r="AG765" s="1"/>
      <c r="AH765" s="7"/>
    </row>
    <row r="766" spans="33:34" ht="14" x14ac:dyDescent="0.2">
      <c r="AG766" s="1"/>
      <c r="AH766" s="7"/>
    </row>
    <row r="767" spans="33:34" ht="14" x14ac:dyDescent="0.2">
      <c r="AG767" s="1"/>
      <c r="AH767" s="7"/>
    </row>
    <row r="768" spans="33:34" ht="14" x14ac:dyDescent="0.2">
      <c r="AG768" s="1"/>
      <c r="AH768" s="7"/>
    </row>
    <row r="769" spans="33:34" ht="14" x14ac:dyDescent="0.2">
      <c r="AG769" s="1"/>
      <c r="AH769" s="7"/>
    </row>
    <row r="770" spans="33:34" ht="14" x14ac:dyDescent="0.2">
      <c r="AG770" s="1"/>
      <c r="AH770" s="7"/>
    </row>
    <row r="771" spans="33:34" ht="14" x14ac:dyDescent="0.2">
      <c r="AG771" s="1"/>
      <c r="AH771" s="7"/>
    </row>
    <row r="772" spans="33:34" ht="14" x14ac:dyDescent="0.2">
      <c r="AG772" s="1"/>
      <c r="AH772" s="7"/>
    </row>
    <row r="773" spans="33:34" ht="14" x14ac:dyDescent="0.2">
      <c r="AG773" s="1"/>
      <c r="AH773" s="7"/>
    </row>
    <row r="774" spans="33:34" ht="14" x14ac:dyDescent="0.2">
      <c r="AG774" s="1"/>
      <c r="AH774" s="7"/>
    </row>
    <row r="775" spans="33:34" ht="14" x14ac:dyDescent="0.2">
      <c r="AG775" s="1"/>
      <c r="AH775" s="7"/>
    </row>
    <row r="776" spans="33:34" ht="14" x14ac:dyDescent="0.2">
      <c r="AG776" s="1"/>
      <c r="AH776" s="7"/>
    </row>
    <row r="777" spans="33:34" ht="14" x14ac:dyDescent="0.2">
      <c r="AG777" s="1"/>
      <c r="AH777" s="7"/>
    </row>
    <row r="778" spans="33:34" ht="14" x14ac:dyDescent="0.2">
      <c r="AG778" s="1"/>
      <c r="AH778" s="7"/>
    </row>
    <row r="779" spans="33:34" ht="14" x14ac:dyDescent="0.2">
      <c r="AG779" s="1"/>
      <c r="AH779" s="7"/>
    </row>
    <row r="780" spans="33:34" ht="14" x14ac:dyDescent="0.2">
      <c r="AG780" s="1"/>
      <c r="AH780" s="7"/>
    </row>
    <row r="781" spans="33:34" ht="14" x14ac:dyDescent="0.2">
      <c r="AG781" s="1"/>
      <c r="AH781" s="7"/>
    </row>
    <row r="782" spans="33:34" ht="14" x14ac:dyDescent="0.2">
      <c r="AG782" s="1"/>
      <c r="AH782" s="7"/>
    </row>
    <row r="783" spans="33:34" ht="14" x14ac:dyDescent="0.2">
      <c r="AG783" s="1"/>
      <c r="AH783" s="7"/>
    </row>
    <row r="784" spans="33:34" ht="14" x14ac:dyDescent="0.2">
      <c r="AG784" s="1"/>
      <c r="AH784" s="7"/>
    </row>
    <row r="785" spans="33:34" ht="14" x14ac:dyDescent="0.2">
      <c r="AG785" s="1"/>
      <c r="AH785" s="7"/>
    </row>
    <row r="786" spans="33:34" ht="14" x14ac:dyDescent="0.2">
      <c r="AG786" s="1"/>
      <c r="AH786" s="7"/>
    </row>
    <row r="787" spans="33:34" ht="14" x14ac:dyDescent="0.2">
      <c r="AG787" s="1"/>
      <c r="AH787" s="7"/>
    </row>
    <row r="788" spans="33:34" ht="14" x14ac:dyDescent="0.2">
      <c r="AG788" s="1"/>
      <c r="AH788" s="7"/>
    </row>
    <row r="789" spans="33:34" ht="14" x14ac:dyDescent="0.2">
      <c r="AG789" s="1"/>
      <c r="AH789" s="7"/>
    </row>
    <row r="790" spans="33:34" ht="14" x14ac:dyDescent="0.2">
      <c r="AG790" s="1"/>
      <c r="AH790" s="7"/>
    </row>
    <row r="791" spans="33:34" ht="14" x14ac:dyDescent="0.2">
      <c r="AG791" s="1"/>
      <c r="AH791" s="7"/>
    </row>
    <row r="792" spans="33:34" ht="14" x14ac:dyDescent="0.2">
      <c r="AG792" s="1"/>
      <c r="AH792" s="7"/>
    </row>
    <row r="793" spans="33:34" ht="14" x14ac:dyDescent="0.2">
      <c r="AG793" s="1"/>
      <c r="AH793" s="7"/>
    </row>
    <row r="794" spans="33:34" ht="14" x14ac:dyDescent="0.2">
      <c r="AG794" s="1"/>
      <c r="AH794" s="7"/>
    </row>
    <row r="795" spans="33:34" ht="14" x14ac:dyDescent="0.2">
      <c r="AG795" s="1"/>
      <c r="AH795" s="7"/>
    </row>
    <row r="796" spans="33:34" ht="14" x14ac:dyDescent="0.2">
      <c r="AG796" s="1"/>
      <c r="AH796" s="7"/>
    </row>
    <row r="797" spans="33:34" ht="14" x14ac:dyDescent="0.2">
      <c r="AG797" s="1"/>
      <c r="AH797" s="7"/>
    </row>
    <row r="798" spans="33:34" ht="14" x14ac:dyDescent="0.2">
      <c r="AG798" s="1"/>
      <c r="AH798" s="7"/>
    </row>
    <row r="799" spans="33:34" ht="14" x14ac:dyDescent="0.2">
      <c r="AG799" s="1"/>
      <c r="AH799" s="7"/>
    </row>
    <row r="800" spans="33:34" ht="14" x14ac:dyDescent="0.2">
      <c r="AG800" s="1"/>
      <c r="AH800" s="7"/>
    </row>
    <row r="801" spans="33:34" ht="14" x14ac:dyDescent="0.2">
      <c r="AG801" s="1"/>
      <c r="AH801" s="7"/>
    </row>
    <row r="802" spans="33:34" ht="14" x14ac:dyDescent="0.2">
      <c r="AG802" s="1"/>
      <c r="AH802" s="7"/>
    </row>
    <row r="803" spans="33:34" ht="14" x14ac:dyDescent="0.2">
      <c r="AG803" s="1"/>
      <c r="AH803" s="7"/>
    </row>
    <row r="804" spans="33:34" ht="14" x14ac:dyDescent="0.2">
      <c r="AG804" s="1"/>
      <c r="AH804" s="7"/>
    </row>
    <row r="805" spans="33:34" ht="14" x14ac:dyDescent="0.2">
      <c r="AG805" s="1"/>
      <c r="AH805" s="7"/>
    </row>
    <row r="806" spans="33:34" ht="14" x14ac:dyDescent="0.2">
      <c r="AG806" s="1"/>
      <c r="AH806" s="7"/>
    </row>
    <row r="807" spans="33:34" ht="14" x14ac:dyDescent="0.2">
      <c r="AG807" s="1"/>
      <c r="AH807" s="7"/>
    </row>
    <row r="808" spans="33:34" ht="14" x14ac:dyDescent="0.2">
      <c r="AG808" s="1"/>
      <c r="AH808" s="7"/>
    </row>
    <row r="809" spans="33:34" ht="14" x14ac:dyDescent="0.2">
      <c r="AG809" s="1"/>
      <c r="AH809" s="7"/>
    </row>
    <row r="810" spans="33:34" ht="14" x14ac:dyDescent="0.2">
      <c r="AG810" s="1"/>
      <c r="AH810" s="7"/>
    </row>
    <row r="811" spans="33:34" ht="14" x14ac:dyDescent="0.2">
      <c r="AG811" s="1"/>
      <c r="AH811" s="7"/>
    </row>
    <row r="812" spans="33:34" ht="14" x14ac:dyDescent="0.2">
      <c r="AG812" s="1"/>
      <c r="AH812" s="7"/>
    </row>
    <row r="813" spans="33:34" ht="14" x14ac:dyDescent="0.2">
      <c r="AG813" s="1"/>
      <c r="AH813" s="7"/>
    </row>
    <row r="814" spans="33:34" ht="14" x14ac:dyDescent="0.2">
      <c r="AG814" s="1"/>
      <c r="AH814" s="7"/>
    </row>
    <row r="815" spans="33:34" ht="14" x14ac:dyDescent="0.2">
      <c r="AG815" s="1"/>
      <c r="AH815" s="7"/>
    </row>
    <row r="816" spans="33:34" ht="14" x14ac:dyDescent="0.2">
      <c r="AG816" s="1"/>
      <c r="AH816" s="7"/>
    </row>
    <row r="817" spans="33:34" ht="14" x14ac:dyDescent="0.2">
      <c r="AG817" s="1"/>
      <c r="AH817" s="7"/>
    </row>
    <row r="818" spans="33:34" ht="14" x14ac:dyDescent="0.2">
      <c r="AG818" s="1"/>
      <c r="AH818" s="7"/>
    </row>
    <row r="819" spans="33:34" ht="14" x14ac:dyDescent="0.2">
      <c r="AG819" s="1"/>
      <c r="AH819" s="7"/>
    </row>
    <row r="820" spans="33:34" ht="14" x14ac:dyDescent="0.2">
      <c r="AG820" s="1"/>
      <c r="AH820" s="7"/>
    </row>
    <row r="821" spans="33:34" ht="14" x14ac:dyDescent="0.2">
      <c r="AG821" s="1"/>
      <c r="AH821" s="7"/>
    </row>
    <row r="822" spans="33:34" ht="14" x14ac:dyDescent="0.2">
      <c r="AG822" s="1"/>
      <c r="AH822" s="7"/>
    </row>
    <row r="823" spans="33:34" ht="14" x14ac:dyDescent="0.2">
      <c r="AG823" s="1"/>
      <c r="AH823" s="7"/>
    </row>
    <row r="824" spans="33:34" ht="14" x14ac:dyDescent="0.2">
      <c r="AG824" s="1"/>
      <c r="AH824" s="7"/>
    </row>
    <row r="825" spans="33:34" ht="14" x14ac:dyDescent="0.2">
      <c r="AG825" s="1"/>
      <c r="AH825" s="7"/>
    </row>
    <row r="826" spans="33:34" ht="14" x14ac:dyDescent="0.2">
      <c r="AG826" s="1"/>
      <c r="AH826" s="7"/>
    </row>
    <row r="827" spans="33:34" ht="14" x14ac:dyDescent="0.2">
      <c r="AG827" s="1"/>
      <c r="AH827" s="7"/>
    </row>
    <row r="828" spans="33:34" ht="14" x14ac:dyDescent="0.2">
      <c r="AG828" s="1"/>
      <c r="AH828" s="7"/>
    </row>
    <row r="829" spans="33:34" ht="14" x14ac:dyDescent="0.2">
      <c r="AG829" s="1"/>
      <c r="AH829" s="7"/>
    </row>
    <row r="830" spans="33:34" ht="14" x14ac:dyDescent="0.2">
      <c r="AG830" s="1"/>
      <c r="AH830" s="7"/>
    </row>
    <row r="831" spans="33:34" ht="14" x14ac:dyDescent="0.2">
      <c r="AG831" s="1"/>
      <c r="AH831" s="7"/>
    </row>
    <row r="832" spans="33:34" ht="14" x14ac:dyDescent="0.2">
      <c r="AG832" s="1"/>
      <c r="AH832" s="7"/>
    </row>
    <row r="833" spans="33:34" ht="14" x14ac:dyDescent="0.2">
      <c r="AG833" s="1"/>
      <c r="AH833" s="7"/>
    </row>
    <row r="834" spans="33:34" ht="14" x14ac:dyDescent="0.2">
      <c r="AG834" s="1"/>
      <c r="AH834" s="7"/>
    </row>
    <row r="835" spans="33:34" ht="14" x14ac:dyDescent="0.2">
      <c r="AG835" s="1"/>
      <c r="AH835" s="7"/>
    </row>
    <row r="836" spans="33:34" ht="14" x14ac:dyDescent="0.2">
      <c r="AG836" s="1"/>
      <c r="AH836" s="7"/>
    </row>
    <row r="837" spans="33:34" ht="14" x14ac:dyDescent="0.2">
      <c r="AG837" s="1"/>
      <c r="AH837" s="7"/>
    </row>
    <row r="838" spans="33:34" ht="14" x14ac:dyDescent="0.2">
      <c r="AG838" s="1"/>
      <c r="AH838" s="7"/>
    </row>
    <row r="839" spans="33:34" ht="14" x14ac:dyDescent="0.2">
      <c r="AG839" s="1"/>
      <c r="AH839" s="7"/>
    </row>
    <row r="840" spans="33:34" ht="14" x14ac:dyDescent="0.2">
      <c r="AG840" s="1"/>
      <c r="AH840" s="7"/>
    </row>
    <row r="841" spans="33:34" ht="14" x14ac:dyDescent="0.2">
      <c r="AG841" s="1"/>
      <c r="AH841" s="7"/>
    </row>
    <row r="842" spans="33:34" ht="14" x14ac:dyDescent="0.2">
      <c r="AG842" s="1"/>
      <c r="AH842" s="7"/>
    </row>
    <row r="843" spans="33:34" ht="14" x14ac:dyDescent="0.2">
      <c r="AG843" s="1"/>
      <c r="AH843" s="7"/>
    </row>
    <row r="844" spans="33:34" ht="14" x14ac:dyDescent="0.2">
      <c r="AG844" s="1"/>
      <c r="AH844" s="7"/>
    </row>
    <row r="845" spans="33:34" ht="14" x14ac:dyDescent="0.2">
      <c r="AG845" s="1"/>
      <c r="AH845" s="7"/>
    </row>
    <row r="846" spans="33:34" ht="14" x14ac:dyDescent="0.2">
      <c r="AG846" s="1"/>
      <c r="AH846" s="7"/>
    </row>
    <row r="847" spans="33:34" ht="14" x14ac:dyDescent="0.2">
      <c r="AG847" s="1"/>
      <c r="AH847" s="7"/>
    </row>
    <row r="848" spans="33:34" ht="14" x14ac:dyDescent="0.2">
      <c r="AG848" s="1"/>
      <c r="AH848" s="7"/>
    </row>
    <row r="849" spans="33:34" ht="14" x14ac:dyDescent="0.2">
      <c r="AG849" s="1"/>
      <c r="AH849" s="7"/>
    </row>
    <row r="850" spans="33:34" ht="14" x14ac:dyDescent="0.2">
      <c r="AG850" s="1"/>
      <c r="AH850" s="7"/>
    </row>
    <row r="851" spans="33:34" ht="14" x14ac:dyDescent="0.2">
      <c r="AG851" s="1"/>
      <c r="AH851" s="7"/>
    </row>
    <row r="852" spans="33:34" ht="14" x14ac:dyDescent="0.2">
      <c r="AG852" s="1"/>
      <c r="AH852" s="7"/>
    </row>
    <row r="853" spans="33:34" ht="14" x14ac:dyDescent="0.2">
      <c r="AG853" s="1"/>
      <c r="AH853" s="7"/>
    </row>
    <row r="854" spans="33:34" ht="14" x14ac:dyDescent="0.2">
      <c r="AG854" s="1"/>
      <c r="AH854" s="7"/>
    </row>
    <row r="855" spans="33:34" ht="14" x14ac:dyDescent="0.2">
      <c r="AG855" s="1"/>
      <c r="AH855" s="7"/>
    </row>
    <row r="856" spans="33:34" ht="14" x14ac:dyDescent="0.2">
      <c r="AG856" s="1"/>
      <c r="AH856" s="7"/>
    </row>
    <row r="857" spans="33:34" ht="14" x14ac:dyDescent="0.2">
      <c r="AG857" s="1"/>
      <c r="AH857" s="7"/>
    </row>
    <row r="858" spans="33:34" ht="14" x14ac:dyDescent="0.2">
      <c r="AG858" s="1"/>
      <c r="AH858" s="7"/>
    </row>
    <row r="859" spans="33:34" ht="14" x14ac:dyDescent="0.2">
      <c r="AG859" s="1"/>
      <c r="AH859" s="7"/>
    </row>
    <row r="860" spans="33:34" ht="14" x14ac:dyDescent="0.2">
      <c r="AG860" s="1"/>
      <c r="AH860" s="7"/>
    </row>
    <row r="861" spans="33:34" ht="14" x14ac:dyDescent="0.2">
      <c r="AG861" s="1"/>
      <c r="AH861" s="7"/>
    </row>
    <row r="862" spans="33:34" ht="14" x14ac:dyDescent="0.2">
      <c r="AG862" s="1"/>
      <c r="AH862" s="7"/>
    </row>
    <row r="863" spans="33:34" ht="14" x14ac:dyDescent="0.2">
      <c r="AG863" s="1"/>
      <c r="AH863" s="7"/>
    </row>
    <row r="864" spans="33:34" ht="14" x14ac:dyDescent="0.2">
      <c r="AG864" s="1"/>
      <c r="AH864" s="7"/>
    </row>
    <row r="865" spans="33:34" ht="14" x14ac:dyDescent="0.2">
      <c r="AG865" s="1"/>
      <c r="AH865" s="7"/>
    </row>
    <row r="866" spans="33:34" ht="14" x14ac:dyDescent="0.2">
      <c r="AG866" s="1"/>
      <c r="AH866" s="7"/>
    </row>
    <row r="867" spans="33:34" ht="14" x14ac:dyDescent="0.2">
      <c r="AG867" s="1"/>
      <c r="AH867" s="7"/>
    </row>
    <row r="868" spans="33:34" ht="14" x14ac:dyDescent="0.2">
      <c r="AG868" s="1"/>
      <c r="AH868" s="7"/>
    </row>
    <row r="869" spans="33:34" ht="14" x14ac:dyDescent="0.2">
      <c r="AG869" s="1"/>
      <c r="AH869" s="7"/>
    </row>
    <row r="870" spans="33:34" ht="14" x14ac:dyDescent="0.2">
      <c r="AG870" s="1"/>
      <c r="AH870" s="7"/>
    </row>
    <row r="871" spans="33:34" ht="14" x14ac:dyDescent="0.2">
      <c r="AG871" s="1"/>
      <c r="AH871" s="7"/>
    </row>
    <row r="872" spans="33:34" ht="14" x14ac:dyDescent="0.2">
      <c r="AG872" s="1"/>
      <c r="AH872" s="7"/>
    </row>
    <row r="873" spans="33:34" ht="14" x14ac:dyDescent="0.2">
      <c r="AG873" s="1"/>
      <c r="AH873" s="7"/>
    </row>
    <row r="874" spans="33:34" ht="14" x14ac:dyDescent="0.2">
      <c r="AG874" s="1"/>
      <c r="AH874" s="7"/>
    </row>
    <row r="875" spans="33:34" ht="14" x14ac:dyDescent="0.2">
      <c r="AG875" s="1"/>
      <c r="AH875" s="7"/>
    </row>
    <row r="876" spans="33:34" ht="14" x14ac:dyDescent="0.2">
      <c r="AG876" s="1"/>
      <c r="AH876" s="7"/>
    </row>
    <row r="877" spans="33:34" ht="14" x14ac:dyDescent="0.2">
      <c r="AG877" s="1"/>
      <c r="AH877" s="7"/>
    </row>
    <row r="878" spans="33:34" ht="14" x14ac:dyDescent="0.2">
      <c r="AG878" s="1"/>
      <c r="AH878" s="7"/>
    </row>
    <row r="879" spans="33:34" ht="14" x14ac:dyDescent="0.2">
      <c r="AG879" s="1"/>
      <c r="AH879" s="7"/>
    </row>
    <row r="880" spans="33:34" ht="14" x14ac:dyDescent="0.2">
      <c r="AG880" s="1"/>
      <c r="AH880" s="7"/>
    </row>
    <row r="881" spans="33:34" ht="14" x14ac:dyDescent="0.2">
      <c r="AG881" s="1"/>
      <c r="AH881" s="7"/>
    </row>
    <row r="882" spans="33:34" ht="14" x14ac:dyDescent="0.2">
      <c r="AG882" s="1"/>
      <c r="AH882" s="7"/>
    </row>
    <row r="883" spans="33:34" ht="14" x14ac:dyDescent="0.2">
      <c r="AG883" s="1"/>
      <c r="AH883" s="7"/>
    </row>
    <row r="884" spans="33:34" ht="14" x14ac:dyDescent="0.2">
      <c r="AG884" s="1"/>
      <c r="AH884" s="7"/>
    </row>
    <row r="885" spans="33:34" ht="14" x14ac:dyDescent="0.2">
      <c r="AG885" s="1"/>
      <c r="AH885" s="7"/>
    </row>
    <row r="886" spans="33:34" ht="14" x14ac:dyDescent="0.2">
      <c r="AG886" s="1"/>
      <c r="AH886" s="7"/>
    </row>
    <row r="887" spans="33:34" ht="14" x14ac:dyDescent="0.2">
      <c r="AG887" s="1"/>
      <c r="AH887" s="7"/>
    </row>
    <row r="888" spans="33:34" ht="14" x14ac:dyDescent="0.2">
      <c r="AG888" s="1"/>
      <c r="AH888" s="7"/>
    </row>
    <row r="889" spans="33:34" ht="14" x14ac:dyDescent="0.2">
      <c r="AG889" s="1"/>
      <c r="AH889" s="7"/>
    </row>
    <row r="890" spans="33:34" ht="14" x14ac:dyDescent="0.2">
      <c r="AG890" s="1"/>
      <c r="AH890" s="7"/>
    </row>
    <row r="891" spans="33:34" ht="14" x14ac:dyDescent="0.2">
      <c r="AG891" s="1"/>
      <c r="AH891" s="7"/>
    </row>
    <row r="892" spans="33:34" ht="14" x14ac:dyDescent="0.2">
      <c r="AG892" s="1"/>
      <c r="AH892" s="7"/>
    </row>
    <row r="893" spans="33:34" ht="14" x14ac:dyDescent="0.2">
      <c r="AG893" s="1"/>
      <c r="AH893" s="7"/>
    </row>
    <row r="894" spans="33:34" ht="14" x14ac:dyDescent="0.2">
      <c r="AG894" s="1"/>
      <c r="AH894" s="7"/>
    </row>
    <row r="895" spans="33:34" ht="14" x14ac:dyDescent="0.2">
      <c r="AG895" s="1"/>
      <c r="AH895" s="7"/>
    </row>
    <row r="896" spans="33:34" ht="14" x14ac:dyDescent="0.2">
      <c r="AG896" s="1"/>
      <c r="AH896" s="7"/>
    </row>
    <row r="897" spans="33:34" ht="14" x14ac:dyDescent="0.2">
      <c r="AG897" s="1"/>
      <c r="AH897" s="7"/>
    </row>
    <row r="898" spans="33:34" ht="14" x14ac:dyDescent="0.2">
      <c r="AG898" s="1"/>
      <c r="AH898" s="7"/>
    </row>
    <row r="899" spans="33:34" ht="14" x14ac:dyDescent="0.2">
      <c r="AG899" s="1"/>
      <c r="AH899" s="7"/>
    </row>
    <row r="900" spans="33:34" ht="14" x14ac:dyDescent="0.2">
      <c r="AG900" s="1"/>
      <c r="AH900" s="7"/>
    </row>
    <row r="901" spans="33:34" ht="14" x14ac:dyDescent="0.2">
      <c r="AG901" s="1"/>
      <c r="AH901" s="7"/>
    </row>
    <row r="902" spans="33:34" ht="14" x14ac:dyDescent="0.2">
      <c r="AG902" s="1"/>
      <c r="AH902" s="7"/>
    </row>
    <row r="903" spans="33:34" ht="14" x14ac:dyDescent="0.2">
      <c r="AG903" s="1"/>
      <c r="AH903" s="7"/>
    </row>
    <row r="904" spans="33:34" ht="14" x14ac:dyDescent="0.2">
      <c r="AG904" s="1"/>
      <c r="AH904" s="7"/>
    </row>
    <row r="905" spans="33:34" ht="14" x14ac:dyDescent="0.2">
      <c r="AG905" s="1"/>
      <c r="AH905" s="7"/>
    </row>
    <row r="906" spans="33:34" ht="14" x14ac:dyDescent="0.2">
      <c r="AG906" s="1"/>
      <c r="AH906" s="7"/>
    </row>
    <row r="907" spans="33:34" ht="14" x14ac:dyDescent="0.2">
      <c r="AG907" s="1"/>
      <c r="AH907" s="7"/>
    </row>
    <row r="908" spans="33:34" ht="14" x14ac:dyDescent="0.2">
      <c r="AG908" s="1"/>
      <c r="AH908" s="7"/>
    </row>
    <row r="909" spans="33:34" ht="14" x14ac:dyDescent="0.2">
      <c r="AG909" s="1"/>
      <c r="AH909" s="7"/>
    </row>
    <row r="910" spans="33:34" ht="14" x14ac:dyDescent="0.2">
      <c r="AG910" s="1"/>
      <c r="AH910" s="7"/>
    </row>
    <row r="911" spans="33:34" ht="14" x14ac:dyDescent="0.2">
      <c r="AG911" s="1"/>
      <c r="AH911" s="7"/>
    </row>
    <row r="912" spans="33:34" ht="14" x14ac:dyDescent="0.2">
      <c r="AG912" s="1"/>
      <c r="AH912" s="7"/>
    </row>
    <row r="913" spans="33:34" ht="14" x14ac:dyDescent="0.2">
      <c r="AG913" s="1"/>
      <c r="AH913" s="7"/>
    </row>
    <row r="914" spans="33:34" ht="14" x14ac:dyDescent="0.2">
      <c r="AG914" s="1"/>
      <c r="AH914" s="7"/>
    </row>
    <row r="915" spans="33:34" ht="14" x14ac:dyDescent="0.2">
      <c r="AG915" s="1"/>
      <c r="AH915" s="7"/>
    </row>
    <row r="916" spans="33:34" ht="14" x14ac:dyDescent="0.2">
      <c r="AG916" s="1"/>
      <c r="AH916" s="7"/>
    </row>
    <row r="917" spans="33:34" ht="14" x14ac:dyDescent="0.2">
      <c r="AG917" s="1"/>
      <c r="AH917" s="7"/>
    </row>
    <row r="918" spans="33:34" ht="14" x14ac:dyDescent="0.2">
      <c r="AG918" s="1"/>
      <c r="AH918" s="7"/>
    </row>
    <row r="919" spans="33:34" ht="14" x14ac:dyDescent="0.2">
      <c r="AG919" s="1"/>
      <c r="AH919" s="7"/>
    </row>
    <row r="920" spans="33:34" ht="14" x14ac:dyDescent="0.2">
      <c r="AG920" s="1"/>
      <c r="AH920" s="7"/>
    </row>
    <row r="921" spans="33:34" ht="14" x14ac:dyDescent="0.2">
      <c r="AG921" s="1"/>
      <c r="AH921" s="7"/>
    </row>
    <row r="922" spans="33:34" ht="14" x14ac:dyDescent="0.2">
      <c r="AG922" s="1"/>
      <c r="AH922" s="7"/>
    </row>
    <row r="923" spans="33:34" ht="14" x14ac:dyDescent="0.2">
      <c r="AG923" s="1"/>
      <c r="AH923" s="7"/>
    </row>
    <row r="924" spans="33:34" ht="14" x14ac:dyDescent="0.2">
      <c r="AG924" s="1"/>
      <c r="AH924" s="7"/>
    </row>
    <row r="925" spans="33:34" ht="14" x14ac:dyDescent="0.2">
      <c r="AG925" s="1"/>
      <c r="AH925" s="7"/>
    </row>
    <row r="926" spans="33:34" ht="14" x14ac:dyDescent="0.2">
      <c r="AG926" s="1"/>
      <c r="AH926" s="7"/>
    </row>
    <row r="927" spans="33:34" ht="14" x14ac:dyDescent="0.2">
      <c r="AG927" s="1"/>
      <c r="AH927" s="7"/>
    </row>
    <row r="928" spans="33:34" ht="14" x14ac:dyDescent="0.2">
      <c r="AG928" s="1"/>
      <c r="AH928" s="7"/>
    </row>
    <row r="929" spans="33:34" ht="14" x14ac:dyDescent="0.2">
      <c r="AG929" s="1"/>
      <c r="AH929" s="7"/>
    </row>
    <row r="930" spans="33:34" ht="14" x14ac:dyDescent="0.2">
      <c r="AG930" s="1"/>
      <c r="AH930" s="7"/>
    </row>
    <row r="931" spans="33:34" ht="14" x14ac:dyDescent="0.2">
      <c r="AG931" s="1"/>
      <c r="AH931" s="7"/>
    </row>
    <row r="932" spans="33:34" ht="14" x14ac:dyDescent="0.2">
      <c r="AG932" s="1"/>
      <c r="AH932" s="7"/>
    </row>
    <row r="933" spans="33:34" ht="14" x14ac:dyDescent="0.2">
      <c r="AG933" s="1"/>
      <c r="AH933" s="7"/>
    </row>
    <row r="934" spans="33:34" ht="14" x14ac:dyDescent="0.2">
      <c r="AG934" s="1"/>
      <c r="AH934" s="7"/>
    </row>
    <row r="935" spans="33:34" ht="14" x14ac:dyDescent="0.2">
      <c r="AG935" s="1"/>
      <c r="AH935" s="7"/>
    </row>
    <row r="936" spans="33:34" ht="14" x14ac:dyDescent="0.2">
      <c r="AG936" s="1"/>
      <c r="AH936" s="7"/>
    </row>
    <row r="937" spans="33:34" ht="14" x14ac:dyDescent="0.2">
      <c r="AG937" s="1"/>
      <c r="AH937" s="7"/>
    </row>
    <row r="938" spans="33:34" ht="14" x14ac:dyDescent="0.2">
      <c r="AG938" s="1"/>
      <c r="AH938" s="7"/>
    </row>
    <row r="939" spans="33:34" ht="14" x14ac:dyDescent="0.2">
      <c r="AG939" s="1"/>
      <c r="AH939" s="7"/>
    </row>
    <row r="940" spans="33:34" ht="14" x14ac:dyDescent="0.2">
      <c r="AG940" s="1"/>
      <c r="AH940" s="7"/>
    </row>
    <row r="941" spans="33:34" ht="14" x14ac:dyDescent="0.2">
      <c r="AG941" s="1"/>
      <c r="AH941" s="7"/>
    </row>
    <row r="942" spans="33:34" ht="14" x14ac:dyDescent="0.2">
      <c r="AG942" s="1"/>
      <c r="AH942" s="7"/>
    </row>
    <row r="943" spans="33:34" ht="14" x14ac:dyDescent="0.2">
      <c r="AG943" s="1"/>
      <c r="AH943" s="7"/>
    </row>
    <row r="944" spans="33:34" ht="14" x14ac:dyDescent="0.2">
      <c r="AG944" s="1"/>
      <c r="AH944" s="7"/>
    </row>
    <row r="945" spans="33:34" ht="14" x14ac:dyDescent="0.2">
      <c r="AG945" s="1"/>
      <c r="AH945" s="7"/>
    </row>
    <row r="946" spans="33:34" ht="14" x14ac:dyDescent="0.2">
      <c r="AG946" s="1"/>
      <c r="AH946" s="7"/>
    </row>
    <row r="947" spans="33:34" ht="14" x14ac:dyDescent="0.2">
      <c r="AG947" s="1"/>
      <c r="AH947" s="7"/>
    </row>
    <row r="948" spans="33:34" ht="14" x14ac:dyDescent="0.2">
      <c r="AG948" s="1"/>
      <c r="AH948" s="7"/>
    </row>
    <row r="949" spans="33:34" ht="14" x14ac:dyDescent="0.2">
      <c r="AG949" s="1"/>
      <c r="AH949" s="7"/>
    </row>
    <row r="950" spans="33:34" ht="14" x14ac:dyDescent="0.2">
      <c r="AG950" s="1"/>
      <c r="AH950" s="7"/>
    </row>
    <row r="951" spans="33:34" ht="14" x14ac:dyDescent="0.2">
      <c r="AG951" s="1"/>
      <c r="AH951" s="7"/>
    </row>
    <row r="952" spans="33:34" ht="14" x14ac:dyDescent="0.2">
      <c r="AG952" s="1"/>
      <c r="AH952" s="7"/>
    </row>
    <row r="953" spans="33:34" ht="14" x14ac:dyDescent="0.2">
      <c r="AG953" s="1"/>
      <c r="AH953" s="7"/>
    </row>
    <row r="954" spans="33:34" ht="14" x14ac:dyDescent="0.2">
      <c r="AG954" s="1"/>
      <c r="AH954" s="7"/>
    </row>
    <row r="955" spans="33:34" ht="14" x14ac:dyDescent="0.2">
      <c r="AG955" s="1"/>
      <c r="AH955" s="7"/>
    </row>
    <row r="956" spans="33:34" ht="14" x14ac:dyDescent="0.2">
      <c r="AG956" s="1"/>
      <c r="AH956" s="7"/>
    </row>
    <row r="957" spans="33:34" ht="14" x14ac:dyDescent="0.2">
      <c r="AG957" s="1"/>
      <c r="AH957" s="7"/>
    </row>
    <row r="958" spans="33:34" ht="14" x14ac:dyDescent="0.2">
      <c r="AG958" s="1"/>
      <c r="AH958" s="7"/>
    </row>
    <row r="959" spans="33:34" ht="14" x14ac:dyDescent="0.2">
      <c r="AG959" s="1"/>
      <c r="AH959" s="7"/>
    </row>
    <row r="960" spans="33:34" ht="14" x14ac:dyDescent="0.2">
      <c r="AG960" s="1"/>
      <c r="AH960" s="7"/>
    </row>
    <row r="961" spans="33:34" ht="14" x14ac:dyDescent="0.2">
      <c r="AG961" s="1"/>
      <c r="AH961" s="7"/>
    </row>
    <row r="962" spans="33:34" ht="14" x14ac:dyDescent="0.2">
      <c r="AG962" s="1"/>
      <c r="AH962" s="7"/>
    </row>
    <row r="963" spans="33:34" ht="14" x14ac:dyDescent="0.2">
      <c r="AG963" s="1"/>
      <c r="AH963" s="7"/>
    </row>
    <row r="964" spans="33:34" ht="14" x14ac:dyDescent="0.2">
      <c r="AG964" s="1"/>
      <c r="AH964" s="7"/>
    </row>
    <row r="965" spans="33:34" ht="14" x14ac:dyDescent="0.2">
      <c r="AG965" s="1"/>
      <c r="AH965" s="7"/>
    </row>
    <row r="966" spans="33:34" ht="14" x14ac:dyDescent="0.2">
      <c r="AG966" s="1"/>
      <c r="AH966" s="7"/>
    </row>
    <row r="967" spans="33:34" ht="14" x14ac:dyDescent="0.2">
      <c r="AG967" s="1"/>
      <c r="AH967" s="7"/>
    </row>
    <row r="968" spans="33:34" ht="14" x14ac:dyDescent="0.2">
      <c r="AG968" s="1"/>
      <c r="AH968" s="7"/>
    </row>
    <row r="969" spans="33:34" ht="14" x14ac:dyDescent="0.2">
      <c r="AG969" s="1"/>
      <c r="AH969" s="7"/>
    </row>
    <row r="970" spans="33:34" ht="14" x14ac:dyDescent="0.2">
      <c r="AG970" s="1"/>
      <c r="AH970" s="7"/>
    </row>
    <row r="971" spans="33:34" ht="14" x14ac:dyDescent="0.2">
      <c r="AG971" s="1"/>
      <c r="AH971" s="7"/>
    </row>
    <row r="972" spans="33:34" ht="14" x14ac:dyDescent="0.2">
      <c r="AG972" s="1"/>
      <c r="AH972" s="7"/>
    </row>
    <row r="973" spans="33:34" ht="14" x14ac:dyDescent="0.2">
      <c r="AG973" s="1"/>
      <c r="AH973" s="7"/>
    </row>
    <row r="974" spans="33:34" ht="14" x14ac:dyDescent="0.2">
      <c r="AG974" s="1"/>
      <c r="AH974" s="7"/>
    </row>
    <row r="975" spans="33:34" ht="14" x14ac:dyDescent="0.2">
      <c r="AG975" s="1"/>
      <c r="AH975" s="7"/>
    </row>
    <row r="976" spans="33:34" ht="14" x14ac:dyDescent="0.2">
      <c r="AG976" s="1"/>
      <c r="AH976" s="7"/>
    </row>
    <row r="977" spans="33:34" ht="14" x14ac:dyDescent="0.2">
      <c r="AG977" s="1"/>
      <c r="AH977" s="7"/>
    </row>
    <row r="978" spans="33:34" ht="14" x14ac:dyDescent="0.2">
      <c r="AG978" s="1"/>
      <c r="AH978" s="7"/>
    </row>
    <row r="979" spans="33:34" ht="14" x14ac:dyDescent="0.2">
      <c r="AG979" s="1"/>
      <c r="AH979" s="7"/>
    </row>
    <row r="980" spans="33:34" ht="14" x14ac:dyDescent="0.2">
      <c r="AG980" s="1"/>
      <c r="AH980" s="7"/>
    </row>
    <row r="981" spans="33:34" ht="14" x14ac:dyDescent="0.2">
      <c r="AG981" s="1"/>
      <c r="AH981" s="7"/>
    </row>
    <row r="982" spans="33:34" ht="14" x14ac:dyDescent="0.2">
      <c r="AG982" s="1"/>
      <c r="AH982" s="7"/>
    </row>
    <row r="983" spans="33:34" ht="14" x14ac:dyDescent="0.2">
      <c r="AG983" s="1"/>
      <c r="AH983" s="7"/>
    </row>
    <row r="984" spans="33:34" ht="14" x14ac:dyDescent="0.2">
      <c r="AG984" s="1"/>
      <c r="AH984" s="7"/>
    </row>
    <row r="985" spans="33:34" ht="14" x14ac:dyDescent="0.2">
      <c r="AG985" s="1"/>
      <c r="AH985" s="7"/>
    </row>
    <row r="986" spans="33:34" ht="14" x14ac:dyDescent="0.2">
      <c r="AG986" s="1"/>
      <c r="AH986" s="7"/>
    </row>
    <row r="987" spans="33:34" ht="14" x14ac:dyDescent="0.2">
      <c r="AG987" s="1"/>
      <c r="AH987" s="7"/>
    </row>
    <row r="988" spans="33:34" ht="14" x14ac:dyDescent="0.2">
      <c r="AG988" s="1"/>
      <c r="AH988" s="7"/>
    </row>
    <row r="989" spans="33:34" ht="14" x14ac:dyDescent="0.2">
      <c r="AG989" s="1"/>
      <c r="AH989" s="7"/>
    </row>
    <row r="990" spans="33:34" ht="14" x14ac:dyDescent="0.2">
      <c r="AG990" s="1"/>
      <c r="AH990" s="7"/>
    </row>
    <row r="991" spans="33:34" ht="14" x14ac:dyDescent="0.2">
      <c r="AG991" s="1"/>
      <c r="AH991" s="7"/>
    </row>
    <row r="992" spans="33:34" ht="14" x14ac:dyDescent="0.2">
      <c r="AG992" s="1"/>
      <c r="AH992" s="7"/>
    </row>
    <row r="993" spans="33:34" ht="14" x14ac:dyDescent="0.2">
      <c r="AG993" s="1"/>
      <c r="AH993" s="7"/>
    </row>
    <row r="994" spans="33:34" ht="14" x14ac:dyDescent="0.2">
      <c r="AG994" s="1"/>
      <c r="AH994" s="7"/>
    </row>
    <row r="995" spans="33:34" ht="14" x14ac:dyDescent="0.2">
      <c r="AG995" s="1"/>
      <c r="AH995" s="7"/>
    </row>
    <row r="996" spans="33:34" ht="14" x14ac:dyDescent="0.2">
      <c r="AG996" s="1"/>
      <c r="AH996" s="7"/>
    </row>
    <row r="997" spans="33:34" ht="14" x14ac:dyDescent="0.2">
      <c r="AG997" s="1"/>
      <c r="AH997" s="7"/>
    </row>
    <row r="998" spans="33:34" ht="14" x14ac:dyDescent="0.2">
      <c r="AG998" s="1"/>
      <c r="AH998" s="7"/>
    </row>
    <row r="999" spans="33:34" ht="14" x14ac:dyDescent="0.2">
      <c r="AG999" s="1"/>
      <c r="AH999" s="7"/>
    </row>
    <row r="1000" spans="33:34" ht="14" x14ac:dyDescent="0.2">
      <c r="AG1000" s="1"/>
      <c r="AH1000" s="7"/>
    </row>
    <row r="1001" spans="33:34" ht="14" x14ac:dyDescent="0.2">
      <c r="AG1001" s="1"/>
      <c r="AH1001" s="7"/>
    </row>
    <row r="1002" spans="33:34" ht="14" x14ac:dyDescent="0.2">
      <c r="AG1002" s="1"/>
      <c r="AH1002" s="7"/>
    </row>
    <row r="1003" spans="33:34" ht="14" x14ac:dyDescent="0.2">
      <c r="AG1003" s="1"/>
      <c r="AH1003" s="7"/>
    </row>
    <row r="1004" spans="33:34" ht="14" x14ac:dyDescent="0.2">
      <c r="AG1004" s="1"/>
      <c r="AH1004" s="7"/>
    </row>
    <row r="1005" spans="33:34" ht="14" x14ac:dyDescent="0.2">
      <c r="AG1005" s="1"/>
      <c r="AH1005" s="7"/>
    </row>
    <row r="1006" spans="33:34" ht="14" x14ac:dyDescent="0.2">
      <c r="AG1006" s="1"/>
      <c r="AH1006" s="7"/>
    </row>
    <row r="1007" spans="33:34" ht="14" x14ac:dyDescent="0.2">
      <c r="AG1007" s="1"/>
      <c r="AH1007" s="7"/>
    </row>
  </sheetData>
  <conditionalFormatting sqref="B43">
    <cfRule type="cellIs" dxfId="73" priority="3" operator="greaterThanOrEqual">
      <formula>0</formula>
    </cfRule>
    <cfRule type="cellIs" dxfId="72" priority="4" operator="lessThanOrEqual">
      <formula>0</formula>
    </cfRule>
  </conditionalFormatting>
  <conditionalFormatting sqref="B2:Q2 S2:AF2 V4">
    <cfRule type="cellIs" dxfId="71" priority="7" operator="greaterThan">
      <formula>4200</formula>
    </cfRule>
  </conditionalFormatting>
  <conditionalFormatting sqref="B33:AG33 AJ33:BG33">
    <cfRule type="cellIs" dxfId="70" priority="1" operator="greaterThanOrEqual">
      <formula>0</formula>
    </cfRule>
    <cfRule type="cellIs" dxfId="69" priority="2" operator="lessThanOrEqual">
      <formula>0</formula>
    </cfRule>
  </conditionalFormatting>
  <conditionalFormatting sqref="AH33">
    <cfRule type="cellIs" dxfId="68" priority="5" operator="greaterThanOrEqual">
      <formula>1</formula>
    </cfRule>
    <cfRule type="cellIs" dxfId="67" priority="6" operator="lessThan">
      <formul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outlinePr summaryBelow="0" summaryRight="0"/>
  </sheetPr>
  <dimension ref="A1:BF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8" width="9" customWidth="1"/>
  </cols>
  <sheetData>
    <row r="1" spans="1:58" ht="15.75" customHeight="1" x14ac:dyDescent="0.2">
      <c r="A1" s="8"/>
      <c r="B1" s="64">
        <v>45748</v>
      </c>
      <c r="C1" s="64">
        <v>45749</v>
      </c>
      <c r="D1" s="64">
        <v>45750</v>
      </c>
      <c r="E1" s="64">
        <v>45751</v>
      </c>
      <c r="F1" s="64">
        <v>45752</v>
      </c>
      <c r="G1" s="85">
        <v>45753</v>
      </c>
      <c r="H1" s="64">
        <v>45754</v>
      </c>
      <c r="I1" s="64">
        <v>45755</v>
      </c>
      <c r="J1" s="64">
        <v>45756</v>
      </c>
      <c r="K1" s="64">
        <v>45757</v>
      </c>
      <c r="L1" s="64">
        <v>45758</v>
      </c>
      <c r="M1" s="64">
        <v>45759</v>
      </c>
      <c r="N1" s="64">
        <v>45760</v>
      </c>
      <c r="O1" s="64">
        <v>45761</v>
      </c>
      <c r="P1" s="64">
        <v>45762</v>
      </c>
      <c r="Q1" s="64">
        <v>45763</v>
      </c>
      <c r="R1" s="64">
        <v>45764</v>
      </c>
      <c r="S1" s="64">
        <v>45765</v>
      </c>
      <c r="T1" s="64">
        <v>45766</v>
      </c>
      <c r="U1" s="64">
        <v>45767</v>
      </c>
      <c r="V1" s="64">
        <v>45768</v>
      </c>
      <c r="W1" s="64">
        <v>45769</v>
      </c>
      <c r="X1" s="64">
        <v>45770</v>
      </c>
      <c r="Y1" s="64">
        <v>45771</v>
      </c>
      <c r="Z1" s="64">
        <v>45772</v>
      </c>
      <c r="AA1" s="64">
        <v>45773</v>
      </c>
      <c r="AB1" s="64">
        <v>45774</v>
      </c>
      <c r="AC1" s="64">
        <v>45775</v>
      </c>
      <c r="AD1" s="64">
        <v>45776</v>
      </c>
      <c r="AE1" s="64">
        <v>45777</v>
      </c>
      <c r="AF1" s="22" t="s">
        <v>0</v>
      </c>
      <c r="AG1" s="22" t="s">
        <v>153</v>
      </c>
      <c r="AH1" s="8" t="s">
        <v>161</v>
      </c>
      <c r="AI1" s="65"/>
      <c r="AJ1" s="65"/>
      <c r="AK1" s="65"/>
      <c r="AL1" s="65"/>
      <c r="AM1" s="65"/>
      <c r="AN1" s="65"/>
      <c r="AO1" s="65"/>
      <c r="AP1" s="65"/>
      <c r="AQ1" s="65"/>
      <c r="AR1" s="65"/>
      <c r="AS1" s="65"/>
      <c r="AT1" s="65"/>
      <c r="AU1" s="65"/>
      <c r="AV1" s="65"/>
      <c r="AW1" s="65"/>
      <c r="AX1" s="65"/>
      <c r="AY1" s="65"/>
      <c r="AZ1" s="65"/>
      <c r="BA1" s="65"/>
      <c r="BB1" s="65"/>
      <c r="BC1" s="65"/>
      <c r="BD1" s="65"/>
      <c r="BE1" s="65"/>
      <c r="BF1" s="65"/>
    </row>
    <row r="2" spans="1:58" ht="15.75" customHeight="1" x14ac:dyDescent="0.2">
      <c r="A2" s="4" t="s">
        <v>162</v>
      </c>
      <c r="B2" s="66">
        <v>2900</v>
      </c>
      <c r="C2" s="66">
        <v>2900</v>
      </c>
      <c r="D2" s="66">
        <v>2900</v>
      </c>
      <c r="E2" s="66">
        <v>2900</v>
      </c>
      <c r="F2" s="66">
        <v>2900</v>
      </c>
      <c r="G2" s="69">
        <v>0</v>
      </c>
      <c r="H2" s="66">
        <v>2900</v>
      </c>
      <c r="I2" s="66">
        <v>2900</v>
      </c>
      <c r="J2" s="66">
        <v>2900</v>
      </c>
      <c r="K2" s="66">
        <v>2900</v>
      </c>
      <c r="L2" s="66">
        <v>2900</v>
      </c>
      <c r="M2" s="66">
        <v>2900</v>
      </c>
      <c r="N2" s="66">
        <v>2400</v>
      </c>
      <c r="O2" s="66">
        <v>2400</v>
      </c>
      <c r="P2" s="66">
        <v>2400</v>
      </c>
      <c r="Q2" s="66">
        <v>2400</v>
      </c>
      <c r="R2" s="66">
        <v>2400</v>
      </c>
      <c r="S2" s="66">
        <v>2400</v>
      </c>
      <c r="T2" s="66">
        <v>2400</v>
      </c>
      <c r="U2" s="66">
        <v>2400</v>
      </c>
      <c r="V2" s="69">
        <v>0</v>
      </c>
      <c r="W2" s="66">
        <v>2500</v>
      </c>
      <c r="X2" s="66">
        <v>2500</v>
      </c>
      <c r="Y2" s="66">
        <v>2500</v>
      </c>
      <c r="Z2" s="66">
        <v>2500</v>
      </c>
      <c r="AA2" s="66">
        <v>2500</v>
      </c>
      <c r="AB2" s="66">
        <v>2500</v>
      </c>
      <c r="AC2" s="66">
        <v>2500</v>
      </c>
      <c r="AD2" s="66">
        <v>2500</v>
      </c>
      <c r="AE2" s="66">
        <v>2500</v>
      </c>
      <c r="AF2" s="56">
        <f t="shared" ref="AF2:AF4" si="0">SUM(B2:AE2)</f>
        <v>73600</v>
      </c>
      <c r="AG2" s="67">
        <f t="shared" ref="AG2:AG4" si="1">IFERROR(AVERAGE(B2:AE2),0)</f>
        <v>2453.3333333333335</v>
      </c>
      <c r="AH2" s="68">
        <f t="shared" ref="AH2:AH4" si="2">(AG2/$AG$29)*100</f>
        <v>19.626247973376579</v>
      </c>
      <c r="AI2" s="14"/>
      <c r="AJ2" s="14"/>
      <c r="AK2" s="14"/>
      <c r="AL2" s="14"/>
      <c r="AM2" s="14"/>
      <c r="AN2" s="14"/>
      <c r="AO2" s="14"/>
      <c r="AP2" s="14"/>
      <c r="AQ2" s="14"/>
      <c r="AR2" s="14"/>
      <c r="AS2" s="14"/>
      <c r="AT2" s="14"/>
      <c r="AU2" s="14"/>
      <c r="AV2" s="14"/>
      <c r="AW2" s="14"/>
      <c r="AX2" s="14"/>
      <c r="AY2" s="14"/>
      <c r="AZ2" s="14"/>
      <c r="BA2" s="14"/>
      <c r="BB2" s="14"/>
      <c r="BC2" s="14"/>
      <c r="BD2" s="14"/>
      <c r="BE2" s="14"/>
      <c r="BF2" s="14"/>
    </row>
    <row r="3" spans="1:58" ht="15.75" customHeight="1" x14ac:dyDescent="0.2">
      <c r="A3" s="4" t="s">
        <v>163</v>
      </c>
      <c r="B3" s="59">
        <f t="shared" ref="B3:F3" si="3">$B$39/$B$59</f>
        <v>3214.8571428571427</v>
      </c>
      <c r="C3" s="59">
        <f t="shared" si="3"/>
        <v>3214.8571428571427</v>
      </c>
      <c r="D3" s="59">
        <f t="shared" si="3"/>
        <v>3214.8571428571427</v>
      </c>
      <c r="E3" s="59">
        <f t="shared" si="3"/>
        <v>3214.8571428571427</v>
      </c>
      <c r="F3" s="59">
        <f t="shared" si="3"/>
        <v>3214.8571428571427</v>
      </c>
      <c r="G3" s="69">
        <v>0</v>
      </c>
      <c r="H3" s="59">
        <f t="shared" ref="H3:U3" si="4">$B$39/$B$59</f>
        <v>3214.8571428571427</v>
      </c>
      <c r="I3" s="59">
        <f t="shared" si="4"/>
        <v>3214.8571428571427</v>
      </c>
      <c r="J3" s="59">
        <f t="shared" si="4"/>
        <v>3214.8571428571427</v>
      </c>
      <c r="K3" s="59">
        <f t="shared" si="4"/>
        <v>3214.8571428571427</v>
      </c>
      <c r="L3" s="59">
        <f t="shared" si="4"/>
        <v>3214.8571428571427</v>
      </c>
      <c r="M3" s="59">
        <f t="shared" si="4"/>
        <v>3214.8571428571427</v>
      </c>
      <c r="N3" s="59">
        <f t="shared" si="4"/>
        <v>3214.8571428571427</v>
      </c>
      <c r="O3" s="59">
        <f t="shared" si="4"/>
        <v>3214.8571428571427</v>
      </c>
      <c r="P3" s="59">
        <f t="shared" si="4"/>
        <v>3214.8571428571427</v>
      </c>
      <c r="Q3" s="59">
        <f t="shared" si="4"/>
        <v>3214.8571428571427</v>
      </c>
      <c r="R3" s="59">
        <f t="shared" si="4"/>
        <v>3214.8571428571427</v>
      </c>
      <c r="S3" s="59">
        <f t="shared" si="4"/>
        <v>3214.8571428571427</v>
      </c>
      <c r="T3" s="59">
        <f t="shared" si="4"/>
        <v>3214.8571428571427</v>
      </c>
      <c r="U3" s="59">
        <f t="shared" si="4"/>
        <v>3214.8571428571427</v>
      </c>
      <c r="V3" s="69">
        <v>0</v>
      </c>
      <c r="W3" s="59">
        <f t="shared" ref="W3:AE3" si="5">$B$39/$B$59</f>
        <v>3214.8571428571427</v>
      </c>
      <c r="X3" s="59">
        <f t="shared" si="5"/>
        <v>3214.8571428571427</v>
      </c>
      <c r="Y3" s="59">
        <f t="shared" si="5"/>
        <v>3214.8571428571427</v>
      </c>
      <c r="Z3" s="59">
        <f t="shared" si="5"/>
        <v>3214.8571428571427</v>
      </c>
      <c r="AA3" s="59">
        <f t="shared" si="5"/>
        <v>3214.8571428571427</v>
      </c>
      <c r="AB3" s="59">
        <f t="shared" si="5"/>
        <v>3214.8571428571427</v>
      </c>
      <c r="AC3" s="59">
        <f t="shared" si="5"/>
        <v>3214.8571428571427</v>
      </c>
      <c r="AD3" s="59">
        <f t="shared" si="5"/>
        <v>3214.8571428571427</v>
      </c>
      <c r="AE3" s="59">
        <f t="shared" si="5"/>
        <v>3214.8571428571427</v>
      </c>
      <c r="AF3" s="56">
        <f t="shared" si="0"/>
        <v>90016.000000000029</v>
      </c>
      <c r="AG3" s="67">
        <f t="shared" si="1"/>
        <v>3000.5333333333342</v>
      </c>
      <c r="AH3" s="68">
        <f t="shared" si="2"/>
        <v>24.003754586568839</v>
      </c>
      <c r="AI3" s="14"/>
      <c r="AJ3" s="14"/>
      <c r="AK3" s="14"/>
      <c r="AL3" s="14"/>
      <c r="AM3" s="14"/>
      <c r="AN3" s="14"/>
      <c r="AO3" s="14"/>
      <c r="AP3" s="14"/>
      <c r="AQ3" s="14"/>
      <c r="AR3" s="14"/>
      <c r="AS3" s="14"/>
      <c r="AT3" s="14"/>
      <c r="AU3" s="14"/>
      <c r="AV3" s="14"/>
      <c r="AW3" s="14"/>
      <c r="AX3" s="14"/>
      <c r="AY3" s="14"/>
      <c r="AZ3" s="14"/>
      <c r="BA3" s="14"/>
      <c r="BB3" s="14"/>
      <c r="BC3" s="14"/>
      <c r="BD3" s="14"/>
      <c r="BE3" s="14"/>
      <c r="BF3" s="14"/>
    </row>
    <row r="4" spans="1:58" ht="15.75" customHeight="1" x14ac:dyDescent="0.2">
      <c r="A4" s="4" t="s">
        <v>20</v>
      </c>
      <c r="B4" s="69">
        <f t="shared" ref="B4:F4" si="6">$B$42/$B$59</f>
        <v>2524.3571428571427</v>
      </c>
      <c r="C4" s="69">
        <f t="shared" si="6"/>
        <v>2524.3571428571427</v>
      </c>
      <c r="D4" s="69">
        <f t="shared" si="6"/>
        <v>2524.3571428571427</v>
      </c>
      <c r="E4" s="69">
        <f t="shared" si="6"/>
        <v>2524.3571428571427</v>
      </c>
      <c r="F4" s="69">
        <f t="shared" si="6"/>
        <v>2524.3571428571427</v>
      </c>
      <c r="G4" s="69">
        <v>0</v>
      </c>
      <c r="H4" s="69">
        <f t="shared" ref="H4:U4" si="7">$B$42/$B$59</f>
        <v>2524.3571428571427</v>
      </c>
      <c r="I4" s="69">
        <f t="shared" si="7"/>
        <v>2524.3571428571427</v>
      </c>
      <c r="J4" s="69">
        <f t="shared" si="7"/>
        <v>2524.3571428571427</v>
      </c>
      <c r="K4" s="69">
        <f t="shared" si="7"/>
        <v>2524.3571428571427</v>
      </c>
      <c r="L4" s="69">
        <f t="shared" si="7"/>
        <v>2524.3571428571427</v>
      </c>
      <c r="M4" s="69">
        <f t="shared" si="7"/>
        <v>2524.3571428571427</v>
      </c>
      <c r="N4" s="69">
        <f t="shared" si="7"/>
        <v>2524.3571428571427</v>
      </c>
      <c r="O4" s="69">
        <f t="shared" si="7"/>
        <v>2524.3571428571427</v>
      </c>
      <c r="P4" s="69">
        <f t="shared" si="7"/>
        <v>2524.3571428571427</v>
      </c>
      <c r="Q4" s="69">
        <f t="shared" si="7"/>
        <v>2524.3571428571427</v>
      </c>
      <c r="R4" s="69">
        <f t="shared" si="7"/>
        <v>2524.3571428571427</v>
      </c>
      <c r="S4" s="69">
        <f t="shared" si="7"/>
        <v>2524.3571428571427</v>
      </c>
      <c r="T4" s="69">
        <f t="shared" si="7"/>
        <v>2524.3571428571427</v>
      </c>
      <c r="U4" s="69">
        <f t="shared" si="7"/>
        <v>2524.3571428571427</v>
      </c>
      <c r="V4" s="69">
        <v>0</v>
      </c>
      <c r="W4" s="69">
        <f t="shared" ref="W4:AE4" si="8">$B$42/$B$59</f>
        <v>2524.3571428571427</v>
      </c>
      <c r="X4" s="69">
        <f t="shared" si="8"/>
        <v>2524.3571428571427</v>
      </c>
      <c r="Y4" s="69">
        <f t="shared" si="8"/>
        <v>2524.3571428571427</v>
      </c>
      <c r="Z4" s="69">
        <f t="shared" si="8"/>
        <v>2524.3571428571427</v>
      </c>
      <c r="AA4" s="69">
        <f t="shared" si="8"/>
        <v>2524.3571428571427</v>
      </c>
      <c r="AB4" s="69">
        <f t="shared" si="8"/>
        <v>2524.3571428571427</v>
      </c>
      <c r="AC4" s="69">
        <f t="shared" si="8"/>
        <v>2524.3571428571427</v>
      </c>
      <c r="AD4" s="69">
        <f t="shared" si="8"/>
        <v>2524.3571428571427</v>
      </c>
      <c r="AE4" s="69">
        <f t="shared" si="8"/>
        <v>2524.3571428571427</v>
      </c>
      <c r="AF4" s="56">
        <f t="shared" si="0"/>
        <v>70682.000000000015</v>
      </c>
      <c r="AG4" s="67">
        <f t="shared" si="1"/>
        <v>2356.0666666666671</v>
      </c>
      <c r="AH4" s="68">
        <f t="shared" si="2"/>
        <v>18.848131239866895</v>
      </c>
      <c r="AI4" s="14"/>
      <c r="AJ4" s="14"/>
      <c r="AK4" s="14"/>
      <c r="AL4" s="14"/>
      <c r="AM4" s="14"/>
      <c r="AN4" s="14"/>
      <c r="AO4" s="14"/>
      <c r="AP4" s="14"/>
      <c r="AQ4" s="14"/>
      <c r="AR4" s="14"/>
      <c r="AS4" s="14"/>
      <c r="AT4" s="14"/>
      <c r="AU4" s="14"/>
      <c r="AV4" s="14"/>
      <c r="AW4" s="14"/>
      <c r="AX4" s="14"/>
      <c r="AY4" s="14"/>
      <c r="AZ4" s="14"/>
      <c r="BA4" s="14"/>
      <c r="BB4" s="14"/>
      <c r="BC4" s="14"/>
      <c r="BD4" s="14"/>
      <c r="BE4" s="14"/>
      <c r="BF4" s="14"/>
    </row>
    <row r="5" spans="1:58"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1"/>
      <c r="AG5" s="71"/>
      <c r="AH5" s="72"/>
      <c r="AI5" s="14"/>
      <c r="AJ5" s="14"/>
      <c r="AK5" s="14"/>
      <c r="AL5" s="14"/>
      <c r="AM5" s="14"/>
      <c r="AN5" s="14"/>
      <c r="AO5" s="14"/>
      <c r="AP5" s="14"/>
      <c r="AQ5" s="14"/>
      <c r="AR5" s="14"/>
      <c r="AS5" s="14"/>
      <c r="AT5" s="14"/>
      <c r="AU5" s="14"/>
      <c r="AV5" s="14"/>
      <c r="AW5" s="14"/>
      <c r="AX5" s="14"/>
      <c r="AY5" s="14"/>
      <c r="AZ5" s="14"/>
      <c r="BA5" s="14"/>
      <c r="BB5" s="14"/>
      <c r="BC5" s="14"/>
      <c r="BD5" s="14"/>
      <c r="BE5" s="14"/>
      <c r="BF5" s="14"/>
    </row>
    <row r="6" spans="1:58" ht="15.75" customHeight="1" x14ac:dyDescent="0.2">
      <c r="A6" s="4" t="s">
        <v>165</v>
      </c>
      <c r="B6" s="69">
        <v>3000</v>
      </c>
      <c r="C6" s="69">
        <v>3500</v>
      </c>
      <c r="D6" s="69">
        <v>3000</v>
      </c>
      <c r="E6" s="69">
        <v>3000</v>
      </c>
      <c r="F6" s="69">
        <v>2500</v>
      </c>
      <c r="G6" s="69">
        <v>0</v>
      </c>
      <c r="H6" s="69">
        <v>2500</v>
      </c>
      <c r="I6" s="69">
        <v>2000</v>
      </c>
      <c r="J6" s="69">
        <v>2000</v>
      </c>
      <c r="K6" s="69">
        <v>2000</v>
      </c>
      <c r="L6" s="69">
        <v>2000</v>
      </c>
      <c r="M6" s="69">
        <v>2000</v>
      </c>
      <c r="N6" s="69">
        <v>2000</v>
      </c>
      <c r="O6" s="69">
        <v>2000</v>
      </c>
      <c r="P6" s="69">
        <v>1200</v>
      </c>
      <c r="Q6" s="69">
        <v>2000</v>
      </c>
      <c r="R6" s="69">
        <v>1500</v>
      </c>
      <c r="S6" s="69">
        <v>2000</v>
      </c>
      <c r="T6" s="69">
        <v>2000</v>
      </c>
      <c r="U6" s="69">
        <v>1900</v>
      </c>
      <c r="V6" s="69">
        <v>0</v>
      </c>
      <c r="W6" s="69">
        <v>2000</v>
      </c>
      <c r="X6" s="69">
        <v>2500</v>
      </c>
      <c r="Y6" s="69">
        <v>1000</v>
      </c>
      <c r="Z6" s="69">
        <v>2500</v>
      </c>
      <c r="AA6" s="69">
        <v>1000</v>
      </c>
      <c r="AB6" s="69">
        <v>2000</v>
      </c>
      <c r="AC6" s="69">
        <v>2500</v>
      </c>
      <c r="AD6" s="69">
        <v>2000</v>
      </c>
      <c r="AE6" s="69">
        <v>2000</v>
      </c>
      <c r="AF6" s="56">
        <f t="shared" ref="AF6:AF8" si="9">SUM(B6:AE6)</f>
        <v>59600</v>
      </c>
      <c r="AG6" s="67">
        <f t="shared" ref="AG6:AG8" si="10">IFERROR(AVERAGE(B6:AE6),0)</f>
        <v>1986.6666666666667</v>
      </c>
      <c r="AH6" s="68">
        <f t="shared" ref="AH6:AH8" si="11">(AG6/$AG$29)*100</f>
        <v>15.892994282788642</v>
      </c>
      <c r="AI6" s="14"/>
      <c r="AJ6" s="14"/>
      <c r="AR6" s="14"/>
      <c r="AS6" s="14"/>
      <c r="AT6" s="14"/>
      <c r="AU6" s="14"/>
      <c r="AV6" s="14"/>
      <c r="AW6" s="14"/>
      <c r="AX6" s="14"/>
      <c r="AY6" s="14"/>
      <c r="AZ6" s="14"/>
      <c r="BA6" s="14"/>
      <c r="BB6" s="14"/>
      <c r="BC6" s="14"/>
      <c r="BD6" s="14"/>
      <c r="BE6" s="14"/>
      <c r="BF6" s="14"/>
    </row>
    <row r="7" spans="1:58" ht="15.75" customHeight="1" x14ac:dyDescent="0.2">
      <c r="A7" s="4" t="s">
        <v>166</v>
      </c>
      <c r="B7" s="69">
        <f t="shared" ref="B7:F7" si="12">$B$51/$B$59</f>
        <v>53.571428571428569</v>
      </c>
      <c r="C7" s="69">
        <f t="shared" si="12"/>
        <v>53.571428571428569</v>
      </c>
      <c r="D7" s="69">
        <f t="shared" si="12"/>
        <v>53.571428571428569</v>
      </c>
      <c r="E7" s="69">
        <f t="shared" si="12"/>
        <v>53.571428571428569</v>
      </c>
      <c r="F7" s="69">
        <f t="shared" si="12"/>
        <v>53.571428571428569</v>
      </c>
      <c r="G7" s="69">
        <v>0</v>
      </c>
      <c r="H7" s="69">
        <f t="shared" ref="H7:U7" si="13">$B$51/$B$59</f>
        <v>53.571428571428569</v>
      </c>
      <c r="I7" s="69">
        <f t="shared" si="13"/>
        <v>53.571428571428569</v>
      </c>
      <c r="J7" s="69">
        <f t="shared" si="13"/>
        <v>53.571428571428569</v>
      </c>
      <c r="K7" s="69">
        <f t="shared" si="13"/>
        <v>53.571428571428569</v>
      </c>
      <c r="L7" s="69">
        <f t="shared" si="13"/>
        <v>53.571428571428569</v>
      </c>
      <c r="M7" s="69">
        <f t="shared" si="13"/>
        <v>53.571428571428569</v>
      </c>
      <c r="N7" s="69">
        <f t="shared" si="13"/>
        <v>53.571428571428569</v>
      </c>
      <c r="O7" s="69">
        <f t="shared" si="13"/>
        <v>53.571428571428569</v>
      </c>
      <c r="P7" s="69">
        <f t="shared" si="13"/>
        <v>53.571428571428569</v>
      </c>
      <c r="Q7" s="69">
        <f t="shared" si="13"/>
        <v>53.571428571428569</v>
      </c>
      <c r="R7" s="69">
        <f t="shared" si="13"/>
        <v>53.571428571428569</v>
      </c>
      <c r="S7" s="69">
        <f t="shared" si="13"/>
        <v>53.571428571428569</v>
      </c>
      <c r="T7" s="69">
        <f t="shared" si="13"/>
        <v>53.571428571428569</v>
      </c>
      <c r="U7" s="69">
        <f t="shared" si="13"/>
        <v>53.571428571428569</v>
      </c>
      <c r="V7" s="69">
        <v>0</v>
      </c>
      <c r="W7" s="69">
        <f t="shared" ref="W7:AE7" si="14">$B$51/$B$59</f>
        <v>53.571428571428569</v>
      </c>
      <c r="X7" s="69">
        <f t="shared" si="14"/>
        <v>53.571428571428569</v>
      </c>
      <c r="Y7" s="69">
        <f t="shared" si="14"/>
        <v>53.571428571428569</v>
      </c>
      <c r="Z7" s="69">
        <f t="shared" si="14"/>
        <v>53.571428571428569</v>
      </c>
      <c r="AA7" s="69">
        <f t="shared" si="14"/>
        <v>53.571428571428569</v>
      </c>
      <c r="AB7" s="69">
        <f t="shared" si="14"/>
        <v>53.571428571428569</v>
      </c>
      <c r="AC7" s="69">
        <f t="shared" si="14"/>
        <v>53.571428571428569</v>
      </c>
      <c r="AD7" s="69">
        <f t="shared" si="14"/>
        <v>53.571428571428569</v>
      </c>
      <c r="AE7" s="69">
        <f t="shared" si="14"/>
        <v>53.571428571428569</v>
      </c>
      <c r="AF7" s="56">
        <f t="shared" si="9"/>
        <v>1500.0000000000007</v>
      </c>
      <c r="AG7" s="67">
        <f t="shared" si="10"/>
        <v>50.000000000000021</v>
      </c>
      <c r="AH7" s="68">
        <f t="shared" si="11"/>
        <v>0.39999146684870757</v>
      </c>
      <c r="AI7" s="14"/>
      <c r="AJ7" s="14"/>
      <c r="AR7" s="14"/>
      <c r="AS7" s="14"/>
      <c r="AT7" s="14"/>
      <c r="AU7" s="14"/>
      <c r="AV7" s="14"/>
      <c r="AW7" s="14"/>
      <c r="AX7" s="14"/>
      <c r="AY7" s="14"/>
      <c r="AZ7" s="14"/>
      <c r="BA7" s="14"/>
      <c r="BB7" s="14"/>
      <c r="BC7" s="14"/>
      <c r="BD7" s="14"/>
      <c r="BE7" s="14"/>
      <c r="BF7" s="14"/>
    </row>
    <row r="8" spans="1:58" ht="15.75" customHeight="1" x14ac:dyDescent="0.2">
      <c r="A8" s="4" t="s">
        <v>167</v>
      </c>
      <c r="B8" s="69">
        <f t="shared" ref="B8:F8" si="15">$B$52/$B$59</f>
        <v>203.57142857142858</v>
      </c>
      <c r="C8" s="69">
        <f t="shared" si="15"/>
        <v>203.57142857142858</v>
      </c>
      <c r="D8" s="69">
        <f t="shared" si="15"/>
        <v>203.57142857142858</v>
      </c>
      <c r="E8" s="69">
        <f t="shared" si="15"/>
        <v>203.57142857142858</v>
      </c>
      <c r="F8" s="69">
        <f t="shared" si="15"/>
        <v>203.57142857142858</v>
      </c>
      <c r="G8" s="69">
        <v>0</v>
      </c>
      <c r="H8" s="69">
        <f t="shared" ref="H8:U8" si="16">$B$52/$B$59</f>
        <v>203.57142857142858</v>
      </c>
      <c r="I8" s="69">
        <f t="shared" si="16"/>
        <v>203.57142857142858</v>
      </c>
      <c r="J8" s="69">
        <f t="shared" si="16"/>
        <v>203.57142857142858</v>
      </c>
      <c r="K8" s="69">
        <f t="shared" si="16"/>
        <v>203.57142857142858</v>
      </c>
      <c r="L8" s="69">
        <f t="shared" si="16"/>
        <v>203.57142857142858</v>
      </c>
      <c r="M8" s="69">
        <f t="shared" si="16"/>
        <v>203.57142857142858</v>
      </c>
      <c r="N8" s="69">
        <f t="shared" si="16"/>
        <v>203.57142857142858</v>
      </c>
      <c r="O8" s="69">
        <f t="shared" si="16"/>
        <v>203.57142857142858</v>
      </c>
      <c r="P8" s="69">
        <f t="shared" si="16"/>
        <v>203.57142857142858</v>
      </c>
      <c r="Q8" s="69">
        <f t="shared" si="16"/>
        <v>203.57142857142858</v>
      </c>
      <c r="R8" s="69">
        <f t="shared" si="16"/>
        <v>203.57142857142858</v>
      </c>
      <c r="S8" s="69">
        <f t="shared" si="16"/>
        <v>203.57142857142858</v>
      </c>
      <c r="T8" s="69">
        <f t="shared" si="16"/>
        <v>203.57142857142858</v>
      </c>
      <c r="U8" s="69">
        <f t="shared" si="16"/>
        <v>203.57142857142858</v>
      </c>
      <c r="V8" s="69">
        <v>0</v>
      </c>
      <c r="W8" s="69">
        <f t="shared" ref="W8:AE8" si="17">$B$52/$B$59</f>
        <v>203.57142857142858</v>
      </c>
      <c r="X8" s="69">
        <f t="shared" si="17"/>
        <v>203.57142857142858</v>
      </c>
      <c r="Y8" s="69">
        <f t="shared" si="17"/>
        <v>203.57142857142858</v>
      </c>
      <c r="Z8" s="69">
        <f t="shared" si="17"/>
        <v>203.57142857142858</v>
      </c>
      <c r="AA8" s="69">
        <f t="shared" si="17"/>
        <v>203.57142857142858</v>
      </c>
      <c r="AB8" s="69">
        <f t="shared" si="17"/>
        <v>203.57142857142858</v>
      </c>
      <c r="AC8" s="69">
        <f t="shared" si="17"/>
        <v>203.57142857142858</v>
      </c>
      <c r="AD8" s="69">
        <f t="shared" si="17"/>
        <v>203.57142857142858</v>
      </c>
      <c r="AE8" s="69">
        <f t="shared" si="17"/>
        <v>203.57142857142858</v>
      </c>
      <c r="AF8" s="56">
        <f t="shared" si="9"/>
        <v>5699.9999999999982</v>
      </c>
      <c r="AG8" s="67">
        <f t="shared" si="10"/>
        <v>189.99999999999994</v>
      </c>
      <c r="AH8" s="68">
        <f t="shared" si="11"/>
        <v>1.5199675740250878</v>
      </c>
      <c r="AI8" s="14"/>
      <c r="AJ8" s="14"/>
      <c r="AM8" s="74"/>
      <c r="AR8" s="14"/>
      <c r="AS8" s="14"/>
      <c r="AT8" s="14"/>
      <c r="AU8" s="14"/>
      <c r="AV8" s="14"/>
      <c r="AW8" s="14"/>
      <c r="AX8" s="14"/>
      <c r="AY8" s="14"/>
      <c r="AZ8" s="14"/>
      <c r="BA8" s="14"/>
      <c r="BB8" s="14"/>
      <c r="BC8" s="14"/>
      <c r="BD8" s="14"/>
      <c r="BE8" s="14"/>
      <c r="BF8" s="14"/>
    </row>
    <row r="9" spans="1:58"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1"/>
      <c r="AG9" s="71"/>
      <c r="AH9" s="72"/>
      <c r="AI9" s="14"/>
      <c r="AJ9" s="14"/>
      <c r="AM9" s="74"/>
      <c r="AR9" s="14"/>
      <c r="AS9" s="14"/>
      <c r="AT9" s="14"/>
      <c r="AU9" s="14"/>
      <c r="AV9" s="14"/>
      <c r="AW9" s="14"/>
      <c r="AX9" s="14"/>
      <c r="AY9" s="14"/>
      <c r="AZ9" s="14"/>
      <c r="BA9" s="14"/>
      <c r="BB9" s="14"/>
      <c r="BC9" s="14"/>
      <c r="BD9" s="14"/>
      <c r="BE9" s="14"/>
      <c r="BF9" s="14"/>
    </row>
    <row r="10" spans="1:58" ht="15.75" customHeight="1" x14ac:dyDescent="0.2">
      <c r="A10" s="4" t="s">
        <v>169</v>
      </c>
      <c r="B10" s="69">
        <f>10+50+40+45+100+50+50</f>
        <v>345</v>
      </c>
      <c r="C10" s="69">
        <f>30+20+30+50+200+30+20+50+20+40</f>
        <v>490</v>
      </c>
      <c r="D10" s="69">
        <f>30+20+50+200+20+30+30+20+30+40+60</f>
        <v>530</v>
      </c>
      <c r="E10" s="69">
        <f>30+20+20+100+120+20+50+30+50</f>
        <v>440</v>
      </c>
      <c r="F10" s="69">
        <f>40+20+30+150+30+40+20+30+30+30</f>
        <v>420</v>
      </c>
      <c r="G10" s="69">
        <v>0</v>
      </c>
      <c r="H10" s="69">
        <f>30+20+30+130+30+30</f>
        <v>270</v>
      </c>
      <c r="I10" s="69">
        <f>50+20+30+100+30+30+30+20+50</f>
        <v>360</v>
      </c>
      <c r="J10" s="69">
        <f>40+10+40+20+100+30+30+50+40+40</f>
        <v>400</v>
      </c>
      <c r="K10" s="69">
        <f>30+20+50+100+20+30+50+30+30</f>
        <v>360</v>
      </c>
      <c r="L10" s="69">
        <f>40+20+20+100+70+30+30+30</f>
        <v>340</v>
      </c>
      <c r="M10" s="69">
        <f>30+20+40+100+30+40+30+30+40+50</f>
        <v>410</v>
      </c>
      <c r="N10" s="69">
        <f>40+20+50+150+30+30+50+60+50+50+120</f>
        <v>650</v>
      </c>
      <c r="O10" s="69">
        <f>20+20+80+30+30+1350+30+30+50</f>
        <v>1640</v>
      </c>
      <c r="P10" s="69">
        <f>40+20+30+100+30+30+50+50</f>
        <v>350</v>
      </c>
      <c r="Q10" s="69">
        <f>30+20+50+100+30+30+30+50+20+40</f>
        <v>400</v>
      </c>
      <c r="R10" s="69">
        <f>15+15+20+90+50+30+30+50+50</f>
        <v>350</v>
      </c>
      <c r="S10" s="69">
        <f>40+20+20+30+30+200+40+40</f>
        <v>420</v>
      </c>
      <c r="T10" s="69">
        <f>30+20+30+150+30+30+30+30+40+40</f>
        <v>430</v>
      </c>
      <c r="U10" s="69">
        <f>60+20+30+100+30+60+20+50+50</f>
        <v>420</v>
      </c>
      <c r="V10" s="69">
        <v>0</v>
      </c>
      <c r="W10" s="69">
        <f>40+20+20+30+70+30</f>
        <v>210</v>
      </c>
      <c r="X10" s="69">
        <f>40+20+30+100+40+30+30+30+50+40</f>
        <v>410</v>
      </c>
      <c r="Y10" s="69">
        <f>40+20+20+120+20+30+30+40+40+50</f>
        <v>410</v>
      </c>
      <c r="Z10" s="69">
        <f>40+10+20+120+30+50+20+50+100</f>
        <v>440</v>
      </c>
      <c r="AA10" s="69">
        <f>40+20+30+200+20+30+30+30</f>
        <v>400</v>
      </c>
      <c r="AB10" s="69">
        <f>40+20+50+100+20+30+30+50+50+30</f>
        <v>420</v>
      </c>
      <c r="AC10" s="69">
        <f>40+20+30+100+10+60+60+30+30+50+50</f>
        <v>480</v>
      </c>
      <c r="AD10" s="69">
        <f>40+20+20+120+30+30+10+30+50+50</f>
        <v>400</v>
      </c>
      <c r="AE10" s="69">
        <f>40+20+30+100+30+30+50</f>
        <v>300</v>
      </c>
      <c r="AF10" s="56">
        <f t="shared" ref="AF10:AF18" si="18">SUM(B10:AD10)</f>
        <v>12195</v>
      </c>
      <c r="AG10" s="67">
        <f t="shared" ref="AG10:AG18" si="19">IFERROR(AVERAGE(B10:AE10),0)</f>
        <v>416.5</v>
      </c>
      <c r="AH10" s="68">
        <f t="shared" ref="AH10:AH18" si="20">(AG10/$AG$29)*100</f>
        <v>3.3319289188497323</v>
      </c>
      <c r="AM10" s="74"/>
      <c r="AR10" s="14"/>
      <c r="AS10" s="14"/>
      <c r="AT10" s="14"/>
      <c r="AU10" s="14"/>
      <c r="AV10" s="14"/>
      <c r="AW10" s="14"/>
      <c r="AX10" s="14"/>
      <c r="AY10" s="14"/>
      <c r="AZ10" s="14"/>
      <c r="BA10" s="14"/>
      <c r="BB10" s="14"/>
      <c r="BC10" s="14"/>
      <c r="BD10" s="14"/>
      <c r="BE10" s="14"/>
      <c r="BF10" s="14"/>
    </row>
    <row r="11" spans="1:58" ht="15.75" customHeight="1" x14ac:dyDescent="0.2">
      <c r="A11" s="4" t="s">
        <v>170</v>
      </c>
      <c r="B11" s="69">
        <v>150</v>
      </c>
      <c r="C11" s="69">
        <v>150</v>
      </c>
      <c r="D11" s="69">
        <v>250</v>
      </c>
      <c r="E11" s="69">
        <v>200</v>
      </c>
      <c r="F11" s="69">
        <v>200</v>
      </c>
      <c r="G11" s="69">
        <v>0</v>
      </c>
      <c r="H11" s="69">
        <v>100</v>
      </c>
      <c r="I11" s="69">
        <v>100</v>
      </c>
      <c r="J11" s="69">
        <v>150</v>
      </c>
      <c r="K11" s="69">
        <v>150</v>
      </c>
      <c r="L11" s="69">
        <v>150</v>
      </c>
      <c r="M11" s="69">
        <v>100</v>
      </c>
      <c r="N11" s="69">
        <v>150</v>
      </c>
      <c r="O11" s="69">
        <v>150</v>
      </c>
      <c r="P11" s="69">
        <v>100</v>
      </c>
      <c r="Q11" s="69">
        <v>150</v>
      </c>
      <c r="R11" s="69">
        <v>150</v>
      </c>
      <c r="S11" s="69">
        <v>200</v>
      </c>
      <c r="T11" s="69">
        <v>150</v>
      </c>
      <c r="U11" s="69">
        <v>250</v>
      </c>
      <c r="V11" s="69">
        <v>0</v>
      </c>
      <c r="W11" s="69">
        <v>150</v>
      </c>
      <c r="X11" s="69">
        <v>200</v>
      </c>
      <c r="Y11" s="69">
        <v>150</v>
      </c>
      <c r="Z11" s="69">
        <v>150</v>
      </c>
      <c r="AA11" s="69">
        <v>250</v>
      </c>
      <c r="AB11" s="69">
        <v>150</v>
      </c>
      <c r="AC11" s="69">
        <v>150</v>
      </c>
      <c r="AD11" s="69">
        <v>200</v>
      </c>
      <c r="AE11" s="69">
        <v>200</v>
      </c>
      <c r="AF11" s="56">
        <f t="shared" si="18"/>
        <v>4400</v>
      </c>
      <c r="AG11" s="67">
        <f t="shared" si="19"/>
        <v>153.33333333333334</v>
      </c>
      <c r="AH11" s="68">
        <f t="shared" si="20"/>
        <v>1.2266404983360362</v>
      </c>
      <c r="AJ11" s="14"/>
      <c r="AM11" s="74"/>
      <c r="AR11" s="14"/>
      <c r="AS11" s="14"/>
      <c r="AT11" s="14"/>
      <c r="AU11" s="14"/>
      <c r="AV11" s="14"/>
      <c r="AW11" s="14"/>
      <c r="AX11" s="14"/>
      <c r="AY11" s="14"/>
      <c r="AZ11" s="14"/>
      <c r="BA11" s="14"/>
      <c r="BB11" s="14"/>
      <c r="BC11" s="14"/>
      <c r="BD11" s="14"/>
      <c r="BE11" s="14"/>
      <c r="BF11" s="14"/>
    </row>
    <row r="12" spans="1:58" ht="15.75" customHeight="1" x14ac:dyDescent="0.2">
      <c r="A12" s="4" t="s">
        <v>171</v>
      </c>
      <c r="B12" s="69">
        <v>0</v>
      </c>
      <c r="C12" s="69">
        <v>100</v>
      </c>
      <c r="D12" s="69">
        <v>100</v>
      </c>
      <c r="E12" s="69">
        <v>100</v>
      </c>
      <c r="F12" s="69">
        <v>100</v>
      </c>
      <c r="G12" s="69">
        <v>0</v>
      </c>
      <c r="H12" s="69">
        <v>100</v>
      </c>
      <c r="I12" s="69">
        <v>100</v>
      </c>
      <c r="J12" s="69">
        <v>100</v>
      </c>
      <c r="K12" s="69">
        <v>130</v>
      </c>
      <c r="L12" s="69">
        <v>100</v>
      </c>
      <c r="M12" s="69">
        <v>100</v>
      </c>
      <c r="N12" s="69">
        <v>130</v>
      </c>
      <c r="O12" s="69">
        <v>100</v>
      </c>
      <c r="P12" s="69">
        <v>100</v>
      </c>
      <c r="Q12" s="69">
        <v>100</v>
      </c>
      <c r="R12" s="69">
        <v>100</v>
      </c>
      <c r="S12" s="69">
        <v>100</v>
      </c>
      <c r="T12" s="69">
        <v>100</v>
      </c>
      <c r="U12" s="69">
        <v>130</v>
      </c>
      <c r="V12" s="69">
        <v>0</v>
      </c>
      <c r="W12" s="69">
        <v>100</v>
      </c>
      <c r="X12" s="69">
        <v>100</v>
      </c>
      <c r="Y12" s="69">
        <v>100</v>
      </c>
      <c r="Z12" s="69">
        <v>100</v>
      </c>
      <c r="AA12" s="69">
        <v>100</v>
      </c>
      <c r="AB12" s="69">
        <v>130</v>
      </c>
      <c r="AC12" s="69">
        <v>100</v>
      </c>
      <c r="AD12" s="69">
        <v>100</v>
      </c>
      <c r="AE12" s="69">
        <v>100</v>
      </c>
      <c r="AF12" s="56">
        <f t="shared" si="18"/>
        <v>2720</v>
      </c>
      <c r="AG12" s="67">
        <f t="shared" si="19"/>
        <v>94</v>
      </c>
      <c r="AH12" s="68">
        <f t="shared" si="20"/>
        <v>0.75198395767556991</v>
      </c>
      <c r="AJ12" s="14"/>
      <c r="AM12" s="74"/>
      <c r="AR12" s="14"/>
      <c r="AS12" s="14"/>
      <c r="AT12" s="14"/>
      <c r="AU12" s="14"/>
      <c r="AV12" s="14"/>
      <c r="AW12" s="14"/>
      <c r="AX12" s="14"/>
      <c r="AY12" s="14"/>
      <c r="AZ12" s="14"/>
      <c r="BA12" s="14"/>
      <c r="BB12" s="14"/>
      <c r="BC12" s="14"/>
      <c r="BD12" s="14"/>
      <c r="BE12" s="14"/>
      <c r="BF12" s="14"/>
    </row>
    <row r="13" spans="1:58" ht="15.75" customHeight="1" x14ac:dyDescent="0.2">
      <c r="A13" s="4" t="s">
        <v>172</v>
      </c>
      <c r="B13" s="69">
        <v>370</v>
      </c>
      <c r="C13" s="69">
        <v>0</v>
      </c>
      <c r="D13" s="69">
        <v>370</v>
      </c>
      <c r="E13" s="69">
        <v>0</v>
      </c>
      <c r="F13" s="69">
        <v>370</v>
      </c>
      <c r="G13" s="69">
        <v>0</v>
      </c>
      <c r="H13" s="69">
        <v>370</v>
      </c>
      <c r="I13" s="69">
        <v>370</v>
      </c>
      <c r="J13" s="69">
        <v>0</v>
      </c>
      <c r="K13" s="69">
        <v>0</v>
      </c>
      <c r="L13" s="69">
        <v>370</v>
      </c>
      <c r="M13" s="69">
        <v>370</v>
      </c>
      <c r="N13" s="69">
        <v>370</v>
      </c>
      <c r="O13" s="69">
        <v>370</v>
      </c>
      <c r="P13" s="69">
        <v>0</v>
      </c>
      <c r="Q13" s="69">
        <v>0</v>
      </c>
      <c r="R13" s="69">
        <v>0</v>
      </c>
      <c r="S13" s="69">
        <v>370</v>
      </c>
      <c r="T13" s="69">
        <v>370</v>
      </c>
      <c r="U13" s="69">
        <v>370</v>
      </c>
      <c r="V13" s="69">
        <v>0</v>
      </c>
      <c r="W13" s="69">
        <v>0</v>
      </c>
      <c r="X13" s="69">
        <v>0</v>
      </c>
      <c r="Y13" s="69">
        <v>0</v>
      </c>
      <c r="Z13" s="69">
        <v>370</v>
      </c>
      <c r="AA13" s="69">
        <v>0</v>
      </c>
      <c r="AB13" s="69">
        <v>370</v>
      </c>
      <c r="AC13" s="69">
        <v>370</v>
      </c>
      <c r="AD13" s="69">
        <v>0</v>
      </c>
      <c r="AE13" s="69">
        <v>370</v>
      </c>
      <c r="AF13" s="56">
        <f t="shared" si="18"/>
        <v>5550</v>
      </c>
      <c r="AG13" s="67">
        <f t="shared" si="19"/>
        <v>197.33333333333334</v>
      </c>
      <c r="AH13" s="68">
        <f t="shared" si="20"/>
        <v>1.5786329891628987</v>
      </c>
      <c r="AJ13" s="14"/>
      <c r="AM13" s="74"/>
      <c r="AR13" s="14"/>
      <c r="AS13" s="14"/>
      <c r="AT13" s="14"/>
      <c r="AU13" s="14"/>
      <c r="AV13" s="14"/>
      <c r="AW13" s="14"/>
      <c r="AX13" s="14"/>
      <c r="AY13" s="14"/>
      <c r="AZ13" s="14"/>
      <c r="BA13" s="14"/>
      <c r="BB13" s="14"/>
      <c r="BC13" s="14"/>
      <c r="BD13" s="14"/>
      <c r="BE13" s="14"/>
      <c r="BF13" s="14"/>
    </row>
    <row r="14" spans="1:58" ht="15.75" customHeight="1" x14ac:dyDescent="0.2">
      <c r="A14" s="4" t="s">
        <v>173</v>
      </c>
      <c r="B14" s="69">
        <v>0</v>
      </c>
      <c r="C14" s="69">
        <v>160</v>
      </c>
      <c r="D14" s="69">
        <v>70</v>
      </c>
      <c r="E14" s="69">
        <v>120</v>
      </c>
      <c r="F14" s="69">
        <v>80</v>
      </c>
      <c r="G14" s="69">
        <v>0</v>
      </c>
      <c r="H14" s="69">
        <v>0</v>
      </c>
      <c r="I14" s="69">
        <v>160</v>
      </c>
      <c r="J14" s="69">
        <v>120</v>
      </c>
      <c r="K14" s="69">
        <v>0</v>
      </c>
      <c r="L14" s="69">
        <v>80</v>
      </c>
      <c r="M14" s="69">
        <v>150</v>
      </c>
      <c r="N14" s="69">
        <v>100</v>
      </c>
      <c r="O14" s="69">
        <v>200</v>
      </c>
      <c r="P14" s="69">
        <v>0</v>
      </c>
      <c r="Q14" s="69">
        <v>120</v>
      </c>
      <c r="R14" s="69">
        <v>0</v>
      </c>
      <c r="S14" s="69">
        <v>0</v>
      </c>
      <c r="T14" s="69">
        <v>120</v>
      </c>
      <c r="U14" s="69">
        <v>0</v>
      </c>
      <c r="V14" s="69">
        <v>0</v>
      </c>
      <c r="W14" s="69">
        <v>160</v>
      </c>
      <c r="X14" s="69">
        <v>80</v>
      </c>
      <c r="Y14" s="69">
        <v>80</v>
      </c>
      <c r="Z14" s="69">
        <v>0</v>
      </c>
      <c r="AA14" s="69">
        <v>120</v>
      </c>
      <c r="AB14" s="69">
        <v>160</v>
      </c>
      <c r="AC14" s="69">
        <v>80</v>
      </c>
      <c r="AD14" s="69">
        <v>0</v>
      </c>
      <c r="AE14" s="69">
        <v>0</v>
      </c>
      <c r="AF14" s="56">
        <f t="shared" si="18"/>
        <v>2160</v>
      </c>
      <c r="AG14" s="67">
        <f t="shared" si="19"/>
        <v>72</v>
      </c>
      <c r="AH14" s="68">
        <f t="shared" si="20"/>
        <v>0.57598771226213874</v>
      </c>
      <c r="AI14" s="14"/>
      <c r="AJ14" s="14"/>
      <c r="AR14" s="14"/>
      <c r="AS14" s="14"/>
      <c r="AT14" s="14"/>
      <c r="AU14" s="14"/>
      <c r="AV14" s="14"/>
      <c r="AW14" s="14"/>
      <c r="AX14" s="14"/>
      <c r="AY14" s="14"/>
      <c r="AZ14" s="14"/>
      <c r="BA14" s="14"/>
      <c r="BB14" s="14"/>
      <c r="BC14" s="14"/>
      <c r="BD14" s="14"/>
      <c r="BE14" s="14"/>
      <c r="BF14" s="14"/>
    </row>
    <row r="15" spans="1:58" ht="15.75" customHeight="1" x14ac:dyDescent="0.2">
      <c r="A15" s="4" t="s">
        <v>174</v>
      </c>
      <c r="B15" s="69">
        <v>70</v>
      </c>
      <c r="C15" s="69">
        <v>0</v>
      </c>
      <c r="D15" s="69">
        <v>0</v>
      </c>
      <c r="E15" s="69">
        <v>70</v>
      </c>
      <c r="F15" s="69">
        <v>105</v>
      </c>
      <c r="G15" s="69">
        <v>0</v>
      </c>
      <c r="H15" s="69">
        <v>0</v>
      </c>
      <c r="I15" s="69">
        <v>0</v>
      </c>
      <c r="J15" s="69">
        <v>0</v>
      </c>
      <c r="K15" s="69">
        <v>0</v>
      </c>
      <c r="L15" s="69">
        <v>70</v>
      </c>
      <c r="M15" s="69">
        <v>0</v>
      </c>
      <c r="N15" s="69">
        <v>175</v>
      </c>
      <c r="O15" s="69">
        <v>0</v>
      </c>
      <c r="P15" s="69">
        <v>0</v>
      </c>
      <c r="Q15" s="69">
        <v>0</v>
      </c>
      <c r="R15" s="69">
        <v>89</v>
      </c>
      <c r="S15" s="69">
        <v>0</v>
      </c>
      <c r="T15" s="69">
        <v>140</v>
      </c>
      <c r="U15" s="69">
        <v>70</v>
      </c>
      <c r="V15" s="69">
        <v>0</v>
      </c>
      <c r="W15" s="69">
        <v>70</v>
      </c>
      <c r="X15" s="69">
        <v>0</v>
      </c>
      <c r="Y15" s="69">
        <v>140</v>
      </c>
      <c r="Z15" s="69">
        <v>0</v>
      </c>
      <c r="AA15" s="69">
        <v>0</v>
      </c>
      <c r="AB15" s="69">
        <v>70</v>
      </c>
      <c r="AC15" s="69">
        <v>0</v>
      </c>
      <c r="AD15" s="69">
        <v>140</v>
      </c>
      <c r="AE15" s="69">
        <v>0</v>
      </c>
      <c r="AF15" s="56">
        <f t="shared" si="18"/>
        <v>1209</v>
      </c>
      <c r="AG15" s="67">
        <f t="shared" si="19"/>
        <v>40.299999999999997</v>
      </c>
      <c r="AH15" s="68">
        <f t="shared" si="20"/>
        <v>0.32239312228005818</v>
      </c>
      <c r="AI15" s="14"/>
      <c r="AJ15" s="14"/>
      <c r="AR15" s="14"/>
      <c r="AS15" s="14"/>
      <c r="AT15" s="14"/>
      <c r="AU15" s="14"/>
      <c r="AV15" s="14"/>
      <c r="AW15" s="14"/>
      <c r="AX15" s="14"/>
      <c r="AY15" s="14"/>
      <c r="AZ15" s="14"/>
      <c r="BA15" s="14"/>
      <c r="BB15" s="14"/>
      <c r="BC15" s="14"/>
      <c r="BD15" s="14"/>
      <c r="BE15" s="14"/>
      <c r="BF15" s="14"/>
    </row>
    <row r="16" spans="1:58" ht="15.75" customHeight="1" x14ac:dyDescent="0.2">
      <c r="A16" s="4" t="s">
        <v>175</v>
      </c>
      <c r="B16" s="69">
        <v>150</v>
      </c>
      <c r="C16" s="69">
        <v>0</v>
      </c>
      <c r="D16" s="69">
        <v>160</v>
      </c>
      <c r="E16" s="69">
        <v>160</v>
      </c>
      <c r="F16" s="69">
        <v>160</v>
      </c>
      <c r="G16" s="69">
        <v>0</v>
      </c>
      <c r="H16" s="69">
        <v>160</v>
      </c>
      <c r="I16" s="69">
        <v>0</v>
      </c>
      <c r="J16" s="69">
        <v>160</v>
      </c>
      <c r="K16" s="69">
        <v>0</v>
      </c>
      <c r="L16" s="69">
        <v>160</v>
      </c>
      <c r="M16" s="69">
        <v>160</v>
      </c>
      <c r="N16" s="69">
        <v>0</v>
      </c>
      <c r="O16" s="69">
        <v>160</v>
      </c>
      <c r="P16" s="69">
        <v>160</v>
      </c>
      <c r="Q16" s="69">
        <v>0</v>
      </c>
      <c r="R16" s="69">
        <v>150</v>
      </c>
      <c r="S16" s="69">
        <v>0</v>
      </c>
      <c r="T16" s="69">
        <v>150</v>
      </c>
      <c r="U16" s="69">
        <v>150</v>
      </c>
      <c r="V16" s="69">
        <v>0</v>
      </c>
      <c r="W16" s="69">
        <v>0</v>
      </c>
      <c r="X16" s="69">
        <v>150</v>
      </c>
      <c r="Y16" s="69">
        <v>150</v>
      </c>
      <c r="Z16" s="69">
        <v>0</v>
      </c>
      <c r="AA16" s="69">
        <v>150</v>
      </c>
      <c r="AB16" s="69">
        <v>150</v>
      </c>
      <c r="AC16" s="69">
        <v>150</v>
      </c>
      <c r="AD16" s="69">
        <v>150</v>
      </c>
      <c r="AE16" s="69">
        <v>0</v>
      </c>
      <c r="AF16" s="56">
        <f t="shared" si="18"/>
        <v>2940</v>
      </c>
      <c r="AG16" s="67">
        <f t="shared" si="19"/>
        <v>98</v>
      </c>
      <c r="AH16" s="68">
        <f t="shared" si="20"/>
        <v>0.78398327502346654</v>
      </c>
      <c r="AI16" s="14"/>
      <c r="AJ16" s="14"/>
      <c r="AR16" s="14"/>
      <c r="AS16" s="14"/>
      <c r="AT16" s="14"/>
      <c r="AU16" s="14"/>
      <c r="AV16" s="14"/>
      <c r="AW16" s="14"/>
      <c r="AX16" s="14"/>
      <c r="AY16" s="14"/>
      <c r="AZ16" s="14"/>
      <c r="BA16" s="14"/>
      <c r="BB16" s="14"/>
      <c r="BC16" s="14"/>
      <c r="BD16" s="14"/>
      <c r="BE16" s="14"/>
      <c r="BF16" s="14"/>
    </row>
    <row r="17" spans="1:58" ht="15.75" customHeight="1" x14ac:dyDescent="0.2">
      <c r="A17" s="4" t="s">
        <v>176</v>
      </c>
      <c r="B17" s="69">
        <v>89</v>
      </c>
      <c r="C17" s="69">
        <v>0</v>
      </c>
      <c r="D17" s="69">
        <v>200</v>
      </c>
      <c r="E17" s="69">
        <v>0</v>
      </c>
      <c r="F17" s="69">
        <v>0</v>
      </c>
      <c r="G17" s="69">
        <v>0</v>
      </c>
      <c r="H17" s="69">
        <v>0</v>
      </c>
      <c r="I17" s="69">
        <v>89</v>
      </c>
      <c r="J17" s="69">
        <v>0</v>
      </c>
      <c r="K17" s="69">
        <f>89+200+65</f>
        <v>354</v>
      </c>
      <c r="L17" s="69">
        <v>65</v>
      </c>
      <c r="M17" s="69">
        <v>65</v>
      </c>
      <c r="N17" s="69">
        <v>65</v>
      </c>
      <c r="O17" s="69">
        <f>89+600+65+40+40+40+90</f>
        <v>964</v>
      </c>
      <c r="P17" s="69">
        <f>65+65</f>
        <v>130</v>
      </c>
      <c r="Q17" s="69">
        <f>89+200+65</f>
        <v>354</v>
      </c>
      <c r="R17" s="69">
        <f>65+505+120</f>
        <v>690</v>
      </c>
      <c r="S17" s="69">
        <f>65+60</f>
        <v>125</v>
      </c>
      <c r="T17" s="69">
        <f>89+65+75+500</f>
        <v>729</v>
      </c>
      <c r="U17" s="69">
        <f>200+65</f>
        <v>265</v>
      </c>
      <c r="V17" s="69">
        <v>0</v>
      </c>
      <c r="W17" s="69">
        <f>65+180+108</f>
        <v>353</v>
      </c>
      <c r="X17" s="69">
        <f>65+89+40+40</f>
        <v>234</v>
      </c>
      <c r="Y17" s="69">
        <f>65</f>
        <v>65</v>
      </c>
      <c r="Z17" s="69">
        <f>65+65</f>
        <v>130</v>
      </c>
      <c r="AA17" s="69">
        <f>90+65+200</f>
        <v>355</v>
      </c>
      <c r="AB17" s="69">
        <f>86+65</f>
        <v>151</v>
      </c>
      <c r="AC17" s="69">
        <v>65</v>
      </c>
      <c r="AD17" s="69">
        <f>65+84</f>
        <v>149</v>
      </c>
      <c r="AE17" s="69">
        <v>80</v>
      </c>
      <c r="AF17" s="56">
        <f t="shared" si="18"/>
        <v>5686</v>
      </c>
      <c r="AG17" s="67">
        <f t="shared" si="19"/>
        <v>192.2</v>
      </c>
      <c r="AH17" s="68">
        <f t="shared" si="20"/>
        <v>1.5375671985664312</v>
      </c>
      <c r="AI17" s="14"/>
      <c r="AJ17" s="14"/>
      <c r="AR17" s="14"/>
      <c r="AS17" s="14"/>
      <c r="AT17" s="14"/>
      <c r="AU17" s="14"/>
      <c r="AV17" s="14"/>
      <c r="AW17" s="14"/>
      <c r="AX17" s="14"/>
      <c r="AY17" s="14"/>
      <c r="AZ17" s="14"/>
      <c r="BA17" s="14"/>
      <c r="BB17" s="14"/>
      <c r="BC17" s="14"/>
      <c r="BD17" s="14"/>
      <c r="BE17" s="14"/>
      <c r="BF17" s="14"/>
    </row>
    <row r="18" spans="1:58" ht="15.75" customHeight="1" x14ac:dyDescent="0.2">
      <c r="A18" s="4" t="s">
        <v>177</v>
      </c>
      <c r="B18" s="69">
        <v>0</v>
      </c>
      <c r="C18" s="69">
        <v>70</v>
      </c>
      <c r="D18" s="69">
        <v>0</v>
      </c>
      <c r="E18" s="69">
        <f>100+200</f>
        <v>300</v>
      </c>
      <c r="F18" s="69">
        <v>270</v>
      </c>
      <c r="G18" s="69">
        <v>0</v>
      </c>
      <c r="H18" s="69">
        <v>0</v>
      </c>
      <c r="I18" s="69">
        <v>90</v>
      </c>
      <c r="J18" s="69">
        <v>0</v>
      </c>
      <c r="K18" s="69">
        <v>75</v>
      </c>
      <c r="L18" s="69">
        <v>0</v>
      </c>
      <c r="M18" s="69">
        <v>100</v>
      </c>
      <c r="N18" s="69">
        <v>220</v>
      </c>
      <c r="O18" s="69">
        <v>70</v>
      </c>
      <c r="P18" s="69">
        <v>0</v>
      </c>
      <c r="Q18" s="69">
        <v>100</v>
      </c>
      <c r="R18" s="69">
        <v>0</v>
      </c>
      <c r="S18" s="69">
        <v>70</v>
      </c>
      <c r="T18" s="69">
        <v>100</v>
      </c>
      <c r="U18" s="69">
        <v>0</v>
      </c>
      <c r="V18" s="69">
        <v>0</v>
      </c>
      <c r="W18" s="69">
        <v>70</v>
      </c>
      <c r="X18" s="69">
        <v>0</v>
      </c>
      <c r="Y18" s="69">
        <v>100</v>
      </c>
      <c r="Z18" s="69">
        <v>240</v>
      </c>
      <c r="AA18" s="69">
        <v>70</v>
      </c>
      <c r="AB18" s="69">
        <v>100</v>
      </c>
      <c r="AC18" s="69">
        <v>0</v>
      </c>
      <c r="AD18" s="69">
        <v>70</v>
      </c>
      <c r="AE18" s="69">
        <v>0</v>
      </c>
      <c r="AF18" s="56">
        <f t="shared" si="18"/>
        <v>2115</v>
      </c>
      <c r="AG18" s="67">
        <f t="shared" si="19"/>
        <v>70.5</v>
      </c>
      <c r="AH18" s="68">
        <f t="shared" si="20"/>
        <v>0.56398796825667741</v>
      </c>
      <c r="AI18" s="14"/>
      <c r="AJ18" s="14"/>
      <c r="AR18" s="14"/>
      <c r="AS18" s="14"/>
      <c r="AT18" s="14"/>
      <c r="AU18" s="14"/>
      <c r="AV18" s="14"/>
      <c r="AW18" s="14"/>
      <c r="AX18" s="14"/>
      <c r="AY18" s="14"/>
      <c r="AZ18" s="14"/>
      <c r="BA18" s="14"/>
      <c r="BB18" s="14"/>
      <c r="BC18" s="14"/>
      <c r="BD18" s="14"/>
      <c r="BE18" s="14"/>
      <c r="BF18" s="14"/>
    </row>
    <row r="19" spans="1:58"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1"/>
      <c r="AG19" s="71"/>
      <c r="AH19" s="72"/>
      <c r="AI19" s="14"/>
      <c r="AJ19" s="14"/>
      <c r="AR19" s="14"/>
      <c r="AS19" s="14"/>
      <c r="AT19" s="14"/>
      <c r="AU19" s="14"/>
      <c r="AV19" s="14"/>
      <c r="AW19" s="14"/>
      <c r="AX19" s="14"/>
      <c r="AY19" s="14"/>
      <c r="AZ19" s="14"/>
      <c r="BA19" s="14"/>
      <c r="BB19" s="14"/>
      <c r="BC19" s="14"/>
      <c r="BD19" s="14"/>
      <c r="BE19" s="14"/>
      <c r="BF19" s="14"/>
    </row>
    <row r="20" spans="1:58" ht="15.75" customHeight="1" x14ac:dyDescent="0.2">
      <c r="A20" s="4" t="s">
        <v>179</v>
      </c>
      <c r="B20" s="69">
        <f t="shared" ref="B20:F20" si="21">$B$53/$B$59</f>
        <v>857.14285714285711</v>
      </c>
      <c r="C20" s="69">
        <f t="shared" si="21"/>
        <v>857.14285714285711</v>
      </c>
      <c r="D20" s="69">
        <f t="shared" si="21"/>
        <v>857.14285714285711</v>
      </c>
      <c r="E20" s="69">
        <f t="shared" si="21"/>
        <v>857.14285714285711</v>
      </c>
      <c r="F20" s="69">
        <f t="shared" si="21"/>
        <v>857.14285714285711</v>
      </c>
      <c r="G20" s="69">
        <v>0</v>
      </c>
      <c r="H20" s="69">
        <f t="shared" ref="H20:U20" si="22">$B$53/$B$59</f>
        <v>857.14285714285711</v>
      </c>
      <c r="I20" s="69">
        <f t="shared" si="22"/>
        <v>857.14285714285711</v>
      </c>
      <c r="J20" s="69">
        <f t="shared" si="22"/>
        <v>857.14285714285711</v>
      </c>
      <c r="K20" s="69">
        <f t="shared" si="22"/>
        <v>857.14285714285711</v>
      </c>
      <c r="L20" s="69">
        <f t="shared" si="22"/>
        <v>857.14285714285711</v>
      </c>
      <c r="M20" s="69">
        <f t="shared" si="22"/>
        <v>857.14285714285711</v>
      </c>
      <c r="N20" s="69">
        <f t="shared" si="22"/>
        <v>857.14285714285711</v>
      </c>
      <c r="O20" s="69">
        <f t="shared" si="22"/>
        <v>857.14285714285711</v>
      </c>
      <c r="P20" s="69">
        <f t="shared" si="22"/>
        <v>857.14285714285711</v>
      </c>
      <c r="Q20" s="69">
        <f t="shared" si="22"/>
        <v>857.14285714285711</v>
      </c>
      <c r="R20" s="69">
        <f t="shared" si="22"/>
        <v>857.14285714285711</v>
      </c>
      <c r="S20" s="69">
        <f t="shared" si="22"/>
        <v>857.14285714285711</v>
      </c>
      <c r="T20" s="69">
        <f t="shared" si="22"/>
        <v>857.14285714285711</v>
      </c>
      <c r="U20" s="69">
        <f t="shared" si="22"/>
        <v>857.14285714285711</v>
      </c>
      <c r="V20" s="69">
        <v>0</v>
      </c>
      <c r="W20" s="69">
        <f t="shared" ref="W20:AE20" si="23">$B$53/$B$59</f>
        <v>857.14285714285711</v>
      </c>
      <c r="X20" s="69">
        <f t="shared" si="23"/>
        <v>857.14285714285711</v>
      </c>
      <c r="Y20" s="69">
        <f t="shared" si="23"/>
        <v>857.14285714285711</v>
      </c>
      <c r="Z20" s="69">
        <f t="shared" si="23"/>
        <v>857.14285714285711</v>
      </c>
      <c r="AA20" s="69">
        <f t="shared" si="23"/>
        <v>857.14285714285711</v>
      </c>
      <c r="AB20" s="69">
        <f t="shared" si="23"/>
        <v>857.14285714285711</v>
      </c>
      <c r="AC20" s="69">
        <f t="shared" si="23"/>
        <v>857.14285714285711</v>
      </c>
      <c r="AD20" s="69">
        <f t="shared" si="23"/>
        <v>857.14285714285711</v>
      </c>
      <c r="AE20" s="69">
        <f t="shared" si="23"/>
        <v>857.14285714285711</v>
      </c>
      <c r="AF20" s="56">
        <f t="shared" ref="AF20:AF22" si="24">SUM(B20:AE20)</f>
        <v>24000.000000000011</v>
      </c>
      <c r="AG20" s="67">
        <f t="shared" ref="AG20:AG22" si="25">IFERROR(AVERAGE(B20:AE20),0)</f>
        <v>800.00000000000034</v>
      </c>
      <c r="AH20" s="68">
        <f t="shared" ref="AH20:AH22" si="26">(AG20/$AG$29)*100</f>
        <v>6.3998634695793211</v>
      </c>
      <c r="AI20" s="14"/>
      <c r="AJ20" s="14"/>
      <c r="AR20" s="14"/>
      <c r="AS20" s="14"/>
      <c r="AT20" s="14"/>
      <c r="AU20" s="14"/>
      <c r="AV20" s="14"/>
      <c r="AW20" s="14"/>
      <c r="AX20" s="14"/>
      <c r="AY20" s="14"/>
      <c r="AZ20" s="14"/>
      <c r="BA20" s="14"/>
      <c r="BB20" s="14"/>
      <c r="BC20" s="14"/>
      <c r="BD20" s="14"/>
      <c r="BE20" s="14"/>
      <c r="BF20" s="14"/>
    </row>
    <row r="21" spans="1:58" ht="15.75" customHeight="1" x14ac:dyDescent="0.2">
      <c r="A21" s="4" t="s">
        <v>180</v>
      </c>
      <c r="B21" s="69">
        <f t="shared" ref="B21:F21" si="27">$B$54/$B$59</f>
        <v>0</v>
      </c>
      <c r="C21" s="69">
        <f t="shared" si="27"/>
        <v>0</v>
      </c>
      <c r="D21" s="69">
        <f t="shared" si="27"/>
        <v>0</v>
      </c>
      <c r="E21" s="69">
        <f t="shared" si="27"/>
        <v>0</v>
      </c>
      <c r="F21" s="69">
        <f t="shared" si="27"/>
        <v>0</v>
      </c>
      <c r="G21" s="69">
        <v>0</v>
      </c>
      <c r="H21" s="69">
        <f t="shared" ref="H21:U21" si="28">$B$54/$B$59</f>
        <v>0</v>
      </c>
      <c r="I21" s="69">
        <f t="shared" si="28"/>
        <v>0</v>
      </c>
      <c r="J21" s="69">
        <f t="shared" si="28"/>
        <v>0</v>
      </c>
      <c r="K21" s="69">
        <f t="shared" si="28"/>
        <v>0</v>
      </c>
      <c r="L21" s="69">
        <f t="shared" si="28"/>
        <v>0</v>
      </c>
      <c r="M21" s="69">
        <f t="shared" si="28"/>
        <v>0</v>
      </c>
      <c r="N21" s="69">
        <f t="shared" si="28"/>
        <v>0</v>
      </c>
      <c r="O21" s="69">
        <f t="shared" si="28"/>
        <v>0</v>
      </c>
      <c r="P21" s="69">
        <f t="shared" si="28"/>
        <v>0</v>
      </c>
      <c r="Q21" s="69">
        <f t="shared" si="28"/>
        <v>0</v>
      </c>
      <c r="R21" s="69">
        <f t="shared" si="28"/>
        <v>0</v>
      </c>
      <c r="S21" s="69">
        <f t="shared" si="28"/>
        <v>0</v>
      </c>
      <c r="T21" s="69">
        <f t="shared" si="28"/>
        <v>0</v>
      </c>
      <c r="U21" s="69">
        <f t="shared" si="28"/>
        <v>0</v>
      </c>
      <c r="V21" s="69">
        <v>0</v>
      </c>
      <c r="W21" s="69">
        <f t="shared" ref="W21:AE21" si="29">$B$54/$B$59</f>
        <v>0</v>
      </c>
      <c r="X21" s="69">
        <f t="shared" si="29"/>
        <v>0</v>
      </c>
      <c r="Y21" s="69">
        <f t="shared" si="29"/>
        <v>0</v>
      </c>
      <c r="Z21" s="69">
        <f t="shared" si="29"/>
        <v>0</v>
      </c>
      <c r="AA21" s="69">
        <f t="shared" si="29"/>
        <v>0</v>
      </c>
      <c r="AB21" s="69">
        <f t="shared" si="29"/>
        <v>0</v>
      </c>
      <c r="AC21" s="69">
        <f t="shared" si="29"/>
        <v>0</v>
      </c>
      <c r="AD21" s="69">
        <f t="shared" si="29"/>
        <v>0</v>
      </c>
      <c r="AE21" s="69">
        <f t="shared" si="29"/>
        <v>0</v>
      </c>
      <c r="AF21" s="56">
        <f t="shared" si="24"/>
        <v>0</v>
      </c>
      <c r="AG21" s="67">
        <f t="shared" si="25"/>
        <v>0</v>
      </c>
      <c r="AH21" s="68">
        <f t="shared" si="26"/>
        <v>0</v>
      </c>
      <c r="AI21" s="14"/>
      <c r="AJ21" s="14"/>
      <c r="AR21" s="14"/>
      <c r="AS21" s="14"/>
      <c r="AT21" s="14"/>
      <c r="AU21" s="14"/>
      <c r="AV21" s="14"/>
      <c r="AW21" s="14"/>
      <c r="AX21" s="14"/>
      <c r="AY21" s="14"/>
      <c r="AZ21" s="14"/>
      <c r="BA21" s="14"/>
      <c r="BB21" s="14"/>
      <c r="BC21" s="14"/>
      <c r="BD21" s="14"/>
      <c r="BE21" s="14"/>
      <c r="BF21" s="14"/>
    </row>
    <row r="22" spans="1:58" ht="15.75" customHeight="1" x14ac:dyDescent="0.2">
      <c r="A22" s="4" t="s">
        <v>181</v>
      </c>
      <c r="B22" s="69">
        <f t="shared" ref="B22:F22" si="30">$B$55/$B$59</f>
        <v>204.46428571428572</v>
      </c>
      <c r="C22" s="69">
        <f t="shared" si="30"/>
        <v>204.46428571428572</v>
      </c>
      <c r="D22" s="69">
        <f t="shared" si="30"/>
        <v>204.46428571428572</v>
      </c>
      <c r="E22" s="69">
        <f t="shared" si="30"/>
        <v>204.46428571428572</v>
      </c>
      <c r="F22" s="69">
        <f t="shared" si="30"/>
        <v>204.46428571428572</v>
      </c>
      <c r="G22" s="69">
        <v>0</v>
      </c>
      <c r="H22" s="69">
        <f t="shared" ref="H22:U22" si="31">$B$55/$B$59</f>
        <v>204.46428571428572</v>
      </c>
      <c r="I22" s="69">
        <f t="shared" si="31"/>
        <v>204.46428571428572</v>
      </c>
      <c r="J22" s="69">
        <f t="shared" si="31"/>
        <v>204.46428571428572</v>
      </c>
      <c r="K22" s="69">
        <f t="shared" si="31"/>
        <v>204.46428571428572</v>
      </c>
      <c r="L22" s="69">
        <f t="shared" si="31"/>
        <v>204.46428571428572</v>
      </c>
      <c r="M22" s="69">
        <f t="shared" si="31"/>
        <v>204.46428571428572</v>
      </c>
      <c r="N22" s="69">
        <f t="shared" si="31"/>
        <v>204.46428571428572</v>
      </c>
      <c r="O22" s="69">
        <f t="shared" si="31"/>
        <v>204.46428571428572</v>
      </c>
      <c r="P22" s="69">
        <f t="shared" si="31"/>
        <v>204.46428571428572</v>
      </c>
      <c r="Q22" s="69">
        <f t="shared" si="31"/>
        <v>204.46428571428572</v>
      </c>
      <c r="R22" s="69">
        <f t="shared" si="31"/>
        <v>204.46428571428572</v>
      </c>
      <c r="S22" s="69">
        <f t="shared" si="31"/>
        <v>204.46428571428572</v>
      </c>
      <c r="T22" s="69">
        <f t="shared" si="31"/>
        <v>204.46428571428572</v>
      </c>
      <c r="U22" s="69">
        <f t="shared" si="31"/>
        <v>204.46428571428572</v>
      </c>
      <c r="V22" s="69">
        <v>0</v>
      </c>
      <c r="W22" s="69">
        <f t="shared" ref="W22:AE22" si="32">$B$55/$B$59</f>
        <v>204.46428571428572</v>
      </c>
      <c r="X22" s="69">
        <f t="shared" si="32"/>
        <v>204.46428571428572</v>
      </c>
      <c r="Y22" s="69">
        <f t="shared" si="32"/>
        <v>204.46428571428572</v>
      </c>
      <c r="Z22" s="69">
        <f t="shared" si="32"/>
        <v>204.46428571428572</v>
      </c>
      <c r="AA22" s="69">
        <f t="shared" si="32"/>
        <v>204.46428571428572</v>
      </c>
      <c r="AB22" s="69">
        <f t="shared" si="32"/>
        <v>204.46428571428572</v>
      </c>
      <c r="AC22" s="69">
        <f t="shared" si="32"/>
        <v>204.46428571428572</v>
      </c>
      <c r="AD22" s="69">
        <f t="shared" si="32"/>
        <v>204.46428571428572</v>
      </c>
      <c r="AE22" s="69">
        <f t="shared" si="32"/>
        <v>204.46428571428572</v>
      </c>
      <c r="AF22" s="56">
        <f t="shared" si="24"/>
        <v>5724.9999999999982</v>
      </c>
      <c r="AG22" s="67">
        <f t="shared" si="25"/>
        <v>190.83333333333329</v>
      </c>
      <c r="AH22" s="68">
        <f t="shared" si="26"/>
        <v>1.5266340984725661</v>
      </c>
      <c r="AI22" s="14"/>
      <c r="AJ22" s="14"/>
      <c r="AR22" s="14"/>
      <c r="AS22" s="14"/>
      <c r="AT22" s="14"/>
      <c r="AU22" s="14"/>
      <c r="AV22" s="14"/>
      <c r="AW22" s="14"/>
      <c r="AX22" s="14"/>
      <c r="AY22" s="14"/>
      <c r="AZ22" s="14"/>
      <c r="BA22" s="14"/>
      <c r="BB22" s="14"/>
      <c r="BC22" s="14"/>
      <c r="BD22" s="14"/>
      <c r="BE22" s="14"/>
      <c r="BF22" s="14"/>
    </row>
    <row r="23" spans="1:58"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1"/>
      <c r="AG23" s="71"/>
      <c r="AH23" s="72"/>
      <c r="AI23" s="14"/>
      <c r="AJ23" s="14"/>
      <c r="AR23" s="14"/>
      <c r="AS23" s="14"/>
      <c r="AT23" s="14"/>
      <c r="AU23" s="14"/>
      <c r="AV23" s="14"/>
      <c r="AW23" s="14"/>
      <c r="AX23" s="14"/>
      <c r="AY23" s="14"/>
      <c r="AZ23" s="14"/>
      <c r="BA23" s="14"/>
      <c r="BB23" s="14"/>
      <c r="BC23" s="14"/>
      <c r="BD23" s="14"/>
      <c r="BE23" s="14"/>
      <c r="BF23" s="14"/>
    </row>
    <row r="24" spans="1:58" ht="15.75" customHeight="1" x14ac:dyDescent="0.2">
      <c r="A24" s="4" t="s">
        <v>183</v>
      </c>
      <c r="B24" s="69">
        <v>0</v>
      </c>
      <c r="C24" s="69">
        <v>0</v>
      </c>
      <c r="D24" s="69">
        <v>0</v>
      </c>
      <c r="E24" s="69">
        <v>0</v>
      </c>
      <c r="F24" s="69">
        <v>0</v>
      </c>
      <c r="G24" s="69">
        <v>0</v>
      </c>
      <c r="H24" s="69">
        <v>0</v>
      </c>
      <c r="I24" s="69">
        <v>0</v>
      </c>
      <c r="J24" s="69">
        <v>0</v>
      </c>
      <c r="K24" s="69">
        <v>0</v>
      </c>
      <c r="L24" s="69">
        <v>0</v>
      </c>
      <c r="M24" s="69">
        <v>0</v>
      </c>
      <c r="N24" s="69">
        <v>0</v>
      </c>
      <c r="O24" s="69">
        <v>0</v>
      </c>
      <c r="P24" s="69">
        <v>0</v>
      </c>
      <c r="Q24" s="69">
        <v>0</v>
      </c>
      <c r="R24" s="69">
        <v>0</v>
      </c>
      <c r="S24" s="69">
        <v>0</v>
      </c>
      <c r="T24" s="69">
        <v>0</v>
      </c>
      <c r="U24" s="69">
        <v>0</v>
      </c>
      <c r="V24" s="69">
        <v>0</v>
      </c>
      <c r="W24" s="69">
        <v>0</v>
      </c>
      <c r="X24" s="69">
        <v>0</v>
      </c>
      <c r="Y24" s="69">
        <v>0</v>
      </c>
      <c r="Z24" s="69">
        <v>0</v>
      </c>
      <c r="AA24" s="69">
        <v>0</v>
      </c>
      <c r="AB24" s="69">
        <v>660</v>
      </c>
      <c r="AC24" s="69">
        <v>0</v>
      </c>
      <c r="AD24" s="69">
        <v>0</v>
      </c>
      <c r="AE24" s="69">
        <v>0</v>
      </c>
      <c r="AF24" s="56">
        <f t="shared" ref="AF24:AF32" si="33">SUM(B24:AE24)</f>
        <v>660</v>
      </c>
      <c r="AG24" s="67">
        <f t="shared" ref="AG24:AG28" si="34">IFERROR(AVERAGE(B24:AE24),0)</f>
        <v>22</v>
      </c>
      <c r="AH24" s="68">
        <f t="shared" ref="AH24:AH29" si="35">(AG24/$AG$29)*100</f>
        <v>0.17599624541343126</v>
      </c>
      <c r="AI24" s="14"/>
      <c r="AJ24" s="14"/>
      <c r="AR24" s="14"/>
      <c r="AS24" s="14"/>
      <c r="AT24" s="14"/>
      <c r="AU24" s="14"/>
      <c r="AV24" s="14"/>
      <c r="AW24" s="14"/>
      <c r="AX24" s="14"/>
      <c r="AY24" s="14"/>
      <c r="AZ24" s="14"/>
      <c r="BA24" s="14"/>
      <c r="BB24" s="14"/>
      <c r="BC24" s="14"/>
      <c r="BD24" s="14"/>
      <c r="BE24" s="14"/>
      <c r="BF24" s="14"/>
    </row>
    <row r="25" spans="1:58" ht="15.75" customHeight="1" x14ac:dyDescent="0.2">
      <c r="A25" s="4" t="s">
        <v>184</v>
      </c>
      <c r="B25" s="69">
        <v>0</v>
      </c>
      <c r="C25" s="69">
        <v>0</v>
      </c>
      <c r="D25" s="69">
        <v>0</v>
      </c>
      <c r="E25" s="69">
        <v>0</v>
      </c>
      <c r="F25" s="69">
        <v>0</v>
      </c>
      <c r="G25" s="69">
        <v>0</v>
      </c>
      <c r="H25" s="69">
        <v>0</v>
      </c>
      <c r="I25" s="69">
        <v>0</v>
      </c>
      <c r="J25" s="69">
        <v>0</v>
      </c>
      <c r="K25" s="69">
        <v>0</v>
      </c>
      <c r="L25" s="69">
        <v>520</v>
      </c>
      <c r="M25" s="69">
        <v>0</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56">
        <f t="shared" si="33"/>
        <v>520</v>
      </c>
      <c r="AG25" s="67">
        <f t="shared" si="34"/>
        <v>17.333333333333332</v>
      </c>
      <c r="AH25" s="68">
        <f t="shared" si="35"/>
        <v>0.13866370850755189</v>
      </c>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row>
    <row r="26" spans="1:58" ht="15.75" customHeight="1" x14ac:dyDescent="0.2">
      <c r="A26" s="4" t="s">
        <v>185</v>
      </c>
      <c r="B26" s="69">
        <v>20</v>
      </c>
      <c r="C26" s="69">
        <v>280</v>
      </c>
      <c r="D26" s="69">
        <v>100</v>
      </c>
      <c r="E26" s="69">
        <v>0</v>
      </c>
      <c r="F26" s="69">
        <v>0</v>
      </c>
      <c r="G26" s="69">
        <v>0</v>
      </c>
      <c r="H26" s="69">
        <v>0</v>
      </c>
      <c r="I26" s="69">
        <f>250+280</f>
        <v>530</v>
      </c>
      <c r="J26" s="69">
        <v>0</v>
      </c>
      <c r="K26" s="69">
        <v>0</v>
      </c>
      <c r="L26" s="69">
        <v>0</v>
      </c>
      <c r="M26" s="69">
        <v>0</v>
      </c>
      <c r="N26" s="69">
        <v>0</v>
      </c>
      <c r="O26" s="69">
        <f>220+100</f>
        <v>320</v>
      </c>
      <c r="P26" s="69">
        <v>0</v>
      </c>
      <c r="Q26" s="69">
        <v>0</v>
      </c>
      <c r="R26" s="69">
        <v>0</v>
      </c>
      <c r="S26" s="69">
        <v>0</v>
      </c>
      <c r="T26" s="69">
        <v>0</v>
      </c>
      <c r="U26" s="69">
        <v>220</v>
      </c>
      <c r="V26" s="69">
        <v>0</v>
      </c>
      <c r="W26" s="69">
        <v>40</v>
      </c>
      <c r="X26" s="69">
        <v>40</v>
      </c>
      <c r="Y26" s="69">
        <v>0</v>
      </c>
      <c r="Z26" s="69">
        <v>0</v>
      </c>
      <c r="AA26" s="69">
        <v>0</v>
      </c>
      <c r="AB26" s="69">
        <v>280</v>
      </c>
      <c r="AC26" s="69">
        <v>0</v>
      </c>
      <c r="AD26" s="69">
        <v>0</v>
      </c>
      <c r="AE26" s="69">
        <v>250</v>
      </c>
      <c r="AF26" s="56">
        <f t="shared" si="33"/>
        <v>2080</v>
      </c>
      <c r="AG26" s="67">
        <f t="shared" si="34"/>
        <v>69.333333333333329</v>
      </c>
      <c r="AH26" s="68">
        <f t="shared" si="35"/>
        <v>0.55465483403020754</v>
      </c>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row>
    <row r="27" spans="1:58" ht="15.75" customHeight="1" x14ac:dyDescent="0.2">
      <c r="A27" s="4" t="s">
        <v>186</v>
      </c>
      <c r="B27" s="69">
        <v>0</v>
      </c>
      <c r="C27" s="69">
        <v>0</v>
      </c>
      <c r="D27" s="69">
        <v>0</v>
      </c>
      <c r="E27" s="69">
        <v>0</v>
      </c>
      <c r="F27" s="69">
        <v>0</v>
      </c>
      <c r="G27" s="69">
        <v>0</v>
      </c>
      <c r="H27" s="69">
        <v>400</v>
      </c>
      <c r="I27" s="69">
        <v>0</v>
      </c>
      <c r="J27" s="69">
        <v>0</v>
      </c>
      <c r="K27" s="69">
        <v>0</v>
      </c>
      <c r="L27" s="69">
        <v>0</v>
      </c>
      <c r="M27" s="69">
        <v>0</v>
      </c>
      <c r="N27" s="69">
        <v>0</v>
      </c>
      <c r="O27" s="69">
        <v>0</v>
      </c>
      <c r="P27" s="69">
        <v>0</v>
      </c>
      <c r="Q27" s="69">
        <v>0</v>
      </c>
      <c r="R27" s="69">
        <v>0</v>
      </c>
      <c r="S27" s="69">
        <v>0</v>
      </c>
      <c r="T27" s="69">
        <v>0</v>
      </c>
      <c r="U27" s="69">
        <v>0</v>
      </c>
      <c r="V27" s="69">
        <v>0</v>
      </c>
      <c r="W27" s="69">
        <v>0</v>
      </c>
      <c r="X27" s="69">
        <v>0</v>
      </c>
      <c r="Y27" s="69">
        <v>0</v>
      </c>
      <c r="Z27" s="69">
        <v>0</v>
      </c>
      <c r="AA27" s="69">
        <v>0</v>
      </c>
      <c r="AB27" s="69">
        <v>0</v>
      </c>
      <c r="AC27" s="69">
        <v>0</v>
      </c>
      <c r="AD27" s="69">
        <v>500</v>
      </c>
      <c r="AE27" s="69">
        <v>0</v>
      </c>
      <c r="AF27" s="56">
        <f t="shared" si="33"/>
        <v>900</v>
      </c>
      <c r="AG27" s="67">
        <f t="shared" si="34"/>
        <v>30</v>
      </c>
      <c r="AH27" s="68">
        <f t="shared" si="35"/>
        <v>0.23999488010922446</v>
      </c>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row>
    <row r="28" spans="1:58"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56">
        <f t="shared" si="33"/>
        <v>0</v>
      </c>
      <c r="AG28" s="67">
        <f t="shared" si="34"/>
        <v>0</v>
      </c>
      <c r="AH28" s="68">
        <f t="shared" si="35"/>
        <v>0</v>
      </c>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row>
    <row r="29" spans="1:58" ht="15.75" customHeight="1" x14ac:dyDescent="0.2">
      <c r="A29" s="10" t="s">
        <v>0</v>
      </c>
      <c r="B29" s="76">
        <f t="shared" ref="B29:AE29" si="36">SUM(B2:B28)</f>
        <v>14151.964285714288</v>
      </c>
      <c r="C29" s="76">
        <f t="shared" si="36"/>
        <v>14707.964285714288</v>
      </c>
      <c r="D29" s="76">
        <f t="shared" si="36"/>
        <v>14737.964285714288</v>
      </c>
      <c r="E29" s="76">
        <f t="shared" si="36"/>
        <v>14347.964285714288</v>
      </c>
      <c r="F29" s="76">
        <f t="shared" si="36"/>
        <v>14162.964285714288</v>
      </c>
      <c r="G29" s="76">
        <f t="shared" si="36"/>
        <v>0</v>
      </c>
      <c r="H29" s="76">
        <f t="shared" si="36"/>
        <v>13857.964285714288</v>
      </c>
      <c r="I29" s="76">
        <f t="shared" si="36"/>
        <v>13756.964285714288</v>
      </c>
      <c r="J29" s="76">
        <f t="shared" si="36"/>
        <v>12887.964285714288</v>
      </c>
      <c r="K29" s="76">
        <f t="shared" si="36"/>
        <v>13026.964285714288</v>
      </c>
      <c r="L29" s="76">
        <f t="shared" si="36"/>
        <v>13812.964285714288</v>
      </c>
      <c r="M29" s="76">
        <f t="shared" si="36"/>
        <v>13412.964285714288</v>
      </c>
      <c r="N29" s="76">
        <f t="shared" si="36"/>
        <v>13317.964285714288</v>
      </c>
      <c r="O29" s="76">
        <f t="shared" si="36"/>
        <v>15431.964285714288</v>
      </c>
      <c r="P29" s="76">
        <f t="shared" si="36"/>
        <v>11497.964285714288</v>
      </c>
      <c r="Q29" s="76">
        <f t="shared" si="36"/>
        <v>12681.964285714288</v>
      </c>
      <c r="R29" s="76">
        <f t="shared" si="36"/>
        <v>12486.964285714288</v>
      </c>
      <c r="S29" s="76">
        <f t="shared" si="36"/>
        <v>12742.964285714288</v>
      </c>
      <c r="T29" s="76">
        <f t="shared" si="36"/>
        <v>13746.964285714288</v>
      </c>
      <c r="U29" s="76">
        <f t="shared" si="36"/>
        <v>13232.964285714288</v>
      </c>
      <c r="V29" s="76">
        <f t="shared" si="36"/>
        <v>0</v>
      </c>
      <c r="W29" s="76">
        <f t="shared" si="36"/>
        <v>12710.964285714288</v>
      </c>
      <c r="X29" s="76">
        <f t="shared" si="36"/>
        <v>13271.964285714288</v>
      </c>
      <c r="Y29" s="76">
        <f t="shared" si="36"/>
        <v>11752.964285714288</v>
      </c>
      <c r="Z29" s="76">
        <f t="shared" si="36"/>
        <v>13487.964285714288</v>
      </c>
      <c r="AA29" s="76">
        <f t="shared" si="36"/>
        <v>12002.964285714288</v>
      </c>
      <c r="AB29" s="76">
        <f t="shared" si="36"/>
        <v>14198.964285714288</v>
      </c>
      <c r="AC29" s="76">
        <f t="shared" si="36"/>
        <v>13452.964285714288</v>
      </c>
      <c r="AD29" s="76">
        <f t="shared" si="36"/>
        <v>13266.964285714288</v>
      </c>
      <c r="AE29" s="76">
        <f t="shared" si="36"/>
        <v>12857.964285714288</v>
      </c>
      <c r="AF29" s="28">
        <f t="shared" si="33"/>
        <v>375007.99999999983</v>
      </c>
      <c r="AG29" s="28">
        <f>AVERAGE(B29:AE29)</f>
        <v>12500.266666666661</v>
      </c>
      <c r="AH29" s="77">
        <f t="shared" si="35"/>
        <v>100</v>
      </c>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row>
    <row r="30" spans="1:58" ht="15.75" customHeight="1" x14ac:dyDescent="0.2">
      <c r="A30" s="4" t="s">
        <v>188</v>
      </c>
      <c r="B30" s="69">
        <v>5290</v>
      </c>
      <c r="C30" s="69">
        <v>6980</v>
      </c>
      <c r="D30" s="69">
        <v>7960</v>
      </c>
      <c r="E30" s="69">
        <v>4800</v>
      </c>
      <c r="F30" s="69">
        <v>5395</v>
      </c>
      <c r="G30" s="69">
        <v>0</v>
      </c>
      <c r="H30" s="69">
        <v>7555</v>
      </c>
      <c r="I30" s="69">
        <v>6750</v>
      </c>
      <c r="J30" s="69">
        <v>5385</v>
      </c>
      <c r="K30" s="69">
        <v>3415</v>
      </c>
      <c r="L30" s="69">
        <v>7520</v>
      </c>
      <c r="M30" s="69">
        <v>5810</v>
      </c>
      <c r="N30" s="69">
        <v>12585</v>
      </c>
      <c r="O30" s="69">
        <v>2180</v>
      </c>
      <c r="P30" s="69">
        <v>6380</v>
      </c>
      <c r="Q30" s="69">
        <v>8110</v>
      </c>
      <c r="R30" s="69">
        <v>4175</v>
      </c>
      <c r="S30" s="69">
        <v>7745</v>
      </c>
      <c r="T30" s="69">
        <v>8910</v>
      </c>
      <c r="U30" s="69">
        <v>5563</v>
      </c>
      <c r="V30" s="69">
        <v>0</v>
      </c>
      <c r="W30" s="69">
        <v>8425</v>
      </c>
      <c r="X30" s="69">
        <v>2690</v>
      </c>
      <c r="Y30" s="69">
        <v>3065</v>
      </c>
      <c r="Z30" s="69">
        <v>9240</v>
      </c>
      <c r="AA30" s="69">
        <v>5930</v>
      </c>
      <c r="AB30" s="69">
        <v>10645</v>
      </c>
      <c r="AC30" s="69">
        <v>8090</v>
      </c>
      <c r="AD30" s="69">
        <v>4810</v>
      </c>
      <c r="AE30" s="69">
        <v>3790</v>
      </c>
      <c r="AF30" s="56">
        <f t="shared" si="33"/>
        <v>179193</v>
      </c>
      <c r="AG30" s="67">
        <f t="shared" ref="AG30:AG32" si="37">IFERROR(AVERAGE(B30:AE30),0)</f>
        <v>5973.1</v>
      </c>
      <c r="AH30" s="68">
        <f t="shared" ref="AH30:AH31" si="38">IFERROR((AG30/$AG$32)*100,0)</f>
        <v>50.632078030696889</v>
      </c>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row>
    <row r="31" spans="1:58" ht="15.75" customHeight="1" x14ac:dyDescent="0.2">
      <c r="A31" s="4" t="s">
        <v>189</v>
      </c>
      <c r="B31" s="78">
        <f t="shared" ref="B31:AE31" si="39">B32-B30</f>
        <v>13630</v>
      </c>
      <c r="C31" s="78">
        <f t="shared" si="39"/>
        <v>8970</v>
      </c>
      <c r="D31" s="78">
        <f t="shared" si="39"/>
        <v>7385</v>
      </c>
      <c r="E31" s="78">
        <f t="shared" si="39"/>
        <v>11287</v>
      </c>
      <c r="F31" s="78">
        <f t="shared" si="39"/>
        <v>5090</v>
      </c>
      <c r="G31" s="78">
        <f t="shared" si="39"/>
        <v>0</v>
      </c>
      <c r="H31" s="78">
        <f t="shared" si="39"/>
        <v>3585</v>
      </c>
      <c r="I31" s="78">
        <f t="shared" si="39"/>
        <v>7107</v>
      </c>
      <c r="J31" s="78">
        <f t="shared" si="39"/>
        <v>4390</v>
      </c>
      <c r="K31" s="78">
        <f t="shared" si="39"/>
        <v>5037</v>
      </c>
      <c r="L31" s="78">
        <f t="shared" si="39"/>
        <v>5690</v>
      </c>
      <c r="M31" s="78">
        <f t="shared" si="39"/>
        <v>6245</v>
      </c>
      <c r="N31" s="78">
        <f t="shared" si="39"/>
        <v>4075</v>
      </c>
      <c r="O31" s="78">
        <f t="shared" si="39"/>
        <v>3955</v>
      </c>
      <c r="P31" s="78">
        <f t="shared" si="39"/>
        <v>5670</v>
      </c>
      <c r="Q31" s="78">
        <f t="shared" si="39"/>
        <v>2990</v>
      </c>
      <c r="R31" s="78">
        <f t="shared" si="39"/>
        <v>2470</v>
      </c>
      <c r="S31" s="78">
        <f t="shared" si="39"/>
        <v>7795</v>
      </c>
      <c r="T31" s="78">
        <f t="shared" si="39"/>
        <v>7995</v>
      </c>
      <c r="U31" s="78">
        <f t="shared" si="39"/>
        <v>3220</v>
      </c>
      <c r="V31" s="78">
        <f t="shared" si="39"/>
        <v>0</v>
      </c>
      <c r="W31" s="78">
        <f t="shared" si="39"/>
        <v>7155</v>
      </c>
      <c r="X31" s="78">
        <f t="shared" si="39"/>
        <v>6510</v>
      </c>
      <c r="Y31" s="78">
        <f t="shared" si="39"/>
        <v>4640</v>
      </c>
      <c r="Z31" s="78">
        <f t="shared" si="39"/>
        <v>8040</v>
      </c>
      <c r="AA31" s="78">
        <f t="shared" si="39"/>
        <v>8630</v>
      </c>
      <c r="AB31" s="78">
        <f t="shared" si="39"/>
        <v>4275</v>
      </c>
      <c r="AC31" s="78">
        <f t="shared" si="39"/>
        <v>11310</v>
      </c>
      <c r="AD31" s="78">
        <f t="shared" si="39"/>
        <v>4308</v>
      </c>
      <c r="AE31" s="78">
        <f t="shared" si="39"/>
        <v>3265</v>
      </c>
      <c r="AF31" s="56">
        <f t="shared" si="33"/>
        <v>174719</v>
      </c>
      <c r="AG31" s="67">
        <f t="shared" si="37"/>
        <v>5823.9666666666662</v>
      </c>
      <c r="AH31" s="68">
        <f t="shared" si="38"/>
        <v>49.367921969303097</v>
      </c>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row>
    <row r="32" spans="1:58" ht="15.75" customHeight="1" x14ac:dyDescent="0.2">
      <c r="A32" s="4" t="s">
        <v>190</v>
      </c>
      <c r="B32" s="69">
        <v>18920</v>
      </c>
      <c r="C32" s="69">
        <v>15950</v>
      </c>
      <c r="D32" s="69">
        <v>15345</v>
      </c>
      <c r="E32" s="69">
        <v>16087</v>
      </c>
      <c r="F32" s="69">
        <v>10485</v>
      </c>
      <c r="G32" s="69">
        <v>0</v>
      </c>
      <c r="H32" s="69">
        <v>11140</v>
      </c>
      <c r="I32" s="69">
        <v>13857</v>
      </c>
      <c r="J32" s="69">
        <v>9775</v>
      </c>
      <c r="K32" s="69">
        <v>8452</v>
      </c>
      <c r="L32" s="69">
        <v>13210</v>
      </c>
      <c r="M32" s="69">
        <v>12055</v>
      </c>
      <c r="N32" s="69">
        <v>16660</v>
      </c>
      <c r="O32" s="69">
        <v>6135</v>
      </c>
      <c r="P32" s="69">
        <v>12050</v>
      </c>
      <c r="Q32" s="69">
        <v>11100</v>
      </c>
      <c r="R32" s="69">
        <v>6645</v>
      </c>
      <c r="S32" s="69">
        <v>15540</v>
      </c>
      <c r="T32" s="69">
        <v>16905</v>
      </c>
      <c r="U32" s="69">
        <v>8783</v>
      </c>
      <c r="V32" s="69">
        <v>0</v>
      </c>
      <c r="W32" s="69">
        <v>15580</v>
      </c>
      <c r="X32" s="69">
        <v>9200</v>
      </c>
      <c r="Y32" s="69">
        <v>7705</v>
      </c>
      <c r="Z32" s="69">
        <v>17280</v>
      </c>
      <c r="AA32" s="69">
        <v>14560</v>
      </c>
      <c r="AB32" s="69">
        <v>14920</v>
      </c>
      <c r="AC32" s="69">
        <v>19400</v>
      </c>
      <c r="AD32" s="69">
        <v>9118</v>
      </c>
      <c r="AE32" s="69">
        <v>7055</v>
      </c>
      <c r="AF32" s="56">
        <f t="shared" si="33"/>
        <v>353912</v>
      </c>
      <c r="AG32" s="67">
        <f t="shared" si="37"/>
        <v>11797.066666666668</v>
      </c>
      <c r="AH32" s="68">
        <f>IFERROR((AG32/$AG$32)*100,0)</f>
        <v>100</v>
      </c>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row>
    <row r="33" spans="1:34" ht="15.75" customHeight="1" x14ac:dyDescent="0.2">
      <c r="A33" s="4" t="s">
        <v>191</v>
      </c>
      <c r="B33" s="69">
        <f t="shared" ref="B33:AE33" si="40">B32-B29</f>
        <v>4768.0357142857119</v>
      </c>
      <c r="C33" s="69">
        <f t="shared" si="40"/>
        <v>1242.0357142857119</v>
      </c>
      <c r="D33" s="69">
        <f t="shared" si="40"/>
        <v>607.03571428571195</v>
      </c>
      <c r="E33" s="69">
        <f t="shared" si="40"/>
        <v>1739.0357142857119</v>
      </c>
      <c r="F33" s="69">
        <f t="shared" si="40"/>
        <v>-3677.9642857142881</v>
      </c>
      <c r="G33" s="69">
        <f t="shared" si="40"/>
        <v>0</v>
      </c>
      <c r="H33" s="69">
        <f t="shared" si="40"/>
        <v>-2717.9642857142881</v>
      </c>
      <c r="I33" s="69">
        <f t="shared" si="40"/>
        <v>100.03571428571195</v>
      </c>
      <c r="J33" s="69">
        <f t="shared" si="40"/>
        <v>-3112.9642857142881</v>
      </c>
      <c r="K33" s="69">
        <f t="shared" si="40"/>
        <v>-4574.9642857142881</v>
      </c>
      <c r="L33" s="69">
        <f t="shared" si="40"/>
        <v>-602.96428571428805</v>
      </c>
      <c r="M33" s="69">
        <f t="shared" si="40"/>
        <v>-1357.9642857142881</v>
      </c>
      <c r="N33" s="69">
        <f t="shared" si="40"/>
        <v>3342.0357142857119</v>
      </c>
      <c r="O33" s="69">
        <f t="shared" si="40"/>
        <v>-9296.9642857142881</v>
      </c>
      <c r="P33" s="69">
        <f t="shared" si="40"/>
        <v>552.03571428571195</v>
      </c>
      <c r="Q33" s="69">
        <f t="shared" si="40"/>
        <v>-1581.9642857142881</v>
      </c>
      <c r="R33" s="69">
        <f t="shared" si="40"/>
        <v>-5841.9642857142881</v>
      </c>
      <c r="S33" s="69">
        <f t="shared" si="40"/>
        <v>2797.0357142857119</v>
      </c>
      <c r="T33" s="69">
        <f t="shared" si="40"/>
        <v>3158.0357142857119</v>
      </c>
      <c r="U33" s="69">
        <f t="shared" si="40"/>
        <v>-4449.9642857142881</v>
      </c>
      <c r="V33" s="69">
        <f t="shared" si="40"/>
        <v>0</v>
      </c>
      <c r="W33" s="69">
        <f t="shared" si="40"/>
        <v>2869.0357142857119</v>
      </c>
      <c r="X33" s="69">
        <f t="shared" si="40"/>
        <v>-4071.9642857142881</v>
      </c>
      <c r="Y33" s="69">
        <f t="shared" si="40"/>
        <v>-4047.9642857142881</v>
      </c>
      <c r="Z33" s="69">
        <f t="shared" si="40"/>
        <v>3792.0357142857119</v>
      </c>
      <c r="AA33" s="69">
        <f t="shared" si="40"/>
        <v>2557.0357142857119</v>
      </c>
      <c r="AB33" s="69">
        <f t="shared" si="40"/>
        <v>721.03571428571195</v>
      </c>
      <c r="AC33" s="69">
        <f t="shared" si="40"/>
        <v>5947.0357142857119</v>
      </c>
      <c r="AD33" s="69">
        <f t="shared" si="40"/>
        <v>-4148.9642857142881</v>
      </c>
      <c r="AE33" s="69">
        <f t="shared" si="40"/>
        <v>-5802.9642857142881</v>
      </c>
      <c r="AF33" s="81">
        <f>SUM(B33:AE33)+B40+B41</f>
        <v>6776.9999999999272</v>
      </c>
      <c r="AG33" s="5">
        <f>AVERAGE(B33:AE33,B40,B41)</f>
        <v>211.78124999999773</v>
      </c>
      <c r="AH33" s="68"/>
    </row>
    <row r="34" spans="1:34"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7"/>
      <c r="AG34" s="7"/>
    </row>
    <row r="35" spans="1:34" ht="15.75" customHeight="1" x14ac:dyDescent="0.2">
      <c r="A35" s="4" t="s">
        <v>13</v>
      </c>
      <c r="B35" s="59">
        <f t="shared" ref="B35:B38" si="41">SUM(B29:AE29)</f>
        <v>375007.99999999983</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7"/>
      <c r="AG35" s="7"/>
    </row>
    <row r="36" spans="1:34" ht="15.75" customHeight="1" x14ac:dyDescent="0.2">
      <c r="A36" s="4" t="s">
        <v>14</v>
      </c>
      <c r="B36" s="59">
        <f t="shared" si="41"/>
        <v>179193</v>
      </c>
      <c r="C36" s="6"/>
      <c r="I36" s="14" t="s">
        <v>223</v>
      </c>
      <c r="M36" s="6"/>
      <c r="N36" s="6"/>
      <c r="O36" s="6"/>
      <c r="P36" s="6"/>
      <c r="Q36" s="6"/>
      <c r="R36" s="6"/>
      <c r="S36" s="6"/>
      <c r="T36" s="6"/>
      <c r="U36" s="6"/>
      <c r="V36" s="6"/>
      <c r="W36" s="6" t="s">
        <v>127</v>
      </c>
      <c r="X36" s="6"/>
      <c r="Y36" s="6"/>
      <c r="Z36" s="6"/>
      <c r="AA36" s="6"/>
      <c r="AB36" s="6"/>
      <c r="AC36" s="6"/>
      <c r="AD36" s="6"/>
      <c r="AE36" s="6"/>
      <c r="AF36" s="7"/>
      <c r="AG36" s="7"/>
    </row>
    <row r="37" spans="1:34" ht="15.75" customHeight="1" x14ac:dyDescent="0.2">
      <c r="A37" s="4" t="s">
        <v>15</v>
      </c>
      <c r="B37" s="59">
        <f t="shared" si="41"/>
        <v>174719</v>
      </c>
      <c r="C37" s="6"/>
      <c r="H37" s="14"/>
      <c r="M37" s="6"/>
      <c r="N37" s="6"/>
      <c r="O37" s="6"/>
      <c r="P37" s="6"/>
      <c r="Q37" s="6"/>
      <c r="R37" s="6"/>
      <c r="S37" s="6"/>
      <c r="T37" s="6" t="s">
        <v>224</v>
      </c>
      <c r="U37" s="6" t="s">
        <v>225</v>
      </c>
      <c r="V37" s="6"/>
      <c r="W37" s="6"/>
      <c r="X37" s="6"/>
      <c r="Y37" s="6"/>
      <c r="Z37" s="6"/>
      <c r="AA37" s="6"/>
      <c r="AB37" s="6"/>
      <c r="AC37" s="6"/>
      <c r="AD37" s="6"/>
      <c r="AE37" s="6"/>
      <c r="AF37" s="7"/>
      <c r="AG37" s="7"/>
    </row>
    <row r="38" spans="1:34" ht="15.75" customHeight="1" x14ac:dyDescent="0.2">
      <c r="A38" s="4" t="s">
        <v>16</v>
      </c>
      <c r="B38" s="59">
        <f t="shared" si="41"/>
        <v>353912</v>
      </c>
      <c r="C38" s="6"/>
      <c r="N38" s="6"/>
      <c r="O38" s="6"/>
      <c r="P38" s="6"/>
      <c r="Q38" s="6"/>
      <c r="R38" s="6"/>
      <c r="S38" s="6"/>
      <c r="T38" s="6"/>
      <c r="U38" s="6"/>
      <c r="V38" s="6"/>
      <c r="W38" s="6"/>
      <c r="X38" s="6"/>
      <c r="Y38" s="6"/>
      <c r="Z38" s="6"/>
      <c r="AA38" s="6"/>
      <c r="AB38" s="6" t="s">
        <v>225</v>
      </c>
      <c r="AC38" s="6"/>
      <c r="AD38" s="6"/>
      <c r="AE38" s="6" t="s">
        <v>226</v>
      </c>
      <c r="AF38" s="7"/>
      <c r="AG38" s="7"/>
    </row>
    <row r="39" spans="1:34" ht="15.75" customHeight="1" x14ac:dyDescent="0.2">
      <c r="A39" s="4" t="s">
        <v>17</v>
      </c>
      <c r="B39" s="80">
        <f>Expenses!H20</f>
        <v>90016</v>
      </c>
      <c r="C39" s="6"/>
      <c r="O39" s="6"/>
      <c r="P39" s="6"/>
      <c r="Q39" s="6"/>
      <c r="R39" s="6"/>
      <c r="S39" s="6"/>
      <c r="T39" s="6"/>
      <c r="U39" s="6"/>
      <c r="V39" s="6"/>
      <c r="W39" s="6"/>
      <c r="X39" s="6"/>
      <c r="Y39" s="6"/>
      <c r="Z39" s="6"/>
      <c r="AA39" s="6"/>
      <c r="AB39" s="6"/>
      <c r="AC39" s="6"/>
      <c r="AD39" s="6"/>
      <c r="AE39" s="6"/>
      <c r="AF39" s="7"/>
      <c r="AG39" s="7"/>
    </row>
    <row r="40" spans="1:34" ht="15.75" customHeight="1" x14ac:dyDescent="0.2">
      <c r="A40" s="4" t="s">
        <v>18</v>
      </c>
      <c r="B40" s="32">
        <f>1197+1938+2863+3924+2163</f>
        <v>12085</v>
      </c>
      <c r="C40" s="6"/>
      <c r="M40" s="6"/>
      <c r="N40" s="6"/>
      <c r="O40" s="6"/>
      <c r="P40" s="6"/>
      <c r="Q40" s="6"/>
      <c r="R40" s="6"/>
      <c r="S40" s="6"/>
      <c r="T40" s="6"/>
      <c r="U40" s="6"/>
      <c r="V40" s="6"/>
      <c r="W40" s="6"/>
      <c r="X40" s="6"/>
      <c r="Y40" s="6"/>
      <c r="Z40" s="6"/>
      <c r="AA40" s="6"/>
      <c r="AB40" s="6"/>
      <c r="AC40" s="6"/>
      <c r="AD40" s="6"/>
      <c r="AE40" s="6"/>
      <c r="AF40" s="7"/>
      <c r="AG40" s="7"/>
    </row>
    <row r="41" spans="1:34" ht="15.75" customHeight="1" x14ac:dyDescent="0.2">
      <c r="A41" s="4" t="s">
        <v>19</v>
      </c>
      <c r="B41" s="82">
        <f>3566+3919+4575+3728</f>
        <v>15788</v>
      </c>
      <c r="C41" s="6"/>
      <c r="M41" s="6"/>
      <c r="N41" s="6"/>
      <c r="O41" s="6"/>
      <c r="P41" s="6"/>
      <c r="Q41" s="6"/>
      <c r="R41" s="6"/>
      <c r="S41" s="6"/>
      <c r="T41" s="6"/>
      <c r="U41" s="6"/>
      <c r="V41" s="6"/>
      <c r="W41" s="6"/>
      <c r="X41" s="6"/>
      <c r="Y41" s="6"/>
      <c r="Z41" s="6"/>
      <c r="AA41" s="6"/>
      <c r="AB41" s="6"/>
      <c r="AC41" s="6"/>
      <c r="AD41" s="6"/>
      <c r="AE41" s="6"/>
      <c r="AF41" s="7"/>
      <c r="AG41" s="7"/>
    </row>
    <row r="42" spans="1:34" ht="15.75" customHeight="1" x14ac:dyDescent="0.2">
      <c r="A42" s="4" t="s">
        <v>20</v>
      </c>
      <c r="B42" s="59">
        <f>Stock!R72</f>
        <v>70682</v>
      </c>
      <c r="C42" s="6"/>
      <c r="M42" s="6"/>
      <c r="N42" s="6"/>
      <c r="O42" s="6"/>
      <c r="P42" s="6"/>
      <c r="Q42" s="6"/>
      <c r="R42" s="6"/>
      <c r="S42" s="6"/>
      <c r="T42" s="6"/>
      <c r="U42" s="6"/>
      <c r="V42" s="6"/>
      <c r="W42" s="6"/>
      <c r="X42" s="6"/>
      <c r="Y42" s="6"/>
      <c r="Z42" s="6"/>
      <c r="AA42" s="6"/>
      <c r="AB42" s="6"/>
      <c r="AC42" s="6"/>
      <c r="AD42" s="6"/>
      <c r="AE42" s="6"/>
      <c r="AF42" s="7"/>
      <c r="AG42" s="7"/>
    </row>
    <row r="43" spans="1:34" ht="15.75" customHeight="1" x14ac:dyDescent="0.2">
      <c r="A43" s="4" t="s">
        <v>21</v>
      </c>
      <c r="B43" s="59">
        <f>B38-B35+B40+B41</f>
        <v>6777.0000000001746</v>
      </c>
      <c r="C43" s="6"/>
      <c r="M43" s="6"/>
      <c r="N43" s="6"/>
      <c r="O43" s="6"/>
      <c r="P43" s="6"/>
      <c r="Q43" s="6"/>
      <c r="R43" s="6"/>
      <c r="S43" s="6"/>
      <c r="T43" s="6"/>
      <c r="U43" s="6"/>
      <c r="V43" s="6"/>
      <c r="W43" s="6"/>
      <c r="X43" s="6"/>
      <c r="Y43" s="6"/>
      <c r="Z43" s="6"/>
      <c r="AA43" s="6"/>
      <c r="AB43" s="6"/>
      <c r="AC43" s="6"/>
      <c r="AD43" s="6"/>
      <c r="AE43" s="6"/>
      <c r="AF43" s="7"/>
      <c r="AG43" s="7"/>
    </row>
    <row r="44" spans="1:34" ht="15.75" customHeight="1" x14ac:dyDescent="0.2">
      <c r="B44" s="6"/>
      <c r="C44" s="6"/>
      <c r="M44" s="6"/>
      <c r="N44" s="6"/>
      <c r="O44" s="6"/>
      <c r="P44" s="6"/>
      <c r="Q44" s="6"/>
      <c r="R44" s="6"/>
      <c r="S44" s="6"/>
      <c r="T44" s="6"/>
      <c r="U44" s="6"/>
      <c r="V44" s="6"/>
      <c r="W44" s="6"/>
      <c r="X44" s="6"/>
      <c r="Y44" s="6"/>
      <c r="Z44" s="6"/>
      <c r="AA44" s="6"/>
      <c r="AB44" s="6"/>
      <c r="AC44" s="6"/>
      <c r="AD44" s="6"/>
      <c r="AE44" s="6"/>
      <c r="AF44" s="7"/>
      <c r="AG44" s="7"/>
    </row>
    <row r="45" spans="1:34" ht="15.75" customHeight="1" x14ac:dyDescent="0.2">
      <c r="A45" s="4" t="s">
        <v>201</v>
      </c>
      <c r="B45" s="59">
        <v>0</v>
      </c>
      <c r="C45" s="59">
        <v>0</v>
      </c>
      <c r="D45" s="59">
        <v>0</v>
      </c>
      <c r="E45" s="59">
        <v>0</v>
      </c>
      <c r="F45" s="59">
        <v>0</v>
      </c>
      <c r="G45" s="59">
        <v>0</v>
      </c>
      <c r="H45" s="59">
        <v>0</v>
      </c>
      <c r="I45" s="59">
        <v>2900</v>
      </c>
      <c r="J45" s="59">
        <v>0</v>
      </c>
      <c r="K45" s="59">
        <v>0</v>
      </c>
      <c r="L45" s="59">
        <v>0</v>
      </c>
      <c r="M45" s="59">
        <v>0</v>
      </c>
      <c r="N45" s="59">
        <v>1000</v>
      </c>
      <c r="O45" s="59">
        <v>1000</v>
      </c>
      <c r="P45" s="59">
        <v>1000</v>
      </c>
      <c r="Q45" s="59">
        <v>0</v>
      </c>
      <c r="R45" s="59">
        <v>0</v>
      </c>
      <c r="S45" s="59">
        <v>0</v>
      </c>
      <c r="T45" s="59">
        <v>0</v>
      </c>
      <c r="U45" s="59">
        <v>2400</v>
      </c>
      <c r="V45" s="59">
        <v>0</v>
      </c>
      <c r="W45" s="59">
        <v>0</v>
      </c>
      <c r="X45" s="59">
        <v>0</v>
      </c>
      <c r="Y45" s="59">
        <v>0</v>
      </c>
      <c r="Z45" s="59">
        <v>0</v>
      </c>
      <c r="AA45" s="59">
        <v>0</v>
      </c>
      <c r="AB45" s="59">
        <v>0</v>
      </c>
      <c r="AC45" s="59">
        <v>0</v>
      </c>
      <c r="AD45" s="59">
        <v>0</v>
      </c>
      <c r="AE45" s="59">
        <v>0</v>
      </c>
      <c r="AF45" s="56">
        <f t="shared" ref="AF45:AF47" si="42">SUM(B45:AE45)</f>
        <v>8300</v>
      </c>
      <c r="AG45" s="7"/>
    </row>
    <row r="46" spans="1:34" ht="15.75" customHeight="1" x14ac:dyDescent="0.2">
      <c r="A46" s="4" t="s">
        <v>202</v>
      </c>
      <c r="B46" s="59">
        <v>500</v>
      </c>
      <c r="C46" s="59">
        <v>0</v>
      </c>
      <c r="D46" s="59">
        <v>0</v>
      </c>
      <c r="E46" s="59">
        <v>0</v>
      </c>
      <c r="F46" s="59">
        <v>-5630</v>
      </c>
      <c r="G46" s="59">
        <v>0</v>
      </c>
      <c r="H46" s="59">
        <v>0</v>
      </c>
      <c r="I46" s="59">
        <v>1300</v>
      </c>
      <c r="J46" s="59">
        <v>0</v>
      </c>
      <c r="K46" s="59">
        <v>0</v>
      </c>
      <c r="L46" s="59">
        <v>0</v>
      </c>
      <c r="M46" s="59">
        <v>0</v>
      </c>
      <c r="N46" s="59">
        <v>0</v>
      </c>
      <c r="O46" s="59">
        <v>0</v>
      </c>
      <c r="P46" s="59">
        <v>0</v>
      </c>
      <c r="Q46" s="59">
        <v>1300</v>
      </c>
      <c r="R46" s="59">
        <v>500</v>
      </c>
      <c r="S46" s="59">
        <v>1200</v>
      </c>
      <c r="T46" s="59">
        <v>0</v>
      </c>
      <c r="U46" s="59">
        <v>1900</v>
      </c>
      <c r="V46" s="59">
        <v>0</v>
      </c>
      <c r="W46" s="59">
        <v>1200</v>
      </c>
      <c r="X46" s="59">
        <v>300</v>
      </c>
      <c r="Y46" s="59">
        <v>0</v>
      </c>
      <c r="Z46" s="59">
        <v>0</v>
      </c>
      <c r="AA46" s="59">
        <v>0</v>
      </c>
      <c r="AB46" s="59">
        <v>660</v>
      </c>
      <c r="AC46" s="59">
        <v>0</v>
      </c>
      <c r="AD46" s="59">
        <v>0</v>
      </c>
      <c r="AE46" s="59">
        <v>700</v>
      </c>
      <c r="AF46" s="56">
        <f t="shared" si="42"/>
        <v>3930</v>
      </c>
      <c r="AG46" s="7"/>
    </row>
    <row r="47" spans="1:34" ht="15.75" customHeight="1" x14ac:dyDescent="0.2">
      <c r="A47" s="4" t="s">
        <v>203</v>
      </c>
      <c r="B47" s="59">
        <f t="shared" ref="B47:AE47" si="43">B4+B3+B7+B8+(SUM(B20:B22))+B45+B46</f>
        <v>7557.9642857142853</v>
      </c>
      <c r="C47" s="59">
        <f t="shared" si="43"/>
        <v>7057.9642857142853</v>
      </c>
      <c r="D47" s="59">
        <f t="shared" si="43"/>
        <v>7057.9642857142853</v>
      </c>
      <c r="E47" s="59">
        <f t="shared" si="43"/>
        <v>7057.9642857142853</v>
      </c>
      <c r="F47" s="59">
        <f t="shared" si="43"/>
        <v>1427.9642857142853</v>
      </c>
      <c r="G47" s="59">
        <f t="shared" si="43"/>
        <v>0</v>
      </c>
      <c r="H47" s="59">
        <f t="shared" si="43"/>
        <v>7057.9642857142853</v>
      </c>
      <c r="I47" s="59">
        <f t="shared" si="43"/>
        <v>11257.964285714286</v>
      </c>
      <c r="J47" s="59">
        <f t="shared" si="43"/>
        <v>7057.9642857142853</v>
      </c>
      <c r="K47" s="59">
        <f t="shared" si="43"/>
        <v>7057.9642857142853</v>
      </c>
      <c r="L47" s="59">
        <f t="shared" si="43"/>
        <v>7057.9642857142853</v>
      </c>
      <c r="M47" s="59">
        <f t="shared" si="43"/>
        <v>7057.9642857142853</v>
      </c>
      <c r="N47" s="59">
        <f t="shared" si="43"/>
        <v>8057.9642857142853</v>
      </c>
      <c r="O47" s="59">
        <f t="shared" si="43"/>
        <v>8057.9642857142853</v>
      </c>
      <c r="P47" s="59">
        <f t="shared" si="43"/>
        <v>8057.9642857142853</v>
      </c>
      <c r="Q47" s="59">
        <f t="shared" si="43"/>
        <v>8357.9642857142862</v>
      </c>
      <c r="R47" s="59">
        <f t="shared" si="43"/>
        <v>7557.9642857142853</v>
      </c>
      <c r="S47" s="59">
        <f t="shared" si="43"/>
        <v>8257.9642857142862</v>
      </c>
      <c r="T47" s="59">
        <f t="shared" si="43"/>
        <v>7057.9642857142853</v>
      </c>
      <c r="U47" s="59">
        <f t="shared" si="43"/>
        <v>11357.964285714286</v>
      </c>
      <c r="V47" s="59">
        <f t="shared" si="43"/>
        <v>0</v>
      </c>
      <c r="W47" s="59">
        <f t="shared" si="43"/>
        <v>8257.9642857142862</v>
      </c>
      <c r="X47" s="59">
        <f t="shared" si="43"/>
        <v>7357.9642857142853</v>
      </c>
      <c r="Y47" s="59">
        <f t="shared" si="43"/>
        <v>7057.9642857142853</v>
      </c>
      <c r="Z47" s="59">
        <f t="shared" si="43"/>
        <v>7057.9642857142853</v>
      </c>
      <c r="AA47" s="59">
        <f t="shared" si="43"/>
        <v>7057.9642857142853</v>
      </c>
      <c r="AB47" s="59">
        <f t="shared" si="43"/>
        <v>7717.9642857142853</v>
      </c>
      <c r="AC47" s="59">
        <f t="shared" si="43"/>
        <v>7057.9642857142853</v>
      </c>
      <c r="AD47" s="59">
        <f t="shared" si="43"/>
        <v>7057.9642857142853</v>
      </c>
      <c r="AE47" s="59">
        <f t="shared" si="43"/>
        <v>7757.9642857142853</v>
      </c>
      <c r="AF47" s="67">
        <f t="shared" si="42"/>
        <v>209853.00000000006</v>
      </c>
      <c r="AG47" s="7"/>
    </row>
    <row r="48" spans="1:34" ht="15.75" customHeight="1" x14ac:dyDescent="0.2">
      <c r="A48" s="4" t="s">
        <v>204</v>
      </c>
      <c r="B48" s="59">
        <f>B31-B29+B47+11606</f>
        <v>18641.999999999996</v>
      </c>
      <c r="C48" s="59">
        <f t="shared" ref="C48:AE48" si="44">B48+C31-C29+C47</f>
        <v>19961.999999999993</v>
      </c>
      <c r="D48" s="59">
        <f t="shared" si="44"/>
        <v>19666.999999999989</v>
      </c>
      <c r="E48" s="59">
        <f t="shared" si="44"/>
        <v>23663.999999999989</v>
      </c>
      <c r="F48" s="59">
        <f t="shared" si="44"/>
        <v>16018.999999999985</v>
      </c>
      <c r="G48" s="59">
        <f t="shared" si="44"/>
        <v>16018.999999999985</v>
      </c>
      <c r="H48" s="59">
        <f t="shared" si="44"/>
        <v>12803.999999999982</v>
      </c>
      <c r="I48" s="59">
        <f t="shared" si="44"/>
        <v>17411.999999999978</v>
      </c>
      <c r="J48" s="59">
        <f t="shared" si="44"/>
        <v>15971.999999999975</v>
      </c>
      <c r="K48" s="59">
        <f t="shared" si="44"/>
        <v>15039.999999999971</v>
      </c>
      <c r="L48" s="59">
        <f t="shared" si="44"/>
        <v>13974.999999999967</v>
      </c>
      <c r="M48" s="59">
        <f t="shared" si="44"/>
        <v>13864.999999999964</v>
      </c>
      <c r="N48" s="59">
        <f t="shared" si="44"/>
        <v>12679.99999999996</v>
      </c>
      <c r="O48" s="59">
        <f t="shared" si="44"/>
        <v>9260.9999999999563</v>
      </c>
      <c r="P48" s="59">
        <f t="shared" si="44"/>
        <v>11490.999999999953</v>
      </c>
      <c r="Q48" s="59">
        <f t="shared" si="44"/>
        <v>10156.999999999951</v>
      </c>
      <c r="R48" s="59">
        <f t="shared" si="44"/>
        <v>7697.9999999999482</v>
      </c>
      <c r="S48" s="59">
        <f t="shared" si="44"/>
        <v>11007.999999999947</v>
      </c>
      <c r="T48" s="59">
        <f t="shared" si="44"/>
        <v>12313.999999999945</v>
      </c>
      <c r="U48" s="59">
        <f t="shared" si="44"/>
        <v>13658.999999999944</v>
      </c>
      <c r="V48" s="59">
        <f t="shared" si="44"/>
        <v>13658.999999999944</v>
      </c>
      <c r="W48" s="59">
        <f t="shared" si="44"/>
        <v>16360.99999999994</v>
      </c>
      <c r="X48" s="59">
        <f t="shared" si="44"/>
        <v>16956.999999999938</v>
      </c>
      <c r="Y48" s="59">
        <f t="shared" si="44"/>
        <v>16901.999999999935</v>
      </c>
      <c r="Z48" s="59">
        <f t="shared" si="44"/>
        <v>18511.999999999931</v>
      </c>
      <c r="AA48" s="59">
        <f t="shared" si="44"/>
        <v>22196.999999999927</v>
      </c>
      <c r="AB48" s="59">
        <f t="shared" si="44"/>
        <v>19990.999999999924</v>
      </c>
      <c r="AC48" s="59">
        <f t="shared" si="44"/>
        <v>24905.999999999924</v>
      </c>
      <c r="AD48" s="59">
        <f t="shared" si="44"/>
        <v>23004.99999999992</v>
      </c>
      <c r="AE48" s="59">
        <f t="shared" si="44"/>
        <v>21169.999999999916</v>
      </c>
      <c r="AF48" s="7"/>
      <c r="AG48" s="7"/>
    </row>
    <row r="49" spans="1:33"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7"/>
      <c r="AG49" s="7"/>
    </row>
    <row r="50" spans="1:33" ht="15.75" customHeight="1" x14ac:dyDescent="0.2">
      <c r="AF50" s="1"/>
      <c r="AG50" s="7"/>
    </row>
    <row r="51" spans="1:33" ht="15.75" customHeight="1" x14ac:dyDescent="0.2">
      <c r="A51" s="4" t="s">
        <v>166</v>
      </c>
      <c r="B51" s="4">
        <v>1500</v>
      </c>
      <c r="AF51" s="1"/>
      <c r="AG51" s="7"/>
    </row>
    <row r="52" spans="1:33" ht="15.75" customHeight="1" x14ac:dyDescent="0.2">
      <c r="A52" s="4" t="s">
        <v>205</v>
      </c>
      <c r="B52" s="4">
        <v>5700</v>
      </c>
      <c r="AF52" s="1"/>
      <c r="AG52" s="7"/>
    </row>
    <row r="53" spans="1:33" ht="15.75" customHeight="1" x14ac:dyDescent="0.2">
      <c r="A53" s="4" t="s">
        <v>179</v>
      </c>
      <c r="B53" s="4">
        <v>24000</v>
      </c>
      <c r="I53" s="14" t="s">
        <v>206</v>
      </c>
      <c r="AF53" s="1"/>
      <c r="AG53" s="7"/>
    </row>
    <row r="54" spans="1:33" ht="15.75" customHeight="1" x14ac:dyDescent="0.2">
      <c r="A54" s="4" t="s">
        <v>180</v>
      </c>
      <c r="B54" s="4">
        <v>0</v>
      </c>
      <c r="AF54" s="1"/>
      <c r="AG54" s="7"/>
    </row>
    <row r="55" spans="1:33" ht="15.75" customHeight="1" x14ac:dyDescent="0.2">
      <c r="A55" s="4" t="s">
        <v>181</v>
      </c>
      <c r="B55" s="4">
        <v>5725</v>
      </c>
      <c r="AF55" s="1"/>
      <c r="AG55" s="7"/>
    </row>
    <row r="56" spans="1:33" ht="15.75" customHeight="1" x14ac:dyDescent="0.2">
      <c r="B56" s="83">
        <f>SUM(B51:B55)</f>
        <v>36925</v>
      </c>
      <c r="J56" s="84" t="s">
        <v>207</v>
      </c>
      <c r="K56" s="4"/>
      <c r="L56" s="36">
        <f>H32</f>
        <v>11140</v>
      </c>
      <c r="M56" s="59">
        <f>O32</f>
        <v>6135</v>
      </c>
      <c r="N56" s="59">
        <f>V32</f>
        <v>0</v>
      </c>
      <c r="O56" s="59">
        <f>AC32</f>
        <v>19400</v>
      </c>
      <c r="P56" s="84">
        <f t="shared" ref="P56:P62" si="45">AVERAGEIF(K56:O56,"&lt;&gt;0")</f>
        <v>12225</v>
      </c>
      <c r="R56" s="6"/>
      <c r="AF56" s="1"/>
      <c r="AG56" s="7"/>
    </row>
    <row r="57" spans="1:33" ht="15.75" customHeight="1" x14ac:dyDescent="0.2">
      <c r="J57" s="84" t="s">
        <v>208</v>
      </c>
      <c r="K57" s="59">
        <f>B32</f>
        <v>18920</v>
      </c>
      <c r="L57" s="36">
        <f>I32</f>
        <v>13857</v>
      </c>
      <c r="M57" s="59">
        <f>P32</f>
        <v>12050</v>
      </c>
      <c r="N57" s="59">
        <f>W32</f>
        <v>15580</v>
      </c>
      <c r="O57" s="59">
        <f>AD32</f>
        <v>9118</v>
      </c>
      <c r="P57" s="84">
        <f t="shared" si="45"/>
        <v>13905</v>
      </c>
      <c r="AF57" s="1"/>
      <c r="AG57" s="7"/>
    </row>
    <row r="58" spans="1:33" ht="15.75" customHeight="1" x14ac:dyDescent="0.2">
      <c r="J58" s="84" t="s">
        <v>209</v>
      </c>
      <c r="K58" s="59">
        <f>C32</f>
        <v>15950</v>
      </c>
      <c r="L58" s="59">
        <f>J32</f>
        <v>9775</v>
      </c>
      <c r="M58" s="59">
        <f>Q32</f>
        <v>11100</v>
      </c>
      <c r="N58" s="59">
        <f>X32</f>
        <v>9200</v>
      </c>
      <c r="O58" s="59">
        <f>AE32</f>
        <v>7055</v>
      </c>
      <c r="P58" s="84">
        <f t="shared" si="45"/>
        <v>10616</v>
      </c>
      <c r="AF58" s="1"/>
      <c r="AG58" s="7"/>
    </row>
    <row r="59" spans="1:33" ht="15.75" customHeight="1" x14ac:dyDescent="0.2">
      <c r="A59" s="14" t="s">
        <v>210</v>
      </c>
      <c r="B59" s="14">
        <v>28</v>
      </c>
      <c r="J59" s="84" t="s">
        <v>211</v>
      </c>
      <c r="K59" s="59">
        <f>D32</f>
        <v>15345</v>
      </c>
      <c r="L59" s="59">
        <f>K32</f>
        <v>8452</v>
      </c>
      <c r="M59" s="59">
        <f>R32</f>
        <v>6645</v>
      </c>
      <c r="N59" s="59">
        <f>Y32</f>
        <v>7705</v>
      </c>
      <c r="O59" s="4"/>
      <c r="P59" s="84">
        <f t="shared" si="45"/>
        <v>9536.75</v>
      </c>
      <c r="AF59" s="1"/>
      <c r="AG59" s="7"/>
    </row>
    <row r="60" spans="1:33" ht="15.75" customHeight="1" x14ac:dyDescent="0.2">
      <c r="J60" s="84" t="s">
        <v>212</v>
      </c>
      <c r="K60" s="59">
        <f>E32</f>
        <v>16087</v>
      </c>
      <c r="L60" s="59">
        <f>L32</f>
        <v>13210</v>
      </c>
      <c r="M60" s="59">
        <f>S32</f>
        <v>15540</v>
      </c>
      <c r="N60" s="59">
        <f>Z32</f>
        <v>17280</v>
      </c>
      <c r="O60" s="4"/>
      <c r="P60" s="84">
        <f t="shared" si="45"/>
        <v>15529.25</v>
      </c>
      <c r="AF60" s="1"/>
      <c r="AG60" s="7"/>
    </row>
    <row r="61" spans="1:33" ht="15.75" customHeight="1" x14ac:dyDescent="0.2">
      <c r="J61" s="84" t="s">
        <v>213</v>
      </c>
      <c r="K61" s="36">
        <f>F32</f>
        <v>10485</v>
      </c>
      <c r="L61" s="59">
        <f>M32</f>
        <v>12055</v>
      </c>
      <c r="M61" s="59">
        <f>T32</f>
        <v>16905</v>
      </c>
      <c r="N61" s="59">
        <f>AA32</f>
        <v>14560</v>
      </c>
      <c r="O61" s="4"/>
      <c r="P61" s="84">
        <f t="shared" si="45"/>
        <v>13501.25</v>
      </c>
      <c r="AF61" s="1"/>
      <c r="AG61" s="7"/>
    </row>
    <row r="62" spans="1:33" ht="15.75" customHeight="1" x14ac:dyDescent="0.2">
      <c r="J62" s="84" t="s">
        <v>214</v>
      </c>
      <c r="K62" s="36">
        <f>G32</f>
        <v>0</v>
      </c>
      <c r="L62" s="59">
        <f>N32</f>
        <v>16660</v>
      </c>
      <c r="M62" s="59">
        <f>U32</f>
        <v>8783</v>
      </c>
      <c r="N62" s="59">
        <f>AB32</f>
        <v>14920</v>
      </c>
      <c r="O62" s="4"/>
      <c r="P62" s="84">
        <f t="shared" si="45"/>
        <v>13454.333333333334</v>
      </c>
      <c r="AF62" s="1"/>
      <c r="AG62" s="7"/>
    </row>
    <row r="63" spans="1:33" ht="15.75" customHeight="1" x14ac:dyDescent="0.2">
      <c r="Q63" s="14" t="s">
        <v>127</v>
      </c>
      <c r="AF63" s="1"/>
      <c r="AG63" s="7"/>
    </row>
    <row r="64" spans="1:33" ht="15.75" customHeight="1" x14ac:dyDescent="0.2">
      <c r="AF64" s="1"/>
      <c r="AG64" s="7"/>
    </row>
    <row r="65" spans="25:33" ht="14" x14ac:dyDescent="0.2">
      <c r="AF65" s="1"/>
      <c r="AG65" s="7"/>
    </row>
    <row r="66" spans="25:33" ht="14" x14ac:dyDescent="0.2">
      <c r="Y66" s="14" t="s">
        <v>206</v>
      </c>
      <c r="AF66" s="1"/>
      <c r="AG66" s="7"/>
    </row>
    <row r="67" spans="25:33" ht="14" x14ac:dyDescent="0.2">
      <c r="AF67" s="1"/>
      <c r="AG67" s="7"/>
    </row>
    <row r="68" spans="25:33" ht="14" x14ac:dyDescent="0.2">
      <c r="AF68" s="1"/>
      <c r="AG68" s="7"/>
    </row>
    <row r="69" spans="25:33" ht="14" x14ac:dyDescent="0.2">
      <c r="AF69" s="1"/>
      <c r="AG69" s="7"/>
    </row>
    <row r="70" spans="25:33" ht="14" x14ac:dyDescent="0.2">
      <c r="AF70" s="1"/>
      <c r="AG70" s="7"/>
    </row>
    <row r="71" spans="25:33" ht="14" x14ac:dyDescent="0.2">
      <c r="AF71" s="1"/>
      <c r="AG71" s="7"/>
    </row>
    <row r="72" spans="25:33" ht="14" x14ac:dyDescent="0.2">
      <c r="AF72" s="1"/>
      <c r="AG72" s="7"/>
    </row>
    <row r="73" spans="25:33" ht="14" x14ac:dyDescent="0.2">
      <c r="AF73" s="1"/>
      <c r="AG73" s="7"/>
    </row>
    <row r="74" spans="25:33" ht="14" x14ac:dyDescent="0.2">
      <c r="AF74" s="1"/>
      <c r="AG74" s="7"/>
    </row>
    <row r="75" spans="25:33" ht="14" x14ac:dyDescent="0.2">
      <c r="AF75" s="1"/>
      <c r="AG75" s="7"/>
    </row>
    <row r="76" spans="25:33" ht="14" x14ac:dyDescent="0.2">
      <c r="AF76" s="1"/>
      <c r="AG76" s="7"/>
    </row>
    <row r="77" spans="25:33" ht="14" x14ac:dyDescent="0.2">
      <c r="AF77" s="1"/>
      <c r="AG77" s="7"/>
    </row>
    <row r="78" spans="25:33" ht="14" x14ac:dyDescent="0.2">
      <c r="AF78" s="1"/>
      <c r="AG78" s="7"/>
    </row>
    <row r="79" spans="25:33" ht="14" x14ac:dyDescent="0.2">
      <c r="AF79" s="1"/>
      <c r="AG79" s="7"/>
    </row>
    <row r="80" spans="25:33" ht="14" x14ac:dyDescent="0.2">
      <c r="AF80" s="1"/>
      <c r="AG80" s="7"/>
    </row>
    <row r="81" spans="32:33" ht="14" x14ac:dyDescent="0.2">
      <c r="AF81" s="1"/>
      <c r="AG81" s="7"/>
    </row>
    <row r="82" spans="32:33" ht="14" x14ac:dyDescent="0.2">
      <c r="AF82" s="1"/>
      <c r="AG82" s="7"/>
    </row>
    <row r="83" spans="32:33" ht="14" x14ac:dyDescent="0.2">
      <c r="AF83" s="1"/>
      <c r="AG83" s="7"/>
    </row>
    <row r="84" spans="32:33" ht="14" x14ac:dyDescent="0.2">
      <c r="AF84" s="1"/>
      <c r="AG84" s="7"/>
    </row>
    <row r="85" spans="32:33" ht="14" x14ac:dyDescent="0.2">
      <c r="AF85" s="1"/>
      <c r="AG85" s="7"/>
    </row>
    <row r="86" spans="32:33" ht="14" x14ac:dyDescent="0.2">
      <c r="AF86" s="1"/>
      <c r="AG86" s="7"/>
    </row>
    <row r="87" spans="32:33" ht="14" x14ac:dyDescent="0.2">
      <c r="AF87" s="1"/>
      <c r="AG87" s="7"/>
    </row>
    <row r="88" spans="32:33" ht="14" x14ac:dyDescent="0.2">
      <c r="AF88" s="1"/>
      <c r="AG88" s="7"/>
    </row>
    <row r="89" spans="32:33" ht="14" x14ac:dyDescent="0.2">
      <c r="AF89" s="1"/>
      <c r="AG89" s="7"/>
    </row>
    <row r="90" spans="32:33" ht="14" x14ac:dyDescent="0.2">
      <c r="AF90" s="1"/>
      <c r="AG90" s="7"/>
    </row>
    <row r="91" spans="32:33" ht="14" x14ac:dyDescent="0.2">
      <c r="AF91" s="1"/>
      <c r="AG91" s="7"/>
    </row>
    <row r="92" spans="32:33" ht="14" x14ac:dyDescent="0.2">
      <c r="AF92" s="1"/>
      <c r="AG92" s="7"/>
    </row>
    <row r="93" spans="32:33" ht="14" x14ac:dyDescent="0.2">
      <c r="AF93" s="1"/>
      <c r="AG93" s="7"/>
    </row>
    <row r="94" spans="32:33" ht="14" x14ac:dyDescent="0.2">
      <c r="AF94" s="1"/>
      <c r="AG94" s="7"/>
    </row>
    <row r="95" spans="32:33" ht="14" x14ac:dyDescent="0.2">
      <c r="AF95" s="1"/>
      <c r="AG95" s="7"/>
    </row>
    <row r="96" spans="32:33" ht="14" x14ac:dyDescent="0.2">
      <c r="AF96" s="1"/>
      <c r="AG96" s="7"/>
    </row>
    <row r="97" spans="32:33" ht="14" x14ac:dyDescent="0.2">
      <c r="AF97" s="1"/>
      <c r="AG97" s="7"/>
    </row>
    <row r="98" spans="32:33" ht="14" x14ac:dyDescent="0.2">
      <c r="AF98" s="1"/>
      <c r="AG98" s="7"/>
    </row>
    <row r="99" spans="32:33" ht="14" x14ac:dyDescent="0.2">
      <c r="AF99" s="1"/>
      <c r="AG99" s="7"/>
    </row>
    <row r="100" spans="32:33" ht="14" x14ac:dyDescent="0.2">
      <c r="AF100" s="1"/>
      <c r="AG100" s="7"/>
    </row>
    <row r="101" spans="32:33" ht="14" x14ac:dyDescent="0.2">
      <c r="AF101" s="1"/>
      <c r="AG101" s="7"/>
    </row>
    <row r="102" spans="32:33" ht="14" x14ac:dyDescent="0.2">
      <c r="AF102" s="1"/>
      <c r="AG102" s="7"/>
    </row>
    <row r="103" spans="32:33" ht="14" x14ac:dyDescent="0.2">
      <c r="AF103" s="1"/>
      <c r="AG103" s="7"/>
    </row>
    <row r="104" spans="32:33" ht="14" x14ac:dyDescent="0.2">
      <c r="AF104" s="1"/>
      <c r="AG104" s="7"/>
    </row>
    <row r="105" spans="32:33" ht="14" x14ac:dyDescent="0.2">
      <c r="AF105" s="1"/>
      <c r="AG105" s="7"/>
    </row>
    <row r="106" spans="32:33" ht="14" x14ac:dyDescent="0.2">
      <c r="AF106" s="1"/>
      <c r="AG106" s="7"/>
    </row>
    <row r="107" spans="32:33" ht="14" x14ac:dyDescent="0.2">
      <c r="AF107" s="1"/>
      <c r="AG107" s="7"/>
    </row>
    <row r="108" spans="32:33" ht="14" x14ac:dyDescent="0.2">
      <c r="AF108" s="1"/>
      <c r="AG108" s="7"/>
    </row>
    <row r="109" spans="32:33" ht="14" x14ac:dyDescent="0.2">
      <c r="AF109" s="1"/>
      <c r="AG109" s="7"/>
    </row>
    <row r="110" spans="32:33" ht="14" x14ac:dyDescent="0.2">
      <c r="AF110" s="1"/>
      <c r="AG110" s="7"/>
    </row>
    <row r="111" spans="32:33" ht="14" x14ac:dyDescent="0.2">
      <c r="AF111" s="1"/>
      <c r="AG111" s="7"/>
    </row>
    <row r="112" spans="32:33" ht="14" x14ac:dyDescent="0.2">
      <c r="AF112" s="1"/>
      <c r="AG112" s="7"/>
    </row>
    <row r="113" spans="32:33" ht="14" x14ac:dyDescent="0.2">
      <c r="AF113" s="1"/>
      <c r="AG113" s="7"/>
    </row>
    <row r="114" spans="32:33" ht="14" x14ac:dyDescent="0.2">
      <c r="AF114" s="1"/>
      <c r="AG114" s="7"/>
    </row>
    <row r="115" spans="32:33" ht="14" x14ac:dyDescent="0.2">
      <c r="AF115" s="1"/>
      <c r="AG115" s="7"/>
    </row>
    <row r="116" spans="32:33" ht="14" x14ac:dyDescent="0.2">
      <c r="AF116" s="1"/>
      <c r="AG116" s="7"/>
    </row>
    <row r="117" spans="32:33" ht="14" x14ac:dyDescent="0.2">
      <c r="AF117" s="1"/>
      <c r="AG117" s="7"/>
    </row>
    <row r="118" spans="32:33" ht="14" x14ac:dyDescent="0.2">
      <c r="AF118" s="1"/>
      <c r="AG118" s="7"/>
    </row>
    <row r="119" spans="32:33" ht="14" x14ac:dyDescent="0.2">
      <c r="AF119" s="1"/>
      <c r="AG119" s="7"/>
    </row>
    <row r="120" spans="32:33" ht="14" x14ac:dyDescent="0.2">
      <c r="AF120" s="1"/>
      <c r="AG120" s="7"/>
    </row>
    <row r="121" spans="32:33" ht="14" x14ac:dyDescent="0.2">
      <c r="AF121" s="1"/>
      <c r="AG121" s="7"/>
    </row>
    <row r="122" spans="32:33" ht="14" x14ac:dyDescent="0.2">
      <c r="AF122" s="1"/>
      <c r="AG122" s="7"/>
    </row>
    <row r="123" spans="32:33" ht="14" x14ac:dyDescent="0.2">
      <c r="AF123" s="1"/>
      <c r="AG123" s="7"/>
    </row>
    <row r="124" spans="32:33" ht="14" x14ac:dyDescent="0.2">
      <c r="AF124" s="1"/>
      <c r="AG124" s="7"/>
    </row>
    <row r="125" spans="32:33" ht="14" x14ac:dyDescent="0.2">
      <c r="AF125" s="1"/>
      <c r="AG125" s="7"/>
    </row>
    <row r="126" spans="32:33" ht="14" x14ac:dyDescent="0.2">
      <c r="AF126" s="1"/>
      <c r="AG126" s="7"/>
    </row>
    <row r="127" spans="32:33" ht="14" x14ac:dyDescent="0.2">
      <c r="AF127" s="1"/>
      <c r="AG127" s="7"/>
    </row>
    <row r="128" spans="32:33" ht="14" x14ac:dyDescent="0.2">
      <c r="AF128" s="1"/>
      <c r="AG128" s="7"/>
    </row>
    <row r="129" spans="32:33" ht="14" x14ac:dyDescent="0.2">
      <c r="AF129" s="1"/>
      <c r="AG129" s="7"/>
    </row>
    <row r="130" spans="32:33" ht="14" x14ac:dyDescent="0.2">
      <c r="AF130" s="1"/>
      <c r="AG130" s="7"/>
    </row>
    <row r="131" spans="32:33" ht="14" x14ac:dyDescent="0.2">
      <c r="AF131" s="1"/>
      <c r="AG131" s="7"/>
    </row>
    <row r="132" spans="32:33" ht="14" x14ac:dyDescent="0.2">
      <c r="AF132" s="1"/>
      <c r="AG132" s="7"/>
    </row>
    <row r="133" spans="32:33" ht="14" x14ac:dyDescent="0.2">
      <c r="AF133" s="1"/>
      <c r="AG133" s="7"/>
    </row>
    <row r="134" spans="32:33" ht="14" x14ac:dyDescent="0.2">
      <c r="AF134" s="1"/>
      <c r="AG134" s="7"/>
    </row>
    <row r="135" spans="32:33" ht="14" x14ac:dyDescent="0.2">
      <c r="AF135" s="1"/>
      <c r="AG135" s="7"/>
    </row>
    <row r="136" spans="32:33" ht="14" x14ac:dyDescent="0.2">
      <c r="AF136" s="1"/>
      <c r="AG136" s="7"/>
    </row>
    <row r="137" spans="32:33" ht="14" x14ac:dyDescent="0.2">
      <c r="AF137" s="1"/>
      <c r="AG137" s="7"/>
    </row>
    <row r="138" spans="32:33" ht="14" x14ac:dyDescent="0.2">
      <c r="AF138" s="1"/>
      <c r="AG138" s="7"/>
    </row>
    <row r="139" spans="32:33" ht="14" x14ac:dyDescent="0.2">
      <c r="AF139" s="1"/>
      <c r="AG139" s="7"/>
    </row>
    <row r="140" spans="32:33" ht="14" x14ac:dyDescent="0.2">
      <c r="AF140" s="1"/>
      <c r="AG140" s="7"/>
    </row>
    <row r="141" spans="32:33" ht="14" x14ac:dyDescent="0.2">
      <c r="AF141" s="1"/>
      <c r="AG141" s="7"/>
    </row>
    <row r="142" spans="32:33" ht="14" x14ac:dyDescent="0.2">
      <c r="AF142" s="1"/>
      <c r="AG142" s="7"/>
    </row>
    <row r="143" spans="32:33" ht="14" x14ac:dyDescent="0.2">
      <c r="AF143" s="1"/>
      <c r="AG143" s="7"/>
    </row>
    <row r="144" spans="32:33" ht="14" x14ac:dyDescent="0.2">
      <c r="AF144" s="1"/>
      <c r="AG144" s="7"/>
    </row>
    <row r="145" spans="32:33" ht="14" x14ac:dyDescent="0.2">
      <c r="AF145" s="1"/>
      <c r="AG145" s="7"/>
    </row>
    <row r="146" spans="32:33" ht="14" x14ac:dyDescent="0.2">
      <c r="AF146" s="1"/>
      <c r="AG146" s="7"/>
    </row>
    <row r="147" spans="32:33" ht="14" x14ac:dyDescent="0.2">
      <c r="AF147" s="1"/>
      <c r="AG147" s="7"/>
    </row>
    <row r="148" spans="32:33" ht="14" x14ac:dyDescent="0.2">
      <c r="AF148" s="1"/>
      <c r="AG148" s="7"/>
    </row>
    <row r="149" spans="32:33" ht="14" x14ac:dyDescent="0.2">
      <c r="AF149" s="1"/>
      <c r="AG149" s="7"/>
    </row>
    <row r="150" spans="32:33" ht="14" x14ac:dyDescent="0.2">
      <c r="AF150" s="1"/>
      <c r="AG150" s="7"/>
    </row>
    <row r="151" spans="32:33" ht="14" x14ac:dyDescent="0.2">
      <c r="AF151" s="1"/>
      <c r="AG151" s="7"/>
    </row>
    <row r="152" spans="32:33" ht="14" x14ac:dyDescent="0.2">
      <c r="AF152" s="1"/>
      <c r="AG152" s="7"/>
    </row>
    <row r="153" spans="32:33" ht="14" x14ac:dyDescent="0.2">
      <c r="AF153" s="1"/>
      <c r="AG153" s="7"/>
    </row>
    <row r="154" spans="32:33" ht="14" x14ac:dyDescent="0.2">
      <c r="AF154" s="1"/>
      <c r="AG154" s="7"/>
    </row>
    <row r="155" spans="32:33" ht="14" x14ac:dyDescent="0.2">
      <c r="AF155" s="1"/>
      <c r="AG155" s="7"/>
    </row>
    <row r="156" spans="32:33" ht="14" x14ac:dyDescent="0.2">
      <c r="AF156" s="1"/>
      <c r="AG156" s="7"/>
    </row>
    <row r="157" spans="32:33" ht="14" x14ac:dyDescent="0.2">
      <c r="AF157" s="1"/>
      <c r="AG157" s="7"/>
    </row>
    <row r="158" spans="32:33" ht="14" x14ac:dyDescent="0.2">
      <c r="AF158" s="1"/>
      <c r="AG158" s="7"/>
    </row>
    <row r="159" spans="32:33" ht="14" x14ac:dyDescent="0.2">
      <c r="AF159" s="1"/>
      <c r="AG159" s="7"/>
    </row>
    <row r="160" spans="32:33" ht="14" x14ac:dyDescent="0.2">
      <c r="AF160" s="1"/>
      <c r="AG160" s="7"/>
    </row>
    <row r="161" spans="32:33" ht="14" x14ac:dyDescent="0.2">
      <c r="AF161" s="1"/>
      <c r="AG161" s="7"/>
    </row>
    <row r="162" spans="32:33" ht="14" x14ac:dyDescent="0.2">
      <c r="AF162" s="1"/>
      <c r="AG162" s="7"/>
    </row>
    <row r="163" spans="32:33" ht="14" x14ac:dyDescent="0.2">
      <c r="AF163" s="1"/>
      <c r="AG163" s="7"/>
    </row>
    <row r="164" spans="32:33" ht="14" x14ac:dyDescent="0.2">
      <c r="AF164" s="1"/>
      <c r="AG164" s="7"/>
    </row>
    <row r="165" spans="32:33" ht="14" x14ac:dyDescent="0.2">
      <c r="AF165" s="1"/>
      <c r="AG165" s="7"/>
    </row>
    <row r="166" spans="32:33" ht="14" x14ac:dyDescent="0.2">
      <c r="AF166" s="1"/>
      <c r="AG166" s="7"/>
    </row>
    <row r="167" spans="32:33" ht="14" x14ac:dyDescent="0.2">
      <c r="AF167" s="1"/>
      <c r="AG167" s="7"/>
    </row>
    <row r="168" spans="32:33" ht="14" x14ac:dyDescent="0.2">
      <c r="AF168" s="1"/>
      <c r="AG168" s="7"/>
    </row>
    <row r="169" spans="32:33" ht="14" x14ac:dyDescent="0.2">
      <c r="AF169" s="1"/>
      <c r="AG169" s="7"/>
    </row>
    <row r="170" spans="32:33" ht="14" x14ac:dyDescent="0.2">
      <c r="AF170" s="1"/>
      <c r="AG170" s="7"/>
    </row>
    <row r="171" spans="32:33" ht="14" x14ac:dyDescent="0.2">
      <c r="AF171" s="1"/>
      <c r="AG171" s="7"/>
    </row>
    <row r="172" spans="32:33" ht="14" x14ac:dyDescent="0.2">
      <c r="AF172" s="1"/>
      <c r="AG172" s="7"/>
    </row>
    <row r="173" spans="32:33" ht="14" x14ac:dyDescent="0.2">
      <c r="AF173" s="1"/>
      <c r="AG173" s="7"/>
    </row>
    <row r="174" spans="32:33" ht="14" x14ac:dyDescent="0.2">
      <c r="AF174" s="1"/>
      <c r="AG174" s="7"/>
    </row>
    <row r="175" spans="32:33" ht="14" x14ac:dyDescent="0.2">
      <c r="AF175" s="1"/>
      <c r="AG175" s="7"/>
    </row>
    <row r="176" spans="32:33" ht="14" x14ac:dyDescent="0.2">
      <c r="AF176" s="1"/>
      <c r="AG176" s="7"/>
    </row>
    <row r="177" spans="32:33" ht="14" x14ac:dyDescent="0.2">
      <c r="AF177" s="1"/>
      <c r="AG177" s="7"/>
    </row>
    <row r="178" spans="32:33" ht="14" x14ac:dyDescent="0.2">
      <c r="AF178" s="1"/>
      <c r="AG178" s="7"/>
    </row>
    <row r="179" spans="32:33" ht="14" x14ac:dyDescent="0.2">
      <c r="AF179" s="1"/>
      <c r="AG179" s="7"/>
    </row>
    <row r="180" spans="32:33" ht="14" x14ac:dyDescent="0.2">
      <c r="AF180" s="1"/>
      <c r="AG180" s="7"/>
    </row>
    <row r="181" spans="32:33" ht="14" x14ac:dyDescent="0.2">
      <c r="AF181" s="1"/>
      <c r="AG181" s="7"/>
    </row>
    <row r="182" spans="32:33" ht="14" x14ac:dyDescent="0.2">
      <c r="AF182" s="1"/>
      <c r="AG182" s="7"/>
    </row>
    <row r="183" spans="32:33" ht="14" x14ac:dyDescent="0.2">
      <c r="AF183" s="1"/>
      <c r="AG183" s="7"/>
    </row>
    <row r="184" spans="32:33" ht="14" x14ac:dyDescent="0.2">
      <c r="AF184" s="1"/>
      <c r="AG184" s="7"/>
    </row>
    <row r="185" spans="32:33" ht="14" x14ac:dyDescent="0.2">
      <c r="AF185" s="1"/>
      <c r="AG185" s="7"/>
    </row>
    <row r="186" spans="32:33" ht="14" x14ac:dyDescent="0.2">
      <c r="AF186" s="1"/>
      <c r="AG186" s="7"/>
    </row>
    <row r="187" spans="32:33" ht="14" x14ac:dyDescent="0.2">
      <c r="AF187" s="1"/>
      <c r="AG187" s="7"/>
    </row>
    <row r="188" spans="32:33" ht="14" x14ac:dyDescent="0.2">
      <c r="AF188" s="1"/>
      <c r="AG188" s="7"/>
    </row>
    <row r="189" spans="32:33" ht="14" x14ac:dyDescent="0.2">
      <c r="AF189" s="1"/>
      <c r="AG189" s="7"/>
    </row>
    <row r="190" spans="32:33" ht="14" x14ac:dyDescent="0.2">
      <c r="AF190" s="1"/>
      <c r="AG190" s="7"/>
    </row>
    <row r="191" spans="32:33" ht="14" x14ac:dyDescent="0.2">
      <c r="AF191" s="1"/>
      <c r="AG191" s="7"/>
    </row>
    <row r="192" spans="32:33" ht="14" x14ac:dyDescent="0.2">
      <c r="AF192" s="1"/>
      <c r="AG192" s="7"/>
    </row>
    <row r="193" spans="32:33" ht="14" x14ac:dyDescent="0.2">
      <c r="AF193" s="1"/>
      <c r="AG193" s="7"/>
    </row>
    <row r="194" spans="32:33" ht="14" x14ac:dyDescent="0.2">
      <c r="AF194" s="1"/>
      <c r="AG194" s="7"/>
    </row>
    <row r="195" spans="32:33" ht="14" x14ac:dyDescent="0.2">
      <c r="AF195" s="1"/>
      <c r="AG195" s="7"/>
    </row>
    <row r="196" spans="32:33" ht="14" x14ac:dyDescent="0.2">
      <c r="AF196" s="1"/>
      <c r="AG196" s="7"/>
    </row>
    <row r="197" spans="32:33" ht="14" x14ac:dyDescent="0.2">
      <c r="AF197" s="1"/>
      <c r="AG197" s="7"/>
    </row>
    <row r="198" spans="32:33" ht="14" x14ac:dyDescent="0.2">
      <c r="AF198" s="1"/>
      <c r="AG198" s="7"/>
    </row>
    <row r="199" spans="32:33" ht="14" x14ac:dyDescent="0.2">
      <c r="AF199" s="1"/>
      <c r="AG199" s="7"/>
    </row>
    <row r="200" spans="32:33" ht="14" x14ac:dyDescent="0.2">
      <c r="AF200" s="1"/>
      <c r="AG200" s="7"/>
    </row>
    <row r="201" spans="32:33" ht="14" x14ac:dyDescent="0.2">
      <c r="AF201" s="1"/>
      <c r="AG201" s="7"/>
    </row>
    <row r="202" spans="32:33" ht="14" x14ac:dyDescent="0.2">
      <c r="AF202" s="1"/>
      <c r="AG202" s="7"/>
    </row>
    <row r="203" spans="32:33" ht="14" x14ac:dyDescent="0.2">
      <c r="AF203" s="1"/>
      <c r="AG203" s="7"/>
    </row>
    <row r="204" spans="32:33" ht="14" x14ac:dyDescent="0.2">
      <c r="AF204" s="1"/>
      <c r="AG204" s="7"/>
    </row>
    <row r="205" spans="32:33" ht="14" x14ac:dyDescent="0.2">
      <c r="AF205" s="1"/>
      <c r="AG205" s="7"/>
    </row>
    <row r="206" spans="32:33" ht="14" x14ac:dyDescent="0.2">
      <c r="AF206" s="1"/>
      <c r="AG206" s="7"/>
    </row>
    <row r="207" spans="32:33" ht="14" x14ac:dyDescent="0.2">
      <c r="AF207" s="1"/>
      <c r="AG207" s="7"/>
    </row>
    <row r="208" spans="32:33" ht="14" x14ac:dyDescent="0.2">
      <c r="AF208" s="1"/>
      <c r="AG208" s="7"/>
    </row>
    <row r="209" spans="32:33" ht="14" x14ac:dyDescent="0.2">
      <c r="AF209" s="1"/>
      <c r="AG209" s="7"/>
    </row>
    <row r="210" spans="32:33" ht="14" x14ac:dyDescent="0.2">
      <c r="AF210" s="1"/>
      <c r="AG210" s="7"/>
    </row>
    <row r="211" spans="32:33" ht="14" x14ac:dyDescent="0.2">
      <c r="AF211" s="1"/>
      <c r="AG211" s="7"/>
    </row>
    <row r="212" spans="32:33" ht="14" x14ac:dyDescent="0.2">
      <c r="AF212" s="1"/>
      <c r="AG212" s="7"/>
    </row>
    <row r="213" spans="32:33" ht="14" x14ac:dyDescent="0.2">
      <c r="AF213" s="1"/>
      <c r="AG213" s="7"/>
    </row>
    <row r="214" spans="32:33" ht="14" x14ac:dyDescent="0.2">
      <c r="AF214" s="1"/>
      <c r="AG214" s="7"/>
    </row>
    <row r="215" spans="32:33" ht="14" x14ac:dyDescent="0.2">
      <c r="AF215" s="1"/>
      <c r="AG215" s="7"/>
    </row>
    <row r="216" spans="32:33" ht="14" x14ac:dyDescent="0.2">
      <c r="AF216" s="1"/>
      <c r="AG216" s="7"/>
    </row>
    <row r="217" spans="32:33" ht="14" x14ac:dyDescent="0.2">
      <c r="AF217" s="1"/>
      <c r="AG217" s="7"/>
    </row>
    <row r="218" spans="32:33" ht="14" x14ac:dyDescent="0.2">
      <c r="AF218" s="1"/>
      <c r="AG218" s="7"/>
    </row>
    <row r="219" spans="32:33" ht="14" x14ac:dyDescent="0.2">
      <c r="AF219" s="1"/>
      <c r="AG219" s="7"/>
    </row>
    <row r="220" spans="32:33" ht="14" x14ac:dyDescent="0.2">
      <c r="AF220" s="1"/>
      <c r="AG220" s="7"/>
    </row>
    <row r="221" spans="32:33" ht="14" x14ac:dyDescent="0.2">
      <c r="AF221" s="1"/>
      <c r="AG221" s="7"/>
    </row>
    <row r="222" spans="32:33" ht="14" x14ac:dyDescent="0.2">
      <c r="AF222" s="1"/>
      <c r="AG222" s="7"/>
    </row>
    <row r="223" spans="32:33" ht="14" x14ac:dyDescent="0.2">
      <c r="AF223" s="1"/>
      <c r="AG223" s="7"/>
    </row>
    <row r="224" spans="32:33" ht="14" x14ac:dyDescent="0.2">
      <c r="AF224" s="1"/>
      <c r="AG224" s="7"/>
    </row>
    <row r="225" spans="32:33" ht="14" x14ac:dyDescent="0.2">
      <c r="AF225" s="1"/>
      <c r="AG225" s="7"/>
    </row>
    <row r="226" spans="32:33" ht="14" x14ac:dyDescent="0.2">
      <c r="AF226" s="1"/>
      <c r="AG226" s="7"/>
    </row>
    <row r="227" spans="32:33" ht="14" x14ac:dyDescent="0.2">
      <c r="AF227" s="1"/>
      <c r="AG227" s="7"/>
    </row>
    <row r="228" spans="32:33" ht="14" x14ac:dyDescent="0.2">
      <c r="AF228" s="1"/>
      <c r="AG228" s="7"/>
    </row>
    <row r="229" spans="32:33" ht="14" x14ac:dyDescent="0.2">
      <c r="AF229" s="1"/>
      <c r="AG229" s="7"/>
    </row>
    <row r="230" spans="32:33" ht="14" x14ac:dyDescent="0.2">
      <c r="AF230" s="1"/>
      <c r="AG230" s="7"/>
    </row>
    <row r="231" spans="32:33" ht="14" x14ac:dyDescent="0.2">
      <c r="AF231" s="1"/>
      <c r="AG231" s="7"/>
    </row>
    <row r="232" spans="32:33" ht="14" x14ac:dyDescent="0.2">
      <c r="AF232" s="1"/>
      <c r="AG232" s="7"/>
    </row>
    <row r="233" spans="32:33" ht="14" x14ac:dyDescent="0.2">
      <c r="AF233" s="1"/>
      <c r="AG233" s="7"/>
    </row>
    <row r="234" spans="32:33" ht="14" x14ac:dyDescent="0.2">
      <c r="AF234" s="1"/>
      <c r="AG234" s="7"/>
    </row>
    <row r="235" spans="32:33" ht="14" x14ac:dyDescent="0.2">
      <c r="AF235" s="1"/>
      <c r="AG235" s="7"/>
    </row>
    <row r="236" spans="32:33" ht="14" x14ac:dyDescent="0.2">
      <c r="AF236" s="1"/>
      <c r="AG236" s="7"/>
    </row>
    <row r="237" spans="32:33" ht="14" x14ac:dyDescent="0.2">
      <c r="AF237" s="1"/>
      <c r="AG237" s="7"/>
    </row>
    <row r="238" spans="32:33" ht="14" x14ac:dyDescent="0.2">
      <c r="AF238" s="1"/>
      <c r="AG238" s="7"/>
    </row>
    <row r="239" spans="32:33" ht="14" x14ac:dyDescent="0.2">
      <c r="AF239" s="1"/>
      <c r="AG239" s="7"/>
    </row>
    <row r="240" spans="32:33" ht="14" x14ac:dyDescent="0.2">
      <c r="AF240" s="1"/>
      <c r="AG240" s="7"/>
    </row>
    <row r="241" spans="32:33" ht="14" x14ac:dyDescent="0.2">
      <c r="AF241" s="1"/>
      <c r="AG241" s="7"/>
    </row>
    <row r="242" spans="32:33" ht="14" x14ac:dyDescent="0.2">
      <c r="AF242" s="1"/>
      <c r="AG242" s="7"/>
    </row>
    <row r="243" spans="32:33" ht="14" x14ac:dyDescent="0.2">
      <c r="AF243" s="1"/>
      <c r="AG243" s="7"/>
    </row>
    <row r="244" spans="32:33" ht="14" x14ac:dyDescent="0.2">
      <c r="AF244" s="1"/>
      <c r="AG244" s="7"/>
    </row>
    <row r="245" spans="32:33" ht="14" x14ac:dyDescent="0.2">
      <c r="AF245" s="1"/>
      <c r="AG245" s="7"/>
    </row>
    <row r="246" spans="32:33" ht="14" x14ac:dyDescent="0.2">
      <c r="AF246" s="1"/>
      <c r="AG246" s="7"/>
    </row>
    <row r="247" spans="32:33" ht="14" x14ac:dyDescent="0.2">
      <c r="AF247" s="1"/>
      <c r="AG247" s="7"/>
    </row>
    <row r="248" spans="32:33" ht="14" x14ac:dyDescent="0.2">
      <c r="AF248" s="1"/>
      <c r="AG248" s="7"/>
    </row>
    <row r="249" spans="32:33" ht="14" x14ac:dyDescent="0.2">
      <c r="AF249" s="1"/>
      <c r="AG249" s="7"/>
    </row>
    <row r="250" spans="32:33" ht="14" x14ac:dyDescent="0.2">
      <c r="AF250" s="1"/>
      <c r="AG250" s="7"/>
    </row>
    <row r="251" spans="32:33" ht="14" x14ac:dyDescent="0.2">
      <c r="AF251" s="1"/>
      <c r="AG251" s="7"/>
    </row>
    <row r="252" spans="32:33" ht="14" x14ac:dyDescent="0.2">
      <c r="AF252" s="1"/>
      <c r="AG252" s="7"/>
    </row>
    <row r="253" spans="32:33" ht="14" x14ac:dyDescent="0.2">
      <c r="AF253" s="1"/>
      <c r="AG253" s="7"/>
    </row>
    <row r="254" spans="32:33" ht="14" x14ac:dyDescent="0.2">
      <c r="AF254" s="1"/>
      <c r="AG254" s="7"/>
    </row>
    <row r="255" spans="32:33" ht="14" x14ac:dyDescent="0.2">
      <c r="AF255" s="1"/>
      <c r="AG255" s="7"/>
    </row>
    <row r="256" spans="32:33" ht="14" x14ac:dyDescent="0.2">
      <c r="AF256" s="1"/>
      <c r="AG256" s="7"/>
    </row>
    <row r="257" spans="32:33" ht="14" x14ac:dyDescent="0.2">
      <c r="AF257" s="1"/>
      <c r="AG257" s="7"/>
    </row>
    <row r="258" spans="32:33" ht="14" x14ac:dyDescent="0.2">
      <c r="AF258" s="1"/>
      <c r="AG258" s="7"/>
    </row>
    <row r="259" spans="32:33" ht="14" x14ac:dyDescent="0.2">
      <c r="AF259" s="1"/>
      <c r="AG259" s="7"/>
    </row>
    <row r="260" spans="32:33" ht="14" x14ac:dyDescent="0.2">
      <c r="AF260" s="1"/>
      <c r="AG260" s="7"/>
    </row>
    <row r="261" spans="32:33" ht="14" x14ac:dyDescent="0.2">
      <c r="AF261" s="1"/>
      <c r="AG261" s="7"/>
    </row>
    <row r="262" spans="32:33" ht="14" x14ac:dyDescent="0.2">
      <c r="AF262" s="1"/>
      <c r="AG262" s="7"/>
    </row>
    <row r="263" spans="32:33" ht="14" x14ac:dyDescent="0.2">
      <c r="AF263" s="1"/>
      <c r="AG263" s="7"/>
    </row>
    <row r="264" spans="32:33" ht="14" x14ac:dyDescent="0.2">
      <c r="AF264" s="1"/>
      <c r="AG264" s="7"/>
    </row>
    <row r="265" spans="32:33" ht="14" x14ac:dyDescent="0.2">
      <c r="AF265" s="1"/>
      <c r="AG265" s="7"/>
    </row>
    <row r="266" spans="32:33" ht="14" x14ac:dyDescent="0.2">
      <c r="AF266" s="1"/>
      <c r="AG266" s="7"/>
    </row>
    <row r="267" spans="32:33" ht="14" x14ac:dyDescent="0.2">
      <c r="AF267" s="1"/>
      <c r="AG267" s="7"/>
    </row>
    <row r="268" spans="32:33" ht="14" x14ac:dyDescent="0.2">
      <c r="AF268" s="1"/>
      <c r="AG268" s="7"/>
    </row>
    <row r="269" spans="32:33" ht="14" x14ac:dyDescent="0.2">
      <c r="AF269" s="1"/>
      <c r="AG269" s="7"/>
    </row>
    <row r="270" spans="32:33" ht="14" x14ac:dyDescent="0.2">
      <c r="AF270" s="1"/>
      <c r="AG270" s="7"/>
    </row>
    <row r="271" spans="32:33" ht="14" x14ac:dyDescent="0.2">
      <c r="AF271" s="1"/>
      <c r="AG271" s="7"/>
    </row>
    <row r="272" spans="32:33" ht="14" x14ac:dyDescent="0.2">
      <c r="AF272" s="1"/>
      <c r="AG272" s="7"/>
    </row>
    <row r="273" spans="32:33" ht="14" x14ac:dyDescent="0.2">
      <c r="AF273" s="1"/>
      <c r="AG273" s="7"/>
    </row>
    <row r="274" spans="32:33" ht="14" x14ac:dyDescent="0.2">
      <c r="AF274" s="1"/>
      <c r="AG274" s="7"/>
    </row>
    <row r="275" spans="32:33" ht="14" x14ac:dyDescent="0.2">
      <c r="AF275" s="1"/>
      <c r="AG275" s="7"/>
    </row>
    <row r="276" spans="32:33" ht="14" x14ac:dyDescent="0.2">
      <c r="AF276" s="1"/>
      <c r="AG276" s="7"/>
    </row>
    <row r="277" spans="32:33" ht="14" x14ac:dyDescent="0.2">
      <c r="AF277" s="1"/>
      <c r="AG277" s="7"/>
    </row>
    <row r="278" spans="32:33" ht="14" x14ac:dyDescent="0.2">
      <c r="AF278" s="1"/>
      <c r="AG278" s="7"/>
    </row>
    <row r="279" spans="32:33" ht="14" x14ac:dyDescent="0.2">
      <c r="AF279" s="1"/>
      <c r="AG279" s="7"/>
    </row>
    <row r="280" spans="32:33" ht="14" x14ac:dyDescent="0.2">
      <c r="AF280" s="1"/>
      <c r="AG280" s="7"/>
    </row>
    <row r="281" spans="32:33" ht="14" x14ac:dyDescent="0.2">
      <c r="AF281" s="1"/>
      <c r="AG281" s="7"/>
    </row>
    <row r="282" spans="32:33" ht="14" x14ac:dyDescent="0.2">
      <c r="AF282" s="1"/>
      <c r="AG282" s="7"/>
    </row>
    <row r="283" spans="32:33" ht="14" x14ac:dyDescent="0.2">
      <c r="AF283" s="1"/>
      <c r="AG283" s="7"/>
    </row>
    <row r="284" spans="32:33" ht="14" x14ac:dyDescent="0.2">
      <c r="AF284" s="1"/>
      <c r="AG284" s="7"/>
    </row>
    <row r="285" spans="32:33" ht="14" x14ac:dyDescent="0.2">
      <c r="AF285" s="1"/>
      <c r="AG285" s="7"/>
    </row>
    <row r="286" spans="32:33" ht="14" x14ac:dyDescent="0.2">
      <c r="AF286" s="1"/>
      <c r="AG286" s="7"/>
    </row>
    <row r="287" spans="32:33" ht="14" x14ac:dyDescent="0.2">
      <c r="AF287" s="1"/>
      <c r="AG287" s="7"/>
    </row>
    <row r="288" spans="32:33" ht="14" x14ac:dyDescent="0.2">
      <c r="AF288" s="1"/>
      <c r="AG288" s="7"/>
    </row>
    <row r="289" spans="32:33" ht="14" x14ac:dyDescent="0.2">
      <c r="AF289" s="1"/>
      <c r="AG289" s="7"/>
    </row>
    <row r="290" spans="32:33" ht="14" x14ac:dyDescent="0.2">
      <c r="AF290" s="1"/>
      <c r="AG290" s="7"/>
    </row>
    <row r="291" spans="32:33" ht="14" x14ac:dyDescent="0.2">
      <c r="AF291" s="1"/>
      <c r="AG291" s="7"/>
    </row>
    <row r="292" spans="32:33" ht="14" x14ac:dyDescent="0.2">
      <c r="AF292" s="1"/>
      <c r="AG292" s="7"/>
    </row>
    <row r="293" spans="32:33" ht="14" x14ac:dyDescent="0.2">
      <c r="AF293" s="1"/>
      <c r="AG293" s="7"/>
    </row>
    <row r="294" spans="32:33" ht="14" x14ac:dyDescent="0.2">
      <c r="AF294" s="1"/>
      <c r="AG294" s="7"/>
    </row>
    <row r="295" spans="32:33" ht="14" x14ac:dyDescent="0.2">
      <c r="AF295" s="1"/>
      <c r="AG295" s="7"/>
    </row>
    <row r="296" spans="32:33" ht="14" x14ac:dyDescent="0.2">
      <c r="AF296" s="1"/>
      <c r="AG296" s="7"/>
    </row>
    <row r="297" spans="32:33" ht="14" x14ac:dyDescent="0.2">
      <c r="AF297" s="1"/>
      <c r="AG297" s="7"/>
    </row>
    <row r="298" spans="32:33" ht="14" x14ac:dyDescent="0.2">
      <c r="AF298" s="1"/>
      <c r="AG298" s="7"/>
    </row>
    <row r="299" spans="32:33" ht="14" x14ac:dyDescent="0.2">
      <c r="AF299" s="1"/>
      <c r="AG299" s="7"/>
    </row>
    <row r="300" spans="32:33" ht="14" x14ac:dyDescent="0.2">
      <c r="AF300" s="1"/>
      <c r="AG300" s="7"/>
    </row>
    <row r="301" spans="32:33" ht="14" x14ac:dyDescent="0.2">
      <c r="AF301" s="1"/>
      <c r="AG301" s="7"/>
    </row>
    <row r="302" spans="32:33" ht="14" x14ac:dyDescent="0.2">
      <c r="AF302" s="1"/>
      <c r="AG302" s="7"/>
    </row>
    <row r="303" spans="32:33" ht="14" x14ac:dyDescent="0.2">
      <c r="AF303" s="1"/>
      <c r="AG303" s="7"/>
    </row>
    <row r="304" spans="32:33" ht="14" x14ac:dyDescent="0.2">
      <c r="AF304" s="1"/>
      <c r="AG304" s="7"/>
    </row>
    <row r="305" spans="32:33" ht="14" x14ac:dyDescent="0.2">
      <c r="AF305" s="1"/>
      <c r="AG305" s="7"/>
    </row>
    <row r="306" spans="32:33" ht="14" x14ac:dyDescent="0.2">
      <c r="AF306" s="1"/>
      <c r="AG306" s="7"/>
    </row>
    <row r="307" spans="32:33" ht="14" x14ac:dyDescent="0.2">
      <c r="AF307" s="1"/>
      <c r="AG307" s="7"/>
    </row>
    <row r="308" spans="32:33" ht="14" x14ac:dyDescent="0.2">
      <c r="AF308" s="1"/>
      <c r="AG308" s="7"/>
    </row>
    <row r="309" spans="32:33" ht="14" x14ac:dyDescent="0.2">
      <c r="AF309" s="1"/>
      <c r="AG309" s="7"/>
    </row>
    <row r="310" spans="32:33" ht="14" x14ac:dyDescent="0.2">
      <c r="AF310" s="1"/>
      <c r="AG310" s="7"/>
    </row>
    <row r="311" spans="32:33" ht="14" x14ac:dyDescent="0.2">
      <c r="AF311" s="1"/>
      <c r="AG311" s="7"/>
    </row>
    <row r="312" spans="32:33" ht="14" x14ac:dyDescent="0.2">
      <c r="AF312" s="1"/>
      <c r="AG312" s="7"/>
    </row>
    <row r="313" spans="32:33" ht="14" x14ac:dyDescent="0.2">
      <c r="AF313" s="1"/>
      <c r="AG313" s="7"/>
    </row>
    <row r="314" spans="32:33" ht="14" x14ac:dyDescent="0.2">
      <c r="AF314" s="1"/>
      <c r="AG314" s="7"/>
    </row>
    <row r="315" spans="32:33" ht="14" x14ac:dyDescent="0.2">
      <c r="AF315" s="1"/>
      <c r="AG315" s="7"/>
    </row>
    <row r="316" spans="32:33" ht="14" x14ac:dyDescent="0.2">
      <c r="AF316" s="1"/>
      <c r="AG316" s="7"/>
    </row>
    <row r="317" spans="32:33" ht="14" x14ac:dyDescent="0.2">
      <c r="AF317" s="1"/>
      <c r="AG317" s="7"/>
    </row>
    <row r="318" spans="32:33" ht="14" x14ac:dyDescent="0.2">
      <c r="AF318" s="1"/>
      <c r="AG318" s="7"/>
    </row>
    <row r="319" spans="32:33" ht="14" x14ac:dyDescent="0.2">
      <c r="AF319" s="1"/>
      <c r="AG319" s="7"/>
    </row>
    <row r="320" spans="32:33" ht="14" x14ac:dyDescent="0.2">
      <c r="AF320" s="1"/>
      <c r="AG320" s="7"/>
    </row>
    <row r="321" spans="32:33" ht="14" x14ac:dyDescent="0.2">
      <c r="AF321" s="1"/>
      <c r="AG321" s="7"/>
    </row>
    <row r="322" spans="32:33" ht="14" x14ac:dyDescent="0.2">
      <c r="AF322" s="1"/>
      <c r="AG322" s="7"/>
    </row>
    <row r="323" spans="32:33" ht="14" x14ac:dyDescent="0.2">
      <c r="AF323" s="1"/>
      <c r="AG323" s="7"/>
    </row>
    <row r="324" spans="32:33" ht="14" x14ac:dyDescent="0.2">
      <c r="AF324" s="1"/>
      <c r="AG324" s="7"/>
    </row>
    <row r="325" spans="32:33" ht="14" x14ac:dyDescent="0.2">
      <c r="AF325" s="1"/>
      <c r="AG325" s="7"/>
    </row>
    <row r="326" spans="32:33" ht="14" x14ac:dyDescent="0.2">
      <c r="AF326" s="1"/>
      <c r="AG326" s="7"/>
    </row>
    <row r="327" spans="32:33" ht="14" x14ac:dyDescent="0.2">
      <c r="AF327" s="1"/>
      <c r="AG327" s="7"/>
    </row>
    <row r="328" spans="32:33" ht="14" x14ac:dyDescent="0.2">
      <c r="AF328" s="1"/>
      <c r="AG328" s="7"/>
    </row>
    <row r="329" spans="32:33" ht="14" x14ac:dyDescent="0.2">
      <c r="AF329" s="1"/>
      <c r="AG329" s="7"/>
    </row>
    <row r="330" spans="32:33" ht="14" x14ac:dyDescent="0.2">
      <c r="AF330" s="1"/>
      <c r="AG330" s="7"/>
    </row>
    <row r="331" spans="32:33" ht="14" x14ac:dyDescent="0.2">
      <c r="AF331" s="1"/>
      <c r="AG331" s="7"/>
    </row>
    <row r="332" spans="32:33" ht="14" x14ac:dyDescent="0.2">
      <c r="AF332" s="1"/>
      <c r="AG332" s="7"/>
    </row>
    <row r="333" spans="32:33" ht="14" x14ac:dyDescent="0.2">
      <c r="AF333" s="1"/>
      <c r="AG333" s="7"/>
    </row>
    <row r="334" spans="32:33" ht="14" x14ac:dyDescent="0.2">
      <c r="AF334" s="1"/>
      <c r="AG334" s="7"/>
    </row>
    <row r="335" spans="32:33" ht="14" x14ac:dyDescent="0.2">
      <c r="AF335" s="1"/>
      <c r="AG335" s="7"/>
    </row>
    <row r="336" spans="32:33" ht="14" x14ac:dyDescent="0.2">
      <c r="AF336" s="1"/>
      <c r="AG336" s="7"/>
    </row>
    <row r="337" spans="32:33" ht="14" x14ac:dyDescent="0.2">
      <c r="AF337" s="1"/>
      <c r="AG337" s="7"/>
    </row>
    <row r="338" spans="32:33" ht="14" x14ac:dyDescent="0.2">
      <c r="AF338" s="1"/>
      <c r="AG338" s="7"/>
    </row>
    <row r="339" spans="32:33" ht="14" x14ac:dyDescent="0.2">
      <c r="AF339" s="1"/>
      <c r="AG339" s="7"/>
    </row>
    <row r="340" spans="32:33" ht="14" x14ac:dyDescent="0.2">
      <c r="AF340" s="1"/>
      <c r="AG340" s="7"/>
    </row>
    <row r="341" spans="32:33" ht="14" x14ac:dyDescent="0.2">
      <c r="AF341" s="1"/>
      <c r="AG341" s="7"/>
    </row>
    <row r="342" spans="32:33" ht="14" x14ac:dyDescent="0.2">
      <c r="AF342" s="1"/>
      <c r="AG342" s="7"/>
    </row>
    <row r="343" spans="32:33" ht="14" x14ac:dyDescent="0.2">
      <c r="AF343" s="1"/>
      <c r="AG343" s="7"/>
    </row>
    <row r="344" spans="32:33" ht="14" x14ac:dyDescent="0.2">
      <c r="AF344" s="1"/>
      <c r="AG344" s="7"/>
    </row>
    <row r="345" spans="32:33" ht="14" x14ac:dyDescent="0.2">
      <c r="AF345" s="1"/>
      <c r="AG345" s="7"/>
    </row>
    <row r="346" spans="32:33" ht="14" x14ac:dyDescent="0.2">
      <c r="AF346" s="1"/>
      <c r="AG346" s="7"/>
    </row>
    <row r="347" spans="32:33" ht="14" x14ac:dyDescent="0.2">
      <c r="AF347" s="1"/>
      <c r="AG347" s="7"/>
    </row>
    <row r="348" spans="32:33" ht="14" x14ac:dyDescent="0.2">
      <c r="AF348" s="1"/>
      <c r="AG348" s="7"/>
    </row>
    <row r="349" spans="32:33" ht="14" x14ac:dyDescent="0.2">
      <c r="AF349" s="1"/>
      <c r="AG349" s="7"/>
    </row>
    <row r="350" spans="32:33" ht="14" x14ac:dyDescent="0.2">
      <c r="AF350" s="1"/>
      <c r="AG350" s="7"/>
    </row>
    <row r="351" spans="32:33" ht="14" x14ac:dyDescent="0.2">
      <c r="AF351" s="1"/>
      <c r="AG351" s="7"/>
    </row>
    <row r="352" spans="32:33" ht="14" x14ac:dyDescent="0.2">
      <c r="AF352" s="1"/>
      <c r="AG352" s="7"/>
    </row>
    <row r="353" spans="32:33" ht="14" x14ac:dyDescent="0.2">
      <c r="AF353" s="1"/>
      <c r="AG353" s="7"/>
    </row>
    <row r="354" spans="32:33" ht="14" x14ac:dyDescent="0.2">
      <c r="AF354" s="1"/>
      <c r="AG354" s="7"/>
    </row>
    <row r="355" spans="32:33" ht="14" x14ac:dyDescent="0.2">
      <c r="AF355" s="1"/>
      <c r="AG355" s="7"/>
    </row>
    <row r="356" spans="32:33" ht="14" x14ac:dyDescent="0.2">
      <c r="AF356" s="1"/>
      <c r="AG356" s="7"/>
    </row>
    <row r="357" spans="32:33" ht="14" x14ac:dyDescent="0.2">
      <c r="AF357" s="1"/>
      <c r="AG357" s="7"/>
    </row>
    <row r="358" spans="32:33" ht="14" x14ac:dyDescent="0.2">
      <c r="AF358" s="1"/>
      <c r="AG358" s="7"/>
    </row>
    <row r="359" spans="32:33" ht="14" x14ac:dyDescent="0.2">
      <c r="AF359" s="1"/>
      <c r="AG359" s="7"/>
    </row>
    <row r="360" spans="32:33" ht="14" x14ac:dyDescent="0.2">
      <c r="AF360" s="1"/>
      <c r="AG360" s="7"/>
    </row>
    <row r="361" spans="32:33" ht="14" x14ac:dyDescent="0.2">
      <c r="AF361" s="1"/>
      <c r="AG361" s="7"/>
    </row>
    <row r="362" spans="32:33" ht="14" x14ac:dyDescent="0.2">
      <c r="AF362" s="1"/>
      <c r="AG362" s="7"/>
    </row>
    <row r="363" spans="32:33" ht="14" x14ac:dyDescent="0.2">
      <c r="AF363" s="1"/>
      <c r="AG363" s="7"/>
    </row>
    <row r="364" spans="32:33" ht="14" x14ac:dyDescent="0.2">
      <c r="AF364" s="1"/>
      <c r="AG364" s="7"/>
    </row>
    <row r="365" spans="32:33" ht="14" x14ac:dyDescent="0.2">
      <c r="AF365" s="1"/>
      <c r="AG365" s="7"/>
    </row>
    <row r="366" spans="32:33" ht="14" x14ac:dyDescent="0.2">
      <c r="AF366" s="1"/>
      <c r="AG366" s="7"/>
    </row>
    <row r="367" spans="32:33" ht="14" x14ac:dyDescent="0.2">
      <c r="AF367" s="1"/>
      <c r="AG367" s="7"/>
    </row>
    <row r="368" spans="32:33" ht="14" x14ac:dyDescent="0.2">
      <c r="AF368" s="1"/>
      <c r="AG368" s="7"/>
    </row>
    <row r="369" spans="32:33" ht="14" x14ac:dyDescent="0.2">
      <c r="AF369" s="1"/>
      <c r="AG369" s="7"/>
    </row>
    <row r="370" spans="32:33" ht="14" x14ac:dyDescent="0.2">
      <c r="AF370" s="1"/>
      <c r="AG370" s="7"/>
    </row>
    <row r="371" spans="32:33" ht="14" x14ac:dyDescent="0.2">
      <c r="AF371" s="1"/>
      <c r="AG371" s="7"/>
    </row>
    <row r="372" spans="32:33" ht="14" x14ac:dyDescent="0.2">
      <c r="AF372" s="1"/>
      <c r="AG372" s="7"/>
    </row>
    <row r="373" spans="32:33" ht="14" x14ac:dyDescent="0.2">
      <c r="AF373" s="1"/>
      <c r="AG373" s="7"/>
    </row>
    <row r="374" spans="32:33" ht="14" x14ac:dyDescent="0.2">
      <c r="AF374" s="1"/>
      <c r="AG374" s="7"/>
    </row>
    <row r="375" spans="32:33" ht="14" x14ac:dyDescent="0.2">
      <c r="AF375" s="1"/>
      <c r="AG375" s="7"/>
    </row>
    <row r="376" spans="32:33" ht="14" x14ac:dyDescent="0.2">
      <c r="AF376" s="1"/>
      <c r="AG376" s="7"/>
    </row>
    <row r="377" spans="32:33" ht="14" x14ac:dyDescent="0.2">
      <c r="AF377" s="1"/>
      <c r="AG377" s="7"/>
    </row>
    <row r="378" spans="32:33" ht="14" x14ac:dyDescent="0.2">
      <c r="AF378" s="1"/>
      <c r="AG378" s="7"/>
    </row>
    <row r="379" spans="32:33" ht="14" x14ac:dyDescent="0.2">
      <c r="AF379" s="1"/>
      <c r="AG379" s="7"/>
    </row>
    <row r="380" spans="32:33" ht="14" x14ac:dyDescent="0.2">
      <c r="AF380" s="1"/>
      <c r="AG380" s="7"/>
    </row>
    <row r="381" spans="32:33" ht="14" x14ac:dyDescent="0.2">
      <c r="AF381" s="1"/>
      <c r="AG381" s="7"/>
    </row>
    <row r="382" spans="32:33" ht="14" x14ac:dyDescent="0.2">
      <c r="AF382" s="1"/>
      <c r="AG382" s="7"/>
    </row>
    <row r="383" spans="32:33" ht="14" x14ac:dyDescent="0.2">
      <c r="AF383" s="1"/>
      <c r="AG383" s="7"/>
    </row>
    <row r="384" spans="32:33" ht="14" x14ac:dyDescent="0.2">
      <c r="AF384" s="1"/>
      <c r="AG384" s="7"/>
    </row>
    <row r="385" spans="32:33" ht="14" x14ac:dyDescent="0.2">
      <c r="AF385" s="1"/>
      <c r="AG385" s="7"/>
    </row>
    <row r="386" spans="32:33" ht="14" x14ac:dyDescent="0.2">
      <c r="AF386" s="1"/>
      <c r="AG386" s="7"/>
    </row>
    <row r="387" spans="32:33" ht="14" x14ac:dyDescent="0.2">
      <c r="AF387" s="1"/>
      <c r="AG387" s="7"/>
    </row>
    <row r="388" spans="32:33" ht="14" x14ac:dyDescent="0.2">
      <c r="AF388" s="1"/>
      <c r="AG388" s="7"/>
    </row>
    <row r="389" spans="32:33" ht="14" x14ac:dyDescent="0.2">
      <c r="AF389" s="1"/>
      <c r="AG389" s="7"/>
    </row>
    <row r="390" spans="32:33" ht="14" x14ac:dyDescent="0.2">
      <c r="AF390" s="1"/>
      <c r="AG390" s="7"/>
    </row>
    <row r="391" spans="32:33" ht="14" x14ac:dyDescent="0.2">
      <c r="AF391" s="1"/>
      <c r="AG391" s="7"/>
    </row>
    <row r="392" spans="32:33" ht="14" x14ac:dyDescent="0.2">
      <c r="AF392" s="1"/>
      <c r="AG392" s="7"/>
    </row>
    <row r="393" spans="32:33" ht="14" x14ac:dyDescent="0.2">
      <c r="AF393" s="1"/>
      <c r="AG393" s="7"/>
    </row>
    <row r="394" spans="32:33" ht="14" x14ac:dyDescent="0.2">
      <c r="AF394" s="1"/>
      <c r="AG394" s="7"/>
    </row>
    <row r="395" spans="32:33" ht="14" x14ac:dyDescent="0.2">
      <c r="AF395" s="1"/>
      <c r="AG395" s="7"/>
    </row>
    <row r="396" spans="32:33" ht="14" x14ac:dyDescent="0.2">
      <c r="AF396" s="1"/>
      <c r="AG396" s="7"/>
    </row>
    <row r="397" spans="32:33" ht="14" x14ac:dyDescent="0.2">
      <c r="AF397" s="1"/>
      <c r="AG397" s="7"/>
    </row>
    <row r="398" spans="32:33" ht="14" x14ac:dyDescent="0.2">
      <c r="AF398" s="1"/>
      <c r="AG398" s="7"/>
    </row>
    <row r="399" spans="32:33" ht="14" x14ac:dyDescent="0.2">
      <c r="AF399" s="1"/>
      <c r="AG399" s="7"/>
    </row>
    <row r="400" spans="32:33" ht="14" x14ac:dyDescent="0.2">
      <c r="AF400" s="1"/>
      <c r="AG400" s="7"/>
    </row>
    <row r="401" spans="32:33" ht="14" x14ac:dyDescent="0.2">
      <c r="AF401" s="1"/>
      <c r="AG401" s="7"/>
    </row>
    <row r="402" spans="32:33" ht="14" x14ac:dyDescent="0.2">
      <c r="AF402" s="1"/>
      <c r="AG402" s="7"/>
    </row>
    <row r="403" spans="32:33" ht="14" x14ac:dyDescent="0.2">
      <c r="AF403" s="1"/>
      <c r="AG403" s="7"/>
    </row>
    <row r="404" spans="32:33" ht="14" x14ac:dyDescent="0.2">
      <c r="AF404" s="1"/>
      <c r="AG404" s="7"/>
    </row>
    <row r="405" spans="32:33" ht="14" x14ac:dyDescent="0.2">
      <c r="AF405" s="1"/>
      <c r="AG405" s="7"/>
    </row>
    <row r="406" spans="32:33" ht="14" x14ac:dyDescent="0.2">
      <c r="AF406" s="1"/>
      <c r="AG406" s="7"/>
    </row>
    <row r="407" spans="32:33" ht="14" x14ac:dyDescent="0.2">
      <c r="AF407" s="1"/>
      <c r="AG407" s="7"/>
    </row>
    <row r="408" spans="32:33" ht="14" x14ac:dyDescent="0.2">
      <c r="AF408" s="1"/>
      <c r="AG408" s="7"/>
    </row>
    <row r="409" spans="32:33" ht="14" x14ac:dyDescent="0.2">
      <c r="AF409" s="1"/>
      <c r="AG409" s="7"/>
    </row>
    <row r="410" spans="32:33" ht="14" x14ac:dyDescent="0.2">
      <c r="AF410" s="1"/>
      <c r="AG410" s="7"/>
    </row>
    <row r="411" spans="32:33" ht="14" x14ac:dyDescent="0.2">
      <c r="AF411" s="1"/>
      <c r="AG411" s="7"/>
    </row>
    <row r="412" spans="32:33" ht="14" x14ac:dyDescent="0.2">
      <c r="AF412" s="1"/>
      <c r="AG412" s="7"/>
    </row>
    <row r="413" spans="32:33" ht="14" x14ac:dyDescent="0.2">
      <c r="AF413" s="1"/>
      <c r="AG413" s="7"/>
    </row>
    <row r="414" spans="32:33" ht="14" x14ac:dyDescent="0.2">
      <c r="AF414" s="1"/>
      <c r="AG414" s="7"/>
    </row>
    <row r="415" spans="32:33" ht="14" x14ac:dyDescent="0.2">
      <c r="AF415" s="1"/>
      <c r="AG415" s="7"/>
    </row>
    <row r="416" spans="32:33" ht="14" x14ac:dyDescent="0.2">
      <c r="AF416" s="1"/>
      <c r="AG416" s="7"/>
    </row>
    <row r="417" spans="32:33" ht="14" x14ac:dyDescent="0.2">
      <c r="AF417" s="1"/>
      <c r="AG417" s="7"/>
    </row>
    <row r="418" spans="32:33" ht="14" x14ac:dyDescent="0.2">
      <c r="AF418" s="1"/>
      <c r="AG418" s="7"/>
    </row>
    <row r="419" spans="32:33" ht="14" x14ac:dyDescent="0.2">
      <c r="AF419" s="1"/>
      <c r="AG419" s="7"/>
    </row>
    <row r="420" spans="32:33" ht="14" x14ac:dyDescent="0.2">
      <c r="AF420" s="1"/>
      <c r="AG420" s="7"/>
    </row>
    <row r="421" spans="32:33" ht="14" x14ac:dyDescent="0.2">
      <c r="AF421" s="1"/>
      <c r="AG421" s="7"/>
    </row>
    <row r="422" spans="32:33" ht="14" x14ac:dyDescent="0.2">
      <c r="AF422" s="1"/>
      <c r="AG422" s="7"/>
    </row>
    <row r="423" spans="32:33" ht="14" x14ac:dyDescent="0.2">
      <c r="AF423" s="1"/>
      <c r="AG423" s="7"/>
    </row>
    <row r="424" spans="32:33" ht="14" x14ac:dyDescent="0.2">
      <c r="AF424" s="1"/>
      <c r="AG424" s="7"/>
    </row>
    <row r="425" spans="32:33" ht="14" x14ac:dyDescent="0.2">
      <c r="AF425" s="1"/>
      <c r="AG425" s="7"/>
    </row>
    <row r="426" spans="32:33" ht="14" x14ac:dyDescent="0.2">
      <c r="AF426" s="1"/>
      <c r="AG426" s="7"/>
    </row>
    <row r="427" spans="32:33" ht="14" x14ac:dyDescent="0.2">
      <c r="AF427" s="1"/>
      <c r="AG427" s="7"/>
    </row>
    <row r="428" spans="32:33" ht="14" x14ac:dyDescent="0.2">
      <c r="AF428" s="1"/>
      <c r="AG428" s="7"/>
    </row>
    <row r="429" spans="32:33" ht="14" x14ac:dyDescent="0.2">
      <c r="AF429" s="1"/>
      <c r="AG429" s="7"/>
    </row>
    <row r="430" spans="32:33" ht="14" x14ac:dyDescent="0.2">
      <c r="AF430" s="1"/>
      <c r="AG430" s="7"/>
    </row>
    <row r="431" spans="32:33" ht="14" x14ac:dyDescent="0.2">
      <c r="AF431" s="1"/>
      <c r="AG431" s="7"/>
    </row>
    <row r="432" spans="32:33" ht="14" x14ac:dyDescent="0.2">
      <c r="AF432" s="1"/>
      <c r="AG432" s="7"/>
    </row>
    <row r="433" spans="32:33" ht="14" x14ac:dyDescent="0.2">
      <c r="AF433" s="1"/>
      <c r="AG433" s="7"/>
    </row>
    <row r="434" spans="32:33" ht="14" x14ac:dyDescent="0.2">
      <c r="AF434" s="1"/>
      <c r="AG434" s="7"/>
    </row>
    <row r="435" spans="32:33" ht="14" x14ac:dyDescent="0.2">
      <c r="AF435" s="1"/>
      <c r="AG435" s="7"/>
    </row>
    <row r="436" spans="32:33" ht="14" x14ac:dyDescent="0.2">
      <c r="AF436" s="1"/>
      <c r="AG436" s="7"/>
    </row>
    <row r="437" spans="32:33" ht="14" x14ac:dyDescent="0.2">
      <c r="AF437" s="1"/>
      <c r="AG437" s="7"/>
    </row>
    <row r="438" spans="32:33" ht="14" x14ac:dyDescent="0.2">
      <c r="AF438" s="1"/>
      <c r="AG438" s="7"/>
    </row>
    <row r="439" spans="32:33" ht="14" x14ac:dyDescent="0.2">
      <c r="AF439" s="1"/>
      <c r="AG439" s="7"/>
    </row>
    <row r="440" spans="32:33" ht="14" x14ac:dyDescent="0.2">
      <c r="AF440" s="1"/>
      <c r="AG440" s="7"/>
    </row>
    <row r="441" spans="32:33" ht="14" x14ac:dyDescent="0.2">
      <c r="AF441" s="1"/>
      <c r="AG441" s="7"/>
    </row>
    <row r="442" spans="32:33" ht="14" x14ac:dyDescent="0.2">
      <c r="AF442" s="1"/>
      <c r="AG442" s="7"/>
    </row>
    <row r="443" spans="32:33" ht="14" x14ac:dyDescent="0.2">
      <c r="AF443" s="1"/>
      <c r="AG443" s="7"/>
    </row>
    <row r="444" spans="32:33" ht="14" x14ac:dyDescent="0.2">
      <c r="AF444" s="1"/>
      <c r="AG444" s="7"/>
    </row>
    <row r="445" spans="32:33" ht="14" x14ac:dyDescent="0.2">
      <c r="AF445" s="1"/>
      <c r="AG445" s="7"/>
    </row>
    <row r="446" spans="32:33" ht="14" x14ac:dyDescent="0.2">
      <c r="AF446" s="1"/>
      <c r="AG446" s="7"/>
    </row>
    <row r="447" spans="32:33" ht="14" x14ac:dyDescent="0.2">
      <c r="AF447" s="1"/>
      <c r="AG447" s="7"/>
    </row>
    <row r="448" spans="32:33" ht="14" x14ac:dyDescent="0.2">
      <c r="AF448" s="1"/>
      <c r="AG448" s="7"/>
    </row>
    <row r="449" spans="32:33" ht="14" x14ac:dyDescent="0.2">
      <c r="AF449" s="1"/>
      <c r="AG449" s="7"/>
    </row>
    <row r="450" spans="32:33" ht="14" x14ac:dyDescent="0.2">
      <c r="AF450" s="1"/>
      <c r="AG450" s="7"/>
    </row>
    <row r="451" spans="32:33" ht="14" x14ac:dyDescent="0.2">
      <c r="AF451" s="1"/>
      <c r="AG451" s="7"/>
    </row>
    <row r="452" spans="32:33" ht="14" x14ac:dyDescent="0.2">
      <c r="AF452" s="1"/>
      <c r="AG452" s="7"/>
    </row>
    <row r="453" spans="32:33" ht="14" x14ac:dyDescent="0.2">
      <c r="AF453" s="1"/>
      <c r="AG453" s="7"/>
    </row>
    <row r="454" spans="32:33" ht="14" x14ac:dyDescent="0.2">
      <c r="AF454" s="1"/>
      <c r="AG454" s="7"/>
    </row>
    <row r="455" spans="32:33" ht="14" x14ac:dyDescent="0.2">
      <c r="AF455" s="1"/>
      <c r="AG455" s="7"/>
    </row>
    <row r="456" spans="32:33" ht="14" x14ac:dyDescent="0.2">
      <c r="AF456" s="1"/>
      <c r="AG456" s="7"/>
    </row>
    <row r="457" spans="32:33" ht="14" x14ac:dyDescent="0.2">
      <c r="AF457" s="1"/>
      <c r="AG457" s="7"/>
    </row>
    <row r="458" spans="32:33" ht="14" x14ac:dyDescent="0.2">
      <c r="AF458" s="1"/>
      <c r="AG458" s="7"/>
    </row>
    <row r="459" spans="32:33" ht="14" x14ac:dyDescent="0.2">
      <c r="AF459" s="1"/>
      <c r="AG459" s="7"/>
    </row>
    <row r="460" spans="32:33" ht="14" x14ac:dyDescent="0.2">
      <c r="AF460" s="1"/>
      <c r="AG460" s="7"/>
    </row>
    <row r="461" spans="32:33" ht="14" x14ac:dyDescent="0.2">
      <c r="AF461" s="1"/>
      <c r="AG461" s="7"/>
    </row>
    <row r="462" spans="32:33" ht="14" x14ac:dyDescent="0.2">
      <c r="AF462" s="1"/>
      <c r="AG462" s="7"/>
    </row>
    <row r="463" spans="32:33" ht="14" x14ac:dyDescent="0.2">
      <c r="AF463" s="1"/>
      <c r="AG463" s="7"/>
    </row>
    <row r="464" spans="32:33" ht="14" x14ac:dyDescent="0.2">
      <c r="AF464" s="1"/>
      <c r="AG464" s="7"/>
    </row>
    <row r="465" spans="32:33" ht="14" x14ac:dyDescent="0.2">
      <c r="AF465" s="1"/>
      <c r="AG465" s="7"/>
    </row>
    <row r="466" spans="32:33" ht="14" x14ac:dyDescent="0.2">
      <c r="AF466" s="1"/>
      <c r="AG466" s="7"/>
    </row>
    <row r="467" spans="32:33" ht="14" x14ac:dyDescent="0.2">
      <c r="AF467" s="1"/>
      <c r="AG467" s="7"/>
    </row>
    <row r="468" spans="32:33" ht="14" x14ac:dyDescent="0.2">
      <c r="AF468" s="1"/>
      <c r="AG468" s="7"/>
    </row>
    <row r="469" spans="32:33" ht="14" x14ac:dyDescent="0.2">
      <c r="AF469" s="1"/>
      <c r="AG469" s="7"/>
    </row>
    <row r="470" spans="32:33" ht="14" x14ac:dyDescent="0.2">
      <c r="AF470" s="1"/>
      <c r="AG470" s="7"/>
    </row>
    <row r="471" spans="32:33" ht="14" x14ac:dyDescent="0.2">
      <c r="AF471" s="1"/>
      <c r="AG471" s="7"/>
    </row>
    <row r="472" spans="32:33" ht="14" x14ac:dyDescent="0.2">
      <c r="AF472" s="1"/>
      <c r="AG472" s="7"/>
    </row>
    <row r="473" spans="32:33" ht="14" x14ac:dyDescent="0.2">
      <c r="AF473" s="1"/>
      <c r="AG473" s="7"/>
    </row>
    <row r="474" spans="32:33" ht="14" x14ac:dyDescent="0.2">
      <c r="AF474" s="1"/>
      <c r="AG474" s="7"/>
    </row>
    <row r="475" spans="32:33" ht="14" x14ac:dyDescent="0.2">
      <c r="AF475" s="1"/>
      <c r="AG475" s="7"/>
    </row>
    <row r="476" spans="32:33" ht="14" x14ac:dyDescent="0.2">
      <c r="AF476" s="1"/>
      <c r="AG476" s="7"/>
    </row>
    <row r="477" spans="32:33" ht="14" x14ac:dyDescent="0.2">
      <c r="AF477" s="1"/>
      <c r="AG477" s="7"/>
    </row>
    <row r="478" spans="32:33" ht="14" x14ac:dyDescent="0.2">
      <c r="AF478" s="1"/>
      <c r="AG478" s="7"/>
    </row>
    <row r="479" spans="32:33" ht="14" x14ac:dyDescent="0.2">
      <c r="AF479" s="1"/>
      <c r="AG479" s="7"/>
    </row>
    <row r="480" spans="32:33" ht="14" x14ac:dyDescent="0.2">
      <c r="AF480" s="1"/>
      <c r="AG480" s="7"/>
    </row>
    <row r="481" spans="32:33" ht="14" x14ac:dyDescent="0.2">
      <c r="AF481" s="1"/>
      <c r="AG481" s="7"/>
    </row>
    <row r="482" spans="32:33" ht="14" x14ac:dyDescent="0.2">
      <c r="AF482" s="1"/>
      <c r="AG482" s="7"/>
    </row>
    <row r="483" spans="32:33" ht="14" x14ac:dyDescent="0.2">
      <c r="AF483" s="1"/>
      <c r="AG483" s="7"/>
    </row>
    <row r="484" spans="32:33" ht="14" x14ac:dyDescent="0.2">
      <c r="AF484" s="1"/>
      <c r="AG484" s="7"/>
    </row>
    <row r="485" spans="32:33" ht="14" x14ac:dyDescent="0.2">
      <c r="AF485" s="1"/>
      <c r="AG485" s="7"/>
    </row>
    <row r="486" spans="32:33" ht="14" x14ac:dyDescent="0.2">
      <c r="AF486" s="1"/>
      <c r="AG486" s="7"/>
    </row>
    <row r="487" spans="32:33" ht="14" x14ac:dyDescent="0.2">
      <c r="AF487" s="1"/>
      <c r="AG487" s="7"/>
    </row>
    <row r="488" spans="32:33" ht="14" x14ac:dyDescent="0.2">
      <c r="AF488" s="1"/>
      <c r="AG488" s="7"/>
    </row>
    <row r="489" spans="32:33" ht="14" x14ac:dyDescent="0.2">
      <c r="AF489" s="1"/>
      <c r="AG489" s="7"/>
    </row>
    <row r="490" spans="32:33" ht="14" x14ac:dyDescent="0.2">
      <c r="AF490" s="1"/>
      <c r="AG490" s="7"/>
    </row>
    <row r="491" spans="32:33" ht="14" x14ac:dyDescent="0.2">
      <c r="AF491" s="1"/>
      <c r="AG491" s="7"/>
    </row>
    <row r="492" spans="32:33" ht="14" x14ac:dyDescent="0.2">
      <c r="AF492" s="1"/>
      <c r="AG492" s="7"/>
    </row>
    <row r="493" spans="32:33" ht="14" x14ac:dyDescent="0.2">
      <c r="AF493" s="1"/>
      <c r="AG493" s="7"/>
    </row>
    <row r="494" spans="32:33" ht="14" x14ac:dyDescent="0.2">
      <c r="AF494" s="1"/>
      <c r="AG494" s="7"/>
    </row>
    <row r="495" spans="32:33" ht="14" x14ac:dyDescent="0.2">
      <c r="AF495" s="1"/>
      <c r="AG495" s="7"/>
    </row>
    <row r="496" spans="32:33" ht="14" x14ac:dyDescent="0.2">
      <c r="AF496" s="1"/>
      <c r="AG496" s="7"/>
    </row>
    <row r="497" spans="32:33" ht="14" x14ac:dyDescent="0.2">
      <c r="AF497" s="1"/>
      <c r="AG497" s="7"/>
    </row>
    <row r="498" spans="32:33" ht="14" x14ac:dyDescent="0.2">
      <c r="AF498" s="1"/>
      <c r="AG498" s="7"/>
    </row>
    <row r="499" spans="32:33" ht="14" x14ac:dyDescent="0.2">
      <c r="AF499" s="1"/>
      <c r="AG499" s="7"/>
    </row>
    <row r="500" spans="32:33" ht="14" x14ac:dyDescent="0.2">
      <c r="AF500" s="1"/>
      <c r="AG500" s="7"/>
    </row>
    <row r="501" spans="32:33" ht="14" x14ac:dyDescent="0.2">
      <c r="AF501" s="1"/>
      <c r="AG501" s="7"/>
    </row>
    <row r="502" spans="32:33" ht="14" x14ac:dyDescent="0.2">
      <c r="AF502" s="1"/>
      <c r="AG502" s="7"/>
    </row>
    <row r="503" spans="32:33" ht="14" x14ac:dyDescent="0.2">
      <c r="AF503" s="1"/>
      <c r="AG503" s="7"/>
    </row>
    <row r="504" spans="32:33" ht="14" x14ac:dyDescent="0.2">
      <c r="AF504" s="1"/>
      <c r="AG504" s="7"/>
    </row>
    <row r="505" spans="32:33" ht="14" x14ac:dyDescent="0.2">
      <c r="AF505" s="1"/>
      <c r="AG505" s="7"/>
    </row>
    <row r="506" spans="32:33" ht="14" x14ac:dyDescent="0.2">
      <c r="AF506" s="1"/>
      <c r="AG506" s="7"/>
    </row>
    <row r="507" spans="32:33" ht="14" x14ac:dyDescent="0.2">
      <c r="AF507" s="1"/>
      <c r="AG507" s="7"/>
    </row>
    <row r="508" spans="32:33" ht="14" x14ac:dyDescent="0.2">
      <c r="AF508" s="1"/>
      <c r="AG508" s="7"/>
    </row>
    <row r="509" spans="32:33" ht="14" x14ac:dyDescent="0.2">
      <c r="AF509" s="1"/>
      <c r="AG509" s="7"/>
    </row>
    <row r="510" spans="32:33" ht="14" x14ac:dyDescent="0.2">
      <c r="AF510" s="1"/>
      <c r="AG510" s="7"/>
    </row>
    <row r="511" spans="32:33" ht="14" x14ac:dyDescent="0.2">
      <c r="AF511" s="1"/>
      <c r="AG511" s="7"/>
    </row>
    <row r="512" spans="32:33" ht="14" x14ac:dyDescent="0.2">
      <c r="AF512" s="1"/>
      <c r="AG512" s="7"/>
    </row>
    <row r="513" spans="32:33" ht="14" x14ac:dyDescent="0.2">
      <c r="AF513" s="1"/>
      <c r="AG513" s="7"/>
    </row>
    <row r="514" spans="32:33" ht="14" x14ac:dyDescent="0.2">
      <c r="AF514" s="1"/>
      <c r="AG514" s="7"/>
    </row>
    <row r="515" spans="32:33" ht="14" x14ac:dyDescent="0.2">
      <c r="AF515" s="1"/>
      <c r="AG515" s="7"/>
    </row>
    <row r="516" spans="32:33" ht="14" x14ac:dyDescent="0.2">
      <c r="AF516" s="1"/>
      <c r="AG516" s="7"/>
    </row>
    <row r="517" spans="32:33" ht="14" x14ac:dyDescent="0.2">
      <c r="AF517" s="1"/>
      <c r="AG517" s="7"/>
    </row>
    <row r="518" spans="32:33" ht="14" x14ac:dyDescent="0.2">
      <c r="AF518" s="1"/>
      <c r="AG518" s="7"/>
    </row>
    <row r="519" spans="32:33" ht="14" x14ac:dyDescent="0.2">
      <c r="AF519" s="1"/>
      <c r="AG519" s="7"/>
    </row>
    <row r="520" spans="32:33" ht="14" x14ac:dyDescent="0.2">
      <c r="AF520" s="1"/>
      <c r="AG520" s="7"/>
    </row>
    <row r="521" spans="32:33" ht="14" x14ac:dyDescent="0.2">
      <c r="AF521" s="1"/>
      <c r="AG521" s="7"/>
    </row>
    <row r="522" spans="32:33" ht="14" x14ac:dyDescent="0.2">
      <c r="AF522" s="1"/>
      <c r="AG522" s="7"/>
    </row>
    <row r="523" spans="32:33" ht="14" x14ac:dyDescent="0.2">
      <c r="AF523" s="1"/>
      <c r="AG523" s="7"/>
    </row>
    <row r="524" spans="32:33" ht="14" x14ac:dyDescent="0.2">
      <c r="AF524" s="1"/>
      <c r="AG524" s="7"/>
    </row>
    <row r="525" spans="32:33" ht="14" x14ac:dyDescent="0.2">
      <c r="AF525" s="1"/>
      <c r="AG525" s="7"/>
    </row>
    <row r="526" spans="32:33" ht="14" x14ac:dyDescent="0.2">
      <c r="AF526" s="1"/>
      <c r="AG526" s="7"/>
    </row>
    <row r="527" spans="32:33" ht="14" x14ac:dyDescent="0.2">
      <c r="AF527" s="1"/>
      <c r="AG527" s="7"/>
    </row>
    <row r="528" spans="32:33" ht="14" x14ac:dyDescent="0.2">
      <c r="AF528" s="1"/>
      <c r="AG528" s="7"/>
    </row>
    <row r="529" spans="32:33" ht="14" x14ac:dyDescent="0.2">
      <c r="AF529" s="1"/>
      <c r="AG529" s="7"/>
    </row>
    <row r="530" spans="32:33" ht="14" x14ac:dyDescent="0.2">
      <c r="AF530" s="1"/>
      <c r="AG530" s="7"/>
    </row>
    <row r="531" spans="32:33" ht="14" x14ac:dyDescent="0.2">
      <c r="AF531" s="1"/>
      <c r="AG531" s="7"/>
    </row>
    <row r="532" spans="32:33" ht="14" x14ac:dyDescent="0.2">
      <c r="AF532" s="1"/>
      <c r="AG532" s="7"/>
    </row>
    <row r="533" spans="32:33" ht="14" x14ac:dyDescent="0.2">
      <c r="AF533" s="1"/>
      <c r="AG533" s="7"/>
    </row>
    <row r="534" spans="32:33" ht="14" x14ac:dyDescent="0.2">
      <c r="AF534" s="1"/>
      <c r="AG534" s="7"/>
    </row>
    <row r="535" spans="32:33" ht="14" x14ac:dyDescent="0.2">
      <c r="AF535" s="1"/>
      <c r="AG535" s="7"/>
    </row>
    <row r="536" spans="32:33" ht="14" x14ac:dyDescent="0.2">
      <c r="AF536" s="1"/>
      <c r="AG536" s="7"/>
    </row>
    <row r="537" spans="32:33" ht="14" x14ac:dyDescent="0.2">
      <c r="AF537" s="1"/>
      <c r="AG537" s="7"/>
    </row>
    <row r="538" spans="32:33" ht="14" x14ac:dyDescent="0.2">
      <c r="AF538" s="1"/>
      <c r="AG538" s="7"/>
    </row>
    <row r="539" spans="32:33" ht="14" x14ac:dyDescent="0.2">
      <c r="AF539" s="1"/>
      <c r="AG539" s="7"/>
    </row>
    <row r="540" spans="32:33" ht="14" x14ac:dyDescent="0.2">
      <c r="AF540" s="1"/>
      <c r="AG540" s="7"/>
    </row>
    <row r="541" spans="32:33" ht="14" x14ac:dyDescent="0.2">
      <c r="AF541" s="1"/>
      <c r="AG541" s="7"/>
    </row>
    <row r="542" spans="32:33" ht="14" x14ac:dyDescent="0.2">
      <c r="AF542" s="1"/>
      <c r="AG542" s="7"/>
    </row>
    <row r="543" spans="32:33" ht="14" x14ac:dyDescent="0.2">
      <c r="AF543" s="1"/>
      <c r="AG543" s="7"/>
    </row>
    <row r="544" spans="32:33" ht="14" x14ac:dyDescent="0.2">
      <c r="AF544" s="1"/>
      <c r="AG544" s="7"/>
    </row>
    <row r="545" spans="32:33" ht="14" x14ac:dyDescent="0.2">
      <c r="AF545" s="1"/>
      <c r="AG545" s="7"/>
    </row>
    <row r="546" spans="32:33" ht="14" x14ac:dyDescent="0.2">
      <c r="AF546" s="1"/>
      <c r="AG546" s="7"/>
    </row>
    <row r="547" spans="32:33" ht="14" x14ac:dyDescent="0.2">
      <c r="AF547" s="1"/>
      <c r="AG547" s="7"/>
    </row>
    <row r="548" spans="32:33" ht="14" x14ac:dyDescent="0.2">
      <c r="AF548" s="1"/>
      <c r="AG548" s="7"/>
    </row>
    <row r="549" spans="32:33" ht="14" x14ac:dyDescent="0.2">
      <c r="AF549" s="1"/>
      <c r="AG549" s="7"/>
    </row>
    <row r="550" spans="32:33" ht="14" x14ac:dyDescent="0.2">
      <c r="AF550" s="1"/>
      <c r="AG550" s="7"/>
    </row>
    <row r="551" spans="32:33" ht="14" x14ac:dyDescent="0.2">
      <c r="AF551" s="1"/>
      <c r="AG551" s="7"/>
    </row>
    <row r="552" spans="32:33" ht="14" x14ac:dyDescent="0.2">
      <c r="AF552" s="1"/>
      <c r="AG552" s="7"/>
    </row>
    <row r="553" spans="32:33" ht="14" x14ac:dyDescent="0.2">
      <c r="AF553" s="1"/>
      <c r="AG553" s="7"/>
    </row>
    <row r="554" spans="32:33" ht="14" x14ac:dyDescent="0.2">
      <c r="AF554" s="1"/>
      <c r="AG554" s="7"/>
    </row>
    <row r="555" spans="32:33" ht="14" x14ac:dyDescent="0.2">
      <c r="AF555" s="1"/>
      <c r="AG555" s="7"/>
    </row>
    <row r="556" spans="32:33" ht="14" x14ac:dyDescent="0.2">
      <c r="AF556" s="1"/>
      <c r="AG556" s="7"/>
    </row>
    <row r="557" spans="32:33" ht="14" x14ac:dyDescent="0.2">
      <c r="AF557" s="1"/>
      <c r="AG557" s="7"/>
    </row>
    <row r="558" spans="32:33" ht="14" x14ac:dyDescent="0.2">
      <c r="AF558" s="1"/>
      <c r="AG558" s="7"/>
    </row>
    <row r="559" spans="32:33" ht="14" x14ac:dyDescent="0.2">
      <c r="AF559" s="1"/>
      <c r="AG559" s="7"/>
    </row>
    <row r="560" spans="32:33" ht="14" x14ac:dyDescent="0.2">
      <c r="AF560" s="1"/>
      <c r="AG560" s="7"/>
    </row>
    <row r="561" spans="32:33" ht="14" x14ac:dyDescent="0.2">
      <c r="AF561" s="1"/>
      <c r="AG561" s="7"/>
    </row>
    <row r="562" spans="32:33" ht="14" x14ac:dyDescent="0.2">
      <c r="AF562" s="1"/>
      <c r="AG562" s="7"/>
    </row>
    <row r="563" spans="32:33" ht="14" x14ac:dyDescent="0.2">
      <c r="AF563" s="1"/>
      <c r="AG563" s="7"/>
    </row>
    <row r="564" spans="32:33" ht="14" x14ac:dyDescent="0.2">
      <c r="AF564" s="1"/>
      <c r="AG564" s="7"/>
    </row>
    <row r="565" spans="32:33" ht="14" x14ac:dyDescent="0.2">
      <c r="AF565" s="1"/>
      <c r="AG565" s="7"/>
    </row>
    <row r="566" spans="32:33" ht="14" x14ac:dyDescent="0.2">
      <c r="AF566" s="1"/>
      <c r="AG566" s="7"/>
    </row>
    <row r="567" spans="32:33" ht="14" x14ac:dyDescent="0.2">
      <c r="AF567" s="1"/>
      <c r="AG567" s="7"/>
    </row>
    <row r="568" spans="32:33" ht="14" x14ac:dyDescent="0.2">
      <c r="AF568" s="1"/>
      <c r="AG568" s="7"/>
    </row>
    <row r="569" spans="32:33" ht="14" x14ac:dyDescent="0.2">
      <c r="AF569" s="1"/>
      <c r="AG569" s="7"/>
    </row>
    <row r="570" spans="32:33" ht="14" x14ac:dyDescent="0.2">
      <c r="AF570" s="1"/>
      <c r="AG570" s="7"/>
    </row>
    <row r="571" spans="32:33" ht="14" x14ac:dyDescent="0.2">
      <c r="AF571" s="1"/>
      <c r="AG571" s="7"/>
    </row>
    <row r="572" spans="32:33" ht="14" x14ac:dyDescent="0.2">
      <c r="AF572" s="1"/>
      <c r="AG572" s="7"/>
    </row>
    <row r="573" spans="32:33" ht="14" x14ac:dyDescent="0.2">
      <c r="AF573" s="1"/>
      <c r="AG573" s="7"/>
    </row>
    <row r="574" spans="32:33" ht="14" x14ac:dyDescent="0.2">
      <c r="AF574" s="1"/>
      <c r="AG574" s="7"/>
    </row>
    <row r="575" spans="32:33" ht="14" x14ac:dyDescent="0.2">
      <c r="AF575" s="1"/>
      <c r="AG575" s="7"/>
    </row>
    <row r="576" spans="32:33" ht="14" x14ac:dyDescent="0.2">
      <c r="AF576" s="1"/>
      <c r="AG576" s="7"/>
    </row>
    <row r="577" spans="32:33" ht="14" x14ac:dyDescent="0.2">
      <c r="AF577" s="1"/>
      <c r="AG577" s="7"/>
    </row>
    <row r="578" spans="32:33" ht="14" x14ac:dyDescent="0.2">
      <c r="AF578" s="1"/>
      <c r="AG578" s="7"/>
    </row>
    <row r="579" spans="32:33" ht="14" x14ac:dyDescent="0.2">
      <c r="AF579" s="1"/>
      <c r="AG579" s="7"/>
    </row>
    <row r="580" spans="32:33" ht="14" x14ac:dyDescent="0.2">
      <c r="AF580" s="1"/>
      <c r="AG580" s="7"/>
    </row>
    <row r="581" spans="32:33" ht="14" x14ac:dyDescent="0.2">
      <c r="AF581" s="1"/>
      <c r="AG581" s="7"/>
    </row>
    <row r="582" spans="32:33" ht="14" x14ac:dyDescent="0.2">
      <c r="AF582" s="1"/>
      <c r="AG582" s="7"/>
    </row>
    <row r="583" spans="32:33" ht="14" x14ac:dyDescent="0.2">
      <c r="AF583" s="1"/>
      <c r="AG583" s="7"/>
    </row>
    <row r="584" spans="32:33" ht="14" x14ac:dyDescent="0.2">
      <c r="AF584" s="1"/>
      <c r="AG584" s="7"/>
    </row>
    <row r="585" spans="32:33" ht="14" x14ac:dyDescent="0.2">
      <c r="AF585" s="1"/>
      <c r="AG585" s="7"/>
    </row>
    <row r="586" spans="32:33" ht="14" x14ac:dyDescent="0.2">
      <c r="AF586" s="1"/>
      <c r="AG586" s="7"/>
    </row>
    <row r="587" spans="32:33" ht="14" x14ac:dyDescent="0.2">
      <c r="AF587" s="1"/>
      <c r="AG587" s="7"/>
    </row>
    <row r="588" spans="32:33" ht="14" x14ac:dyDescent="0.2">
      <c r="AF588" s="1"/>
      <c r="AG588" s="7"/>
    </row>
    <row r="589" spans="32:33" ht="14" x14ac:dyDescent="0.2">
      <c r="AF589" s="1"/>
      <c r="AG589" s="7"/>
    </row>
    <row r="590" spans="32:33" ht="14" x14ac:dyDescent="0.2">
      <c r="AF590" s="1"/>
      <c r="AG590" s="7"/>
    </row>
    <row r="591" spans="32:33" ht="14" x14ac:dyDescent="0.2">
      <c r="AF591" s="1"/>
      <c r="AG591" s="7"/>
    </row>
    <row r="592" spans="32:33" ht="14" x14ac:dyDescent="0.2">
      <c r="AF592" s="1"/>
      <c r="AG592" s="7"/>
    </row>
    <row r="593" spans="32:33" ht="14" x14ac:dyDescent="0.2">
      <c r="AF593" s="1"/>
      <c r="AG593" s="7"/>
    </row>
    <row r="594" spans="32:33" ht="14" x14ac:dyDescent="0.2">
      <c r="AF594" s="1"/>
      <c r="AG594" s="7"/>
    </row>
    <row r="595" spans="32:33" ht="14" x14ac:dyDescent="0.2">
      <c r="AF595" s="1"/>
      <c r="AG595" s="7"/>
    </row>
    <row r="596" spans="32:33" ht="14" x14ac:dyDescent="0.2">
      <c r="AF596" s="1"/>
      <c r="AG596" s="7"/>
    </row>
    <row r="597" spans="32:33" ht="14" x14ac:dyDescent="0.2">
      <c r="AF597" s="1"/>
      <c r="AG597" s="7"/>
    </row>
    <row r="598" spans="32:33" ht="14" x14ac:dyDescent="0.2">
      <c r="AF598" s="1"/>
      <c r="AG598" s="7"/>
    </row>
    <row r="599" spans="32:33" ht="14" x14ac:dyDescent="0.2">
      <c r="AF599" s="1"/>
      <c r="AG599" s="7"/>
    </row>
    <row r="600" spans="32:33" ht="14" x14ac:dyDescent="0.2">
      <c r="AF600" s="1"/>
      <c r="AG600" s="7"/>
    </row>
    <row r="601" spans="32:33" ht="14" x14ac:dyDescent="0.2">
      <c r="AF601" s="1"/>
      <c r="AG601" s="7"/>
    </row>
    <row r="602" spans="32:33" ht="14" x14ac:dyDescent="0.2">
      <c r="AF602" s="1"/>
      <c r="AG602" s="7"/>
    </row>
    <row r="603" spans="32:33" ht="14" x14ac:dyDescent="0.2">
      <c r="AF603" s="1"/>
      <c r="AG603" s="7"/>
    </row>
    <row r="604" spans="32:33" ht="14" x14ac:dyDescent="0.2">
      <c r="AF604" s="1"/>
      <c r="AG604" s="7"/>
    </row>
    <row r="605" spans="32:33" ht="14" x14ac:dyDescent="0.2">
      <c r="AF605" s="1"/>
      <c r="AG605" s="7"/>
    </row>
    <row r="606" spans="32:33" ht="14" x14ac:dyDescent="0.2">
      <c r="AF606" s="1"/>
      <c r="AG606" s="7"/>
    </row>
    <row r="607" spans="32:33" ht="14" x14ac:dyDescent="0.2">
      <c r="AF607" s="1"/>
      <c r="AG607" s="7"/>
    </row>
    <row r="608" spans="32:33" ht="14" x14ac:dyDescent="0.2">
      <c r="AF608" s="1"/>
      <c r="AG608" s="7"/>
    </row>
    <row r="609" spans="32:33" ht="14" x14ac:dyDescent="0.2">
      <c r="AF609" s="1"/>
      <c r="AG609" s="7"/>
    </row>
    <row r="610" spans="32:33" ht="14" x14ac:dyDescent="0.2">
      <c r="AF610" s="1"/>
      <c r="AG610" s="7"/>
    </row>
    <row r="611" spans="32:33" ht="14" x14ac:dyDescent="0.2">
      <c r="AF611" s="1"/>
      <c r="AG611" s="7"/>
    </row>
    <row r="612" spans="32:33" ht="14" x14ac:dyDescent="0.2">
      <c r="AF612" s="1"/>
      <c r="AG612" s="7"/>
    </row>
    <row r="613" spans="32:33" ht="14" x14ac:dyDescent="0.2">
      <c r="AF613" s="1"/>
      <c r="AG613" s="7"/>
    </row>
    <row r="614" spans="32:33" ht="14" x14ac:dyDescent="0.2">
      <c r="AF614" s="1"/>
      <c r="AG614" s="7"/>
    </row>
    <row r="615" spans="32:33" ht="14" x14ac:dyDescent="0.2">
      <c r="AF615" s="1"/>
      <c r="AG615" s="7"/>
    </row>
    <row r="616" spans="32:33" ht="14" x14ac:dyDescent="0.2">
      <c r="AF616" s="1"/>
      <c r="AG616" s="7"/>
    </row>
    <row r="617" spans="32:33" ht="14" x14ac:dyDescent="0.2">
      <c r="AF617" s="1"/>
      <c r="AG617" s="7"/>
    </row>
    <row r="618" spans="32:33" ht="14" x14ac:dyDescent="0.2">
      <c r="AF618" s="1"/>
      <c r="AG618" s="7"/>
    </row>
    <row r="619" spans="32:33" ht="14" x14ac:dyDescent="0.2">
      <c r="AF619" s="1"/>
      <c r="AG619" s="7"/>
    </row>
    <row r="620" spans="32:33" ht="14" x14ac:dyDescent="0.2">
      <c r="AF620" s="1"/>
      <c r="AG620" s="7"/>
    </row>
    <row r="621" spans="32:33" ht="14" x14ac:dyDescent="0.2">
      <c r="AF621" s="1"/>
      <c r="AG621" s="7"/>
    </row>
    <row r="622" spans="32:33" ht="14" x14ac:dyDescent="0.2">
      <c r="AF622" s="1"/>
      <c r="AG622" s="7"/>
    </row>
    <row r="623" spans="32:33" ht="14" x14ac:dyDescent="0.2">
      <c r="AF623" s="1"/>
      <c r="AG623" s="7"/>
    </row>
    <row r="624" spans="32:33" ht="14" x14ac:dyDescent="0.2">
      <c r="AF624" s="1"/>
      <c r="AG624" s="7"/>
    </row>
    <row r="625" spans="32:33" ht="14" x14ac:dyDescent="0.2">
      <c r="AF625" s="1"/>
      <c r="AG625" s="7"/>
    </row>
    <row r="626" spans="32:33" ht="14" x14ac:dyDescent="0.2">
      <c r="AF626" s="1"/>
      <c r="AG626" s="7"/>
    </row>
    <row r="627" spans="32:33" ht="14" x14ac:dyDescent="0.2">
      <c r="AF627" s="1"/>
      <c r="AG627" s="7"/>
    </row>
    <row r="628" spans="32:33" ht="14" x14ac:dyDescent="0.2">
      <c r="AF628" s="1"/>
      <c r="AG628" s="7"/>
    </row>
    <row r="629" spans="32:33" ht="14" x14ac:dyDescent="0.2">
      <c r="AF629" s="1"/>
      <c r="AG629" s="7"/>
    </row>
    <row r="630" spans="32:33" ht="14" x14ac:dyDescent="0.2">
      <c r="AF630" s="1"/>
      <c r="AG630" s="7"/>
    </row>
    <row r="631" spans="32:33" ht="14" x14ac:dyDescent="0.2">
      <c r="AF631" s="1"/>
      <c r="AG631" s="7"/>
    </row>
    <row r="632" spans="32:33" ht="14" x14ac:dyDescent="0.2">
      <c r="AF632" s="1"/>
      <c r="AG632" s="7"/>
    </row>
    <row r="633" spans="32:33" ht="14" x14ac:dyDescent="0.2">
      <c r="AF633" s="1"/>
      <c r="AG633" s="7"/>
    </row>
    <row r="634" spans="32:33" ht="14" x14ac:dyDescent="0.2">
      <c r="AF634" s="1"/>
      <c r="AG634" s="7"/>
    </row>
    <row r="635" spans="32:33" ht="14" x14ac:dyDescent="0.2">
      <c r="AF635" s="1"/>
      <c r="AG635" s="7"/>
    </row>
    <row r="636" spans="32:33" ht="14" x14ac:dyDescent="0.2">
      <c r="AF636" s="1"/>
      <c r="AG636" s="7"/>
    </row>
    <row r="637" spans="32:33" ht="14" x14ac:dyDescent="0.2">
      <c r="AF637" s="1"/>
      <c r="AG637" s="7"/>
    </row>
    <row r="638" spans="32:33" ht="14" x14ac:dyDescent="0.2">
      <c r="AF638" s="1"/>
      <c r="AG638" s="7"/>
    </row>
    <row r="639" spans="32:33" ht="14" x14ac:dyDescent="0.2">
      <c r="AF639" s="1"/>
      <c r="AG639" s="7"/>
    </row>
    <row r="640" spans="32:33" ht="14" x14ac:dyDescent="0.2">
      <c r="AF640" s="1"/>
      <c r="AG640" s="7"/>
    </row>
    <row r="641" spans="32:33" ht="14" x14ac:dyDescent="0.2">
      <c r="AF641" s="1"/>
      <c r="AG641" s="7"/>
    </row>
    <row r="642" spans="32:33" ht="14" x14ac:dyDescent="0.2">
      <c r="AF642" s="1"/>
      <c r="AG642" s="7"/>
    </row>
    <row r="643" spans="32:33" ht="14" x14ac:dyDescent="0.2">
      <c r="AF643" s="1"/>
      <c r="AG643" s="7"/>
    </row>
    <row r="644" spans="32:33" ht="14" x14ac:dyDescent="0.2">
      <c r="AF644" s="1"/>
      <c r="AG644" s="7"/>
    </row>
    <row r="645" spans="32:33" ht="14" x14ac:dyDescent="0.2">
      <c r="AF645" s="1"/>
      <c r="AG645" s="7"/>
    </row>
    <row r="646" spans="32:33" ht="14" x14ac:dyDescent="0.2">
      <c r="AF646" s="1"/>
      <c r="AG646" s="7"/>
    </row>
    <row r="647" spans="32:33" ht="14" x14ac:dyDescent="0.2">
      <c r="AF647" s="1"/>
      <c r="AG647" s="7"/>
    </row>
    <row r="648" spans="32:33" ht="14" x14ac:dyDescent="0.2">
      <c r="AF648" s="1"/>
      <c r="AG648" s="7"/>
    </row>
    <row r="649" spans="32:33" ht="14" x14ac:dyDescent="0.2">
      <c r="AF649" s="1"/>
      <c r="AG649" s="7"/>
    </row>
    <row r="650" spans="32:33" ht="14" x14ac:dyDescent="0.2">
      <c r="AF650" s="1"/>
      <c r="AG650" s="7"/>
    </row>
    <row r="651" spans="32:33" ht="14" x14ac:dyDescent="0.2">
      <c r="AF651" s="1"/>
      <c r="AG651" s="7"/>
    </row>
    <row r="652" spans="32:33" ht="14" x14ac:dyDescent="0.2">
      <c r="AF652" s="1"/>
      <c r="AG652" s="7"/>
    </row>
    <row r="653" spans="32:33" ht="14" x14ac:dyDescent="0.2">
      <c r="AF653" s="1"/>
      <c r="AG653" s="7"/>
    </row>
    <row r="654" spans="32:33" ht="14" x14ac:dyDescent="0.2">
      <c r="AF654" s="1"/>
      <c r="AG654" s="7"/>
    </row>
    <row r="655" spans="32:33" ht="14" x14ac:dyDescent="0.2">
      <c r="AF655" s="1"/>
      <c r="AG655" s="7"/>
    </row>
    <row r="656" spans="32:33" ht="14" x14ac:dyDescent="0.2">
      <c r="AF656" s="1"/>
      <c r="AG656" s="7"/>
    </row>
    <row r="657" spans="32:33" ht="14" x14ac:dyDescent="0.2">
      <c r="AF657" s="1"/>
      <c r="AG657" s="7"/>
    </row>
    <row r="658" spans="32:33" ht="14" x14ac:dyDescent="0.2">
      <c r="AF658" s="1"/>
      <c r="AG658" s="7"/>
    </row>
    <row r="659" spans="32:33" ht="14" x14ac:dyDescent="0.2">
      <c r="AF659" s="1"/>
      <c r="AG659" s="7"/>
    </row>
    <row r="660" spans="32:33" ht="14" x14ac:dyDescent="0.2">
      <c r="AF660" s="1"/>
      <c r="AG660" s="7"/>
    </row>
    <row r="661" spans="32:33" ht="14" x14ac:dyDescent="0.2">
      <c r="AF661" s="1"/>
      <c r="AG661" s="7"/>
    </row>
    <row r="662" spans="32:33" ht="14" x14ac:dyDescent="0.2">
      <c r="AF662" s="1"/>
      <c r="AG662" s="7"/>
    </row>
    <row r="663" spans="32:33" ht="14" x14ac:dyDescent="0.2">
      <c r="AF663" s="1"/>
      <c r="AG663" s="7"/>
    </row>
    <row r="664" spans="32:33" ht="14" x14ac:dyDescent="0.2">
      <c r="AF664" s="1"/>
      <c r="AG664" s="7"/>
    </row>
    <row r="665" spans="32:33" ht="14" x14ac:dyDescent="0.2">
      <c r="AF665" s="1"/>
      <c r="AG665" s="7"/>
    </row>
    <row r="666" spans="32:33" ht="14" x14ac:dyDescent="0.2">
      <c r="AF666" s="1"/>
      <c r="AG666" s="7"/>
    </row>
    <row r="667" spans="32:33" ht="14" x14ac:dyDescent="0.2">
      <c r="AF667" s="1"/>
      <c r="AG667" s="7"/>
    </row>
    <row r="668" spans="32:33" ht="14" x14ac:dyDescent="0.2">
      <c r="AF668" s="1"/>
      <c r="AG668" s="7"/>
    </row>
    <row r="669" spans="32:33" ht="14" x14ac:dyDescent="0.2">
      <c r="AF669" s="1"/>
      <c r="AG669" s="7"/>
    </row>
    <row r="670" spans="32:33" ht="14" x14ac:dyDescent="0.2">
      <c r="AF670" s="1"/>
      <c r="AG670" s="7"/>
    </row>
    <row r="671" spans="32:33" ht="14" x14ac:dyDescent="0.2">
      <c r="AF671" s="1"/>
      <c r="AG671" s="7"/>
    </row>
    <row r="672" spans="32:33" ht="14" x14ac:dyDescent="0.2">
      <c r="AF672" s="1"/>
      <c r="AG672" s="7"/>
    </row>
    <row r="673" spans="32:33" ht="14" x14ac:dyDescent="0.2">
      <c r="AF673" s="1"/>
      <c r="AG673" s="7"/>
    </row>
    <row r="674" spans="32:33" ht="14" x14ac:dyDescent="0.2">
      <c r="AF674" s="1"/>
      <c r="AG674" s="7"/>
    </row>
    <row r="675" spans="32:33" ht="14" x14ac:dyDescent="0.2">
      <c r="AF675" s="1"/>
      <c r="AG675" s="7"/>
    </row>
    <row r="676" spans="32:33" ht="14" x14ac:dyDescent="0.2">
      <c r="AF676" s="1"/>
      <c r="AG676" s="7"/>
    </row>
    <row r="677" spans="32:33" ht="14" x14ac:dyDescent="0.2">
      <c r="AF677" s="1"/>
      <c r="AG677" s="7"/>
    </row>
    <row r="678" spans="32:33" ht="14" x14ac:dyDescent="0.2">
      <c r="AF678" s="1"/>
      <c r="AG678" s="7"/>
    </row>
    <row r="679" spans="32:33" ht="14" x14ac:dyDescent="0.2">
      <c r="AF679" s="1"/>
      <c r="AG679" s="7"/>
    </row>
    <row r="680" spans="32:33" ht="14" x14ac:dyDescent="0.2">
      <c r="AF680" s="1"/>
      <c r="AG680" s="7"/>
    </row>
    <row r="681" spans="32:33" ht="14" x14ac:dyDescent="0.2">
      <c r="AF681" s="1"/>
      <c r="AG681" s="7"/>
    </row>
    <row r="682" spans="32:33" ht="14" x14ac:dyDescent="0.2">
      <c r="AF682" s="1"/>
      <c r="AG682" s="7"/>
    </row>
    <row r="683" spans="32:33" ht="14" x14ac:dyDescent="0.2">
      <c r="AF683" s="1"/>
      <c r="AG683" s="7"/>
    </row>
    <row r="684" spans="32:33" ht="14" x14ac:dyDescent="0.2">
      <c r="AF684" s="1"/>
      <c r="AG684" s="7"/>
    </row>
    <row r="685" spans="32:33" ht="14" x14ac:dyDescent="0.2">
      <c r="AF685" s="1"/>
      <c r="AG685" s="7"/>
    </row>
    <row r="686" spans="32:33" ht="14" x14ac:dyDescent="0.2">
      <c r="AF686" s="1"/>
      <c r="AG686" s="7"/>
    </row>
    <row r="687" spans="32:33" ht="14" x14ac:dyDescent="0.2">
      <c r="AF687" s="1"/>
      <c r="AG687" s="7"/>
    </row>
    <row r="688" spans="32:33" ht="14" x14ac:dyDescent="0.2">
      <c r="AF688" s="1"/>
      <c r="AG688" s="7"/>
    </row>
    <row r="689" spans="32:33" ht="14" x14ac:dyDescent="0.2">
      <c r="AF689" s="1"/>
      <c r="AG689" s="7"/>
    </row>
    <row r="690" spans="32:33" ht="14" x14ac:dyDescent="0.2">
      <c r="AF690" s="1"/>
      <c r="AG690" s="7"/>
    </row>
    <row r="691" spans="32:33" ht="14" x14ac:dyDescent="0.2">
      <c r="AF691" s="1"/>
      <c r="AG691" s="7"/>
    </row>
    <row r="692" spans="32:33" ht="14" x14ac:dyDescent="0.2">
      <c r="AF692" s="1"/>
      <c r="AG692" s="7"/>
    </row>
    <row r="693" spans="32:33" ht="14" x14ac:dyDescent="0.2">
      <c r="AF693" s="1"/>
      <c r="AG693" s="7"/>
    </row>
    <row r="694" spans="32:33" ht="14" x14ac:dyDescent="0.2">
      <c r="AF694" s="1"/>
      <c r="AG694" s="7"/>
    </row>
    <row r="695" spans="32:33" ht="14" x14ac:dyDescent="0.2">
      <c r="AF695" s="1"/>
      <c r="AG695" s="7"/>
    </row>
    <row r="696" spans="32:33" ht="14" x14ac:dyDescent="0.2">
      <c r="AF696" s="1"/>
      <c r="AG696" s="7"/>
    </row>
    <row r="697" spans="32:33" ht="14" x14ac:dyDescent="0.2">
      <c r="AF697" s="1"/>
      <c r="AG697" s="7"/>
    </row>
    <row r="698" spans="32:33" ht="14" x14ac:dyDescent="0.2">
      <c r="AF698" s="1"/>
      <c r="AG698" s="7"/>
    </row>
    <row r="699" spans="32:33" ht="14" x14ac:dyDescent="0.2">
      <c r="AF699" s="1"/>
      <c r="AG699" s="7"/>
    </row>
    <row r="700" spans="32:33" ht="14" x14ac:dyDescent="0.2">
      <c r="AF700" s="1"/>
      <c r="AG700" s="7"/>
    </row>
    <row r="701" spans="32:33" ht="14" x14ac:dyDescent="0.2">
      <c r="AF701" s="1"/>
      <c r="AG701" s="7"/>
    </row>
    <row r="702" spans="32:33" ht="14" x14ac:dyDescent="0.2">
      <c r="AF702" s="1"/>
      <c r="AG702" s="7"/>
    </row>
    <row r="703" spans="32:33" ht="14" x14ac:dyDescent="0.2">
      <c r="AF703" s="1"/>
      <c r="AG703" s="7"/>
    </row>
    <row r="704" spans="32:33" ht="14" x14ac:dyDescent="0.2">
      <c r="AF704" s="1"/>
      <c r="AG704" s="7"/>
    </row>
    <row r="705" spans="32:33" ht="14" x14ac:dyDescent="0.2">
      <c r="AF705" s="1"/>
      <c r="AG705" s="7"/>
    </row>
    <row r="706" spans="32:33" ht="14" x14ac:dyDescent="0.2">
      <c r="AF706" s="1"/>
      <c r="AG706" s="7"/>
    </row>
    <row r="707" spans="32:33" ht="14" x14ac:dyDescent="0.2">
      <c r="AF707" s="1"/>
      <c r="AG707" s="7"/>
    </row>
    <row r="708" spans="32:33" ht="14" x14ac:dyDescent="0.2">
      <c r="AF708" s="1"/>
      <c r="AG708" s="7"/>
    </row>
    <row r="709" spans="32:33" ht="14" x14ac:dyDescent="0.2">
      <c r="AF709" s="1"/>
      <c r="AG709" s="7"/>
    </row>
    <row r="710" spans="32:33" ht="14" x14ac:dyDescent="0.2">
      <c r="AF710" s="1"/>
      <c r="AG710" s="7"/>
    </row>
    <row r="711" spans="32:33" ht="14" x14ac:dyDescent="0.2">
      <c r="AF711" s="1"/>
      <c r="AG711" s="7"/>
    </row>
    <row r="712" spans="32:33" ht="14" x14ac:dyDescent="0.2">
      <c r="AF712" s="1"/>
      <c r="AG712" s="7"/>
    </row>
    <row r="713" spans="32:33" ht="14" x14ac:dyDescent="0.2">
      <c r="AF713" s="1"/>
      <c r="AG713" s="7"/>
    </row>
    <row r="714" spans="32:33" ht="14" x14ac:dyDescent="0.2">
      <c r="AF714" s="1"/>
      <c r="AG714" s="7"/>
    </row>
    <row r="715" spans="32:33" ht="14" x14ac:dyDescent="0.2">
      <c r="AF715" s="1"/>
      <c r="AG715" s="7"/>
    </row>
    <row r="716" spans="32:33" ht="14" x14ac:dyDescent="0.2">
      <c r="AF716" s="1"/>
      <c r="AG716" s="7"/>
    </row>
    <row r="717" spans="32:33" ht="14" x14ac:dyDescent="0.2">
      <c r="AF717" s="1"/>
      <c r="AG717" s="7"/>
    </row>
    <row r="718" spans="32:33" ht="14" x14ac:dyDescent="0.2">
      <c r="AF718" s="1"/>
      <c r="AG718" s="7"/>
    </row>
    <row r="719" spans="32:33" ht="14" x14ac:dyDescent="0.2">
      <c r="AF719" s="1"/>
      <c r="AG719" s="7"/>
    </row>
    <row r="720" spans="32:33" ht="14" x14ac:dyDescent="0.2">
      <c r="AF720" s="1"/>
      <c r="AG720" s="7"/>
    </row>
    <row r="721" spans="32:33" ht="14" x14ac:dyDescent="0.2">
      <c r="AF721" s="1"/>
      <c r="AG721" s="7"/>
    </row>
    <row r="722" spans="32:33" ht="14" x14ac:dyDescent="0.2">
      <c r="AF722" s="1"/>
      <c r="AG722" s="7"/>
    </row>
    <row r="723" spans="32:33" ht="14" x14ac:dyDescent="0.2">
      <c r="AF723" s="1"/>
      <c r="AG723" s="7"/>
    </row>
    <row r="724" spans="32:33" ht="14" x14ac:dyDescent="0.2">
      <c r="AF724" s="1"/>
      <c r="AG724" s="7"/>
    </row>
    <row r="725" spans="32:33" ht="14" x14ac:dyDescent="0.2">
      <c r="AF725" s="1"/>
      <c r="AG725" s="7"/>
    </row>
    <row r="726" spans="32:33" ht="14" x14ac:dyDescent="0.2">
      <c r="AF726" s="1"/>
      <c r="AG726" s="7"/>
    </row>
    <row r="727" spans="32:33" ht="14" x14ac:dyDescent="0.2">
      <c r="AF727" s="1"/>
      <c r="AG727" s="7"/>
    </row>
    <row r="728" spans="32:33" ht="14" x14ac:dyDescent="0.2">
      <c r="AF728" s="1"/>
      <c r="AG728" s="7"/>
    </row>
    <row r="729" spans="32:33" ht="14" x14ac:dyDescent="0.2">
      <c r="AF729" s="1"/>
      <c r="AG729" s="7"/>
    </row>
    <row r="730" spans="32:33" ht="14" x14ac:dyDescent="0.2">
      <c r="AF730" s="1"/>
      <c r="AG730" s="7"/>
    </row>
    <row r="731" spans="32:33" ht="14" x14ac:dyDescent="0.2">
      <c r="AF731" s="1"/>
      <c r="AG731" s="7"/>
    </row>
    <row r="732" spans="32:33" ht="14" x14ac:dyDescent="0.2">
      <c r="AF732" s="1"/>
      <c r="AG732" s="7"/>
    </row>
    <row r="733" spans="32:33" ht="14" x14ac:dyDescent="0.2">
      <c r="AF733" s="1"/>
      <c r="AG733" s="7"/>
    </row>
    <row r="734" spans="32:33" ht="14" x14ac:dyDescent="0.2">
      <c r="AF734" s="1"/>
      <c r="AG734" s="7"/>
    </row>
    <row r="735" spans="32:33" ht="14" x14ac:dyDescent="0.2">
      <c r="AF735" s="1"/>
      <c r="AG735" s="7"/>
    </row>
    <row r="736" spans="32:33" ht="14" x14ac:dyDescent="0.2">
      <c r="AF736" s="1"/>
      <c r="AG736" s="7"/>
    </row>
    <row r="737" spans="32:33" ht="14" x14ac:dyDescent="0.2">
      <c r="AF737" s="1"/>
      <c r="AG737" s="7"/>
    </row>
    <row r="738" spans="32:33" ht="14" x14ac:dyDescent="0.2">
      <c r="AF738" s="1"/>
      <c r="AG738" s="7"/>
    </row>
    <row r="739" spans="32:33" ht="14" x14ac:dyDescent="0.2">
      <c r="AF739" s="1"/>
      <c r="AG739" s="7"/>
    </row>
    <row r="740" spans="32:33" ht="14" x14ac:dyDescent="0.2">
      <c r="AF740" s="1"/>
      <c r="AG740" s="7"/>
    </row>
    <row r="741" spans="32:33" ht="14" x14ac:dyDescent="0.2">
      <c r="AF741" s="1"/>
      <c r="AG741" s="7"/>
    </row>
    <row r="742" spans="32:33" ht="14" x14ac:dyDescent="0.2">
      <c r="AF742" s="1"/>
      <c r="AG742" s="7"/>
    </row>
    <row r="743" spans="32:33" ht="14" x14ac:dyDescent="0.2">
      <c r="AF743" s="1"/>
      <c r="AG743" s="7"/>
    </row>
    <row r="744" spans="32:33" ht="14" x14ac:dyDescent="0.2">
      <c r="AF744" s="1"/>
      <c r="AG744" s="7"/>
    </row>
    <row r="745" spans="32:33" ht="14" x14ac:dyDescent="0.2">
      <c r="AF745" s="1"/>
      <c r="AG745" s="7"/>
    </row>
    <row r="746" spans="32:33" ht="14" x14ac:dyDescent="0.2">
      <c r="AF746" s="1"/>
      <c r="AG746" s="7"/>
    </row>
    <row r="747" spans="32:33" ht="14" x14ac:dyDescent="0.2">
      <c r="AF747" s="1"/>
      <c r="AG747" s="7"/>
    </row>
    <row r="748" spans="32:33" ht="14" x14ac:dyDescent="0.2">
      <c r="AF748" s="1"/>
      <c r="AG748" s="7"/>
    </row>
    <row r="749" spans="32:33" ht="14" x14ac:dyDescent="0.2">
      <c r="AF749" s="1"/>
      <c r="AG749" s="7"/>
    </row>
    <row r="750" spans="32:33" ht="14" x14ac:dyDescent="0.2">
      <c r="AF750" s="1"/>
      <c r="AG750" s="7"/>
    </row>
    <row r="751" spans="32:33" ht="14" x14ac:dyDescent="0.2">
      <c r="AF751" s="1"/>
      <c r="AG751" s="7"/>
    </row>
    <row r="752" spans="32:33" ht="14" x14ac:dyDescent="0.2">
      <c r="AF752" s="1"/>
      <c r="AG752" s="7"/>
    </row>
    <row r="753" spans="32:33" ht="14" x14ac:dyDescent="0.2">
      <c r="AF753" s="1"/>
      <c r="AG753" s="7"/>
    </row>
    <row r="754" spans="32:33" ht="14" x14ac:dyDescent="0.2">
      <c r="AF754" s="1"/>
      <c r="AG754" s="7"/>
    </row>
    <row r="755" spans="32:33" ht="14" x14ac:dyDescent="0.2">
      <c r="AF755" s="1"/>
      <c r="AG755" s="7"/>
    </row>
    <row r="756" spans="32:33" ht="14" x14ac:dyDescent="0.2">
      <c r="AF756" s="1"/>
      <c r="AG756" s="7"/>
    </row>
    <row r="757" spans="32:33" ht="14" x14ac:dyDescent="0.2">
      <c r="AF757" s="1"/>
      <c r="AG757" s="7"/>
    </row>
    <row r="758" spans="32:33" ht="14" x14ac:dyDescent="0.2">
      <c r="AF758" s="1"/>
      <c r="AG758" s="7"/>
    </row>
    <row r="759" spans="32:33" ht="14" x14ac:dyDescent="0.2">
      <c r="AF759" s="1"/>
      <c r="AG759" s="7"/>
    </row>
    <row r="760" spans="32:33" ht="14" x14ac:dyDescent="0.2">
      <c r="AF760" s="1"/>
      <c r="AG760" s="7"/>
    </row>
    <row r="761" spans="32:33" ht="14" x14ac:dyDescent="0.2">
      <c r="AF761" s="1"/>
      <c r="AG761" s="7"/>
    </row>
    <row r="762" spans="32:33" ht="14" x14ac:dyDescent="0.2">
      <c r="AF762" s="1"/>
      <c r="AG762" s="7"/>
    </row>
    <row r="763" spans="32:33" ht="14" x14ac:dyDescent="0.2">
      <c r="AF763" s="1"/>
      <c r="AG763" s="7"/>
    </row>
    <row r="764" spans="32:33" ht="14" x14ac:dyDescent="0.2">
      <c r="AF764" s="1"/>
      <c r="AG764" s="7"/>
    </row>
    <row r="765" spans="32:33" ht="14" x14ac:dyDescent="0.2">
      <c r="AF765" s="1"/>
      <c r="AG765" s="7"/>
    </row>
    <row r="766" spans="32:33" ht="14" x14ac:dyDescent="0.2">
      <c r="AF766" s="1"/>
      <c r="AG766" s="7"/>
    </row>
    <row r="767" spans="32:33" ht="14" x14ac:dyDescent="0.2">
      <c r="AF767" s="1"/>
      <c r="AG767" s="7"/>
    </row>
    <row r="768" spans="32:33" ht="14" x14ac:dyDescent="0.2">
      <c r="AF768" s="1"/>
      <c r="AG768" s="7"/>
    </row>
    <row r="769" spans="32:33" ht="14" x14ac:dyDescent="0.2">
      <c r="AF769" s="1"/>
      <c r="AG769" s="7"/>
    </row>
    <row r="770" spans="32:33" ht="14" x14ac:dyDescent="0.2">
      <c r="AF770" s="1"/>
      <c r="AG770" s="7"/>
    </row>
    <row r="771" spans="32:33" ht="14" x14ac:dyDescent="0.2">
      <c r="AF771" s="1"/>
      <c r="AG771" s="7"/>
    </row>
    <row r="772" spans="32:33" ht="14" x14ac:dyDescent="0.2">
      <c r="AF772" s="1"/>
      <c r="AG772" s="7"/>
    </row>
    <row r="773" spans="32:33" ht="14" x14ac:dyDescent="0.2">
      <c r="AF773" s="1"/>
      <c r="AG773" s="7"/>
    </row>
    <row r="774" spans="32:33" ht="14" x14ac:dyDescent="0.2">
      <c r="AF774" s="1"/>
      <c r="AG774" s="7"/>
    </row>
    <row r="775" spans="32:33" ht="14" x14ac:dyDescent="0.2">
      <c r="AF775" s="1"/>
      <c r="AG775" s="7"/>
    </row>
    <row r="776" spans="32:33" ht="14" x14ac:dyDescent="0.2">
      <c r="AF776" s="1"/>
      <c r="AG776" s="7"/>
    </row>
    <row r="777" spans="32:33" ht="14" x14ac:dyDescent="0.2">
      <c r="AF777" s="1"/>
      <c r="AG777" s="7"/>
    </row>
    <row r="778" spans="32:33" ht="14" x14ac:dyDescent="0.2">
      <c r="AF778" s="1"/>
      <c r="AG778" s="7"/>
    </row>
    <row r="779" spans="32:33" ht="14" x14ac:dyDescent="0.2">
      <c r="AF779" s="1"/>
      <c r="AG779" s="7"/>
    </row>
    <row r="780" spans="32:33" ht="14" x14ac:dyDescent="0.2">
      <c r="AF780" s="1"/>
      <c r="AG780" s="7"/>
    </row>
    <row r="781" spans="32:33" ht="14" x14ac:dyDescent="0.2">
      <c r="AF781" s="1"/>
      <c r="AG781" s="7"/>
    </row>
    <row r="782" spans="32:33" ht="14" x14ac:dyDescent="0.2">
      <c r="AF782" s="1"/>
      <c r="AG782" s="7"/>
    </row>
    <row r="783" spans="32:33" ht="14" x14ac:dyDescent="0.2">
      <c r="AF783" s="1"/>
      <c r="AG783" s="7"/>
    </row>
    <row r="784" spans="32:33" ht="14" x14ac:dyDescent="0.2">
      <c r="AF784" s="1"/>
      <c r="AG784" s="7"/>
    </row>
    <row r="785" spans="32:33" ht="14" x14ac:dyDescent="0.2">
      <c r="AF785" s="1"/>
      <c r="AG785" s="7"/>
    </row>
    <row r="786" spans="32:33" ht="14" x14ac:dyDescent="0.2">
      <c r="AF786" s="1"/>
      <c r="AG786" s="7"/>
    </row>
    <row r="787" spans="32:33" ht="14" x14ac:dyDescent="0.2">
      <c r="AF787" s="1"/>
      <c r="AG787" s="7"/>
    </row>
    <row r="788" spans="32:33" ht="14" x14ac:dyDescent="0.2">
      <c r="AF788" s="1"/>
      <c r="AG788" s="7"/>
    </row>
    <row r="789" spans="32:33" ht="14" x14ac:dyDescent="0.2">
      <c r="AF789" s="1"/>
      <c r="AG789" s="7"/>
    </row>
    <row r="790" spans="32:33" ht="14" x14ac:dyDescent="0.2">
      <c r="AF790" s="1"/>
      <c r="AG790" s="7"/>
    </row>
    <row r="791" spans="32:33" ht="14" x14ac:dyDescent="0.2">
      <c r="AF791" s="1"/>
      <c r="AG791" s="7"/>
    </row>
    <row r="792" spans="32:33" ht="14" x14ac:dyDescent="0.2">
      <c r="AF792" s="1"/>
      <c r="AG792" s="7"/>
    </row>
    <row r="793" spans="32:33" ht="14" x14ac:dyDescent="0.2">
      <c r="AF793" s="1"/>
      <c r="AG793" s="7"/>
    </row>
    <row r="794" spans="32:33" ht="14" x14ac:dyDescent="0.2">
      <c r="AF794" s="1"/>
      <c r="AG794" s="7"/>
    </row>
    <row r="795" spans="32:33" ht="14" x14ac:dyDescent="0.2">
      <c r="AF795" s="1"/>
      <c r="AG795" s="7"/>
    </row>
    <row r="796" spans="32:33" ht="14" x14ac:dyDescent="0.2">
      <c r="AF796" s="1"/>
      <c r="AG796" s="7"/>
    </row>
    <row r="797" spans="32:33" ht="14" x14ac:dyDescent="0.2">
      <c r="AF797" s="1"/>
      <c r="AG797" s="7"/>
    </row>
    <row r="798" spans="32:33" ht="14" x14ac:dyDescent="0.2">
      <c r="AF798" s="1"/>
      <c r="AG798" s="7"/>
    </row>
    <row r="799" spans="32:33" ht="14" x14ac:dyDescent="0.2">
      <c r="AF799" s="1"/>
      <c r="AG799" s="7"/>
    </row>
    <row r="800" spans="32:33" ht="14" x14ac:dyDescent="0.2">
      <c r="AF800" s="1"/>
      <c r="AG800" s="7"/>
    </row>
    <row r="801" spans="32:33" ht="14" x14ac:dyDescent="0.2">
      <c r="AF801" s="1"/>
      <c r="AG801" s="7"/>
    </row>
    <row r="802" spans="32:33" ht="14" x14ac:dyDescent="0.2">
      <c r="AF802" s="1"/>
      <c r="AG802" s="7"/>
    </row>
    <row r="803" spans="32:33" ht="14" x14ac:dyDescent="0.2">
      <c r="AF803" s="1"/>
      <c r="AG803" s="7"/>
    </row>
    <row r="804" spans="32:33" ht="14" x14ac:dyDescent="0.2">
      <c r="AF804" s="1"/>
      <c r="AG804" s="7"/>
    </row>
    <row r="805" spans="32:33" ht="14" x14ac:dyDescent="0.2">
      <c r="AF805" s="1"/>
      <c r="AG805" s="7"/>
    </row>
    <row r="806" spans="32:33" ht="14" x14ac:dyDescent="0.2">
      <c r="AF806" s="1"/>
      <c r="AG806" s="7"/>
    </row>
    <row r="807" spans="32:33" ht="14" x14ac:dyDescent="0.2">
      <c r="AF807" s="1"/>
      <c r="AG807" s="7"/>
    </row>
    <row r="808" spans="32:33" ht="14" x14ac:dyDescent="0.2">
      <c r="AF808" s="1"/>
      <c r="AG808" s="7"/>
    </row>
    <row r="809" spans="32:33" ht="14" x14ac:dyDescent="0.2">
      <c r="AF809" s="1"/>
      <c r="AG809" s="7"/>
    </row>
    <row r="810" spans="32:33" ht="14" x14ac:dyDescent="0.2">
      <c r="AF810" s="1"/>
      <c r="AG810" s="7"/>
    </row>
    <row r="811" spans="32:33" ht="14" x14ac:dyDescent="0.2">
      <c r="AF811" s="1"/>
      <c r="AG811" s="7"/>
    </row>
    <row r="812" spans="32:33" ht="14" x14ac:dyDescent="0.2">
      <c r="AF812" s="1"/>
      <c r="AG812" s="7"/>
    </row>
    <row r="813" spans="32:33" ht="14" x14ac:dyDescent="0.2">
      <c r="AF813" s="1"/>
      <c r="AG813" s="7"/>
    </row>
    <row r="814" spans="32:33" ht="14" x14ac:dyDescent="0.2">
      <c r="AF814" s="1"/>
      <c r="AG814" s="7"/>
    </row>
    <row r="815" spans="32:33" ht="14" x14ac:dyDescent="0.2">
      <c r="AF815" s="1"/>
      <c r="AG815" s="7"/>
    </row>
    <row r="816" spans="32:33" ht="14" x14ac:dyDescent="0.2">
      <c r="AF816" s="1"/>
      <c r="AG816" s="7"/>
    </row>
    <row r="817" spans="32:33" ht="14" x14ac:dyDescent="0.2">
      <c r="AF817" s="1"/>
      <c r="AG817" s="7"/>
    </row>
    <row r="818" spans="32:33" ht="14" x14ac:dyDescent="0.2">
      <c r="AF818" s="1"/>
      <c r="AG818" s="7"/>
    </row>
    <row r="819" spans="32:33" ht="14" x14ac:dyDescent="0.2">
      <c r="AF819" s="1"/>
      <c r="AG819" s="7"/>
    </row>
    <row r="820" spans="32:33" ht="14" x14ac:dyDescent="0.2">
      <c r="AF820" s="1"/>
      <c r="AG820" s="7"/>
    </row>
    <row r="821" spans="32:33" ht="14" x14ac:dyDescent="0.2">
      <c r="AF821" s="1"/>
      <c r="AG821" s="7"/>
    </row>
    <row r="822" spans="32:33" ht="14" x14ac:dyDescent="0.2">
      <c r="AF822" s="1"/>
      <c r="AG822" s="7"/>
    </row>
    <row r="823" spans="32:33" ht="14" x14ac:dyDescent="0.2">
      <c r="AF823" s="1"/>
      <c r="AG823" s="7"/>
    </row>
    <row r="824" spans="32:33" ht="14" x14ac:dyDescent="0.2">
      <c r="AF824" s="1"/>
      <c r="AG824" s="7"/>
    </row>
    <row r="825" spans="32:33" ht="14" x14ac:dyDescent="0.2">
      <c r="AF825" s="1"/>
      <c r="AG825" s="7"/>
    </row>
    <row r="826" spans="32:33" ht="14" x14ac:dyDescent="0.2">
      <c r="AF826" s="1"/>
      <c r="AG826" s="7"/>
    </row>
    <row r="827" spans="32:33" ht="14" x14ac:dyDescent="0.2">
      <c r="AF827" s="1"/>
      <c r="AG827" s="7"/>
    </row>
    <row r="828" spans="32:33" ht="14" x14ac:dyDescent="0.2">
      <c r="AF828" s="1"/>
      <c r="AG828" s="7"/>
    </row>
    <row r="829" spans="32:33" ht="14" x14ac:dyDescent="0.2">
      <c r="AF829" s="1"/>
      <c r="AG829" s="7"/>
    </row>
    <row r="830" spans="32:33" ht="14" x14ac:dyDescent="0.2">
      <c r="AF830" s="1"/>
      <c r="AG830" s="7"/>
    </row>
    <row r="831" spans="32:33" ht="14" x14ac:dyDescent="0.2">
      <c r="AF831" s="1"/>
      <c r="AG831" s="7"/>
    </row>
    <row r="832" spans="32:33" ht="14" x14ac:dyDescent="0.2">
      <c r="AF832" s="1"/>
      <c r="AG832" s="7"/>
    </row>
    <row r="833" spans="32:33" ht="14" x14ac:dyDescent="0.2">
      <c r="AF833" s="1"/>
      <c r="AG833" s="7"/>
    </row>
    <row r="834" spans="32:33" ht="14" x14ac:dyDescent="0.2">
      <c r="AF834" s="1"/>
      <c r="AG834" s="7"/>
    </row>
    <row r="835" spans="32:33" ht="14" x14ac:dyDescent="0.2">
      <c r="AF835" s="1"/>
      <c r="AG835" s="7"/>
    </row>
    <row r="836" spans="32:33" ht="14" x14ac:dyDescent="0.2">
      <c r="AF836" s="1"/>
      <c r="AG836" s="7"/>
    </row>
    <row r="837" spans="32:33" ht="14" x14ac:dyDescent="0.2">
      <c r="AF837" s="1"/>
      <c r="AG837" s="7"/>
    </row>
    <row r="838" spans="32:33" ht="14" x14ac:dyDescent="0.2">
      <c r="AF838" s="1"/>
      <c r="AG838" s="7"/>
    </row>
    <row r="839" spans="32:33" ht="14" x14ac:dyDescent="0.2">
      <c r="AF839" s="1"/>
      <c r="AG839" s="7"/>
    </row>
    <row r="840" spans="32:33" ht="14" x14ac:dyDescent="0.2">
      <c r="AF840" s="1"/>
      <c r="AG840" s="7"/>
    </row>
    <row r="841" spans="32:33" ht="14" x14ac:dyDescent="0.2">
      <c r="AF841" s="1"/>
      <c r="AG841" s="7"/>
    </row>
    <row r="842" spans="32:33" ht="14" x14ac:dyDescent="0.2">
      <c r="AF842" s="1"/>
      <c r="AG842" s="7"/>
    </row>
    <row r="843" spans="32:33" ht="14" x14ac:dyDescent="0.2">
      <c r="AF843" s="1"/>
      <c r="AG843" s="7"/>
    </row>
    <row r="844" spans="32:33" ht="14" x14ac:dyDescent="0.2">
      <c r="AF844" s="1"/>
      <c r="AG844" s="7"/>
    </row>
    <row r="845" spans="32:33" ht="14" x14ac:dyDescent="0.2">
      <c r="AF845" s="1"/>
      <c r="AG845" s="7"/>
    </row>
    <row r="846" spans="32:33" ht="14" x14ac:dyDescent="0.2">
      <c r="AF846" s="1"/>
      <c r="AG846" s="7"/>
    </row>
    <row r="847" spans="32:33" ht="14" x14ac:dyDescent="0.2">
      <c r="AF847" s="1"/>
      <c r="AG847" s="7"/>
    </row>
    <row r="848" spans="32:33" ht="14" x14ac:dyDescent="0.2">
      <c r="AF848" s="1"/>
      <c r="AG848" s="7"/>
    </row>
    <row r="849" spans="32:33" ht="14" x14ac:dyDescent="0.2">
      <c r="AF849" s="1"/>
      <c r="AG849" s="7"/>
    </row>
    <row r="850" spans="32:33" ht="14" x14ac:dyDescent="0.2">
      <c r="AF850" s="1"/>
      <c r="AG850" s="7"/>
    </row>
    <row r="851" spans="32:33" ht="14" x14ac:dyDescent="0.2">
      <c r="AF851" s="1"/>
      <c r="AG851" s="7"/>
    </row>
    <row r="852" spans="32:33" ht="14" x14ac:dyDescent="0.2">
      <c r="AF852" s="1"/>
      <c r="AG852" s="7"/>
    </row>
    <row r="853" spans="32:33" ht="14" x14ac:dyDescent="0.2">
      <c r="AF853" s="1"/>
      <c r="AG853" s="7"/>
    </row>
    <row r="854" spans="32:33" ht="14" x14ac:dyDescent="0.2">
      <c r="AF854" s="1"/>
      <c r="AG854" s="7"/>
    </row>
    <row r="855" spans="32:33" ht="14" x14ac:dyDescent="0.2">
      <c r="AF855" s="1"/>
      <c r="AG855" s="7"/>
    </row>
    <row r="856" spans="32:33" ht="14" x14ac:dyDescent="0.2">
      <c r="AF856" s="1"/>
      <c r="AG856" s="7"/>
    </row>
    <row r="857" spans="32:33" ht="14" x14ac:dyDescent="0.2">
      <c r="AF857" s="1"/>
      <c r="AG857" s="7"/>
    </row>
    <row r="858" spans="32:33" ht="14" x14ac:dyDescent="0.2">
      <c r="AF858" s="1"/>
      <c r="AG858" s="7"/>
    </row>
    <row r="859" spans="32:33" ht="14" x14ac:dyDescent="0.2">
      <c r="AF859" s="1"/>
      <c r="AG859" s="7"/>
    </row>
    <row r="860" spans="32:33" ht="14" x14ac:dyDescent="0.2">
      <c r="AF860" s="1"/>
      <c r="AG860" s="7"/>
    </row>
    <row r="861" spans="32:33" ht="14" x14ac:dyDescent="0.2">
      <c r="AF861" s="1"/>
      <c r="AG861" s="7"/>
    </row>
    <row r="862" spans="32:33" ht="14" x14ac:dyDescent="0.2">
      <c r="AF862" s="1"/>
      <c r="AG862" s="7"/>
    </row>
    <row r="863" spans="32:33" ht="14" x14ac:dyDescent="0.2">
      <c r="AF863" s="1"/>
      <c r="AG863" s="7"/>
    </row>
    <row r="864" spans="32:33" ht="14" x14ac:dyDescent="0.2">
      <c r="AF864" s="1"/>
      <c r="AG864" s="7"/>
    </row>
    <row r="865" spans="32:33" ht="14" x14ac:dyDescent="0.2">
      <c r="AF865" s="1"/>
      <c r="AG865" s="7"/>
    </row>
    <row r="866" spans="32:33" ht="14" x14ac:dyDescent="0.2">
      <c r="AF866" s="1"/>
      <c r="AG866" s="7"/>
    </row>
    <row r="867" spans="32:33" ht="14" x14ac:dyDescent="0.2">
      <c r="AF867" s="1"/>
      <c r="AG867" s="7"/>
    </row>
    <row r="868" spans="32:33" ht="14" x14ac:dyDescent="0.2">
      <c r="AF868" s="1"/>
      <c r="AG868" s="7"/>
    </row>
    <row r="869" spans="32:33" ht="14" x14ac:dyDescent="0.2">
      <c r="AF869" s="1"/>
      <c r="AG869" s="7"/>
    </row>
    <row r="870" spans="32:33" ht="14" x14ac:dyDescent="0.2">
      <c r="AF870" s="1"/>
      <c r="AG870" s="7"/>
    </row>
    <row r="871" spans="32:33" ht="14" x14ac:dyDescent="0.2">
      <c r="AF871" s="1"/>
      <c r="AG871" s="7"/>
    </row>
    <row r="872" spans="32:33" ht="14" x14ac:dyDescent="0.2">
      <c r="AF872" s="1"/>
      <c r="AG872" s="7"/>
    </row>
    <row r="873" spans="32:33" ht="14" x14ac:dyDescent="0.2">
      <c r="AF873" s="1"/>
      <c r="AG873" s="7"/>
    </row>
    <row r="874" spans="32:33" ht="14" x14ac:dyDescent="0.2">
      <c r="AF874" s="1"/>
      <c r="AG874" s="7"/>
    </row>
    <row r="875" spans="32:33" ht="14" x14ac:dyDescent="0.2">
      <c r="AF875" s="1"/>
      <c r="AG875" s="7"/>
    </row>
    <row r="876" spans="32:33" ht="14" x14ac:dyDescent="0.2">
      <c r="AF876" s="1"/>
      <c r="AG876" s="7"/>
    </row>
    <row r="877" spans="32:33" ht="14" x14ac:dyDescent="0.2">
      <c r="AF877" s="1"/>
      <c r="AG877" s="7"/>
    </row>
    <row r="878" spans="32:33" ht="14" x14ac:dyDescent="0.2">
      <c r="AF878" s="1"/>
      <c r="AG878" s="7"/>
    </row>
    <row r="879" spans="32:33" ht="14" x14ac:dyDescent="0.2">
      <c r="AF879" s="1"/>
      <c r="AG879" s="7"/>
    </row>
    <row r="880" spans="32:33" ht="14" x14ac:dyDescent="0.2">
      <c r="AF880" s="1"/>
      <c r="AG880" s="7"/>
    </row>
    <row r="881" spans="32:33" ht="14" x14ac:dyDescent="0.2">
      <c r="AF881" s="1"/>
      <c r="AG881" s="7"/>
    </row>
    <row r="882" spans="32:33" ht="14" x14ac:dyDescent="0.2">
      <c r="AF882" s="1"/>
      <c r="AG882" s="7"/>
    </row>
    <row r="883" spans="32:33" ht="14" x14ac:dyDescent="0.2">
      <c r="AF883" s="1"/>
      <c r="AG883" s="7"/>
    </row>
    <row r="884" spans="32:33" ht="14" x14ac:dyDescent="0.2">
      <c r="AF884" s="1"/>
      <c r="AG884" s="7"/>
    </row>
    <row r="885" spans="32:33" ht="14" x14ac:dyDescent="0.2">
      <c r="AF885" s="1"/>
      <c r="AG885" s="7"/>
    </row>
    <row r="886" spans="32:33" ht="14" x14ac:dyDescent="0.2">
      <c r="AF886" s="1"/>
      <c r="AG886" s="7"/>
    </row>
    <row r="887" spans="32:33" ht="14" x14ac:dyDescent="0.2">
      <c r="AF887" s="1"/>
      <c r="AG887" s="7"/>
    </row>
    <row r="888" spans="32:33" ht="14" x14ac:dyDescent="0.2">
      <c r="AF888" s="1"/>
      <c r="AG888" s="7"/>
    </row>
    <row r="889" spans="32:33" ht="14" x14ac:dyDescent="0.2">
      <c r="AF889" s="1"/>
      <c r="AG889" s="7"/>
    </row>
    <row r="890" spans="32:33" ht="14" x14ac:dyDescent="0.2">
      <c r="AF890" s="1"/>
      <c r="AG890" s="7"/>
    </row>
    <row r="891" spans="32:33" ht="14" x14ac:dyDescent="0.2">
      <c r="AF891" s="1"/>
      <c r="AG891" s="7"/>
    </row>
    <row r="892" spans="32:33" ht="14" x14ac:dyDescent="0.2">
      <c r="AF892" s="1"/>
      <c r="AG892" s="7"/>
    </row>
    <row r="893" spans="32:33" ht="14" x14ac:dyDescent="0.2">
      <c r="AF893" s="1"/>
      <c r="AG893" s="7"/>
    </row>
    <row r="894" spans="32:33" ht="14" x14ac:dyDescent="0.2">
      <c r="AF894" s="1"/>
      <c r="AG894" s="7"/>
    </row>
    <row r="895" spans="32:33" ht="14" x14ac:dyDescent="0.2">
      <c r="AF895" s="1"/>
      <c r="AG895" s="7"/>
    </row>
    <row r="896" spans="32:33" ht="14" x14ac:dyDescent="0.2">
      <c r="AF896" s="1"/>
      <c r="AG896" s="7"/>
    </row>
    <row r="897" spans="32:33" ht="14" x14ac:dyDescent="0.2">
      <c r="AF897" s="1"/>
      <c r="AG897" s="7"/>
    </row>
    <row r="898" spans="32:33" ht="14" x14ac:dyDescent="0.2">
      <c r="AF898" s="1"/>
      <c r="AG898" s="7"/>
    </row>
    <row r="899" spans="32:33" ht="14" x14ac:dyDescent="0.2">
      <c r="AF899" s="1"/>
      <c r="AG899" s="7"/>
    </row>
    <row r="900" spans="32:33" ht="14" x14ac:dyDescent="0.2">
      <c r="AF900" s="1"/>
      <c r="AG900" s="7"/>
    </row>
    <row r="901" spans="32:33" ht="14" x14ac:dyDescent="0.2">
      <c r="AF901" s="1"/>
      <c r="AG901" s="7"/>
    </row>
    <row r="902" spans="32:33" ht="14" x14ac:dyDescent="0.2">
      <c r="AF902" s="1"/>
      <c r="AG902" s="7"/>
    </row>
    <row r="903" spans="32:33" ht="14" x14ac:dyDescent="0.2">
      <c r="AF903" s="1"/>
      <c r="AG903" s="7"/>
    </row>
    <row r="904" spans="32:33" ht="14" x14ac:dyDescent="0.2">
      <c r="AF904" s="1"/>
      <c r="AG904" s="7"/>
    </row>
    <row r="905" spans="32:33" ht="14" x14ac:dyDescent="0.2">
      <c r="AF905" s="1"/>
      <c r="AG905" s="7"/>
    </row>
    <row r="906" spans="32:33" ht="14" x14ac:dyDescent="0.2">
      <c r="AF906" s="1"/>
      <c r="AG906" s="7"/>
    </row>
    <row r="907" spans="32:33" ht="14" x14ac:dyDescent="0.2">
      <c r="AF907" s="1"/>
      <c r="AG907" s="7"/>
    </row>
    <row r="908" spans="32:33" ht="14" x14ac:dyDescent="0.2">
      <c r="AF908" s="1"/>
      <c r="AG908" s="7"/>
    </row>
    <row r="909" spans="32:33" ht="14" x14ac:dyDescent="0.2">
      <c r="AF909" s="1"/>
      <c r="AG909" s="7"/>
    </row>
    <row r="910" spans="32:33" ht="14" x14ac:dyDescent="0.2">
      <c r="AF910" s="1"/>
      <c r="AG910" s="7"/>
    </row>
    <row r="911" spans="32:33" ht="14" x14ac:dyDescent="0.2">
      <c r="AF911" s="1"/>
      <c r="AG911" s="7"/>
    </row>
    <row r="912" spans="32:33" ht="14" x14ac:dyDescent="0.2">
      <c r="AF912" s="1"/>
      <c r="AG912" s="7"/>
    </row>
    <row r="913" spans="32:33" ht="14" x14ac:dyDescent="0.2">
      <c r="AF913" s="1"/>
      <c r="AG913" s="7"/>
    </row>
    <row r="914" spans="32:33" ht="14" x14ac:dyDescent="0.2">
      <c r="AF914" s="1"/>
      <c r="AG914" s="7"/>
    </row>
    <row r="915" spans="32:33" ht="14" x14ac:dyDescent="0.2">
      <c r="AF915" s="1"/>
      <c r="AG915" s="7"/>
    </row>
    <row r="916" spans="32:33" ht="14" x14ac:dyDescent="0.2">
      <c r="AF916" s="1"/>
      <c r="AG916" s="7"/>
    </row>
    <row r="917" spans="32:33" ht="14" x14ac:dyDescent="0.2">
      <c r="AF917" s="1"/>
      <c r="AG917" s="7"/>
    </row>
    <row r="918" spans="32:33" ht="14" x14ac:dyDescent="0.2">
      <c r="AF918" s="1"/>
      <c r="AG918" s="7"/>
    </row>
    <row r="919" spans="32:33" ht="14" x14ac:dyDescent="0.2">
      <c r="AF919" s="1"/>
      <c r="AG919" s="7"/>
    </row>
    <row r="920" spans="32:33" ht="14" x14ac:dyDescent="0.2">
      <c r="AF920" s="1"/>
      <c r="AG920" s="7"/>
    </row>
    <row r="921" spans="32:33" ht="14" x14ac:dyDescent="0.2">
      <c r="AF921" s="1"/>
      <c r="AG921" s="7"/>
    </row>
    <row r="922" spans="32:33" ht="14" x14ac:dyDescent="0.2">
      <c r="AF922" s="1"/>
      <c r="AG922" s="7"/>
    </row>
    <row r="923" spans="32:33" ht="14" x14ac:dyDescent="0.2">
      <c r="AF923" s="1"/>
      <c r="AG923" s="7"/>
    </row>
    <row r="924" spans="32:33" ht="14" x14ac:dyDescent="0.2">
      <c r="AF924" s="1"/>
      <c r="AG924" s="7"/>
    </row>
    <row r="925" spans="32:33" ht="14" x14ac:dyDescent="0.2">
      <c r="AF925" s="1"/>
      <c r="AG925" s="7"/>
    </row>
    <row r="926" spans="32:33" ht="14" x14ac:dyDescent="0.2">
      <c r="AF926" s="1"/>
      <c r="AG926" s="7"/>
    </row>
    <row r="927" spans="32:33" ht="14" x14ac:dyDescent="0.2">
      <c r="AF927" s="1"/>
      <c r="AG927" s="7"/>
    </row>
    <row r="928" spans="32:33" ht="14" x14ac:dyDescent="0.2">
      <c r="AF928" s="1"/>
      <c r="AG928" s="7"/>
    </row>
    <row r="929" spans="32:33" ht="14" x14ac:dyDescent="0.2">
      <c r="AF929" s="1"/>
      <c r="AG929" s="7"/>
    </row>
    <row r="930" spans="32:33" ht="14" x14ac:dyDescent="0.2">
      <c r="AF930" s="1"/>
      <c r="AG930" s="7"/>
    </row>
    <row r="931" spans="32:33" ht="14" x14ac:dyDescent="0.2">
      <c r="AF931" s="1"/>
      <c r="AG931" s="7"/>
    </row>
    <row r="932" spans="32:33" ht="14" x14ac:dyDescent="0.2">
      <c r="AF932" s="1"/>
      <c r="AG932" s="7"/>
    </row>
    <row r="933" spans="32:33" ht="14" x14ac:dyDescent="0.2">
      <c r="AF933" s="1"/>
      <c r="AG933" s="7"/>
    </row>
    <row r="934" spans="32:33" ht="14" x14ac:dyDescent="0.2">
      <c r="AF934" s="1"/>
      <c r="AG934" s="7"/>
    </row>
    <row r="935" spans="32:33" ht="14" x14ac:dyDescent="0.2">
      <c r="AF935" s="1"/>
      <c r="AG935" s="7"/>
    </row>
    <row r="936" spans="32:33" ht="14" x14ac:dyDescent="0.2">
      <c r="AF936" s="1"/>
      <c r="AG936" s="7"/>
    </row>
    <row r="937" spans="32:33" ht="14" x14ac:dyDescent="0.2">
      <c r="AF937" s="1"/>
      <c r="AG937" s="7"/>
    </row>
    <row r="938" spans="32:33" ht="14" x14ac:dyDescent="0.2">
      <c r="AF938" s="1"/>
      <c r="AG938" s="7"/>
    </row>
    <row r="939" spans="32:33" ht="14" x14ac:dyDescent="0.2">
      <c r="AF939" s="1"/>
      <c r="AG939" s="7"/>
    </row>
    <row r="940" spans="32:33" ht="14" x14ac:dyDescent="0.2">
      <c r="AF940" s="1"/>
      <c r="AG940" s="7"/>
    </row>
    <row r="941" spans="32:33" ht="14" x14ac:dyDescent="0.2">
      <c r="AF941" s="1"/>
      <c r="AG941" s="7"/>
    </row>
    <row r="942" spans="32:33" ht="14" x14ac:dyDescent="0.2">
      <c r="AF942" s="1"/>
      <c r="AG942" s="7"/>
    </row>
    <row r="943" spans="32:33" ht="14" x14ac:dyDescent="0.2">
      <c r="AF943" s="1"/>
      <c r="AG943" s="7"/>
    </row>
    <row r="944" spans="32:33" ht="14" x14ac:dyDescent="0.2">
      <c r="AF944" s="1"/>
      <c r="AG944" s="7"/>
    </row>
    <row r="945" spans="32:33" ht="14" x14ac:dyDescent="0.2">
      <c r="AF945" s="1"/>
      <c r="AG945" s="7"/>
    </row>
    <row r="946" spans="32:33" ht="14" x14ac:dyDescent="0.2">
      <c r="AF946" s="1"/>
      <c r="AG946" s="7"/>
    </row>
    <row r="947" spans="32:33" ht="14" x14ac:dyDescent="0.2">
      <c r="AF947" s="1"/>
      <c r="AG947" s="7"/>
    </row>
    <row r="948" spans="32:33" ht="14" x14ac:dyDescent="0.2">
      <c r="AF948" s="1"/>
      <c r="AG948" s="7"/>
    </row>
    <row r="949" spans="32:33" ht="14" x14ac:dyDescent="0.2">
      <c r="AF949" s="1"/>
      <c r="AG949" s="7"/>
    </row>
    <row r="950" spans="32:33" ht="14" x14ac:dyDescent="0.2">
      <c r="AF950" s="1"/>
      <c r="AG950" s="7"/>
    </row>
    <row r="951" spans="32:33" ht="14" x14ac:dyDescent="0.2">
      <c r="AF951" s="1"/>
      <c r="AG951" s="7"/>
    </row>
    <row r="952" spans="32:33" ht="14" x14ac:dyDescent="0.2">
      <c r="AF952" s="1"/>
      <c r="AG952" s="7"/>
    </row>
    <row r="953" spans="32:33" ht="14" x14ac:dyDescent="0.2">
      <c r="AF953" s="1"/>
      <c r="AG953" s="7"/>
    </row>
    <row r="954" spans="32:33" ht="14" x14ac:dyDescent="0.2">
      <c r="AF954" s="1"/>
      <c r="AG954" s="7"/>
    </row>
    <row r="955" spans="32:33" ht="14" x14ac:dyDescent="0.2">
      <c r="AF955" s="1"/>
      <c r="AG955" s="7"/>
    </row>
    <row r="956" spans="32:33" ht="14" x14ac:dyDescent="0.2">
      <c r="AF956" s="1"/>
      <c r="AG956" s="7"/>
    </row>
    <row r="957" spans="32:33" ht="14" x14ac:dyDescent="0.2">
      <c r="AF957" s="1"/>
      <c r="AG957" s="7"/>
    </row>
    <row r="958" spans="32:33" ht="14" x14ac:dyDescent="0.2">
      <c r="AF958" s="1"/>
      <c r="AG958" s="7"/>
    </row>
    <row r="959" spans="32:33" ht="14" x14ac:dyDescent="0.2">
      <c r="AF959" s="1"/>
      <c r="AG959" s="7"/>
    </row>
    <row r="960" spans="32:33" ht="14" x14ac:dyDescent="0.2">
      <c r="AF960" s="1"/>
      <c r="AG960" s="7"/>
    </row>
    <row r="961" spans="32:33" ht="14" x14ac:dyDescent="0.2">
      <c r="AF961" s="1"/>
      <c r="AG961" s="7"/>
    </row>
    <row r="962" spans="32:33" ht="14" x14ac:dyDescent="0.2">
      <c r="AF962" s="1"/>
      <c r="AG962" s="7"/>
    </row>
    <row r="963" spans="32:33" ht="14" x14ac:dyDescent="0.2">
      <c r="AF963" s="1"/>
      <c r="AG963" s="7"/>
    </row>
    <row r="964" spans="32:33" ht="14" x14ac:dyDescent="0.2">
      <c r="AF964" s="1"/>
      <c r="AG964" s="7"/>
    </row>
    <row r="965" spans="32:33" ht="14" x14ac:dyDescent="0.2">
      <c r="AF965" s="1"/>
      <c r="AG965" s="7"/>
    </row>
    <row r="966" spans="32:33" ht="14" x14ac:dyDescent="0.2">
      <c r="AF966" s="1"/>
      <c r="AG966" s="7"/>
    </row>
    <row r="967" spans="32:33" ht="14" x14ac:dyDescent="0.2">
      <c r="AF967" s="1"/>
      <c r="AG967" s="7"/>
    </row>
    <row r="968" spans="32:33" ht="14" x14ac:dyDescent="0.2">
      <c r="AF968" s="1"/>
      <c r="AG968" s="7"/>
    </row>
    <row r="969" spans="32:33" ht="14" x14ac:dyDescent="0.2">
      <c r="AF969" s="1"/>
      <c r="AG969" s="7"/>
    </row>
    <row r="970" spans="32:33" ht="14" x14ac:dyDescent="0.2">
      <c r="AF970" s="1"/>
      <c r="AG970" s="7"/>
    </row>
    <row r="971" spans="32:33" ht="14" x14ac:dyDescent="0.2">
      <c r="AF971" s="1"/>
      <c r="AG971" s="7"/>
    </row>
    <row r="972" spans="32:33" ht="14" x14ac:dyDescent="0.2">
      <c r="AF972" s="1"/>
      <c r="AG972" s="7"/>
    </row>
    <row r="973" spans="32:33" ht="14" x14ac:dyDescent="0.2">
      <c r="AF973" s="1"/>
      <c r="AG973" s="7"/>
    </row>
    <row r="974" spans="32:33" ht="14" x14ac:dyDescent="0.2">
      <c r="AF974" s="1"/>
      <c r="AG974" s="7"/>
    </row>
    <row r="975" spans="32:33" ht="14" x14ac:dyDescent="0.2">
      <c r="AF975" s="1"/>
      <c r="AG975" s="7"/>
    </row>
    <row r="976" spans="32:33" ht="14" x14ac:dyDescent="0.2">
      <c r="AF976" s="1"/>
      <c r="AG976" s="7"/>
    </row>
    <row r="977" spans="32:33" ht="14" x14ac:dyDescent="0.2">
      <c r="AF977" s="1"/>
      <c r="AG977" s="7"/>
    </row>
    <row r="978" spans="32:33" ht="14" x14ac:dyDescent="0.2">
      <c r="AF978" s="1"/>
      <c r="AG978" s="7"/>
    </row>
    <row r="979" spans="32:33" ht="14" x14ac:dyDescent="0.2">
      <c r="AF979" s="1"/>
      <c r="AG979" s="7"/>
    </row>
    <row r="980" spans="32:33" ht="14" x14ac:dyDescent="0.2">
      <c r="AF980" s="1"/>
      <c r="AG980" s="7"/>
    </row>
    <row r="981" spans="32:33" ht="14" x14ac:dyDescent="0.2">
      <c r="AF981" s="1"/>
      <c r="AG981" s="7"/>
    </row>
    <row r="982" spans="32:33" ht="14" x14ac:dyDescent="0.2">
      <c r="AF982" s="1"/>
      <c r="AG982" s="7"/>
    </row>
    <row r="983" spans="32:33" ht="14" x14ac:dyDescent="0.2">
      <c r="AF983" s="1"/>
      <c r="AG983" s="7"/>
    </row>
    <row r="984" spans="32:33" ht="14" x14ac:dyDescent="0.2">
      <c r="AF984" s="1"/>
      <c r="AG984" s="7"/>
    </row>
    <row r="985" spans="32:33" ht="14" x14ac:dyDescent="0.2">
      <c r="AF985" s="1"/>
      <c r="AG985" s="7"/>
    </row>
    <row r="986" spans="32:33" ht="14" x14ac:dyDescent="0.2">
      <c r="AF986" s="1"/>
      <c r="AG986" s="7"/>
    </row>
    <row r="987" spans="32:33" ht="14" x14ac:dyDescent="0.2">
      <c r="AF987" s="1"/>
      <c r="AG987" s="7"/>
    </row>
    <row r="988" spans="32:33" ht="14" x14ac:dyDescent="0.2">
      <c r="AF988" s="1"/>
      <c r="AG988" s="7"/>
    </row>
    <row r="989" spans="32:33" ht="14" x14ac:dyDescent="0.2">
      <c r="AF989" s="1"/>
      <c r="AG989" s="7"/>
    </row>
    <row r="990" spans="32:33" ht="14" x14ac:dyDescent="0.2">
      <c r="AF990" s="1"/>
      <c r="AG990" s="7"/>
    </row>
    <row r="991" spans="32:33" ht="14" x14ac:dyDescent="0.2">
      <c r="AF991" s="1"/>
      <c r="AG991" s="7"/>
    </row>
    <row r="992" spans="32:33" ht="14" x14ac:dyDescent="0.2">
      <c r="AF992" s="1"/>
      <c r="AG992" s="7"/>
    </row>
    <row r="993" spans="32:33" ht="14" x14ac:dyDescent="0.2">
      <c r="AF993" s="1"/>
      <c r="AG993" s="7"/>
    </row>
    <row r="994" spans="32:33" ht="14" x14ac:dyDescent="0.2">
      <c r="AF994" s="1"/>
      <c r="AG994" s="7"/>
    </row>
    <row r="995" spans="32:33" ht="14" x14ac:dyDescent="0.2">
      <c r="AF995" s="1"/>
      <c r="AG995" s="7"/>
    </row>
    <row r="996" spans="32:33" ht="14" x14ac:dyDescent="0.2">
      <c r="AF996" s="1"/>
      <c r="AG996" s="7"/>
    </row>
    <row r="997" spans="32:33" ht="14" x14ac:dyDescent="0.2">
      <c r="AF997" s="1"/>
      <c r="AG997" s="7"/>
    </row>
    <row r="998" spans="32:33" ht="14" x14ac:dyDescent="0.2">
      <c r="AF998" s="1"/>
      <c r="AG998" s="7"/>
    </row>
    <row r="999" spans="32:33" ht="14" x14ac:dyDescent="0.2">
      <c r="AF999" s="1"/>
      <c r="AG999" s="7"/>
    </row>
    <row r="1000" spans="32:33" ht="14" x14ac:dyDescent="0.2">
      <c r="AF1000" s="1"/>
      <c r="AG1000" s="7"/>
    </row>
    <row r="1001" spans="32:33" ht="14" x14ac:dyDescent="0.2">
      <c r="AF1001" s="1"/>
      <c r="AG1001" s="7"/>
    </row>
    <row r="1002" spans="32:33" ht="14" x14ac:dyDescent="0.2">
      <c r="AF1002" s="1"/>
      <c r="AG1002" s="7"/>
    </row>
    <row r="1003" spans="32:33" ht="14" x14ac:dyDescent="0.2">
      <c r="AF1003" s="1"/>
      <c r="AG1003" s="7"/>
    </row>
    <row r="1004" spans="32:33" ht="14" x14ac:dyDescent="0.2">
      <c r="AF1004" s="1"/>
      <c r="AG1004" s="7"/>
    </row>
    <row r="1005" spans="32:33" ht="14" x14ac:dyDescent="0.2">
      <c r="AF1005" s="1"/>
      <c r="AG1005" s="7"/>
    </row>
    <row r="1006" spans="32:33" ht="14" x14ac:dyDescent="0.2">
      <c r="AF1006" s="1"/>
      <c r="AG1006" s="7"/>
    </row>
    <row r="1007" spans="32:33" ht="14" x14ac:dyDescent="0.2">
      <c r="AF1007" s="1"/>
      <c r="AG1007" s="7"/>
    </row>
  </sheetData>
  <conditionalFormatting sqref="B43">
    <cfRule type="cellIs" dxfId="66" priority="3" operator="greaterThanOrEqual">
      <formula>0</formula>
    </cfRule>
    <cfRule type="cellIs" dxfId="65" priority="4" operator="lessThanOrEqual">
      <formula>0</formula>
    </cfRule>
  </conditionalFormatting>
  <conditionalFormatting sqref="B2:F2 H2:U2 W2:AE2">
    <cfRule type="cellIs" dxfId="64" priority="7" operator="greaterThan">
      <formula>4200</formula>
    </cfRule>
  </conditionalFormatting>
  <conditionalFormatting sqref="B33:AF33 AI33:BF33">
    <cfRule type="cellIs" dxfId="63" priority="1" operator="greaterThanOrEqual">
      <formula>0</formula>
    </cfRule>
    <cfRule type="cellIs" dxfId="62" priority="2" operator="lessThanOrEqual">
      <formula>0</formula>
    </cfRule>
  </conditionalFormatting>
  <conditionalFormatting sqref="AG33">
    <cfRule type="cellIs" dxfId="61" priority="5" operator="greaterThanOrEqual">
      <formula>1</formula>
    </cfRule>
    <cfRule type="cellIs" dxfId="60" priority="6" operator="lessThan">
      <formul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outlinePr summaryBelow="0" summaryRight="0"/>
  </sheetPr>
  <dimension ref="A1:BG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9" width="9" customWidth="1"/>
  </cols>
  <sheetData>
    <row r="1" spans="1:59" ht="15.75" customHeight="1" x14ac:dyDescent="0.2">
      <c r="A1" s="8" t="s">
        <v>127</v>
      </c>
      <c r="B1" s="64">
        <v>45778</v>
      </c>
      <c r="C1" s="64">
        <v>45779</v>
      </c>
      <c r="D1" s="64">
        <v>45780</v>
      </c>
      <c r="E1" s="64">
        <v>45781</v>
      </c>
      <c r="F1" s="64">
        <v>45782</v>
      </c>
      <c r="G1" s="64">
        <v>45783</v>
      </c>
      <c r="H1" s="64">
        <v>45784</v>
      </c>
      <c r="I1" s="64">
        <v>45785</v>
      </c>
      <c r="J1" s="64">
        <v>45786</v>
      </c>
      <c r="K1" s="64">
        <v>45787</v>
      </c>
      <c r="L1" s="64">
        <v>45788</v>
      </c>
      <c r="M1" s="64">
        <v>45789</v>
      </c>
      <c r="N1" s="64">
        <v>45790</v>
      </c>
      <c r="O1" s="64">
        <v>45791</v>
      </c>
      <c r="P1" s="64">
        <v>45792</v>
      </c>
      <c r="Q1" s="64">
        <v>45793</v>
      </c>
      <c r="R1" s="64">
        <v>45794</v>
      </c>
      <c r="S1" s="64">
        <v>45795</v>
      </c>
      <c r="T1" s="85">
        <v>45796</v>
      </c>
      <c r="U1" s="64">
        <v>45797</v>
      </c>
      <c r="V1" s="64">
        <v>45798</v>
      </c>
      <c r="W1" s="64">
        <v>45799</v>
      </c>
      <c r="X1" s="64">
        <v>45800</v>
      </c>
      <c r="Y1" s="64">
        <v>45801</v>
      </c>
      <c r="Z1" s="64">
        <v>45802</v>
      </c>
      <c r="AA1" s="64">
        <v>45803</v>
      </c>
      <c r="AB1" s="64">
        <v>45804</v>
      </c>
      <c r="AC1" s="64">
        <v>45805</v>
      </c>
      <c r="AD1" s="64">
        <v>45806</v>
      </c>
      <c r="AE1" s="64">
        <v>45807</v>
      </c>
      <c r="AF1" s="64">
        <v>45808</v>
      </c>
      <c r="AG1" s="22" t="s">
        <v>0</v>
      </c>
      <c r="AH1" s="22" t="s">
        <v>153</v>
      </c>
      <c r="AI1" s="8" t="s">
        <v>161</v>
      </c>
      <c r="AJ1" s="65"/>
      <c r="AK1" s="65"/>
      <c r="AL1" s="65"/>
      <c r="AM1" s="65"/>
      <c r="AN1" s="65"/>
      <c r="AO1" s="65"/>
      <c r="AP1" s="65"/>
      <c r="AQ1" s="65"/>
      <c r="AR1" s="65"/>
      <c r="AS1" s="65"/>
      <c r="AT1" s="65"/>
      <c r="AU1" s="65"/>
      <c r="AV1" s="65"/>
      <c r="AW1" s="65"/>
      <c r="AX1" s="65"/>
      <c r="AY1" s="65"/>
      <c r="AZ1" s="65"/>
      <c r="BA1" s="65"/>
      <c r="BB1" s="65"/>
      <c r="BC1" s="65"/>
      <c r="BD1" s="65"/>
      <c r="BE1" s="65"/>
      <c r="BF1" s="65"/>
      <c r="BG1" s="65"/>
    </row>
    <row r="2" spans="1:59" ht="15.75" customHeight="1" x14ac:dyDescent="0.2">
      <c r="A2" s="4" t="s">
        <v>162</v>
      </c>
      <c r="B2" s="66">
        <f t="shared" ref="B2:S2" si="0">1100+1000+600</f>
        <v>2700</v>
      </c>
      <c r="C2" s="66">
        <f t="shared" si="0"/>
        <v>2700</v>
      </c>
      <c r="D2" s="66">
        <f t="shared" si="0"/>
        <v>2700</v>
      </c>
      <c r="E2" s="66">
        <f t="shared" si="0"/>
        <v>2700</v>
      </c>
      <c r="F2" s="66">
        <f t="shared" si="0"/>
        <v>2700</v>
      </c>
      <c r="G2" s="66">
        <f t="shared" si="0"/>
        <v>2700</v>
      </c>
      <c r="H2" s="66">
        <f t="shared" si="0"/>
        <v>2700</v>
      </c>
      <c r="I2" s="66">
        <f t="shared" si="0"/>
        <v>2700</v>
      </c>
      <c r="J2" s="66">
        <f t="shared" si="0"/>
        <v>2700</v>
      </c>
      <c r="K2" s="66">
        <f t="shared" si="0"/>
        <v>2700</v>
      </c>
      <c r="L2" s="66">
        <f t="shared" si="0"/>
        <v>2700</v>
      </c>
      <c r="M2" s="66">
        <f t="shared" si="0"/>
        <v>2700</v>
      </c>
      <c r="N2" s="66">
        <f t="shared" si="0"/>
        <v>2700</v>
      </c>
      <c r="O2" s="66">
        <f t="shared" si="0"/>
        <v>2700</v>
      </c>
      <c r="P2" s="66">
        <f t="shared" si="0"/>
        <v>2700</v>
      </c>
      <c r="Q2" s="66">
        <f t="shared" si="0"/>
        <v>2700</v>
      </c>
      <c r="R2" s="66">
        <f t="shared" si="0"/>
        <v>2700</v>
      </c>
      <c r="S2" s="66">
        <f t="shared" si="0"/>
        <v>2700</v>
      </c>
      <c r="T2" s="69">
        <v>0</v>
      </c>
      <c r="U2" s="66">
        <f t="shared" ref="U2:AF2" si="1">1100+1000+600</f>
        <v>2700</v>
      </c>
      <c r="V2" s="66">
        <f t="shared" si="1"/>
        <v>2700</v>
      </c>
      <c r="W2" s="66">
        <f t="shared" si="1"/>
        <v>2700</v>
      </c>
      <c r="X2" s="66">
        <f t="shared" si="1"/>
        <v>2700</v>
      </c>
      <c r="Y2" s="66">
        <f t="shared" si="1"/>
        <v>2700</v>
      </c>
      <c r="Z2" s="66">
        <f t="shared" si="1"/>
        <v>2700</v>
      </c>
      <c r="AA2" s="66">
        <f t="shared" si="1"/>
        <v>2700</v>
      </c>
      <c r="AB2" s="66">
        <f t="shared" si="1"/>
        <v>2700</v>
      </c>
      <c r="AC2" s="66">
        <f t="shared" si="1"/>
        <v>2700</v>
      </c>
      <c r="AD2" s="66">
        <f t="shared" si="1"/>
        <v>2700</v>
      </c>
      <c r="AE2" s="66">
        <f t="shared" si="1"/>
        <v>2700</v>
      </c>
      <c r="AF2" s="66">
        <f t="shared" si="1"/>
        <v>2700</v>
      </c>
      <c r="AG2" s="56">
        <f t="shared" ref="AG2:AG4" si="2">SUM(B2:AF2)</f>
        <v>81000</v>
      </c>
      <c r="AH2" s="67">
        <f t="shared" ref="AH2:AH4" si="3">IFERROR(AVERAGE(B2:AF2),0)</f>
        <v>2612.9032258064517</v>
      </c>
      <c r="AI2" s="68">
        <f t="shared" ref="AI2:AI4" si="4">(AH2/$AH$29)*100</f>
        <v>19.129264231818329</v>
      </c>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ht="15.75" customHeight="1" x14ac:dyDescent="0.2">
      <c r="A3" s="4" t="s">
        <v>163</v>
      </c>
      <c r="B3" s="59">
        <f t="shared" ref="B3:S3" si="5">$B$39/$B$59</f>
        <v>3270.0666666666666</v>
      </c>
      <c r="C3" s="59">
        <f t="shared" si="5"/>
        <v>3270.0666666666666</v>
      </c>
      <c r="D3" s="59">
        <f t="shared" si="5"/>
        <v>3270.0666666666666</v>
      </c>
      <c r="E3" s="59">
        <f t="shared" si="5"/>
        <v>3270.0666666666666</v>
      </c>
      <c r="F3" s="59">
        <f t="shared" si="5"/>
        <v>3270.0666666666666</v>
      </c>
      <c r="G3" s="59">
        <f t="shared" si="5"/>
        <v>3270.0666666666666</v>
      </c>
      <c r="H3" s="59">
        <f t="shared" si="5"/>
        <v>3270.0666666666666</v>
      </c>
      <c r="I3" s="59">
        <f t="shared" si="5"/>
        <v>3270.0666666666666</v>
      </c>
      <c r="J3" s="59">
        <f t="shared" si="5"/>
        <v>3270.0666666666666</v>
      </c>
      <c r="K3" s="59">
        <f t="shared" si="5"/>
        <v>3270.0666666666666</v>
      </c>
      <c r="L3" s="59">
        <f t="shared" si="5"/>
        <v>3270.0666666666666</v>
      </c>
      <c r="M3" s="59">
        <f t="shared" si="5"/>
        <v>3270.0666666666666</v>
      </c>
      <c r="N3" s="59">
        <f t="shared" si="5"/>
        <v>3270.0666666666666</v>
      </c>
      <c r="O3" s="59">
        <f t="shared" si="5"/>
        <v>3270.0666666666666</v>
      </c>
      <c r="P3" s="59">
        <f t="shared" si="5"/>
        <v>3270.0666666666666</v>
      </c>
      <c r="Q3" s="59">
        <f t="shared" si="5"/>
        <v>3270.0666666666666</v>
      </c>
      <c r="R3" s="59">
        <f t="shared" si="5"/>
        <v>3270.0666666666666</v>
      </c>
      <c r="S3" s="59">
        <f t="shared" si="5"/>
        <v>3270.0666666666666</v>
      </c>
      <c r="T3" s="69">
        <v>0</v>
      </c>
      <c r="U3" s="59">
        <f t="shared" ref="U3:AF3" si="6">$B$39/$B$59</f>
        <v>3270.0666666666666</v>
      </c>
      <c r="V3" s="59">
        <f t="shared" si="6"/>
        <v>3270.0666666666666</v>
      </c>
      <c r="W3" s="59">
        <f t="shared" si="6"/>
        <v>3270.0666666666666</v>
      </c>
      <c r="X3" s="59">
        <f t="shared" si="6"/>
        <v>3270.0666666666666</v>
      </c>
      <c r="Y3" s="59">
        <f t="shared" si="6"/>
        <v>3270.0666666666666</v>
      </c>
      <c r="Z3" s="59">
        <f t="shared" si="6"/>
        <v>3270.0666666666666</v>
      </c>
      <c r="AA3" s="59">
        <f t="shared" si="6"/>
        <v>3270.0666666666666</v>
      </c>
      <c r="AB3" s="59">
        <f t="shared" si="6"/>
        <v>3270.0666666666666</v>
      </c>
      <c r="AC3" s="59">
        <f t="shared" si="6"/>
        <v>3270.0666666666666</v>
      </c>
      <c r="AD3" s="59">
        <f t="shared" si="6"/>
        <v>3270.0666666666666</v>
      </c>
      <c r="AE3" s="59">
        <f t="shared" si="6"/>
        <v>3270.0666666666666</v>
      </c>
      <c r="AF3" s="59">
        <f t="shared" si="6"/>
        <v>3270.0666666666666</v>
      </c>
      <c r="AG3" s="56">
        <f t="shared" si="2"/>
        <v>98101.999999999985</v>
      </c>
      <c r="AH3" s="67">
        <f t="shared" si="3"/>
        <v>3164.5806451612898</v>
      </c>
      <c r="AI3" s="68">
        <f t="shared" si="4"/>
        <v>23.168136786047427</v>
      </c>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ht="15.75" customHeight="1" x14ac:dyDescent="0.2">
      <c r="A4" s="4" t="s">
        <v>20</v>
      </c>
      <c r="B4" s="69">
        <f t="shared" ref="B4:S4" si="7">$B$42/$B$59</f>
        <v>3194.2333333333331</v>
      </c>
      <c r="C4" s="69">
        <f t="shared" si="7"/>
        <v>3194.2333333333331</v>
      </c>
      <c r="D4" s="69">
        <f t="shared" si="7"/>
        <v>3194.2333333333331</v>
      </c>
      <c r="E4" s="69">
        <f t="shared" si="7"/>
        <v>3194.2333333333331</v>
      </c>
      <c r="F4" s="69">
        <f t="shared" si="7"/>
        <v>3194.2333333333331</v>
      </c>
      <c r="G4" s="69">
        <f t="shared" si="7"/>
        <v>3194.2333333333331</v>
      </c>
      <c r="H4" s="69">
        <f t="shared" si="7"/>
        <v>3194.2333333333331</v>
      </c>
      <c r="I4" s="69">
        <f t="shared" si="7"/>
        <v>3194.2333333333331</v>
      </c>
      <c r="J4" s="69">
        <f t="shared" si="7"/>
        <v>3194.2333333333331</v>
      </c>
      <c r="K4" s="69">
        <f t="shared" si="7"/>
        <v>3194.2333333333331</v>
      </c>
      <c r="L4" s="69">
        <f t="shared" si="7"/>
        <v>3194.2333333333331</v>
      </c>
      <c r="M4" s="69">
        <f t="shared" si="7"/>
        <v>3194.2333333333331</v>
      </c>
      <c r="N4" s="69">
        <f t="shared" si="7"/>
        <v>3194.2333333333331</v>
      </c>
      <c r="O4" s="69">
        <f t="shared" si="7"/>
        <v>3194.2333333333331</v>
      </c>
      <c r="P4" s="69">
        <f t="shared" si="7"/>
        <v>3194.2333333333331</v>
      </c>
      <c r="Q4" s="69">
        <f t="shared" si="7"/>
        <v>3194.2333333333331</v>
      </c>
      <c r="R4" s="69">
        <f t="shared" si="7"/>
        <v>3194.2333333333331</v>
      </c>
      <c r="S4" s="69">
        <f t="shared" si="7"/>
        <v>3194.2333333333331</v>
      </c>
      <c r="T4" s="69">
        <v>0</v>
      </c>
      <c r="U4" s="69">
        <f t="shared" ref="U4:AF4" si="8">$B$42/$B$59</f>
        <v>3194.2333333333331</v>
      </c>
      <c r="V4" s="69">
        <f t="shared" si="8"/>
        <v>3194.2333333333331</v>
      </c>
      <c r="W4" s="69">
        <f t="shared" si="8"/>
        <v>3194.2333333333331</v>
      </c>
      <c r="X4" s="69">
        <f t="shared" si="8"/>
        <v>3194.2333333333331</v>
      </c>
      <c r="Y4" s="69">
        <f t="shared" si="8"/>
        <v>3194.2333333333331</v>
      </c>
      <c r="Z4" s="69">
        <f t="shared" si="8"/>
        <v>3194.2333333333331</v>
      </c>
      <c r="AA4" s="69">
        <f t="shared" si="8"/>
        <v>3194.2333333333331</v>
      </c>
      <c r="AB4" s="69">
        <f t="shared" si="8"/>
        <v>3194.2333333333331</v>
      </c>
      <c r="AC4" s="69">
        <f t="shared" si="8"/>
        <v>3194.2333333333331</v>
      </c>
      <c r="AD4" s="69">
        <f t="shared" si="8"/>
        <v>3194.2333333333331</v>
      </c>
      <c r="AE4" s="69">
        <f t="shared" si="8"/>
        <v>3194.2333333333331</v>
      </c>
      <c r="AF4" s="69">
        <f t="shared" si="8"/>
        <v>3194.2333333333331</v>
      </c>
      <c r="AG4" s="56">
        <f t="shared" si="2"/>
        <v>95827</v>
      </c>
      <c r="AH4" s="67">
        <f t="shared" si="3"/>
        <v>3091.1935483870966</v>
      </c>
      <c r="AI4" s="68">
        <f t="shared" si="4"/>
        <v>22.630864241264877</v>
      </c>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1"/>
      <c r="AH5" s="71"/>
      <c r="AI5" s="72"/>
      <c r="AJ5" s="14"/>
      <c r="AK5" s="14"/>
      <c r="AL5" s="14"/>
      <c r="AM5" s="14"/>
      <c r="AN5" s="14"/>
      <c r="AO5" s="14"/>
      <c r="AP5" s="14"/>
      <c r="AQ5" s="14"/>
      <c r="AR5" s="14"/>
      <c r="AS5" s="14"/>
      <c r="AT5" s="14"/>
      <c r="AU5" s="14"/>
      <c r="AV5" s="14"/>
      <c r="AW5" s="14"/>
      <c r="AX5" s="14"/>
      <c r="AY5" s="14"/>
      <c r="AZ5" s="14"/>
      <c r="BA5" s="14"/>
      <c r="BB5" s="14"/>
      <c r="BC5" s="14"/>
      <c r="BD5" s="14"/>
      <c r="BE5" s="14"/>
      <c r="BF5" s="14"/>
      <c r="BG5" s="14"/>
    </row>
    <row r="6" spans="1:59" ht="15.75" customHeight="1" x14ac:dyDescent="0.2">
      <c r="A6" s="4" t="s">
        <v>165</v>
      </c>
      <c r="B6" s="69">
        <v>2000</v>
      </c>
      <c r="C6" s="69">
        <v>1500</v>
      </c>
      <c r="D6" s="69">
        <v>2000</v>
      </c>
      <c r="E6" s="69">
        <v>2000</v>
      </c>
      <c r="F6" s="69">
        <v>2000</v>
      </c>
      <c r="G6" s="69">
        <v>1000</v>
      </c>
      <c r="H6" s="69">
        <v>3000</v>
      </c>
      <c r="I6" s="69">
        <v>3000</v>
      </c>
      <c r="J6" s="69">
        <v>2500</v>
      </c>
      <c r="K6" s="69">
        <v>3000</v>
      </c>
      <c r="L6" s="69">
        <v>2500</v>
      </c>
      <c r="M6" s="69">
        <v>2000</v>
      </c>
      <c r="N6" s="69">
        <v>2000</v>
      </c>
      <c r="O6" s="69">
        <v>1500</v>
      </c>
      <c r="P6" s="69">
        <v>1500</v>
      </c>
      <c r="Q6" s="69">
        <v>2500</v>
      </c>
      <c r="R6" s="69">
        <v>2500</v>
      </c>
      <c r="S6" s="69">
        <v>2000</v>
      </c>
      <c r="T6" s="69">
        <v>0</v>
      </c>
      <c r="U6" s="69">
        <v>2500</v>
      </c>
      <c r="V6" s="69">
        <v>1000</v>
      </c>
      <c r="W6" s="69">
        <v>2000</v>
      </c>
      <c r="X6" s="69">
        <v>2500</v>
      </c>
      <c r="Y6" s="69">
        <v>2000</v>
      </c>
      <c r="Z6" s="69">
        <v>2500</v>
      </c>
      <c r="AA6" s="69">
        <v>2000</v>
      </c>
      <c r="AB6" s="69">
        <v>2000</v>
      </c>
      <c r="AC6" s="69">
        <v>2000</v>
      </c>
      <c r="AD6" s="69">
        <v>2000</v>
      </c>
      <c r="AE6" s="69">
        <v>2000</v>
      </c>
      <c r="AF6" s="69">
        <v>2000</v>
      </c>
      <c r="AG6" s="56">
        <f t="shared" ref="AG6:AG8" si="9">SUM(B6:AF6)</f>
        <v>63000</v>
      </c>
      <c r="AH6" s="67">
        <f t="shared" ref="AH6:AH8" si="10">IFERROR(AVERAGE(B6:AF6),0)</f>
        <v>2032.258064516129</v>
      </c>
      <c r="AI6" s="68">
        <f t="shared" ref="AI6:AI8" si="11">(AH6/$AH$29)*100</f>
        <v>14.87831662474759</v>
      </c>
      <c r="AJ6" s="14"/>
      <c r="AK6" s="14"/>
      <c r="AS6" s="14"/>
      <c r="AT6" s="14"/>
      <c r="AU6" s="14"/>
      <c r="AV6" s="14"/>
      <c r="AW6" s="14"/>
      <c r="AX6" s="14"/>
      <c r="AY6" s="14"/>
      <c r="AZ6" s="14"/>
      <c r="BA6" s="14"/>
      <c r="BB6" s="14"/>
      <c r="BC6" s="14"/>
      <c r="BD6" s="14"/>
      <c r="BE6" s="14"/>
      <c r="BF6" s="14"/>
      <c r="BG6" s="14"/>
    </row>
    <row r="7" spans="1:59" ht="15.75" customHeight="1" x14ac:dyDescent="0.2">
      <c r="A7" s="4" t="s">
        <v>166</v>
      </c>
      <c r="B7" s="69">
        <f t="shared" ref="B7:S7" si="12">$B$51/$B$59</f>
        <v>200</v>
      </c>
      <c r="C7" s="69">
        <f t="shared" si="12"/>
        <v>200</v>
      </c>
      <c r="D7" s="69">
        <f t="shared" si="12"/>
        <v>200</v>
      </c>
      <c r="E7" s="69">
        <f t="shared" si="12"/>
        <v>200</v>
      </c>
      <c r="F7" s="69">
        <f t="shared" si="12"/>
        <v>200</v>
      </c>
      <c r="G7" s="69">
        <f t="shared" si="12"/>
        <v>200</v>
      </c>
      <c r="H7" s="69">
        <f t="shared" si="12"/>
        <v>200</v>
      </c>
      <c r="I7" s="69">
        <f t="shared" si="12"/>
        <v>200</v>
      </c>
      <c r="J7" s="69">
        <f t="shared" si="12"/>
        <v>200</v>
      </c>
      <c r="K7" s="69">
        <f t="shared" si="12"/>
        <v>200</v>
      </c>
      <c r="L7" s="69">
        <f t="shared" si="12"/>
        <v>200</v>
      </c>
      <c r="M7" s="69">
        <f t="shared" si="12"/>
        <v>200</v>
      </c>
      <c r="N7" s="69">
        <f t="shared" si="12"/>
        <v>200</v>
      </c>
      <c r="O7" s="69">
        <f t="shared" si="12"/>
        <v>200</v>
      </c>
      <c r="P7" s="69">
        <f t="shared" si="12"/>
        <v>200</v>
      </c>
      <c r="Q7" s="69">
        <f t="shared" si="12"/>
        <v>200</v>
      </c>
      <c r="R7" s="69">
        <f t="shared" si="12"/>
        <v>200</v>
      </c>
      <c r="S7" s="69">
        <f t="shared" si="12"/>
        <v>200</v>
      </c>
      <c r="T7" s="69">
        <v>0</v>
      </c>
      <c r="U7" s="69">
        <f t="shared" ref="U7:AF7" si="13">$B$51/$B$59</f>
        <v>200</v>
      </c>
      <c r="V7" s="69">
        <f t="shared" si="13"/>
        <v>200</v>
      </c>
      <c r="W7" s="69">
        <f t="shared" si="13"/>
        <v>200</v>
      </c>
      <c r="X7" s="69">
        <f t="shared" si="13"/>
        <v>200</v>
      </c>
      <c r="Y7" s="69">
        <f t="shared" si="13"/>
        <v>200</v>
      </c>
      <c r="Z7" s="69">
        <f t="shared" si="13"/>
        <v>200</v>
      </c>
      <c r="AA7" s="69">
        <f t="shared" si="13"/>
        <v>200</v>
      </c>
      <c r="AB7" s="69">
        <f t="shared" si="13"/>
        <v>200</v>
      </c>
      <c r="AC7" s="69">
        <f t="shared" si="13"/>
        <v>200</v>
      </c>
      <c r="AD7" s="69">
        <f t="shared" si="13"/>
        <v>200</v>
      </c>
      <c r="AE7" s="69">
        <f t="shared" si="13"/>
        <v>200</v>
      </c>
      <c r="AF7" s="69">
        <f t="shared" si="13"/>
        <v>200</v>
      </c>
      <c r="AG7" s="56">
        <f t="shared" si="9"/>
        <v>6000</v>
      </c>
      <c r="AH7" s="67">
        <f t="shared" si="10"/>
        <v>193.54838709677421</v>
      </c>
      <c r="AI7" s="68">
        <f t="shared" si="11"/>
        <v>1.4169825356902468</v>
      </c>
      <c r="AJ7" s="14"/>
      <c r="AK7" s="14"/>
      <c r="AS7" s="14"/>
      <c r="AT7" s="14"/>
      <c r="AU7" s="14"/>
      <c r="AV7" s="14"/>
      <c r="AW7" s="14"/>
      <c r="AX7" s="14"/>
      <c r="AY7" s="14"/>
      <c r="AZ7" s="14"/>
      <c r="BA7" s="14"/>
      <c r="BB7" s="14"/>
      <c r="BC7" s="14"/>
      <c r="BD7" s="14"/>
      <c r="BE7" s="14"/>
      <c r="BF7" s="14"/>
      <c r="BG7" s="14"/>
    </row>
    <row r="8" spans="1:59" ht="15.75" customHeight="1" x14ac:dyDescent="0.2">
      <c r="A8" s="4" t="s">
        <v>167</v>
      </c>
      <c r="B8" s="69">
        <f t="shared" ref="B8:S8" si="14">$B$52/$B$59</f>
        <v>164.33333333333334</v>
      </c>
      <c r="C8" s="69">
        <f t="shared" si="14"/>
        <v>164.33333333333334</v>
      </c>
      <c r="D8" s="69">
        <f t="shared" si="14"/>
        <v>164.33333333333334</v>
      </c>
      <c r="E8" s="69">
        <f t="shared" si="14"/>
        <v>164.33333333333334</v>
      </c>
      <c r="F8" s="69">
        <f t="shared" si="14"/>
        <v>164.33333333333334</v>
      </c>
      <c r="G8" s="69">
        <f t="shared" si="14"/>
        <v>164.33333333333334</v>
      </c>
      <c r="H8" s="69">
        <f t="shared" si="14"/>
        <v>164.33333333333334</v>
      </c>
      <c r="I8" s="69">
        <f t="shared" si="14"/>
        <v>164.33333333333334</v>
      </c>
      <c r="J8" s="69">
        <f t="shared" si="14"/>
        <v>164.33333333333334</v>
      </c>
      <c r="K8" s="69">
        <f t="shared" si="14"/>
        <v>164.33333333333334</v>
      </c>
      <c r="L8" s="69">
        <f t="shared" si="14"/>
        <v>164.33333333333334</v>
      </c>
      <c r="M8" s="69">
        <f t="shared" si="14"/>
        <v>164.33333333333334</v>
      </c>
      <c r="N8" s="69">
        <f t="shared" si="14"/>
        <v>164.33333333333334</v>
      </c>
      <c r="O8" s="69">
        <f t="shared" si="14"/>
        <v>164.33333333333334</v>
      </c>
      <c r="P8" s="69">
        <f t="shared" si="14"/>
        <v>164.33333333333334</v>
      </c>
      <c r="Q8" s="69">
        <f t="shared" si="14"/>
        <v>164.33333333333334</v>
      </c>
      <c r="R8" s="69">
        <f t="shared" si="14"/>
        <v>164.33333333333334</v>
      </c>
      <c r="S8" s="69">
        <f t="shared" si="14"/>
        <v>164.33333333333334</v>
      </c>
      <c r="T8" s="69">
        <v>0</v>
      </c>
      <c r="U8" s="69">
        <f t="shared" ref="U8:AF8" si="15">$B$52/$B$59</f>
        <v>164.33333333333334</v>
      </c>
      <c r="V8" s="69">
        <f t="shared" si="15"/>
        <v>164.33333333333334</v>
      </c>
      <c r="W8" s="69">
        <f t="shared" si="15"/>
        <v>164.33333333333334</v>
      </c>
      <c r="X8" s="69">
        <f t="shared" si="15"/>
        <v>164.33333333333334</v>
      </c>
      <c r="Y8" s="69">
        <f t="shared" si="15"/>
        <v>164.33333333333334</v>
      </c>
      <c r="Z8" s="69">
        <f t="shared" si="15"/>
        <v>164.33333333333334</v>
      </c>
      <c r="AA8" s="69">
        <f t="shared" si="15"/>
        <v>164.33333333333334</v>
      </c>
      <c r="AB8" s="69">
        <f t="shared" si="15"/>
        <v>164.33333333333334</v>
      </c>
      <c r="AC8" s="69">
        <f t="shared" si="15"/>
        <v>164.33333333333334</v>
      </c>
      <c r="AD8" s="69">
        <f t="shared" si="15"/>
        <v>164.33333333333334</v>
      </c>
      <c r="AE8" s="69">
        <f t="shared" si="15"/>
        <v>164.33333333333334</v>
      </c>
      <c r="AF8" s="69">
        <f t="shared" si="15"/>
        <v>164.33333333333334</v>
      </c>
      <c r="AG8" s="56">
        <f t="shared" si="9"/>
        <v>4930</v>
      </c>
      <c r="AH8" s="67">
        <f t="shared" si="10"/>
        <v>159.03225806451613</v>
      </c>
      <c r="AI8" s="68">
        <f t="shared" si="11"/>
        <v>1.1642873168254859</v>
      </c>
      <c r="AJ8" s="14"/>
      <c r="AK8" s="14"/>
      <c r="AN8" s="74"/>
      <c r="AS8" s="14"/>
      <c r="AT8" s="14"/>
      <c r="AU8" s="14"/>
      <c r="AV8" s="14"/>
      <c r="AW8" s="14"/>
      <c r="AX8" s="14"/>
      <c r="AY8" s="14"/>
      <c r="AZ8" s="14"/>
      <c r="BA8" s="14"/>
      <c r="BB8" s="14"/>
      <c r="BC8" s="14"/>
      <c r="BD8" s="14"/>
      <c r="BE8" s="14"/>
      <c r="BF8" s="14"/>
      <c r="BG8" s="14"/>
    </row>
    <row r="9" spans="1:59"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1"/>
      <c r="AH9" s="71"/>
      <c r="AI9" s="72"/>
      <c r="AJ9" s="14"/>
      <c r="AK9" s="14"/>
      <c r="AN9" s="74"/>
      <c r="AS9" s="14"/>
      <c r="AT9" s="14"/>
      <c r="AU9" s="14"/>
      <c r="AV9" s="14"/>
      <c r="AW9" s="14"/>
      <c r="AX9" s="14"/>
      <c r="AY9" s="14"/>
      <c r="AZ9" s="14"/>
      <c r="BA9" s="14"/>
      <c r="BB9" s="14"/>
      <c r="BC9" s="14"/>
      <c r="BD9" s="14"/>
      <c r="BE9" s="14"/>
      <c r="BF9" s="14"/>
      <c r="BG9" s="14"/>
    </row>
    <row r="10" spans="1:59" ht="15.75" customHeight="1" x14ac:dyDescent="0.2">
      <c r="A10" s="4" t="s">
        <v>169</v>
      </c>
      <c r="B10" s="69">
        <f>40+20+30+100+30+30+20+50+30</f>
        <v>350</v>
      </c>
      <c r="C10" s="69">
        <f>40+20+30+100+50+40+30+30+40+20</f>
        <v>400</v>
      </c>
      <c r="D10" s="69">
        <f>40+20+20+100+20+30+50+20+50</f>
        <v>350</v>
      </c>
      <c r="E10" s="69">
        <f>60+20+30+160+30+30+30+30</f>
        <v>390</v>
      </c>
      <c r="F10" s="69">
        <f>40+20+30+200+20+30+38+50+40</f>
        <v>468</v>
      </c>
      <c r="G10" s="69">
        <f>40+20+30+100+30+30+50+50+30+20</f>
        <v>400</v>
      </c>
      <c r="H10" s="69">
        <f>40+30+30+100+20+30+50+120+20+30</f>
        <v>470</v>
      </c>
      <c r="I10" s="69">
        <f>60+20+30+100+20+30+50+40+30+40+20</f>
        <v>440</v>
      </c>
      <c r="J10" s="69">
        <f>40+20+20+200+30+30+40+30</f>
        <v>410</v>
      </c>
      <c r="K10" s="69">
        <f>60+20+30+20+100+20+40+30+40+50+20</f>
        <v>430</v>
      </c>
      <c r="L10" s="69">
        <f>40+50+20+100+60+50+60+30+10+40+40</f>
        <v>500</v>
      </c>
      <c r="M10" s="69">
        <f>1350+20+40+30+80+30+50+40</f>
        <v>1640</v>
      </c>
      <c r="N10" s="69">
        <f>50+20+30+80+30+30+40+30+50+50</f>
        <v>410</v>
      </c>
      <c r="O10" s="69">
        <f>40+100+30+20+30+30+60+40+20+50+50</f>
        <v>470</v>
      </c>
      <c r="P10" s="69">
        <f>40+20+20+30+40+30+50+60+50</f>
        <v>340</v>
      </c>
      <c r="Q10" s="69">
        <f>50+20+30+40+30+160+40+40+20+30</f>
        <v>460</v>
      </c>
      <c r="R10" s="69">
        <f>50+20+30+80+30+50+20+40</f>
        <v>320</v>
      </c>
      <c r="S10" s="69">
        <f>50+50+30+100+20+30+30+30+50+120</f>
        <v>510</v>
      </c>
      <c r="T10" s="69">
        <v>0</v>
      </c>
      <c r="U10" s="69">
        <f>40+30+100+40+40+30+40</f>
        <v>320</v>
      </c>
      <c r="V10" s="69">
        <f>40+30+30+240+40+30+50+10</f>
        <v>470</v>
      </c>
      <c r="W10" s="69">
        <f>40+30+30+40+40+30+60+50+20+50</f>
        <v>390</v>
      </c>
      <c r="X10" s="69">
        <f>40+20+30+100+40+20+50+50</f>
        <v>350</v>
      </c>
      <c r="Y10" s="69">
        <f>60+20+30+100+50+40+20+30+50+50</f>
        <v>450</v>
      </c>
      <c r="Z10" s="69">
        <f>90+20+30+200+40+30+50+50</f>
        <v>510</v>
      </c>
      <c r="AA10" s="69">
        <f>40+20+30+40+30+200+30+50+40</f>
        <v>480</v>
      </c>
      <c r="AB10" s="69">
        <f>60+20+30+40+100+50+30+20+50+40+20</f>
        <v>460</v>
      </c>
      <c r="AC10" s="69">
        <f>40+30+20+50+100+40+40+40+10</f>
        <v>370</v>
      </c>
      <c r="AD10" s="69">
        <f>60+30+30+60+40+20+50+20</f>
        <v>310</v>
      </c>
      <c r="AE10" s="69">
        <f>60+20+100+30+20+30+80+30+20+40+30+20</f>
        <v>480</v>
      </c>
      <c r="AF10" s="69">
        <f>60+30+300+20+20+40+50+50+120</f>
        <v>690</v>
      </c>
      <c r="AG10" s="56">
        <f t="shared" ref="AG10:AG18" si="16">SUM(B10:AD10)</f>
        <v>12868</v>
      </c>
      <c r="AH10" s="67">
        <f t="shared" ref="AH10:AH18" si="17">IFERROR(AVERAGE(B10:AF10),0)</f>
        <v>452.83870967741933</v>
      </c>
      <c r="AI10" s="68">
        <f t="shared" ref="AI10:AI18" si="18">(AH10/$AH$29)*100</f>
        <v>3.3152668060032799</v>
      </c>
      <c r="AK10" s="14"/>
      <c r="AN10" s="74"/>
      <c r="AS10" s="14"/>
      <c r="AT10" s="14"/>
      <c r="AU10" s="14"/>
      <c r="AV10" s="14"/>
      <c r="AW10" s="14"/>
      <c r="AX10" s="14"/>
      <c r="AY10" s="14"/>
      <c r="AZ10" s="14"/>
      <c r="BA10" s="14"/>
      <c r="BB10" s="14"/>
      <c r="BC10" s="14"/>
      <c r="BD10" s="14"/>
      <c r="BE10" s="14"/>
      <c r="BF10" s="14"/>
      <c r="BG10" s="14"/>
    </row>
    <row r="11" spans="1:59" ht="15.75" customHeight="1" x14ac:dyDescent="0.2">
      <c r="A11" s="4" t="s">
        <v>170</v>
      </c>
      <c r="B11" s="69">
        <v>150</v>
      </c>
      <c r="C11" s="69">
        <v>150</v>
      </c>
      <c r="D11" s="69">
        <v>200</v>
      </c>
      <c r="E11" s="69">
        <v>150</v>
      </c>
      <c r="F11" s="69">
        <v>210</v>
      </c>
      <c r="G11" s="69">
        <v>210</v>
      </c>
      <c r="H11" s="69">
        <v>220</v>
      </c>
      <c r="I11" s="69">
        <v>200</v>
      </c>
      <c r="J11" s="69">
        <v>220</v>
      </c>
      <c r="K11" s="69">
        <v>220</v>
      </c>
      <c r="L11" s="69">
        <v>220</v>
      </c>
      <c r="M11" s="69">
        <v>165</v>
      </c>
      <c r="N11" s="69">
        <v>220</v>
      </c>
      <c r="O11" s="69">
        <v>110</v>
      </c>
      <c r="P11" s="69">
        <v>165</v>
      </c>
      <c r="Q11" s="69">
        <v>165</v>
      </c>
      <c r="R11" s="69">
        <v>165</v>
      </c>
      <c r="S11" s="69">
        <v>220</v>
      </c>
      <c r="T11" s="69">
        <v>0</v>
      </c>
      <c r="U11" s="69">
        <v>165</v>
      </c>
      <c r="V11" s="69">
        <v>165</v>
      </c>
      <c r="W11" s="69">
        <v>165</v>
      </c>
      <c r="X11" s="69">
        <v>110</v>
      </c>
      <c r="Y11" s="69">
        <v>110</v>
      </c>
      <c r="Z11" s="69">
        <v>165</v>
      </c>
      <c r="AA11" s="69">
        <v>165</v>
      </c>
      <c r="AB11" s="69">
        <v>165</v>
      </c>
      <c r="AC11" s="69">
        <v>165</v>
      </c>
      <c r="AD11" s="69">
        <v>110</v>
      </c>
      <c r="AE11" s="69">
        <f>165+140</f>
        <v>305</v>
      </c>
      <c r="AF11" s="69">
        <v>165</v>
      </c>
      <c r="AG11" s="56">
        <f t="shared" si="16"/>
        <v>4845</v>
      </c>
      <c r="AH11" s="67">
        <f t="shared" si="17"/>
        <v>171.45161290322579</v>
      </c>
      <c r="AI11" s="68">
        <f t="shared" si="18"/>
        <v>1.2552103628656102</v>
      </c>
      <c r="AK11" s="14"/>
      <c r="AN11" s="74"/>
      <c r="AS11" s="14"/>
      <c r="AT11" s="14"/>
      <c r="AU11" s="14"/>
      <c r="AV11" s="14"/>
      <c r="AW11" s="14"/>
      <c r="AX11" s="14"/>
      <c r="AY11" s="14"/>
      <c r="AZ11" s="14"/>
      <c r="BA11" s="14"/>
      <c r="BB11" s="14"/>
      <c r="BC11" s="14"/>
      <c r="BD11" s="14"/>
      <c r="BE11" s="14"/>
      <c r="BF11" s="14"/>
      <c r="BG11" s="14"/>
    </row>
    <row r="12" spans="1:59" ht="15.75" customHeight="1" x14ac:dyDescent="0.2">
      <c r="A12" s="4" t="s">
        <v>171</v>
      </c>
      <c r="B12" s="69">
        <v>100</v>
      </c>
      <c r="C12" s="69">
        <v>100</v>
      </c>
      <c r="D12" s="69">
        <v>130</v>
      </c>
      <c r="E12" s="69">
        <v>130</v>
      </c>
      <c r="F12" s="69">
        <v>100</v>
      </c>
      <c r="G12" s="69">
        <v>100</v>
      </c>
      <c r="H12" s="69">
        <v>100</v>
      </c>
      <c r="I12" s="69">
        <v>100</v>
      </c>
      <c r="J12" s="69">
        <v>100</v>
      </c>
      <c r="K12" s="69">
        <v>130</v>
      </c>
      <c r="L12" s="69">
        <v>130</v>
      </c>
      <c r="M12" s="69">
        <v>130</v>
      </c>
      <c r="N12" s="69">
        <v>100</v>
      </c>
      <c r="O12" s="69">
        <v>65</v>
      </c>
      <c r="P12" s="69">
        <v>65</v>
      </c>
      <c r="Q12" s="69">
        <v>35</v>
      </c>
      <c r="R12" s="69">
        <v>65</v>
      </c>
      <c r="S12" s="69">
        <v>65</v>
      </c>
      <c r="T12" s="69">
        <v>0</v>
      </c>
      <c r="U12" s="69">
        <v>65</v>
      </c>
      <c r="V12" s="69">
        <v>65</v>
      </c>
      <c r="W12" s="69">
        <v>33</v>
      </c>
      <c r="X12" s="69">
        <v>65</v>
      </c>
      <c r="Y12" s="69">
        <v>65</v>
      </c>
      <c r="Z12" s="69">
        <v>65</v>
      </c>
      <c r="AA12" s="69">
        <v>65</v>
      </c>
      <c r="AB12" s="69">
        <v>65</v>
      </c>
      <c r="AC12" s="69">
        <v>65</v>
      </c>
      <c r="AD12" s="69">
        <v>65</v>
      </c>
      <c r="AE12" s="69">
        <v>65</v>
      </c>
      <c r="AF12" s="69">
        <v>65</v>
      </c>
      <c r="AG12" s="56">
        <f t="shared" si="16"/>
        <v>2363</v>
      </c>
      <c r="AH12" s="67">
        <f t="shared" si="17"/>
        <v>80.41935483870968</v>
      </c>
      <c r="AI12" s="68">
        <f t="shared" si="18"/>
        <v>0.58875624357929757</v>
      </c>
      <c r="AK12" s="14"/>
      <c r="AN12" s="74"/>
      <c r="AS12" s="14"/>
      <c r="AT12" s="14"/>
      <c r="AU12" s="14"/>
      <c r="AV12" s="14"/>
      <c r="AW12" s="14"/>
      <c r="AX12" s="14"/>
      <c r="AY12" s="14"/>
      <c r="AZ12" s="14"/>
      <c r="BA12" s="14"/>
      <c r="BB12" s="14"/>
      <c r="BC12" s="14"/>
      <c r="BD12" s="14"/>
      <c r="BE12" s="14"/>
      <c r="BF12" s="14"/>
      <c r="BG12" s="14"/>
    </row>
    <row r="13" spans="1:59" ht="15.75" customHeight="1" x14ac:dyDescent="0.2">
      <c r="A13" s="4" t="s">
        <v>172</v>
      </c>
      <c r="B13" s="69">
        <v>0</v>
      </c>
      <c r="C13" s="69">
        <v>370</v>
      </c>
      <c r="D13" s="69">
        <v>0</v>
      </c>
      <c r="E13" s="69">
        <v>370</v>
      </c>
      <c r="F13" s="69">
        <v>0</v>
      </c>
      <c r="G13" s="69">
        <v>370</v>
      </c>
      <c r="H13" s="69">
        <v>0</v>
      </c>
      <c r="I13" s="69">
        <v>370</v>
      </c>
      <c r="J13" s="69">
        <v>370</v>
      </c>
      <c r="K13" s="69">
        <v>0</v>
      </c>
      <c r="L13" s="69">
        <v>370</v>
      </c>
      <c r="M13" s="69">
        <v>0</v>
      </c>
      <c r="N13" s="69">
        <v>370</v>
      </c>
      <c r="O13" s="69">
        <v>0</v>
      </c>
      <c r="P13" s="69">
        <v>370</v>
      </c>
      <c r="Q13" s="69">
        <v>0</v>
      </c>
      <c r="R13" s="69">
        <v>0</v>
      </c>
      <c r="S13" s="69">
        <v>370</v>
      </c>
      <c r="T13" s="69">
        <v>0</v>
      </c>
      <c r="U13" s="69">
        <v>370</v>
      </c>
      <c r="V13" s="69">
        <v>0</v>
      </c>
      <c r="W13" s="69">
        <v>0</v>
      </c>
      <c r="X13" s="69">
        <v>370</v>
      </c>
      <c r="Y13" s="69">
        <v>0</v>
      </c>
      <c r="Z13" s="69">
        <v>370</v>
      </c>
      <c r="AA13" s="69">
        <v>0</v>
      </c>
      <c r="AB13" s="69">
        <v>370</v>
      </c>
      <c r="AC13" s="69">
        <v>0</v>
      </c>
      <c r="AD13" s="69">
        <v>0</v>
      </c>
      <c r="AE13" s="69">
        <v>0</v>
      </c>
      <c r="AF13" s="69">
        <v>370</v>
      </c>
      <c r="AG13" s="56">
        <f t="shared" si="16"/>
        <v>4810</v>
      </c>
      <c r="AH13" s="67">
        <f t="shared" si="17"/>
        <v>167.09677419354838</v>
      </c>
      <c r="AI13" s="68">
        <f t="shared" si="18"/>
        <v>1.2233282558125795</v>
      </c>
      <c r="AK13" s="14"/>
      <c r="AN13" s="74"/>
      <c r="AS13" s="14"/>
      <c r="AT13" s="14"/>
      <c r="AU13" s="14"/>
      <c r="AV13" s="14"/>
      <c r="AW13" s="14"/>
      <c r="AX13" s="14"/>
      <c r="AY13" s="14"/>
      <c r="AZ13" s="14"/>
      <c r="BA13" s="14"/>
      <c r="BB13" s="14"/>
      <c r="BC13" s="14"/>
      <c r="BD13" s="14"/>
      <c r="BE13" s="14"/>
      <c r="BF13" s="14"/>
      <c r="BG13" s="14"/>
    </row>
    <row r="14" spans="1:59" ht="15.75" customHeight="1" x14ac:dyDescent="0.2">
      <c r="A14" s="4" t="s">
        <v>173</v>
      </c>
      <c r="B14" s="69">
        <v>120</v>
      </c>
      <c r="C14" s="69">
        <v>120</v>
      </c>
      <c r="D14" s="69">
        <v>80</v>
      </c>
      <c r="E14" s="69">
        <v>120</v>
      </c>
      <c r="F14" s="69">
        <v>0</v>
      </c>
      <c r="G14" s="69">
        <v>0</v>
      </c>
      <c r="H14" s="69">
        <v>0</v>
      </c>
      <c r="I14" s="69">
        <v>0</v>
      </c>
      <c r="J14" s="69">
        <v>0</v>
      </c>
      <c r="K14" s="69">
        <v>196</v>
      </c>
      <c r="L14" s="69">
        <v>0</v>
      </c>
      <c r="M14" s="69">
        <v>160</v>
      </c>
      <c r="N14" s="69">
        <v>120</v>
      </c>
      <c r="O14" s="69">
        <v>120</v>
      </c>
      <c r="P14" s="69">
        <v>120</v>
      </c>
      <c r="Q14" s="69">
        <v>0</v>
      </c>
      <c r="R14" s="69">
        <v>120</v>
      </c>
      <c r="S14" s="69">
        <v>0</v>
      </c>
      <c r="T14" s="69">
        <v>0</v>
      </c>
      <c r="U14" s="69">
        <v>80</v>
      </c>
      <c r="V14" s="69">
        <v>80</v>
      </c>
      <c r="W14" s="69">
        <v>0</v>
      </c>
      <c r="X14" s="69">
        <v>147</v>
      </c>
      <c r="Y14" s="69">
        <v>80</v>
      </c>
      <c r="Z14" s="69">
        <v>0</v>
      </c>
      <c r="AA14" s="69">
        <v>0</v>
      </c>
      <c r="AB14" s="69">
        <v>160</v>
      </c>
      <c r="AC14" s="69">
        <v>90</v>
      </c>
      <c r="AD14" s="69">
        <v>90</v>
      </c>
      <c r="AE14" s="69">
        <v>80</v>
      </c>
      <c r="AF14" s="69">
        <v>0</v>
      </c>
      <c r="AG14" s="56">
        <f t="shared" si="16"/>
        <v>2003</v>
      </c>
      <c r="AH14" s="67">
        <f t="shared" si="17"/>
        <v>67.193548387096769</v>
      </c>
      <c r="AI14" s="68">
        <f t="shared" si="18"/>
        <v>0.49192910364046388</v>
      </c>
      <c r="AJ14" s="14"/>
      <c r="AK14" s="14"/>
      <c r="AS14" s="14"/>
      <c r="AT14" s="14"/>
      <c r="AU14" s="14"/>
      <c r="AV14" s="14"/>
      <c r="AW14" s="14"/>
      <c r="AX14" s="14"/>
      <c r="AY14" s="14"/>
      <c r="AZ14" s="14"/>
      <c r="BA14" s="14"/>
      <c r="BB14" s="14"/>
      <c r="BC14" s="14"/>
      <c r="BD14" s="14"/>
      <c r="BE14" s="14"/>
      <c r="BF14" s="14"/>
      <c r="BG14" s="14"/>
    </row>
    <row r="15" spans="1:59" ht="15.75" customHeight="1" x14ac:dyDescent="0.2">
      <c r="A15" s="4" t="s">
        <v>174</v>
      </c>
      <c r="B15" s="69">
        <v>0</v>
      </c>
      <c r="C15" s="69">
        <v>70</v>
      </c>
      <c r="D15" s="69">
        <v>70</v>
      </c>
      <c r="E15" s="69">
        <v>0</v>
      </c>
      <c r="F15" s="69">
        <v>0</v>
      </c>
      <c r="G15" s="69">
        <v>0</v>
      </c>
      <c r="H15" s="69">
        <v>0</v>
      </c>
      <c r="I15" s="69">
        <v>70</v>
      </c>
      <c r="J15" s="69">
        <v>140</v>
      </c>
      <c r="K15" s="69">
        <v>0</v>
      </c>
      <c r="L15" s="69">
        <v>0</v>
      </c>
      <c r="M15" s="69">
        <v>0</v>
      </c>
      <c r="N15" s="69">
        <v>105</v>
      </c>
      <c r="O15" s="69">
        <v>105</v>
      </c>
      <c r="P15" s="69">
        <v>0</v>
      </c>
      <c r="Q15" s="69">
        <v>0</v>
      </c>
      <c r="R15" s="69">
        <v>0</v>
      </c>
      <c r="S15" s="69">
        <v>0</v>
      </c>
      <c r="T15" s="69">
        <v>0</v>
      </c>
      <c r="U15" s="69">
        <v>0</v>
      </c>
      <c r="V15" s="69">
        <v>105</v>
      </c>
      <c r="W15" s="69">
        <v>0</v>
      </c>
      <c r="X15" s="69">
        <v>0</v>
      </c>
      <c r="Y15" s="69">
        <v>70</v>
      </c>
      <c r="Z15" s="69">
        <v>0</v>
      </c>
      <c r="AA15" s="69">
        <v>0</v>
      </c>
      <c r="AB15" s="69">
        <v>70</v>
      </c>
      <c r="AC15" s="69">
        <v>70</v>
      </c>
      <c r="AD15" s="69">
        <v>0</v>
      </c>
      <c r="AE15" s="69">
        <v>0</v>
      </c>
      <c r="AF15" s="69">
        <v>0</v>
      </c>
      <c r="AG15" s="56">
        <f t="shared" si="16"/>
        <v>875</v>
      </c>
      <c r="AH15" s="67">
        <f t="shared" si="17"/>
        <v>28.225806451612904</v>
      </c>
      <c r="AI15" s="68">
        <f t="shared" si="18"/>
        <v>0.20664328645482763</v>
      </c>
      <c r="AJ15" s="14"/>
      <c r="AK15" s="14"/>
      <c r="AS15" s="14"/>
      <c r="AT15" s="14"/>
      <c r="AU15" s="14"/>
      <c r="AV15" s="14"/>
      <c r="AW15" s="14"/>
      <c r="AX15" s="14"/>
      <c r="AY15" s="14"/>
      <c r="AZ15" s="14"/>
      <c r="BA15" s="14"/>
      <c r="BB15" s="14"/>
      <c r="BC15" s="14"/>
      <c r="BD15" s="14"/>
      <c r="BE15" s="14"/>
      <c r="BF15" s="14"/>
      <c r="BG15" s="14"/>
    </row>
    <row r="16" spans="1:59" ht="15.75" customHeight="1" x14ac:dyDescent="0.2">
      <c r="A16" s="4" t="s">
        <v>175</v>
      </c>
      <c r="B16" s="69">
        <v>150</v>
      </c>
      <c r="C16" s="69">
        <v>150</v>
      </c>
      <c r="D16" s="69">
        <v>0</v>
      </c>
      <c r="E16" s="69">
        <v>150</v>
      </c>
      <c r="F16" s="69">
        <v>150</v>
      </c>
      <c r="G16" s="69">
        <v>170</v>
      </c>
      <c r="H16" s="69">
        <v>170</v>
      </c>
      <c r="I16" s="69">
        <v>170</v>
      </c>
      <c r="J16" s="69">
        <v>170</v>
      </c>
      <c r="K16" s="69">
        <v>170</v>
      </c>
      <c r="L16" s="69">
        <v>170</v>
      </c>
      <c r="M16" s="69">
        <v>170</v>
      </c>
      <c r="N16" s="69">
        <v>0</v>
      </c>
      <c r="O16" s="69">
        <v>180</v>
      </c>
      <c r="P16" s="69">
        <v>180</v>
      </c>
      <c r="Q16" s="69">
        <v>0</v>
      </c>
      <c r="R16" s="69">
        <v>180</v>
      </c>
      <c r="S16" s="69">
        <v>180</v>
      </c>
      <c r="T16" s="69">
        <v>0</v>
      </c>
      <c r="U16" s="69">
        <v>180</v>
      </c>
      <c r="V16" s="69">
        <v>180</v>
      </c>
      <c r="W16" s="69">
        <v>0</v>
      </c>
      <c r="X16" s="69">
        <v>180</v>
      </c>
      <c r="Y16" s="69">
        <v>180</v>
      </c>
      <c r="Z16" s="69">
        <v>190</v>
      </c>
      <c r="AA16" s="69">
        <v>180</v>
      </c>
      <c r="AB16" s="69">
        <v>0</v>
      </c>
      <c r="AC16" s="69">
        <v>180</v>
      </c>
      <c r="AD16" s="69">
        <v>180</v>
      </c>
      <c r="AE16" s="69">
        <v>0</v>
      </c>
      <c r="AF16" s="69">
        <v>180</v>
      </c>
      <c r="AG16" s="56">
        <f t="shared" si="16"/>
        <v>3960</v>
      </c>
      <c r="AH16" s="67">
        <f t="shared" si="17"/>
        <v>133.54838709677421</v>
      </c>
      <c r="AI16" s="68">
        <f t="shared" si="18"/>
        <v>0.97771794962627034</v>
      </c>
      <c r="AJ16" s="14"/>
      <c r="AK16" s="14"/>
      <c r="AS16" s="14"/>
      <c r="AT16" s="14"/>
      <c r="AU16" s="14"/>
      <c r="AV16" s="14"/>
      <c r="AW16" s="14"/>
      <c r="AX16" s="14"/>
      <c r="AY16" s="14"/>
      <c r="AZ16" s="14"/>
      <c r="BA16" s="14"/>
      <c r="BB16" s="14"/>
      <c r="BC16" s="14"/>
      <c r="BD16" s="14"/>
      <c r="BE16" s="14"/>
      <c r="BF16" s="14"/>
      <c r="BG16" s="14"/>
    </row>
    <row r="17" spans="1:59" ht="15.75" customHeight="1" x14ac:dyDescent="0.2">
      <c r="A17" s="4" t="s">
        <v>176</v>
      </c>
      <c r="B17" s="69">
        <v>200</v>
      </c>
      <c r="C17" s="69">
        <v>0</v>
      </c>
      <c r="D17" s="69">
        <v>0</v>
      </c>
      <c r="E17" s="69">
        <f>80+100</f>
        <v>180</v>
      </c>
      <c r="F17" s="69">
        <v>65</v>
      </c>
      <c r="G17" s="69">
        <f>200+30+35+1000</f>
        <v>1265</v>
      </c>
      <c r="H17" s="69">
        <v>78</v>
      </c>
      <c r="I17" s="69">
        <v>0</v>
      </c>
      <c r="J17" s="69">
        <v>80</v>
      </c>
      <c r="K17" s="69">
        <v>0</v>
      </c>
      <c r="L17" s="69">
        <f>200+90</f>
        <v>290</v>
      </c>
      <c r="M17" s="69">
        <v>640</v>
      </c>
      <c r="N17" s="69">
        <f>89+90</f>
        <v>179</v>
      </c>
      <c r="O17" s="69">
        <v>0</v>
      </c>
      <c r="P17" s="69">
        <v>89</v>
      </c>
      <c r="Q17" s="69">
        <v>90</v>
      </c>
      <c r="R17" s="69">
        <v>200</v>
      </c>
      <c r="S17" s="69">
        <f>49+89</f>
        <v>138</v>
      </c>
      <c r="T17" s="69">
        <v>0</v>
      </c>
      <c r="U17" s="69">
        <v>0</v>
      </c>
      <c r="V17" s="69">
        <f>89+65</f>
        <v>154</v>
      </c>
      <c r="W17" s="69">
        <v>0</v>
      </c>
      <c r="X17" s="69">
        <f>200+89</f>
        <v>289</v>
      </c>
      <c r="Y17" s="69">
        <v>210</v>
      </c>
      <c r="Z17" s="69">
        <v>89</v>
      </c>
      <c r="AA17" s="69">
        <v>300</v>
      </c>
      <c r="AB17" s="69">
        <v>200</v>
      </c>
      <c r="AC17" s="69">
        <f>89+170+300</f>
        <v>559</v>
      </c>
      <c r="AD17" s="69">
        <v>165</v>
      </c>
      <c r="AE17" s="69">
        <f>89+65</f>
        <v>154</v>
      </c>
      <c r="AF17" s="69">
        <f>50+210+65+80</f>
        <v>405</v>
      </c>
      <c r="AG17" s="56">
        <f t="shared" si="16"/>
        <v>5460</v>
      </c>
      <c r="AH17" s="67">
        <f t="shared" si="17"/>
        <v>194.16129032258064</v>
      </c>
      <c r="AI17" s="68">
        <f t="shared" si="18"/>
        <v>1.421469647053266</v>
      </c>
      <c r="AJ17" s="14" t="s">
        <v>127</v>
      </c>
      <c r="AK17" s="14"/>
      <c r="AS17" s="14"/>
      <c r="AT17" s="14"/>
      <c r="AU17" s="14"/>
      <c r="AV17" s="14"/>
      <c r="AW17" s="14"/>
      <c r="AX17" s="14"/>
      <c r="AY17" s="14"/>
      <c r="AZ17" s="14"/>
      <c r="BA17" s="14"/>
      <c r="BB17" s="14"/>
      <c r="BC17" s="14"/>
      <c r="BD17" s="14"/>
      <c r="BE17" s="14"/>
      <c r="BF17" s="14"/>
      <c r="BG17" s="14"/>
    </row>
    <row r="18" spans="1:59" ht="15.75" customHeight="1" x14ac:dyDescent="0.2">
      <c r="A18" s="4" t="s">
        <v>177</v>
      </c>
      <c r="B18" s="69">
        <v>100</v>
      </c>
      <c r="C18" s="69">
        <v>0</v>
      </c>
      <c r="D18" s="69">
        <v>0</v>
      </c>
      <c r="E18" s="69">
        <v>168</v>
      </c>
      <c r="F18" s="69">
        <v>0</v>
      </c>
      <c r="G18" s="69">
        <v>0</v>
      </c>
      <c r="H18" s="69">
        <v>240</v>
      </c>
      <c r="I18" s="69">
        <v>160</v>
      </c>
      <c r="J18" s="69">
        <v>0</v>
      </c>
      <c r="K18" s="69">
        <v>70</v>
      </c>
      <c r="L18" s="69">
        <v>0</v>
      </c>
      <c r="M18" s="69">
        <v>0</v>
      </c>
      <c r="N18" s="69">
        <v>100</v>
      </c>
      <c r="O18" s="69">
        <v>70</v>
      </c>
      <c r="P18" s="69">
        <v>0</v>
      </c>
      <c r="Q18" s="69">
        <v>500</v>
      </c>
      <c r="R18" s="69">
        <v>0</v>
      </c>
      <c r="S18" s="69">
        <v>410</v>
      </c>
      <c r="T18" s="69">
        <v>0</v>
      </c>
      <c r="U18" s="69">
        <v>0</v>
      </c>
      <c r="V18" s="69">
        <v>0</v>
      </c>
      <c r="W18" s="69">
        <v>100</v>
      </c>
      <c r="X18" s="69">
        <v>570</v>
      </c>
      <c r="Y18" s="69">
        <v>0</v>
      </c>
      <c r="Z18" s="69">
        <v>0</v>
      </c>
      <c r="AA18" s="69">
        <v>100</v>
      </c>
      <c r="AB18" s="69">
        <v>0</v>
      </c>
      <c r="AC18" s="69">
        <v>70</v>
      </c>
      <c r="AD18" s="69">
        <v>80</v>
      </c>
      <c r="AE18" s="69">
        <v>0</v>
      </c>
      <c r="AF18" s="69">
        <v>180</v>
      </c>
      <c r="AG18" s="56">
        <f t="shared" si="16"/>
        <v>2738</v>
      </c>
      <c r="AH18" s="67">
        <f t="shared" si="17"/>
        <v>94.129032258064512</v>
      </c>
      <c r="AI18" s="68">
        <f t="shared" si="18"/>
        <v>0.68912583985735665</v>
      </c>
      <c r="AJ18" s="14"/>
      <c r="AK18" s="14"/>
      <c r="AS18" s="14"/>
      <c r="AT18" s="14"/>
      <c r="AU18" s="14"/>
      <c r="AV18" s="14"/>
      <c r="AW18" s="14"/>
      <c r="AX18" s="14"/>
      <c r="AY18" s="14"/>
      <c r="AZ18" s="14"/>
      <c r="BA18" s="14"/>
      <c r="BB18" s="14"/>
      <c r="BC18" s="14"/>
      <c r="BD18" s="14"/>
      <c r="BE18" s="14"/>
      <c r="BF18" s="14"/>
      <c r="BG18" s="14"/>
    </row>
    <row r="19" spans="1:59"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1"/>
      <c r="AH19" s="71"/>
      <c r="AI19" s="72"/>
      <c r="AJ19" s="14"/>
      <c r="AK19" s="14"/>
      <c r="AS19" s="14"/>
      <c r="AT19" s="14"/>
      <c r="AU19" s="14"/>
      <c r="AV19" s="14"/>
      <c r="AW19" s="14"/>
      <c r="AX19" s="14"/>
      <c r="AY19" s="14"/>
      <c r="AZ19" s="14"/>
      <c r="BA19" s="14"/>
      <c r="BB19" s="14"/>
      <c r="BC19" s="14"/>
      <c r="BD19" s="14"/>
      <c r="BE19" s="14"/>
      <c r="BF19" s="14"/>
      <c r="BG19" s="14"/>
    </row>
    <row r="20" spans="1:59" ht="15.75" customHeight="1" x14ac:dyDescent="0.2">
      <c r="A20" s="4" t="s">
        <v>179</v>
      </c>
      <c r="B20" s="69">
        <f t="shared" ref="B20:S20" si="19">$B$53/$B$59</f>
        <v>766.66666666666663</v>
      </c>
      <c r="C20" s="69">
        <f t="shared" si="19"/>
        <v>766.66666666666663</v>
      </c>
      <c r="D20" s="69">
        <f t="shared" si="19"/>
        <v>766.66666666666663</v>
      </c>
      <c r="E20" s="69">
        <f t="shared" si="19"/>
        <v>766.66666666666663</v>
      </c>
      <c r="F20" s="69">
        <f t="shared" si="19"/>
        <v>766.66666666666663</v>
      </c>
      <c r="G20" s="69">
        <f t="shared" si="19"/>
        <v>766.66666666666663</v>
      </c>
      <c r="H20" s="69">
        <f t="shared" si="19"/>
        <v>766.66666666666663</v>
      </c>
      <c r="I20" s="69">
        <f t="shared" si="19"/>
        <v>766.66666666666663</v>
      </c>
      <c r="J20" s="69">
        <f t="shared" si="19"/>
        <v>766.66666666666663</v>
      </c>
      <c r="K20" s="69">
        <f t="shared" si="19"/>
        <v>766.66666666666663</v>
      </c>
      <c r="L20" s="69">
        <f t="shared" si="19"/>
        <v>766.66666666666663</v>
      </c>
      <c r="M20" s="69">
        <f t="shared" si="19"/>
        <v>766.66666666666663</v>
      </c>
      <c r="N20" s="69">
        <f t="shared" si="19"/>
        <v>766.66666666666663</v>
      </c>
      <c r="O20" s="69">
        <f t="shared" si="19"/>
        <v>766.66666666666663</v>
      </c>
      <c r="P20" s="69">
        <f t="shared" si="19"/>
        <v>766.66666666666663</v>
      </c>
      <c r="Q20" s="69">
        <f t="shared" si="19"/>
        <v>766.66666666666663</v>
      </c>
      <c r="R20" s="69">
        <f t="shared" si="19"/>
        <v>766.66666666666663</v>
      </c>
      <c r="S20" s="69">
        <f t="shared" si="19"/>
        <v>766.66666666666663</v>
      </c>
      <c r="T20" s="69">
        <v>0</v>
      </c>
      <c r="U20" s="69">
        <f t="shared" ref="U20:AF20" si="20">$B$53/$B$59</f>
        <v>766.66666666666663</v>
      </c>
      <c r="V20" s="69">
        <f t="shared" si="20"/>
        <v>766.66666666666663</v>
      </c>
      <c r="W20" s="69">
        <f t="shared" si="20"/>
        <v>766.66666666666663</v>
      </c>
      <c r="X20" s="69">
        <f t="shared" si="20"/>
        <v>766.66666666666663</v>
      </c>
      <c r="Y20" s="69">
        <f t="shared" si="20"/>
        <v>766.66666666666663</v>
      </c>
      <c r="Z20" s="69">
        <f t="shared" si="20"/>
        <v>766.66666666666663</v>
      </c>
      <c r="AA20" s="69">
        <f t="shared" si="20"/>
        <v>766.66666666666663</v>
      </c>
      <c r="AB20" s="69">
        <f t="shared" si="20"/>
        <v>766.66666666666663</v>
      </c>
      <c r="AC20" s="69">
        <f t="shared" si="20"/>
        <v>766.66666666666663</v>
      </c>
      <c r="AD20" s="69">
        <f t="shared" si="20"/>
        <v>766.66666666666663</v>
      </c>
      <c r="AE20" s="69">
        <f t="shared" si="20"/>
        <v>766.66666666666663</v>
      </c>
      <c r="AF20" s="69">
        <f t="shared" si="20"/>
        <v>766.66666666666663</v>
      </c>
      <c r="AG20" s="56">
        <f t="shared" ref="AG20:AG22" si="21">SUM(B20:AF20)</f>
        <v>23000.000000000004</v>
      </c>
      <c r="AH20" s="67">
        <f t="shared" ref="AH20:AH22" si="22">IFERROR(AVERAGE(B20:AF20),0)</f>
        <v>741.93548387096791</v>
      </c>
      <c r="AI20" s="68">
        <f t="shared" ref="AI20:AI22" si="23">(AH20/$AH$29)*100</f>
        <v>5.4317663868126136</v>
      </c>
      <c r="AJ20" s="14"/>
      <c r="AK20" s="14"/>
      <c r="AS20" s="14"/>
      <c r="AT20" s="14"/>
      <c r="AU20" s="14"/>
      <c r="AV20" s="14"/>
      <c r="AW20" s="14"/>
      <c r="AX20" s="14"/>
      <c r="AY20" s="14"/>
      <c r="AZ20" s="14"/>
      <c r="BA20" s="14"/>
      <c r="BB20" s="14"/>
      <c r="BC20" s="14"/>
      <c r="BD20" s="14"/>
      <c r="BE20" s="14"/>
      <c r="BF20" s="14"/>
      <c r="BG20" s="14"/>
    </row>
    <row r="21" spans="1:59" ht="15.75" customHeight="1" x14ac:dyDescent="0.2">
      <c r="A21" s="4" t="s">
        <v>180</v>
      </c>
      <c r="B21" s="69">
        <f t="shared" ref="B21:S21" si="24">$B$54/$B$59</f>
        <v>83.333333333333329</v>
      </c>
      <c r="C21" s="69">
        <f t="shared" si="24"/>
        <v>83.333333333333329</v>
      </c>
      <c r="D21" s="69">
        <f t="shared" si="24"/>
        <v>83.333333333333329</v>
      </c>
      <c r="E21" s="69">
        <f t="shared" si="24"/>
        <v>83.333333333333329</v>
      </c>
      <c r="F21" s="69">
        <f t="shared" si="24"/>
        <v>83.333333333333329</v>
      </c>
      <c r="G21" s="69">
        <f t="shared" si="24"/>
        <v>83.333333333333329</v>
      </c>
      <c r="H21" s="69">
        <f t="shared" si="24"/>
        <v>83.333333333333329</v>
      </c>
      <c r="I21" s="69">
        <f t="shared" si="24"/>
        <v>83.333333333333329</v>
      </c>
      <c r="J21" s="69">
        <f t="shared" si="24"/>
        <v>83.333333333333329</v>
      </c>
      <c r="K21" s="69">
        <f t="shared" si="24"/>
        <v>83.333333333333329</v>
      </c>
      <c r="L21" s="69">
        <f t="shared" si="24"/>
        <v>83.333333333333329</v>
      </c>
      <c r="M21" s="69">
        <f t="shared" si="24"/>
        <v>83.333333333333329</v>
      </c>
      <c r="N21" s="69">
        <f t="shared" si="24"/>
        <v>83.333333333333329</v>
      </c>
      <c r="O21" s="69">
        <f t="shared" si="24"/>
        <v>83.333333333333329</v>
      </c>
      <c r="P21" s="69">
        <f t="shared" si="24"/>
        <v>83.333333333333329</v>
      </c>
      <c r="Q21" s="69">
        <f t="shared" si="24"/>
        <v>83.333333333333329</v>
      </c>
      <c r="R21" s="69">
        <f t="shared" si="24"/>
        <v>83.333333333333329</v>
      </c>
      <c r="S21" s="69">
        <f t="shared" si="24"/>
        <v>83.333333333333329</v>
      </c>
      <c r="T21" s="69">
        <v>0</v>
      </c>
      <c r="U21" s="69">
        <f t="shared" ref="U21:AF21" si="25">$B$54/$B$59</f>
        <v>83.333333333333329</v>
      </c>
      <c r="V21" s="69">
        <f t="shared" si="25"/>
        <v>83.333333333333329</v>
      </c>
      <c r="W21" s="69">
        <f t="shared" si="25"/>
        <v>83.333333333333329</v>
      </c>
      <c r="X21" s="69">
        <f t="shared" si="25"/>
        <v>83.333333333333329</v>
      </c>
      <c r="Y21" s="69">
        <f t="shared" si="25"/>
        <v>83.333333333333329</v>
      </c>
      <c r="Z21" s="69">
        <f t="shared" si="25"/>
        <v>83.333333333333329</v>
      </c>
      <c r="AA21" s="69">
        <f t="shared" si="25"/>
        <v>83.333333333333329</v>
      </c>
      <c r="AB21" s="69">
        <f t="shared" si="25"/>
        <v>83.333333333333329</v>
      </c>
      <c r="AC21" s="69">
        <f t="shared" si="25"/>
        <v>83.333333333333329</v>
      </c>
      <c r="AD21" s="69">
        <f t="shared" si="25"/>
        <v>83.333333333333329</v>
      </c>
      <c r="AE21" s="69">
        <f t="shared" si="25"/>
        <v>83.333333333333329</v>
      </c>
      <c r="AF21" s="69">
        <f t="shared" si="25"/>
        <v>83.333333333333329</v>
      </c>
      <c r="AG21" s="56">
        <f t="shared" si="21"/>
        <v>2500</v>
      </c>
      <c r="AH21" s="67">
        <f t="shared" si="22"/>
        <v>80.645161290322577</v>
      </c>
      <c r="AI21" s="68">
        <f t="shared" si="23"/>
        <v>0.59040938987093616</v>
      </c>
      <c r="AJ21" s="14"/>
      <c r="AK21" s="14"/>
      <c r="AS21" s="14"/>
      <c r="AT21" s="14"/>
      <c r="AU21" s="14"/>
      <c r="AV21" s="14"/>
      <c r="AW21" s="14"/>
      <c r="AX21" s="14"/>
      <c r="AY21" s="14"/>
      <c r="AZ21" s="14"/>
      <c r="BA21" s="14"/>
      <c r="BB21" s="14"/>
      <c r="BC21" s="14"/>
      <c r="BD21" s="14"/>
      <c r="BE21" s="14"/>
      <c r="BF21" s="14"/>
      <c r="BG21" s="14"/>
    </row>
    <row r="22" spans="1:59" ht="15.75" customHeight="1" x14ac:dyDescent="0.2">
      <c r="A22" s="4" t="s">
        <v>181</v>
      </c>
      <c r="B22" s="69">
        <f t="shared" ref="B22:S22" si="26">$B$55/$B$59</f>
        <v>0</v>
      </c>
      <c r="C22" s="69">
        <f t="shared" si="26"/>
        <v>0</v>
      </c>
      <c r="D22" s="69">
        <f t="shared" si="26"/>
        <v>0</v>
      </c>
      <c r="E22" s="69">
        <f t="shared" si="26"/>
        <v>0</v>
      </c>
      <c r="F22" s="69">
        <f t="shared" si="26"/>
        <v>0</v>
      </c>
      <c r="G22" s="69">
        <f t="shared" si="26"/>
        <v>0</v>
      </c>
      <c r="H22" s="69">
        <f t="shared" si="26"/>
        <v>0</v>
      </c>
      <c r="I22" s="69">
        <f t="shared" si="26"/>
        <v>0</v>
      </c>
      <c r="J22" s="69">
        <f t="shared" si="26"/>
        <v>0</v>
      </c>
      <c r="K22" s="69">
        <f t="shared" si="26"/>
        <v>0</v>
      </c>
      <c r="L22" s="69">
        <f t="shared" si="26"/>
        <v>0</v>
      </c>
      <c r="M22" s="69">
        <f t="shared" si="26"/>
        <v>0</v>
      </c>
      <c r="N22" s="69">
        <f t="shared" si="26"/>
        <v>0</v>
      </c>
      <c r="O22" s="69">
        <f t="shared" si="26"/>
        <v>0</v>
      </c>
      <c r="P22" s="69">
        <f t="shared" si="26"/>
        <v>0</v>
      </c>
      <c r="Q22" s="69">
        <f t="shared" si="26"/>
        <v>0</v>
      </c>
      <c r="R22" s="69">
        <f t="shared" si="26"/>
        <v>0</v>
      </c>
      <c r="S22" s="69">
        <f t="shared" si="26"/>
        <v>0</v>
      </c>
      <c r="T22" s="69">
        <v>0</v>
      </c>
      <c r="U22" s="69">
        <f t="shared" ref="U22:AF22" si="27">$B$55/$B$59</f>
        <v>0</v>
      </c>
      <c r="V22" s="69">
        <f t="shared" si="27"/>
        <v>0</v>
      </c>
      <c r="W22" s="69">
        <f t="shared" si="27"/>
        <v>0</v>
      </c>
      <c r="X22" s="69">
        <f t="shared" si="27"/>
        <v>0</v>
      </c>
      <c r="Y22" s="69">
        <f t="shared" si="27"/>
        <v>0</v>
      </c>
      <c r="Z22" s="69">
        <f t="shared" si="27"/>
        <v>0</v>
      </c>
      <c r="AA22" s="69">
        <f t="shared" si="27"/>
        <v>0</v>
      </c>
      <c r="AB22" s="69">
        <f t="shared" si="27"/>
        <v>0</v>
      </c>
      <c r="AC22" s="69">
        <f t="shared" si="27"/>
        <v>0</v>
      </c>
      <c r="AD22" s="69">
        <f t="shared" si="27"/>
        <v>0</v>
      </c>
      <c r="AE22" s="69">
        <f t="shared" si="27"/>
        <v>0</v>
      </c>
      <c r="AF22" s="69">
        <f t="shared" si="27"/>
        <v>0</v>
      </c>
      <c r="AG22" s="56">
        <f t="shared" si="21"/>
        <v>0</v>
      </c>
      <c r="AH22" s="67">
        <f t="shared" si="22"/>
        <v>0</v>
      </c>
      <c r="AI22" s="68">
        <f t="shared" si="23"/>
        <v>0</v>
      </c>
      <c r="AJ22" s="14"/>
      <c r="AK22" s="14"/>
      <c r="AS22" s="14"/>
      <c r="AT22" s="14"/>
      <c r="AU22" s="14"/>
      <c r="AV22" s="14"/>
      <c r="AW22" s="14"/>
      <c r="AX22" s="14"/>
      <c r="AY22" s="14"/>
      <c r="AZ22" s="14"/>
      <c r="BA22" s="14"/>
      <c r="BB22" s="14"/>
      <c r="BC22" s="14"/>
      <c r="BD22" s="14"/>
      <c r="BE22" s="14"/>
      <c r="BF22" s="14"/>
      <c r="BG22" s="14"/>
    </row>
    <row r="23" spans="1:59"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1"/>
      <c r="AH23" s="71"/>
      <c r="AI23" s="72"/>
      <c r="AJ23" s="14"/>
      <c r="AK23" s="14"/>
      <c r="AS23" s="14"/>
      <c r="AT23" s="14"/>
      <c r="AU23" s="14"/>
      <c r="AV23" s="14"/>
      <c r="AW23" s="14"/>
      <c r="AX23" s="14"/>
      <c r="AY23" s="14"/>
      <c r="AZ23" s="14"/>
      <c r="BA23" s="14"/>
      <c r="BB23" s="14"/>
      <c r="BC23" s="14"/>
      <c r="BD23" s="14"/>
      <c r="BE23" s="14"/>
      <c r="BF23" s="14"/>
      <c r="BG23" s="14"/>
    </row>
    <row r="24" spans="1:59" ht="15.75" customHeight="1" x14ac:dyDescent="0.2">
      <c r="A24" s="4" t="s">
        <v>183</v>
      </c>
      <c r="B24" s="69">
        <v>0</v>
      </c>
      <c r="C24" s="69">
        <v>0</v>
      </c>
      <c r="D24" s="69">
        <v>0</v>
      </c>
      <c r="E24" s="69">
        <v>0</v>
      </c>
      <c r="F24" s="69">
        <v>0</v>
      </c>
      <c r="G24" s="69">
        <v>0</v>
      </c>
      <c r="H24" s="69">
        <v>0</v>
      </c>
      <c r="I24" s="69">
        <v>95</v>
      </c>
      <c r="J24" s="69">
        <v>0</v>
      </c>
      <c r="K24" s="69">
        <v>0</v>
      </c>
      <c r="L24" s="69">
        <v>0</v>
      </c>
      <c r="M24" s="69">
        <v>0</v>
      </c>
      <c r="N24" s="69">
        <v>0</v>
      </c>
      <c r="O24" s="69">
        <v>560</v>
      </c>
      <c r="P24" s="69">
        <v>0</v>
      </c>
      <c r="Q24" s="69">
        <v>0</v>
      </c>
      <c r="R24" s="69">
        <v>0</v>
      </c>
      <c r="S24" s="69">
        <v>0</v>
      </c>
      <c r="T24" s="69">
        <v>0</v>
      </c>
      <c r="U24" s="69">
        <v>0</v>
      </c>
      <c r="V24" s="69">
        <v>0</v>
      </c>
      <c r="W24" s="69">
        <v>90</v>
      </c>
      <c r="X24" s="69">
        <v>0</v>
      </c>
      <c r="Y24" s="69">
        <v>0</v>
      </c>
      <c r="Z24" s="69">
        <v>0</v>
      </c>
      <c r="AA24" s="69">
        <v>0</v>
      </c>
      <c r="AB24" s="69">
        <v>0</v>
      </c>
      <c r="AC24" s="69">
        <v>0</v>
      </c>
      <c r="AD24" s="69">
        <v>0</v>
      </c>
      <c r="AE24" s="69">
        <v>0</v>
      </c>
      <c r="AF24" s="69">
        <v>0</v>
      </c>
      <c r="AG24" s="56">
        <f t="shared" ref="AG24:AG32" si="28">SUM(B24:AF24)</f>
        <v>745</v>
      </c>
      <c r="AH24" s="67">
        <f t="shared" ref="AH24:AH28" si="29">IFERROR(AVERAGE(B24:AF24),0)</f>
        <v>24.032258064516128</v>
      </c>
      <c r="AI24" s="68">
        <f t="shared" ref="AI24:AI29" si="30">(AH24/$AH$29)*100</f>
        <v>0.17594199818153897</v>
      </c>
      <c r="AJ24" s="14"/>
      <c r="AK24" s="14"/>
      <c r="AS24" s="14"/>
      <c r="AT24" s="14"/>
      <c r="AU24" s="14"/>
      <c r="AV24" s="14"/>
      <c r="AW24" s="14"/>
      <c r="AX24" s="14"/>
      <c r="AY24" s="14"/>
      <c r="AZ24" s="14"/>
      <c r="BA24" s="14"/>
      <c r="BB24" s="14"/>
      <c r="BC24" s="14"/>
      <c r="BD24" s="14"/>
      <c r="BE24" s="14"/>
      <c r="BF24" s="14"/>
      <c r="BG24" s="14"/>
    </row>
    <row r="25" spans="1:59" ht="15.75" customHeight="1" x14ac:dyDescent="0.2">
      <c r="A25" s="4" t="s">
        <v>184</v>
      </c>
      <c r="B25" s="69">
        <v>0</v>
      </c>
      <c r="C25" s="69">
        <v>0</v>
      </c>
      <c r="D25" s="69">
        <v>0</v>
      </c>
      <c r="E25" s="69">
        <v>800</v>
      </c>
      <c r="F25" s="69">
        <v>0</v>
      </c>
      <c r="G25" s="69">
        <v>0</v>
      </c>
      <c r="H25" s="69">
        <v>0</v>
      </c>
      <c r="I25" s="69">
        <v>0</v>
      </c>
      <c r="J25" s="69">
        <v>0</v>
      </c>
      <c r="K25" s="69">
        <v>0</v>
      </c>
      <c r="L25" s="69">
        <v>800</v>
      </c>
      <c r="M25" s="69">
        <v>0</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69">
        <v>0</v>
      </c>
      <c r="AG25" s="56">
        <f t="shared" si="28"/>
        <v>1600</v>
      </c>
      <c r="AH25" s="67">
        <f t="shared" si="29"/>
        <v>51.612903225806448</v>
      </c>
      <c r="AI25" s="68">
        <f t="shared" si="30"/>
        <v>0.37786200951739912</v>
      </c>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row>
    <row r="26" spans="1:59" ht="15.75" customHeight="1" x14ac:dyDescent="0.2">
      <c r="A26" s="4" t="s">
        <v>185</v>
      </c>
      <c r="B26" s="69">
        <v>80</v>
      </c>
      <c r="C26" s="69">
        <f>250+80</f>
        <v>330</v>
      </c>
      <c r="D26" s="69">
        <v>0</v>
      </c>
      <c r="E26" s="69">
        <v>0</v>
      </c>
      <c r="F26" s="69">
        <v>0</v>
      </c>
      <c r="G26" s="69">
        <v>0</v>
      </c>
      <c r="H26" s="69">
        <v>0</v>
      </c>
      <c r="I26" s="69">
        <v>0</v>
      </c>
      <c r="J26" s="69">
        <v>280</v>
      </c>
      <c r="K26" s="69">
        <v>600</v>
      </c>
      <c r="L26" s="69">
        <v>0</v>
      </c>
      <c r="M26" s="69" t="s">
        <v>206</v>
      </c>
      <c r="N26" s="69">
        <v>0</v>
      </c>
      <c r="O26" s="69">
        <v>0</v>
      </c>
      <c r="P26" s="69">
        <v>270</v>
      </c>
      <c r="Q26" s="69">
        <v>220</v>
      </c>
      <c r="R26" s="69">
        <v>0</v>
      </c>
      <c r="S26" s="69">
        <v>0</v>
      </c>
      <c r="T26" s="69">
        <v>0</v>
      </c>
      <c r="U26" s="69">
        <v>0</v>
      </c>
      <c r="V26" s="69">
        <v>0</v>
      </c>
      <c r="W26" s="69">
        <v>0</v>
      </c>
      <c r="X26" s="69">
        <v>210</v>
      </c>
      <c r="Y26" s="69">
        <v>280</v>
      </c>
      <c r="Z26" s="69">
        <v>0</v>
      </c>
      <c r="AA26" s="69">
        <v>0</v>
      </c>
      <c r="AB26" s="69">
        <v>0</v>
      </c>
      <c r="AC26" s="69">
        <v>0</v>
      </c>
      <c r="AD26" s="69">
        <v>0</v>
      </c>
      <c r="AE26" s="69">
        <v>0</v>
      </c>
      <c r="AF26" s="69">
        <v>0</v>
      </c>
      <c r="AG26" s="56">
        <f t="shared" si="28"/>
        <v>2270</v>
      </c>
      <c r="AH26" s="67">
        <f t="shared" si="29"/>
        <v>75.666666666666671</v>
      </c>
      <c r="AI26" s="68">
        <f t="shared" si="30"/>
        <v>0.55396145020290377</v>
      </c>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row>
    <row r="27" spans="1:59" ht="15.75" customHeight="1" x14ac:dyDescent="0.2">
      <c r="A27" s="4" t="s">
        <v>186</v>
      </c>
      <c r="B27" s="69">
        <v>0</v>
      </c>
      <c r="C27" s="69">
        <v>0</v>
      </c>
      <c r="D27" s="69">
        <v>0</v>
      </c>
      <c r="E27" s="69">
        <v>0</v>
      </c>
      <c r="F27" s="69">
        <v>0</v>
      </c>
      <c r="G27" s="69">
        <v>0</v>
      </c>
      <c r="H27" s="69">
        <v>400</v>
      </c>
      <c r="I27" s="69">
        <v>0</v>
      </c>
      <c r="J27" s="69">
        <v>0</v>
      </c>
      <c r="K27" s="69">
        <v>0</v>
      </c>
      <c r="L27" s="69">
        <v>0</v>
      </c>
      <c r="M27" s="69">
        <v>0</v>
      </c>
      <c r="N27" s="69">
        <v>0</v>
      </c>
      <c r="O27" s="69">
        <v>0</v>
      </c>
      <c r="P27" s="69">
        <v>0</v>
      </c>
      <c r="Q27" s="69">
        <v>0</v>
      </c>
      <c r="R27" s="69">
        <v>0</v>
      </c>
      <c r="S27" s="69">
        <v>0</v>
      </c>
      <c r="T27" s="69">
        <v>0</v>
      </c>
      <c r="U27" s="69">
        <v>0</v>
      </c>
      <c r="V27" s="69">
        <v>0</v>
      </c>
      <c r="W27" s="69">
        <v>0</v>
      </c>
      <c r="X27" s="69">
        <v>0</v>
      </c>
      <c r="Y27" s="69">
        <v>0</v>
      </c>
      <c r="Z27" s="69">
        <v>0</v>
      </c>
      <c r="AA27" s="69">
        <v>0</v>
      </c>
      <c r="AB27" s="69">
        <v>1000</v>
      </c>
      <c r="AC27" s="69">
        <v>0</v>
      </c>
      <c r="AD27" s="69">
        <v>0</v>
      </c>
      <c r="AE27" s="69">
        <v>0</v>
      </c>
      <c r="AF27" s="69">
        <v>0</v>
      </c>
      <c r="AG27" s="56">
        <f t="shared" si="28"/>
        <v>1400</v>
      </c>
      <c r="AH27" s="67">
        <f t="shared" si="29"/>
        <v>45.161290322580648</v>
      </c>
      <c r="AI27" s="68">
        <f t="shared" si="30"/>
        <v>0.33062925832772427</v>
      </c>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row>
    <row r="28" spans="1:59"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69">
        <v>0</v>
      </c>
      <c r="AG28" s="56">
        <f t="shared" si="28"/>
        <v>0</v>
      </c>
      <c r="AH28" s="67">
        <f t="shared" si="29"/>
        <v>0</v>
      </c>
      <c r="AI28" s="68">
        <f t="shared" si="30"/>
        <v>0</v>
      </c>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row>
    <row r="29" spans="1:59" ht="15.75" customHeight="1" x14ac:dyDescent="0.2">
      <c r="A29" s="10" t="s">
        <v>0</v>
      </c>
      <c r="B29" s="76">
        <f t="shared" ref="B29:AF29" si="31">SUM(B2:B28)</f>
        <v>13628.633333333333</v>
      </c>
      <c r="C29" s="76">
        <f t="shared" si="31"/>
        <v>13568.633333333333</v>
      </c>
      <c r="D29" s="76">
        <f t="shared" si="31"/>
        <v>13208.633333333333</v>
      </c>
      <c r="E29" s="76">
        <f t="shared" si="31"/>
        <v>14836.633333333333</v>
      </c>
      <c r="F29" s="76">
        <f t="shared" si="31"/>
        <v>13371.633333333333</v>
      </c>
      <c r="G29" s="76">
        <f t="shared" si="31"/>
        <v>13893.633333333333</v>
      </c>
      <c r="H29" s="76">
        <f t="shared" si="31"/>
        <v>15056.633333333333</v>
      </c>
      <c r="I29" s="76">
        <f t="shared" si="31"/>
        <v>14983.633333333333</v>
      </c>
      <c r="J29" s="76">
        <f t="shared" si="31"/>
        <v>14648.633333333333</v>
      </c>
      <c r="K29" s="76">
        <f t="shared" si="31"/>
        <v>15194.633333333333</v>
      </c>
      <c r="L29" s="76">
        <f t="shared" si="31"/>
        <v>15358.633333333333</v>
      </c>
      <c r="M29" s="76">
        <f t="shared" si="31"/>
        <v>15283.633333333333</v>
      </c>
      <c r="N29" s="76">
        <f t="shared" si="31"/>
        <v>13982.633333333333</v>
      </c>
      <c r="O29" s="76">
        <f t="shared" si="31"/>
        <v>13558.633333333333</v>
      </c>
      <c r="P29" s="76">
        <f t="shared" si="31"/>
        <v>13477.633333333333</v>
      </c>
      <c r="Q29" s="76">
        <f t="shared" si="31"/>
        <v>14348.633333333333</v>
      </c>
      <c r="R29" s="76">
        <f t="shared" si="31"/>
        <v>13928.633333333333</v>
      </c>
      <c r="S29" s="76">
        <f t="shared" si="31"/>
        <v>14271.633333333333</v>
      </c>
      <c r="T29" s="76">
        <f t="shared" si="31"/>
        <v>0</v>
      </c>
      <c r="U29" s="76">
        <f t="shared" si="31"/>
        <v>14058.633333333333</v>
      </c>
      <c r="V29" s="76">
        <f t="shared" si="31"/>
        <v>12597.633333333333</v>
      </c>
      <c r="W29" s="76">
        <f t="shared" si="31"/>
        <v>13156.633333333333</v>
      </c>
      <c r="X29" s="76">
        <f t="shared" si="31"/>
        <v>15169.633333333333</v>
      </c>
      <c r="Y29" s="76">
        <f t="shared" si="31"/>
        <v>13823.633333333333</v>
      </c>
      <c r="Z29" s="76">
        <f t="shared" si="31"/>
        <v>14267.633333333333</v>
      </c>
      <c r="AA29" s="76">
        <f t="shared" si="31"/>
        <v>13668.633333333333</v>
      </c>
      <c r="AB29" s="76">
        <f t="shared" si="31"/>
        <v>14868.633333333333</v>
      </c>
      <c r="AC29" s="76">
        <f t="shared" si="31"/>
        <v>13947.633333333333</v>
      </c>
      <c r="AD29" s="76">
        <f t="shared" si="31"/>
        <v>13378.633333333333</v>
      </c>
      <c r="AE29" s="76">
        <f t="shared" si="31"/>
        <v>13462.633333333333</v>
      </c>
      <c r="AF29" s="76">
        <f t="shared" si="31"/>
        <v>14433.633333333333</v>
      </c>
      <c r="AG29" s="28">
        <f t="shared" si="28"/>
        <v>423435.00000000029</v>
      </c>
      <c r="AH29" s="28">
        <f>AVERAGE(B29:AF29)</f>
        <v>13659.193548387106</v>
      </c>
      <c r="AI29" s="77">
        <f t="shared" si="30"/>
        <v>100</v>
      </c>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row>
    <row r="30" spans="1:59" ht="15.75" customHeight="1" x14ac:dyDescent="0.2">
      <c r="A30" s="4" t="s">
        <v>188</v>
      </c>
      <c r="B30" s="69">
        <v>3162</v>
      </c>
      <c r="C30" s="69">
        <v>3851</v>
      </c>
      <c r="D30" s="69">
        <v>4765</v>
      </c>
      <c r="E30" s="69">
        <v>4670</v>
      </c>
      <c r="F30" s="69">
        <v>3310</v>
      </c>
      <c r="G30" s="69">
        <v>6695</v>
      </c>
      <c r="H30" s="69">
        <v>11194</v>
      </c>
      <c r="I30" s="69">
        <v>9035</v>
      </c>
      <c r="J30" s="69">
        <v>10810</v>
      </c>
      <c r="K30" s="69">
        <v>6740</v>
      </c>
      <c r="L30" s="69">
        <v>6230</v>
      </c>
      <c r="M30" s="69">
        <v>5400</v>
      </c>
      <c r="N30" s="69">
        <v>5130</v>
      </c>
      <c r="O30" s="69">
        <v>10800</v>
      </c>
      <c r="P30" s="69">
        <v>2150</v>
      </c>
      <c r="Q30" s="69">
        <v>10255</v>
      </c>
      <c r="R30" s="69">
        <v>6315</v>
      </c>
      <c r="S30" s="69">
        <v>7410</v>
      </c>
      <c r="T30" s="69">
        <v>0</v>
      </c>
      <c r="U30" s="69">
        <v>5525</v>
      </c>
      <c r="V30" s="69">
        <v>3400</v>
      </c>
      <c r="W30" s="69">
        <v>5345</v>
      </c>
      <c r="X30" s="69">
        <v>10055</v>
      </c>
      <c r="Y30" s="69">
        <v>9280</v>
      </c>
      <c r="Z30" s="69">
        <v>7410</v>
      </c>
      <c r="AA30" s="69">
        <v>5700</v>
      </c>
      <c r="AB30" s="69">
        <v>6730</v>
      </c>
      <c r="AC30" s="69">
        <v>4925</v>
      </c>
      <c r="AD30" s="69">
        <v>5015</v>
      </c>
      <c r="AE30" s="69">
        <f>4685+4000</f>
        <v>8685</v>
      </c>
      <c r="AF30" s="69">
        <v>8985</v>
      </c>
      <c r="AG30" s="56">
        <f t="shared" si="28"/>
        <v>198977</v>
      </c>
      <c r="AH30" s="67">
        <f t="shared" ref="AH30:AH32" si="32">IFERROR(AVERAGE(B30:AF30),0)</f>
        <v>6418.6129032258068</v>
      </c>
      <c r="AI30" s="68">
        <f t="shared" ref="AI30:AI31" si="33">IFERROR((AH30/$AH$32)*100,0)</f>
        <v>50.853621758665277</v>
      </c>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row>
    <row r="31" spans="1:59" ht="15.75" customHeight="1" x14ac:dyDescent="0.2">
      <c r="A31" s="4" t="s">
        <v>189</v>
      </c>
      <c r="B31" s="78">
        <f t="shared" ref="B31:AF31" si="34">B32-B30</f>
        <v>12198</v>
      </c>
      <c r="C31" s="78">
        <f t="shared" si="34"/>
        <v>4455</v>
      </c>
      <c r="D31" s="78">
        <f t="shared" si="34"/>
        <v>4530</v>
      </c>
      <c r="E31" s="78">
        <f t="shared" si="34"/>
        <v>8795</v>
      </c>
      <c r="F31" s="78">
        <f t="shared" si="34"/>
        <v>5680</v>
      </c>
      <c r="G31" s="78">
        <f t="shared" si="34"/>
        <v>8355</v>
      </c>
      <c r="H31" s="78">
        <f t="shared" si="34"/>
        <v>7011</v>
      </c>
      <c r="I31" s="78">
        <f t="shared" si="34"/>
        <v>7695</v>
      </c>
      <c r="J31" s="78">
        <f t="shared" si="34"/>
        <v>8155</v>
      </c>
      <c r="K31" s="78">
        <f t="shared" si="34"/>
        <v>5136</v>
      </c>
      <c r="L31" s="78">
        <f t="shared" si="34"/>
        <v>7830</v>
      </c>
      <c r="M31" s="78">
        <f t="shared" si="34"/>
        <v>6925</v>
      </c>
      <c r="N31" s="78">
        <f t="shared" si="34"/>
        <v>4540</v>
      </c>
      <c r="O31" s="78">
        <f t="shared" si="34"/>
        <v>6420</v>
      </c>
      <c r="P31" s="78">
        <f t="shared" si="34"/>
        <v>4095</v>
      </c>
      <c r="Q31" s="78">
        <f t="shared" si="34"/>
        <v>6235</v>
      </c>
      <c r="R31" s="78">
        <f t="shared" si="34"/>
        <v>7300</v>
      </c>
      <c r="S31" s="78">
        <f t="shared" si="34"/>
        <v>6935</v>
      </c>
      <c r="T31" s="78">
        <f t="shared" si="34"/>
        <v>0</v>
      </c>
      <c r="U31" s="78">
        <f t="shared" si="34"/>
        <v>10200</v>
      </c>
      <c r="V31" s="78">
        <f t="shared" si="34"/>
        <v>2315</v>
      </c>
      <c r="W31" s="78">
        <f t="shared" si="34"/>
        <v>5230</v>
      </c>
      <c r="X31" s="78">
        <f t="shared" si="34"/>
        <v>6005</v>
      </c>
      <c r="Y31" s="78">
        <f t="shared" si="34"/>
        <v>3201</v>
      </c>
      <c r="Z31" s="78">
        <f t="shared" si="34"/>
        <v>6550</v>
      </c>
      <c r="AA31" s="78">
        <f t="shared" si="34"/>
        <v>5285</v>
      </c>
      <c r="AB31" s="78">
        <f t="shared" si="34"/>
        <v>5440</v>
      </c>
      <c r="AC31" s="78">
        <f t="shared" si="34"/>
        <v>7190</v>
      </c>
      <c r="AD31" s="78">
        <f t="shared" si="34"/>
        <v>4230</v>
      </c>
      <c r="AE31" s="78">
        <f t="shared" si="34"/>
        <v>7556</v>
      </c>
      <c r="AF31" s="78">
        <f t="shared" si="34"/>
        <v>6805</v>
      </c>
      <c r="AG31" s="56">
        <f t="shared" si="28"/>
        <v>192297</v>
      </c>
      <c r="AH31" s="67">
        <f t="shared" si="32"/>
        <v>6203.1290322580644</v>
      </c>
      <c r="AI31" s="68">
        <f t="shared" si="33"/>
        <v>49.146378241334716</v>
      </c>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row>
    <row r="32" spans="1:59" ht="15.75" customHeight="1" x14ac:dyDescent="0.2">
      <c r="A32" s="4" t="s">
        <v>190</v>
      </c>
      <c r="B32" s="69">
        <v>15360</v>
      </c>
      <c r="C32" s="69">
        <v>8306</v>
      </c>
      <c r="D32" s="69">
        <v>9295</v>
      </c>
      <c r="E32" s="69">
        <v>13465</v>
      </c>
      <c r="F32" s="69">
        <v>8990</v>
      </c>
      <c r="G32" s="69">
        <v>15050</v>
      </c>
      <c r="H32" s="69">
        <v>18205</v>
      </c>
      <c r="I32" s="69">
        <v>16730</v>
      </c>
      <c r="J32" s="69">
        <v>18965</v>
      </c>
      <c r="K32" s="69">
        <v>11876</v>
      </c>
      <c r="L32" s="69">
        <v>14060</v>
      </c>
      <c r="M32" s="69">
        <v>12325</v>
      </c>
      <c r="N32" s="69">
        <v>9670</v>
      </c>
      <c r="O32" s="69">
        <v>17220</v>
      </c>
      <c r="P32" s="69">
        <v>6245</v>
      </c>
      <c r="Q32" s="69">
        <v>16490</v>
      </c>
      <c r="R32" s="69">
        <v>13615</v>
      </c>
      <c r="S32" s="69">
        <v>14345</v>
      </c>
      <c r="T32" s="69">
        <v>0</v>
      </c>
      <c r="U32" s="69">
        <v>15725</v>
      </c>
      <c r="V32" s="69">
        <v>5715</v>
      </c>
      <c r="W32" s="69">
        <v>10575</v>
      </c>
      <c r="X32" s="69">
        <v>16060</v>
      </c>
      <c r="Y32" s="69">
        <v>12481</v>
      </c>
      <c r="Z32" s="69">
        <v>13960</v>
      </c>
      <c r="AA32" s="69">
        <v>10985</v>
      </c>
      <c r="AB32" s="69">
        <v>12170</v>
      </c>
      <c r="AC32" s="69">
        <v>12115</v>
      </c>
      <c r="AD32" s="69">
        <v>9245</v>
      </c>
      <c r="AE32" s="69">
        <f>12241+4000</f>
        <v>16241</v>
      </c>
      <c r="AF32" s="69">
        <v>15790</v>
      </c>
      <c r="AG32" s="56">
        <f t="shared" si="28"/>
        <v>391274</v>
      </c>
      <c r="AH32" s="67">
        <f t="shared" si="32"/>
        <v>12621.741935483871</v>
      </c>
      <c r="AI32" s="68">
        <f>IFERROR((AH32/$AH$32)*100,0)</f>
        <v>100</v>
      </c>
      <c r="AJ32" s="75"/>
      <c r="AK32" s="75"/>
      <c r="AL32" s="75"/>
      <c r="AM32" s="75"/>
      <c r="AN32" s="75"/>
      <c r="AO32" s="75"/>
      <c r="AP32" s="75"/>
      <c r="AQ32" s="75"/>
      <c r="AR32" s="75"/>
      <c r="AS32" s="75"/>
      <c r="AT32" s="75"/>
      <c r="AU32" s="75"/>
      <c r="AV32" s="14"/>
      <c r="AW32" s="14"/>
      <c r="AX32" s="14"/>
      <c r="AY32" s="14"/>
      <c r="AZ32" s="14"/>
      <c r="BA32" s="14"/>
      <c r="BB32" s="14"/>
      <c r="BC32" s="14"/>
      <c r="BD32" s="14"/>
      <c r="BE32" s="14"/>
      <c r="BF32" s="14"/>
      <c r="BG32" s="14"/>
    </row>
    <row r="33" spans="1:35" ht="15.75" customHeight="1" x14ac:dyDescent="0.2">
      <c r="A33" s="4" t="s">
        <v>191</v>
      </c>
      <c r="B33" s="69">
        <f t="shared" ref="B33:AF33" si="35">B32-B29</f>
        <v>1731.3666666666668</v>
      </c>
      <c r="C33" s="69">
        <f t="shared" si="35"/>
        <v>-5262.6333333333332</v>
      </c>
      <c r="D33" s="69">
        <f t="shared" si="35"/>
        <v>-3913.6333333333332</v>
      </c>
      <c r="E33" s="69">
        <f t="shared" si="35"/>
        <v>-1371.6333333333332</v>
      </c>
      <c r="F33" s="69">
        <f t="shared" si="35"/>
        <v>-4381.6333333333332</v>
      </c>
      <c r="G33" s="69">
        <f t="shared" si="35"/>
        <v>1156.3666666666668</v>
      </c>
      <c r="H33" s="69">
        <f t="shared" si="35"/>
        <v>3148.3666666666668</v>
      </c>
      <c r="I33" s="69">
        <f t="shared" si="35"/>
        <v>1746.3666666666668</v>
      </c>
      <c r="J33" s="69">
        <f t="shared" si="35"/>
        <v>4316.3666666666668</v>
      </c>
      <c r="K33" s="69">
        <f t="shared" si="35"/>
        <v>-3318.6333333333332</v>
      </c>
      <c r="L33" s="69">
        <f t="shared" si="35"/>
        <v>-1298.6333333333332</v>
      </c>
      <c r="M33" s="69">
        <f t="shared" si="35"/>
        <v>-2958.6333333333332</v>
      </c>
      <c r="N33" s="69">
        <f t="shared" si="35"/>
        <v>-4312.6333333333332</v>
      </c>
      <c r="O33" s="69">
        <f t="shared" si="35"/>
        <v>3661.3666666666668</v>
      </c>
      <c r="P33" s="69">
        <f t="shared" si="35"/>
        <v>-7232.6333333333332</v>
      </c>
      <c r="Q33" s="69">
        <f t="shared" si="35"/>
        <v>2141.3666666666668</v>
      </c>
      <c r="R33" s="69">
        <f t="shared" si="35"/>
        <v>-313.63333333333321</v>
      </c>
      <c r="S33" s="69">
        <f t="shared" si="35"/>
        <v>73.366666666666788</v>
      </c>
      <c r="T33" s="69">
        <f t="shared" si="35"/>
        <v>0</v>
      </c>
      <c r="U33" s="69">
        <f t="shared" si="35"/>
        <v>1666.3666666666668</v>
      </c>
      <c r="V33" s="59">
        <f t="shared" si="35"/>
        <v>-6882.6333333333332</v>
      </c>
      <c r="W33" s="59">
        <f t="shared" si="35"/>
        <v>-2581.6333333333332</v>
      </c>
      <c r="X33" s="59">
        <f t="shared" si="35"/>
        <v>890.36666666666679</v>
      </c>
      <c r="Y33" s="59">
        <f t="shared" si="35"/>
        <v>-1342.6333333333332</v>
      </c>
      <c r="Z33" s="59">
        <f t="shared" si="35"/>
        <v>-307.63333333333321</v>
      </c>
      <c r="AA33" s="59">
        <f t="shared" si="35"/>
        <v>-2683.6333333333332</v>
      </c>
      <c r="AB33" s="59">
        <f t="shared" si="35"/>
        <v>-2698.6333333333332</v>
      </c>
      <c r="AC33" s="59">
        <f t="shared" si="35"/>
        <v>-1832.6333333333332</v>
      </c>
      <c r="AD33" s="59">
        <f t="shared" si="35"/>
        <v>-4133.6333333333332</v>
      </c>
      <c r="AE33" s="59">
        <f t="shared" si="35"/>
        <v>2778.3666666666668</v>
      </c>
      <c r="AF33" s="59">
        <f t="shared" si="35"/>
        <v>1356.3666666666668</v>
      </c>
      <c r="AG33" s="81">
        <f>SUM(B33:AF33)+B40+B41</f>
        <v>4811.0000000000146</v>
      </c>
      <c r="AH33" s="5">
        <f>AVERAGE(B33:AF33,B40,B41)</f>
        <v>145.78787878787924</v>
      </c>
      <c r="AI33" s="68"/>
    </row>
    <row r="34" spans="1:35"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7"/>
      <c r="AH34" s="7"/>
    </row>
    <row r="35" spans="1:35" ht="15.75" customHeight="1" x14ac:dyDescent="0.2">
      <c r="A35" s="4" t="s">
        <v>13</v>
      </c>
      <c r="B35" s="59">
        <f t="shared" ref="B35:B38" si="36">SUM(B29:AF29)</f>
        <v>423435.00000000029</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7"/>
      <c r="AH35" s="7"/>
    </row>
    <row r="36" spans="1:35" ht="15.75" customHeight="1" x14ac:dyDescent="0.2">
      <c r="A36" s="4" t="s">
        <v>14</v>
      </c>
      <c r="B36" s="59">
        <f t="shared" si="36"/>
        <v>198977</v>
      </c>
      <c r="C36" s="6"/>
      <c r="M36" s="6"/>
      <c r="N36" s="6"/>
      <c r="O36" s="6"/>
      <c r="P36" s="6"/>
      <c r="Q36" s="6"/>
      <c r="R36" s="6"/>
      <c r="S36" s="6"/>
      <c r="T36" s="6"/>
      <c r="U36" s="6"/>
      <c r="V36" s="6"/>
      <c r="W36" s="6"/>
      <c r="X36" s="6"/>
      <c r="Y36" s="6"/>
      <c r="Z36" s="6"/>
      <c r="AA36" s="6"/>
      <c r="AB36" s="6"/>
      <c r="AC36" s="6" t="s">
        <v>198</v>
      </c>
      <c r="AD36" s="6"/>
      <c r="AE36" s="6"/>
      <c r="AF36" s="6" t="s">
        <v>227</v>
      </c>
      <c r="AG36" s="7"/>
      <c r="AH36" s="7"/>
    </row>
    <row r="37" spans="1:35" ht="15.75" customHeight="1" x14ac:dyDescent="0.2">
      <c r="A37" s="4" t="s">
        <v>15</v>
      </c>
      <c r="B37" s="59">
        <f t="shared" si="36"/>
        <v>192297</v>
      </c>
      <c r="C37" s="6" t="s">
        <v>215</v>
      </c>
      <c r="G37" s="14" t="s">
        <v>198</v>
      </c>
      <c r="M37" s="6"/>
      <c r="N37" s="6"/>
      <c r="O37" s="6"/>
      <c r="P37" s="6"/>
      <c r="Q37" s="6" t="s">
        <v>198</v>
      </c>
      <c r="R37" s="6"/>
      <c r="S37" s="6"/>
      <c r="T37" s="6"/>
      <c r="U37" s="6"/>
      <c r="V37" s="6"/>
      <c r="W37" s="6"/>
      <c r="X37" s="6" t="s">
        <v>198</v>
      </c>
      <c r="Y37" s="6"/>
      <c r="Z37" s="6"/>
      <c r="AA37" s="6"/>
      <c r="AB37" s="6"/>
      <c r="AC37" s="6"/>
      <c r="AD37" s="6"/>
      <c r="AE37" s="6"/>
      <c r="AF37" s="6"/>
      <c r="AG37" s="7"/>
      <c r="AH37" s="7"/>
    </row>
    <row r="38" spans="1:35" ht="15.75" customHeight="1" x14ac:dyDescent="0.2">
      <c r="A38" s="4" t="s">
        <v>16</v>
      </c>
      <c r="B38" s="59">
        <f t="shared" si="36"/>
        <v>391274</v>
      </c>
      <c r="C38" s="6"/>
      <c r="N38" s="6"/>
      <c r="O38" s="6"/>
      <c r="P38" s="6"/>
      <c r="Q38" s="6"/>
      <c r="R38" s="6"/>
      <c r="S38" s="6"/>
      <c r="T38" s="6"/>
      <c r="U38" s="6"/>
      <c r="V38" s="6"/>
      <c r="W38" s="6"/>
      <c r="X38" s="6"/>
      <c r="Y38" s="6"/>
      <c r="Z38" s="6"/>
      <c r="AA38" s="6"/>
      <c r="AB38" s="6"/>
      <c r="AC38" s="6"/>
      <c r="AD38" s="6"/>
      <c r="AE38" s="6"/>
      <c r="AF38" s="6"/>
      <c r="AG38" s="7"/>
      <c r="AH38" s="7"/>
    </row>
    <row r="39" spans="1:35" ht="15.75" customHeight="1" x14ac:dyDescent="0.2">
      <c r="A39" s="4" t="s">
        <v>17</v>
      </c>
      <c r="B39" s="80">
        <f>Expenses!I20</f>
        <v>98102</v>
      </c>
      <c r="C39" s="6"/>
      <c r="O39" s="6"/>
      <c r="P39" s="6"/>
      <c r="Q39" s="6"/>
      <c r="R39" s="6"/>
      <c r="S39" s="6"/>
      <c r="T39" s="6"/>
      <c r="U39" s="6"/>
      <c r="V39" s="6"/>
      <c r="W39" s="6"/>
      <c r="X39" s="6"/>
      <c r="Y39" s="6"/>
      <c r="Z39" s="6"/>
      <c r="AA39" s="6"/>
      <c r="AB39" s="6"/>
      <c r="AC39" s="6"/>
      <c r="AD39" s="6"/>
      <c r="AE39" s="6"/>
      <c r="AF39" s="6"/>
      <c r="AG39" s="7"/>
      <c r="AH39" s="7"/>
    </row>
    <row r="40" spans="1:35" ht="15.75" customHeight="1" x14ac:dyDescent="0.2">
      <c r="A40" s="4" t="s">
        <v>18</v>
      </c>
      <c r="B40" s="32">
        <f>2611+4727+1367+1600+3307</f>
        <v>13612</v>
      </c>
      <c r="C40" s="6"/>
      <c r="M40" s="6"/>
      <c r="N40" s="6"/>
      <c r="O40" s="6"/>
      <c r="P40" s="6"/>
      <c r="Q40" s="6"/>
      <c r="R40" s="6"/>
      <c r="S40" s="6"/>
      <c r="T40" s="6"/>
      <c r="U40" s="6"/>
      <c r="V40" s="6"/>
      <c r="W40" s="6"/>
      <c r="X40" s="6"/>
      <c r="Y40" s="6"/>
      <c r="Z40" s="6"/>
      <c r="AA40" s="6"/>
      <c r="AB40" s="6"/>
      <c r="AC40" s="6"/>
      <c r="AD40" s="6"/>
      <c r="AE40" s="6"/>
      <c r="AF40" s="6"/>
      <c r="AG40" s="7"/>
      <c r="AH40" s="7"/>
    </row>
    <row r="41" spans="1:35" ht="15.75" customHeight="1" x14ac:dyDescent="0.2">
      <c r="A41" s="4" t="s">
        <v>19</v>
      </c>
      <c r="B41" s="82">
        <f>4524+3187+4964+3106+3886+3693</f>
        <v>23360</v>
      </c>
      <c r="C41" s="6"/>
      <c r="M41" s="6"/>
      <c r="N41" s="6"/>
      <c r="O41" s="6"/>
      <c r="P41" s="6"/>
      <c r="Q41" s="6"/>
      <c r="R41" s="6"/>
      <c r="S41" s="6"/>
      <c r="T41" s="6"/>
      <c r="U41" s="6"/>
      <c r="V41" s="6"/>
      <c r="W41" s="6"/>
      <c r="X41" s="6"/>
      <c r="Y41" s="6"/>
      <c r="Z41" s="6"/>
      <c r="AA41" s="6"/>
      <c r="AB41" s="6"/>
      <c r="AC41" s="6"/>
      <c r="AD41" s="6"/>
      <c r="AE41" s="6"/>
      <c r="AF41" s="6"/>
      <c r="AG41" s="7"/>
      <c r="AH41" s="7"/>
    </row>
    <row r="42" spans="1:35" ht="15.75" customHeight="1" x14ac:dyDescent="0.2">
      <c r="A42" s="4" t="s">
        <v>20</v>
      </c>
      <c r="B42" s="59">
        <f>Stock!W72</f>
        <v>95827</v>
      </c>
      <c r="C42" s="6"/>
      <c r="M42" s="6"/>
      <c r="N42" s="6"/>
      <c r="O42" s="6"/>
      <c r="P42" s="6"/>
      <c r="Q42" s="6"/>
      <c r="R42" s="6"/>
      <c r="S42" s="6"/>
      <c r="T42" s="6"/>
      <c r="U42" s="6"/>
      <c r="V42" s="6"/>
      <c r="W42" s="6"/>
      <c r="X42" s="6"/>
      <c r="Y42" s="6"/>
      <c r="Z42" s="6"/>
      <c r="AA42" s="6"/>
      <c r="AB42" s="6"/>
      <c r="AC42" s="6"/>
      <c r="AD42" s="6"/>
      <c r="AE42" s="6"/>
      <c r="AF42" s="6"/>
      <c r="AG42" s="7"/>
      <c r="AH42" s="7"/>
    </row>
    <row r="43" spans="1:35" ht="15.75" customHeight="1" x14ac:dyDescent="0.2">
      <c r="A43" s="4" t="s">
        <v>21</v>
      </c>
      <c r="B43" s="59">
        <f>B38-B35+B40+B41</f>
        <v>4810.999999999709</v>
      </c>
      <c r="C43" s="6"/>
      <c r="M43" s="6"/>
      <c r="N43" s="6"/>
      <c r="O43" s="6"/>
      <c r="P43" s="6"/>
      <c r="Q43" s="6"/>
      <c r="R43" s="6"/>
      <c r="S43" s="6"/>
      <c r="T43" s="6"/>
      <c r="U43" s="6"/>
      <c r="V43" s="6"/>
      <c r="W43" s="6"/>
      <c r="X43" s="6"/>
      <c r="Y43" s="6"/>
      <c r="Z43" s="6"/>
      <c r="AA43" s="6"/>
      <c r="AB43" s="6"/>
      <c r="AC43" s="6"/>
      <c r="AD43" s="6"/>
      <c r="AE43" s="6"/>
      <c r="AF43" s="6"/>
      <c r="AG43" s="7"/>
      <c r="AH43" s="7"/>
    </row>
    <row r="44" spans="1:35" ht="15.75" customHeight="1" x14ac:dyDescent="0.2">
      <c r="B44" s="6"/>
      <c r="C44" s="6"/>
      <c r="M44" s="6"/>
      <c r="N44" s="6"/>
      <c r="O44" s="6"/>
      <c r="P44" s="6"/>
      <c r="Q44" s="6"/>
      <c r="R44" s="6"/>
      <c r="S44" s="6"/>
      <c r="T44" s="6"/>
      <c r="U44" s="6"/>
      <c r="V44" s="6"/>
      <c r="W44" s="6"/>
      <c r="X44" s="6"/>
      <c r="Y44" s="6"/>
      <c r="Z44" s="6"/>
      <c r="AA44" s="6"/>
      <c r="AB44" s="6"/>
      <c r="AC44" s="6"/>
      <c r="AD44" s="6"/>
      <c r="AE44" s="6"/>
      <c r="AF44" s="6"/>
      <c r="AG44" s="7"/>
      <c r="AH44" s="7"/>
    </row>
    <row r="45" spans="1:35" ht="15.75" customHeight="1" x14ac:dyDescent="0.2">
      <c r="A45" s="4" t="s">
        <v>201</v>
      </c>
      <c r="B45" s="59">
        <v>1500</v>
      </c>
      <c r="C45" s="59">
        <v>1500</v>
      </c>
      <c r="D45" s="59">
        <v>1500</v>
      </c>
      <c r="E45" s="59">
        <v>1500</v>
      </c>
      <c r="F45" s="59">
        <v>1000</v>
      </c>
      <c r="G45" s="59">
        <v>0</v>
      </c>
      <c r="H45" s="59">
        <v>0</v>
      </c>
      <c r="I45" s="59">
        <v>0</v>
      </c>
      <c r="J45" s="59">
        <v>1000</v>
      </c>
      <c r="K45" s="59">
        <v>1000</v>
      </c>
      <c r="L45" s="59">
        <v>1000</v>
      </c>
      <c r="M45" s="59">
        <v>1000</v>
      </c>
      <c r="N45" s="59">
        <v>1000</v>
      </c>
      <c r="O45" s="59">
        <v>1000</v>
      </c>
      <c r="P45" s="59">
        <v>1000</v>
      </c>
      <c r="Q45" s="59">
        <v>1000</v>
      </c>
      <c r="R45" s="59">
        <v>1000</v>
      </c>
      <c r="S45" s="59">
        <v>1000</v>
      </c>
      <c r="T45" s="59">
        <v>0</v>
      </c>
      <c r="U45" s="59">
        <v>0</v>
      </c>
      <c r="V45" s="59">
        <v>0</v>
      </c>
      <c r="W45" s="59">
        <v>0</v>
      </c>
      <c r="X45" s="59">
        <v>0</v>
      </c>
      <c r="Y45" s="59">
        <v>0</v>
      </c>
      <c r="Z45" s="59">
        <v>0</v>
      </c>
      <c r="AA45" s="59">
        <v>0</v>
      </c>
      <c r="AB45" s="59">
        <v>0</v>
      </c>
      <c r="AC45" s="59">
        <v>0</v>
      </c>
      <c r="AD45" s="59">
        <v>0</v>
      </c>
      <c r="AE45" s="59">
        <v>0</v>
      </c>
      <c r="AF45" s="59">
        <v>0</v>
      </c>
      <c r="AG45" s="56">
        <f t="shared" ref="AG45:AG47" si="37">SUM(B45:AF45)</f>
        <v>17000</v>
      </c>
      <c r="AH45" s="7"/>
    </row>
    <row r="46" spans="1:35" ht="15.75" customHeight="1" x14ac:dyDescent="0.2">
      <c r="A46" s="4" t="s">
        <v>202</v>
      </c>
      <c r="B46" s="59">
        <v>0</v>
      </c>
      <c r="C46" s="59">
        <v>0</v>
      </c>
      <c r="D46" s="59">
        <v>0</v>
      </c>
      <c r="E46" s="59">
        <v>0</v>
      </c>
      <c r="F46" s="59">
        <v>-22500</v>
      </c>
      <c r="G46" s="59">
        <v>0</v>
      </c>
      <c r="H46" s="59">
        <v>1400</v>
      </c>
      <c r="I46" s="59">
        <v>1200</v>
      </c>
      <c r="J46" s="59">
        <v>0</v>
      </c>
      <c r="K46" s="59">
        <v>700</v>
      </c>
      <c r="L46" s="59">
        <v>0</v>
      </c>
      <c r="M46" s="59">
        <v>900</v>
      </c>
      <c r="N46" s="59">
        <v>-11516</v>
      </c>
      <c r="O46" s="59">
        <v>0</v>
      </c>
      <c r="P46" s="59">
        <v>0</v>
      </c>
      <c r="Q46" s="59">
        <v>0</v>
      </c>
      <c r="R46" s="59">
        <v>0</v>
      </c>
      <c r="S46" s="59">
        <v>0</v>
      </c>
      <c r="T46" s="59">
        <v>0</v>
      </c>
      <c r="U46" s="59">
        <v>0</v>
      </c>
      <c r="V46" s="59">
        <v>0</v>
      </c>
      <c r="W46" s="59">
        <v>0</v>
      </c>
      <c r="X46" s="59">
        <v>0</v>
      </c>
      <c r="Y46" s="59">
        <v>0</v>
      </c>
      <c r="Z46" s="59">
        <v>0</v>
      </c>
      <c r="AA46" s="59">
        <v>0</v>
      </c>
      <c r="AB46" s="59">
        <v>0</v>
      </c>
      <c r="AC46" s="59">
        <v>1100</v>
      </c>
      <c r="AD46" s="59">
        <v>0</v>
      </c>
      <c r="AE46" s="59">
        <v>0</v>
      </c>
      <c r="AF46" s="59">
        <v>0</v>
      </c>
      <c r="AG46" s="56">
        <f t="shared" si="37"/>
        <v>-28716</v>
      </c>
      <c r="AH46" s="7"/>
    </row>
    <row r="47" spans="1:35" ht="15.75" customHeight="1" x14ac:dyDescent="0.2">
      <c r="A47" s="4" t="s">
        <v>203</v>
      </c>
      <c r="B47" s="59">
        <f t="shared" ref="B47:AF47" si="38">B4+B3+B7+B8+(SUM(B20:B22))+B45+B46</f>
        <v>9178.6333333333314</v>
      </c>
      <c r="C47" s="59">
        <f t="shared" si="38"/>
        <v>9178.6333333333314</v>
      </c>
      <c r="D47" s="59">
        <f t="shared" si="38"/>
        <v>9178.6333333333314</v>
      </c>
      <c r="E47" s="59">
        <f t="shared" si="38"/>
        <v>9178.6333333333314</v>
      </c>
      <c r="F47" s="59">
        <f t="shared" si="38"/>
        <v>-13821.366666666669</v>
      </c>
      <c r="G47" s="59">
        <f t="shared" si="38"/>
        <v>7678.6333333333323</v>
      </c>
      <c r="H47" s="59">
        <f t="shared" si="38"/>
        <v>9078.6333333333314</v>
      </c>
      <c r="I47" s="59">
        <f t="shared" si="38"/>
        <v>8878.6333333333314</v>
      </c>
      <c r="J47" s="59">
        <f t="shared" si="38"/>
        <v>8678.6333333333314</v>
      </c>
      <c r="K47" s="59">
        <f t="shared" si="38"/>
        <v>9378.6333333333314</v>
      </c>
      <c r="L47" s="59">
        <f t="shared" si="38"/>
        <v>8678.6333333333314</v>
      </c>
      <c r="M47" s="59">
        <f t="shared" si="38"/>
        <v>9578.6333333333314</v>
      </c>
      <c r="N47" s="59">
        <f t="shared" si="38"/>
        <v>-2837.3666666666686</v>
      </c>
      <c r="O47" s="59">
        <f t="shared" si="38"/>
        <v>8678.6333333333314</v>
      </c>
      <c r="P47" s="59">
        <f t="shared" si="38"/>
        <v>8678.6333333333314</v>
      </c>
      <c r="Q47" s="59">
        <f t="shared" si="38"/>
        <v>8678.6333333333314</v>
      </c>
      <c r="R47" s="59">
        <f t="shared" si="38"/>
        <v>8678.6333333333314</v>
      </c>
      <c r="S47" s="59">
        <f t="shared" si="38"/>
        <v>8678.6333333333314</v>
      </c>
      <c r="T47" s="59">
        <f t="shared" si="38"/>
        <v>0</v>
      </c>
      <c r="U47" s="59">
        <f t="shared" si="38"/>
        <v>7678.6333333333323</v>
      </c>
      <c r="V47" s="59">
        <f t="shared" si="38"/>
        <v>7678.6333333333323</v>
      </c>
      <c r="W47" s="59">
        <f t="shared" si="38"/>
        <v>7678.6333333333323</v>
      </c>
      <c r="X47" s="59">
        <f t="shared" si="38"/>
        <v>7678.6333333333323</v>
      </c>
      <c r="Y47" s="59">
        <f t="shared" si="38"/>
        <v>7678.6333333333323</v>
      </c>
      <c r="Z47" s="59">
        <f t="shared" si="38"/>
        <v>7678.6333333333323</v>
      </c>
      <c r="AA47" s="59">
        <f t="shared" si="38"/>
        <v>7678.6333333333323</v>
      </c>
      <c r="AB47" s="59">
        <f t="shared" si="38"/>
        <v>7678.6333333333323</v>
      </c>
      <c r="AC47" s="59">
        <f t="shared" si="38"/>
        <v>8778.6333333333314</v>
      </c>
      <c r="AD47" s="59">
        <f t="shared" si="38"/>
        <v>7678.6333333333323</v>
      </c>
      <c r="AE47" s="59">
        <f t="shared" si="38"/>
        <v>7678.6333333333323</v>
      </c>
      <c r="AF47" s="59">
        <f t="shared" si="38"/>
        <v>7678.6333333333323</v>
      </c>
      <c r="AG47" s="67">
        <f t="shared" si="37"/>
        <v>218642.99999999994</v>
      </c>
      <c r="AH47" s="7"/>
    </row>
    <row r="48" spans="1:35" ht="15.75" customHeight="1" x14ac:dyDescent="0.2">
      <c r="A48" s="4" t="s">
        <v>204</v>
      </c>
      <c r="B48" s="59">
        <f>B31-B29+B47+21170</f>
        <v>28918</v>
      </c>
      <c r="C48" s="59">
        <f t="shared" ref="C48:AF48" si="39">B48+C31-C29+C47</f>
        <v>28983</v>
      </c>
      <c r="D48" s="59">
        <f t="shared" si="39"/>
        <v>29483</v>
      </c>
      <c r="E48" s="59">
        <f t="shared" si="39"/>
        <v>32620</v>
      </c>
      <c r="F48" s="59">
        <f t="shared" si="39"/>
        <v>11107</v>
      </c>
      <c r="G48" s="59">
        <f t="shared" si="39"/>
        <v>13247</v>
      </c>
      <c r="H48" s="59">
        <f t="shared" si="39"/>
        <v>14279.999999999998</v>
      </c>
      <c r="I48" s="59">
        <f t="shared" si="39"/>
        <v>15869.999999999998</v>
      </c>
      <c r="J48" s="59">
        <f t="shared" si="39"/>
        <v>18055</v>
      </c>
      <c r="K48" s="59">
        <f t="shared" si="39"/>
        <v>17375</v>
      </c>
      <c r="L48" s="59">
        <f t="shared" si="39"/>
        <v>18525</v>
      </c>
      <c r="M48" s="59">
        <f t="shared" si="39"/>
        <v>19745</v>
      </c>
      <c r="N48" s="59">
        <f t="shared" si="39"/>
        <v>7464.9999999999982</v>
      </c>
      <c r="O48" s="59">
        <f t="shared" si="39"/>
        <v>9004.9999999999964</v>
      </c>
      <c r="P48" s="59">
        <f t="shared" si="39"/>
        <v>8300.9999999999945</v>
      </c>
      <c r="Q48" s="59">
        <f t="shared" si="39"/>
        <v>8865.9999999999927</v>
      </c>
      <c r="R48" s="59">
        <f t="shared" si="39"/>
        <v>10915.999999999991</v>
      </c>
      <c r="S48" s="59">
        <f t="shared" si="39"/>
        <v>12257.999999999991</v>
      </c>
      <c r="T48" s="59">
        <f t="shared" si="39"/>
        <v>12257.999999999991</v>
      </c>
      <c r="U48" s="59">
        <f t="shared" si="39"/>
        <v>16077.999999999993</v>
      </c>
      <c r="V48" s="59">
        <f t="shared" si="39"/>
        <v>13473.999999999993</v>
      </c>
      <c r="W48" s="59">
        <f t="shared" si="39"/>
        <v>13225.999999999993</v>
      </c>
      <c r="X48" s="59">
        <f t="shared" si="39"/>
        <v>11739.999999999993</v>
      </c>
      <c r="Y48" s="59">
        <f t="shared" si="39"/>
        <v>8795.9999999999927</v>
      </c>
      <c r="Z48" s="59">
        <f t="shared" si="39"/>
        <v>8756.9999999999927</v>
      </c>
      <c r="AA48" s="59">
        <f t="shared" si="39"/>
        <v>8051.9999999999918</v>
      </c>
      <c r="AB48" s="59">
        <f t="shared" si="39"/>
        <v>6301.9999999999918</v>
      </c>
      <c r="AC48" s="59">
        <f t="shared" si="39"/>
        <v>8322.9999999999909</v>
      </c>
      <c r="AD48" s="59">
        <f t="shared" si="39"/>
        <v>6852.99999999999</v>
      </c>
      <c r="AE48" s="59">
        <f t="shared" si="39"/>
        <v>8624.9999999999891</v>
      </c>
      <c r="AF48" s="59">
        <f t="shared" si="39"/>
        <v>8674.9999999999891</v>
      </c>
      <c r="AG48" s="7"/>
      <c r="AH48" s="7"/>
    </row>
    <row r="49" spans="1:34"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7"/>
      <c r="AH49" s="7"/>
    </row>
    <row r="50" spans="1:34" ht="15.75" customHeight="1" x14ac:dyDescent="0.2">
      <c r="AG50" s="1"/>
      <c r="AH50" s="7"/>
    </row>
    <row r="51" spans="1:34" ht="15.75" customHeight="1" x14ac:dyDescent="0.2">
      <c r="A51" s="4" t="s">
        <v>166</v>
      </c>
      <c r="B51" s="4">
        <f>1500+2250+2250</f>
        <v>6000</v>
      </c>
      <c r="AG51" s="1"/>
      <c r="AH51" s="7"/>
    </row>
    <row r="52" spans="1:34" ht="15.75" customHeight="1" x14ac:dyDescent="0.2">
      <c r="A52" s="4" t="s">
        <v>205</v>
      </c>
      <c r="B52" s="4">
        <f>1550+950+2430</f>
        <v>4930</v>
      </c>
      <c r="AG52" s="1"/>
      <c r="AH52" s="7"/>
    </row>
    <row r="53" spans="1:34" ht="15.75" customHeight="1" x14ac:dyDescent="0.2">
      <c r="A53" s="4" t="s">
        <v>179</v>
      </c>
      <c r="B53" s="4">
        <f>6000+5000+4000+4000+4000</f>
        <v>23000</v>
      </c>
      <c r="I53" s="14" t="s">
        <v>206</v>
      </c>
      <c r="AG53" s="1"/>
      <c r="AH53" s="7"/>
    </row>
    <row r="54" spans="1:34" ht="15.75" customHeight="1" x14ac:dyDescent="0.2">
      <c r="A54" s="4" t="s">
        <v>180</v>
      </c>
      <c r="B54" s="4">
        <v>2500</v>
      </c>
      <c r="AG54" s="1"/>
      <c r="AH54" s="7"/>
    </row>
    <row r="55" spans="1:34" ht="15.75" customHeight="1" x14ac:dyDescent="0.2">
      <c r="A55" s="4" t="s">
        <v>181</v>
      </c>
      <c r="B55" s="4">
        <v>0</v>
      </c>
      <c r="AG55" s="1"/>
      <c r="AH55" s="7"/>
    </row>
    <row r="56" spans="1:34" ht="15.75" customHeight="1" x14ac:dyDescent="0.2">
      <c r="B56" s="83">
        <f>SUM(B51:B55)</f>
        <v>36430</v>
      </c>
      <c r="J56" s="84" t="s">
        <v>207</v>
      </c>
      <c r="K56" s="4"/>
      <c r="L56" s="36">
        <f>F32</f>
        <v>8990</v>
      </c>
      <c r="M56" s="59">
        <f>M32</f>
        <v>12325</v>
      </c>
      <c r="N56" s="59">
        <f>T32</f>
        <v>0</v>
      </c>
      <c r="O56" s="59">
        <f>AA32</f>
        <v>10985</v>
      </c>
      <c r="P56" s="84">
        <f t="shared" ref="P56:P62" si="40">AVERAGEIF(K56:O56,"&lt;&gt;0")</f>
        <v>10766.666666666666</v>
      </c>
      <c r="R56" s="6"/>
      <c r="AG56" s="1"/>
      <c r="AH56" s="7"/>
    </row>
    <row r="57" spans="1:34" ht="15.75" customHeight="1" x14ac:dyDescent="0.2">
      <c r="J57" s="84" t="s">
        <v>208</v>
      </c>
      <c r="K57" s="4"/>
      <c r="L57" s="36">
        <f>G32</f>
        <v>15050</v>
      </c>
      <c r="M57" s="59">
        <f>N32</f>
        <v>9670</v>
      </c>
      <c r="N57" s="59">
        <f>U32</f>
        <v>15725</v>
      </c>
      <c r="O57" s="59">
        <f>AB32</f>
        <v>12170</v>
      </c>
      <c r="P57" s="84">
        <f t="shared" si="40"/>
        <v>13153.75</v>
      </c>
      <c r="AG57" s="1"/>
      <c r="AH57" s="7"/>
    </row>
    <row r="58" spans="1:34" ht="15.75" customHeight="1" x14ac:dyDescent="0.2">
      <c r="J58" s="84" t="s">
        <v>209</v>
      </c>
      <c r="K58" s="4"/>
      <c r="L58" s="36">
        <f>H32</f>
        <v>18205</v>
      </c>
      <c r="M58" s="59">
        <f>O32</f>
        <v>17220</v>
      </c>
      <c r="N58" s="59">
        <f>V32</f>
        <v>5715</v>
      </c>
      <c r="O58" s="59">
        <f>AC32</f>
        <v>12115</v>
      </c>
      <c r="P58" s="84">
        <f t="shared" si="40"/>
        <v>13313.75</v>
      </c>
      <c r="AG58" s="1"/>
      <c r="AH58" s="7"/>
    </row>
    <row r="59" spans="1:34" ht="15.75" customHeight="1" x14ac:dyDescent="0.2">
      <c r="A59" s="14" t="s">
        <v>210</v>
      </c>
      <c r="B59" s="14">
        <v>30</v>
      </c>
      <c r="J59" s="84" t="s">
        <v>211</v>
      </c>
      <c r="K59" s="59">
        <f>B32</f>
        <v>15360</v>
      </c>
      <c r="L59" s="36">
        <f>I32</f>
        <v>16730</v>
      </c>
      <c r="M59" s="59">
        <f>P32</f>
        <v>6245</v>
      </c>
      <c r="N59" s="59">
        <f>W32</f>
        <v>10575</v>
      </c>
      <c r="O59" s="59">
        <f>AD32</f>
        <v>9245</v>
      </c>
      <c r="P59" s="84">
        <f t="shared" si="40"/>
        <v>11631</v>
      </c>
      <c r="AG59" s="1"/>
      <c r="AH59" s="7"/>
    </row>
    <row r="60" spans="1:34" ht="15.75" customHeight="1" x14ac:dyDescent="0.2">
      <c r="J60" s="84" t="s">
        <v>212</v>
      </c>
      <c r="K60" s="59">
        <f>C32</f>
        <v>8306</v>
      </c>
      <c r="L60" s="59">
        <f>J32</f>
        <v>18965</v>
      </c>
      <c r="M60" s="59">
        <f>Q32</f>
        <v>16490</v>
      </c>
      <c r="N60" s="59">
        <f>X32</f>
        <v>16060</v>
      </c>
      <c r="O60" s="59">
        <f>AE32</f>
        <v>16241</v>
      </c>
      <c r="P60" s="84">
        <f t="shared" si="40"/>
        <v>15212.4</v>
      </c>
      <c r="AG60" s="1"/>
      <c r="AH60" s="7"/>
    </row>
    <row r="61" spans="1:34" ht="15.75" customHeight="1" x14ac:dyDescent="0.2">
      <c r="J61" s="84" t="s">
        <v>213</v>
      </c>
      <c r="K61" s="59">
        <f>D32</f>
        <v>9295</v>
      </c>
      <c r="L61" s="59">
        <f>K32</f>
        <v>11876</v>
      </c>
      <c r="M61" s="59">
        <f>R32</f>
        <v>13615</v>
      </c>
      <c r="N61" s="59">
        <f>Y32</f>
        <v>12481</v>
      </c>
      <c r="O61" s="59">
        <f>AF32</f>
        <v>15790</v>
      </c>
      <c r="P61" s="84">
        <f t="shared" si="40"/>
        <v>12611.4</v>
      </c>
      <c r="AG61" s="1"/>
      <c r="AH61" s="7"/>
    </row>
    <row r="62" spans="1:34" ht="15.75" customHeight="1" x14ac:dyDescent="0.2">
      <c r="J62" s="84" t="s">
        <v>214</v>
      </c>
      <c r="K62" s="59">
        <f>E32</f>
        <v>13465</v>
      </c>
      <c r="L62" s="59">
        <f>L32</f>
        <v>14060</v>
      </c>
      <c r="M62" s="59">
        <f>S32</f>
        <v>14345</v>
      </c>
      <c r="N62" s="59">
        <f>Z32</f>
        <v>13960</v>
      </c>
      <c r="O62" s="4"/>
      <c r="P62" s="84">
        <f t="shared" si="40"/>
        <v>13957.5</v>
      </c>
      <c r="AG62" s="1"/>
      <c r="AH62" s="7"/>
    </row>
    <row r="63" spans="1:34" ht="15.75" customHeight="1" x14ac:dyDescent="0.2">
      <c r="Q63" s="14" t="s">
        <v>127</v>
      </c>
      <c r="AG63" s="1"/>
      <c r="AH63" s="7"/>
    </row>
    <row r="64" spans="1:34" ht="15.75" customHeight="1" x14ac:dyDescent="0.2">
      <c r="AG64" s="1"/>
      <c r="AH64" s="7"/>
    </row>
    <row r="65" spans="25:34" ht="14" x14ac:dyDescent="0.2">
      <c r="AG65" s="1"/>
      <c r="AH65" s="7"/>
    </row>
    <row r="66" spans="25:34" ht="14" x14ac:dyDescent="0.2">
      <c r="Y66" s="14" t="s">
        <v>206</v>
      </c>
      <c r="AG66" s="1"/>
      <c r="AH66" s="7"/>
    </row>
    <row r="67" spans="25:34" ht="14" x14ac:dyDescent="0.2">
      <c r="AG67" s="1"/>
      <c r="AH67" s="7"/>
    </row>
    <row r="68" spans="25:34" ht="14" x14ac:dyDescent="0.2">
      <c r="AG68" s="1"/>
      <c r="AH68" s="7"/>
    </row>
    <row r="69" spans="25:34" ht="14" x14ac:dyDescent="0.2">
      <c r="AG69" s="1"/>
      <c r="AH69" s="7"/>
    </row>
    <row r="70" spans="25:34" ht="14" x14ac:dyDescent="0.2">
      <c r="AG70" s="1"/>
      <c r="AH70" s="7"/>
    </row>
    <row r="71" spans="25:34" ht="14" x14ac:dyDescent="0.2">
      <c r="AG71" s="1"/>
      <c r="AH71" s="7"/>
    </row>
    <row r="72" spans="25:34" ht="14" x14ac:dyDescent="0.2">
      <c r="AG72" s="1"/>
      <c r="AH72" s="7"/>
    </row>
    <row r="73" spans="25:34" ht="14" x14ac:dyDescent="0.2">
      <c r="AG73" s="1"/>
      <c r="AH73" s="7"/>
    </row>
    <row r="74" spans="25:34" ht="14" x14ac:dyDescent="0.2">
      <c r="AG74" s="1"/>
      <c r="AH74" s="7"/>
    </row>
    <row r="75" spans="25:34" ht="14" x14ac:dyDescent="0.2">
      <c r="AG75" s="1"/>
      <c r="AH75" s="7"/>
    </row>
    <row r="76" spans="25:34" ht="14" x14ac:dyDescent="0.2">
      <c r="AG76" s="1"/>
      <c r="AH76" s="7"/>
    </row>
    <row r="77" spans="25:34" ht="14" x14ac:dyDescent="0.2">
      <c r="AG77" s="1"/>
      <c r="AH77" s="7"/>
    </row>
    <row r="78" spans="25:34" ht="14" x14ac:dyDescent="0.2">
      <c r="AG78" s="1"/>
      <c r="AH78" s="7"/>
    </row>
    <row r="79" spans="25:34" ht="14" x14ac:dyDescent="0.2">
      <c r="AG79" s="1"/>
      <c r="AH79" s="7"/>
    </row>
    <row r="80" spans="25:34" ht="14" x14ac:dyDescent="0.2">
      <c r="AG80" s="1"/>
      <c r="AH80" s="7"/>
    </row>
    <row r="81" spans="33:34" ht="14" x14ac:dyDescent="0.2">
      <c r="AG81" s="1"/>
      <c r="AH81" s="7"/>
    </row>
    <row r="82" spans="33:34" ht="14" x14ac:dyDescent="0.2">
      <c r="AG82" s="1"/>
      <c r="AH82" s="7"/>
    </row>
    <row r="83" spans="33:34" ht="14" x14ac:dyDescent="0.2">
      <c r="AG83" s="1"/>
      <c r="AH83" s="7"/>
    </row>
    <row r="84" spans="33:34" ht="14" x14ac:dyDescent="0.2">
      <c r="AG84" s="1"/>
      <c r="AH84" s="7"/>
    </row>
    <row r="85" spans="33:34" ht="14" x14ac:dyDescent="0.2">
      <c r="AG85" s="1"/>
      <c r="AH85" s="7"/>
    </row>
    <row r="86" spans="33:34" ht="14" x14ac:dyDescent="0.2">
      <c r="AG86" s="1"/>
      <c r="AH86" s="7"/>
    </row>
    <row r="87" spans="33:34" ht="14" x14ac:dyDescent="0.2">
      <c r="AG87" s="1"/>
      <c r="AH87" s="7"/>
    </row>
    <row r="88" spans="33:34" ht="14" x14ac:dyDescent="0.2">
      <c r="AG88" s="1"/>
      <c r="AH88" s="7"/>
    </row>
    <row r="89" spans="33:34" ht="14" x14ac:dyDescent="0.2">
      <c r="AG89" s="1"/>
      <c r="AH89" s="7"/>
    </row>
    <row r="90" spans="33:34" ht="14" x14ac:dyDescent="0.2">
      <c r="AG90" s="1"/>
      <c r="AH90" s="7"/>
    </row>
    <row r="91" spans="33:34" ht="14" x14ac:dyDescent="0.2">
      <c r="AG91" s="1"/>
      <c r="AH91" s="7"/>
    </row>
    <row r="92" spans="33:34" ht="14" x14ac:dyDescent="0.2">
      <c r="AG92" s="1"/>
      <c r="AH92" s="7"/>
    </row>
    <row r="93" spans="33:34" ht="14" x14ac:dyDescent="0.2">
      <c r="AG93" s="1"/>
      <c r="AH93" s="7"/>
    </row>
    <row r="94" spans="33:34" ht="14" x14ac:dyDescent="0.2">
      <c r="AG94" s="1"/>
      <c r="AH94" s="7"/>
    </row>
    <row r="95" spans="33:34" ht="14" x14ac:dyDescent="0.2">
      <c r="AG95" s="1"/>
      <c r="AH95" s="7"/>
    </row>
    <row r="96" spans="33:34" ht="14" x14ac:dyDescent="0.2">
      <c r="AG96" s="1"/>
      <c r="AH96" s="7"/>
    </row>
    <row r="97" spans="33:34" ht="14" x14ac:dyDescent="0.2">
      <c r="AG97" s="1"/>
      <c r="AH97" s="7"/>
    </row>
    <row r="98" spans="33:34" ht="14" x14ac:dyDescent="0.2">
      <c r="AG98" s="1"/>
      <c r="AH98" s="7"/>
    </row>
    <row r="99" spans="33:34" ht="14" x14ac:dyDescent="0.2">
      <c r="AG99" s="1"/>
      <c r="AH99" s="7"/>
    </row>
    <row r="100" spans="33:34" ht="14" x14ac:dyDescent="0.2">
      <c r="AG100" s="1"/>
      <c r="AH100" s="7"/>
    </row>
    <row r="101" spans="33:34" ht="14" x14ac:dyDescent="0.2">
      <c r="AG101" s="1"/>
      <c r="AH101" s="7"/>
    </row>
    <row r="102" spans="33:34" ht="14" x14ac:dyDescent="0.2">
      <c r="AG102" s="1"/>
      <c r="AH102" s="7"/>
    </row>
    <row r="103" spans="33:34" ht="14" x14ac:dyDescent="0.2">
      <c r="AG103" s="1"/>
      <c r="AH103" s="7"/>
    </row>
    <row r="104" spans="33:34" ht="14" x14ac:dyDescent="0.2">
      <c r="AG104" s="1"/>
      <c r="AH104" s="7"/>
    </row>
    <row r="105" spans="33:34" ht="14" x14ac:dyDescent="0.2">
      <c r="AG105" s="1"/>
      <c r="AH105" s="7"/>
    </row>
    <row r="106" spans="33:34" ht="14" x14ac:dyDescent="0.2">
      <c r="AG106" s="1"/>
      <c r="AH106" s="7"/>
    </row>
    <row r="107" spans="33:34" ht="14" x14ac:dyDescent="0.2">
      <c r="AG107" s="1"/>
      <c r="AH107" s="7"/>
    </row>
    <row r="108" spans="33:34" ht="14" x14ac:dyDescent="0.2">
      <c r="AG108" s="1"/>
      <c r="AH108" s="7"/>
    </row>
    <row r="109" spans="33:34" ht="14" x14ac:dyDescent="0.2">
      <c r="AG109" s="1"/>
      <c r="AH109" s="7"/>
    </row>
    <row r="110" spans="33:34" ht="14" x14ac:dyDescent="0.2">
      <c r="AG110" s="1"/>
      <c r="AH110" s="7"/>
    </row>
    <row r="111" spans="33:34" ht="14" x14ac:dyDescent="0.2">
      <c r="AG111" s="1"/>
      <c r="AH111" s="7"/>
    </row>
    <row r="112" spans="33:34" ht="14" x14ac:dyDescent="0.2">
      <c r="AG112" s="1"/>
      <c r="AH112" s="7"/>
    </row>
    <row r="113" spans="33:34" ht="14" x14ac:dyDescent="0.2">
      <c r="AG113" s="1"/>
      <c r="AH113" s="7"/>
    </row>
    <row r="114" spans="33:34" ht="14" x14ac:dyDescent="0.2">
      <c r="AG114" s="1"/>
      <c r="AH114" s="7"/>
    </row>
    <row r="115" spans="33:34" ht="14" x14ac:dyDescent="0.2">
      <c r="AG115" s="1"/>
      <c r="AH115" s="7"/>
    </row>
    <row r="116" spans="33:34" ht="14" x14ac:dyDescent="0.2">
      <c r="AG116" s="1"/>
      <c r="AH116" s="7"/>
    </row>
    <row r="117" spans="33:34" ht="14" x14ac:dyDescent="0.2">
      <c r="AG117" s="1"/>
      <c r="AH117" s="7"/>
    </row>
    <row r="118" spans="33:34" ht="14" x14ac:dyDescent="0.2">
      <c r="AG118" s="1"/>
      <c r="AH118" s="7"/>
    </row>
    <row r="119" spans="33:34" ht="14" x14ac:dyDescent="0.2">
      <c r="AG119" s="1"/>
      <c r="AH119" s="7"/>
    </row>
    <row r="120" spans="33:34" ht="14" x14ac:dyDescent="0.2">
      <c r="AG120" s="1"/>
      <c r="AH120" s="7"/>
    </row>
    <row r="121" spans="33:34" ht="14" x14ac:dyDescent="0.2">
      <c r="AG121" s="1"/>
      <c r="AH121" s="7"/>
    </row>
    <row r="122" spans="33:34" ht="14" x14ac:dyDescent="0.2">
      <c r="AG122" s="1"/>
      <c r="AH122" s="7"/>
    </row>
    <row r="123" spans="33:34" ht="14" x14ac:dyDescent="0.2">
      <c r="AG123" s="1"/>
      <c r="AH123" s="7"/>
    </row>
    <row r="124" spans="33:34" ht="14" x14ac:dyDescent="0.2">
      <c r="AG124" s="1"/>
      <c r="AH124" s="7"/>
    </row>
    <row r="125" spans="33:34" ht="14" x14ac:dyDescent="0.2">
      <c r="AG125" s="1"/>
      <c r="AH125" s="7"/>
    </row>
    <row r="126" spans="33:34" ht="14" x14ac:dyDescent="0.2">
      <c r="AG126" s="1"/>
      <c r="AH126" s="7"/>
    </row>
    <row r="127" spans="33:34" ht="14" x14ac:dyDescent="0.2">
      <c r="AG127" s="1"/>
      <c r="AH127" s="7"/>
    </row>
    <row r="128" spans="33:34" ht="14" x14ac:dyDescent="0.2">
      <c r="AG128" s="1"/>
      <c r="AH128" s="7"/>
    </row>
    <row r="129" spans="33:34" ht="14" x14ac:dyDescent="0.2">
      <c r="AG129" s="1"/>
      <c r="AH129" s="7"/>
    </row>
    <row r="130" spans="33:34" ht="14" x14ac:dyDescent="0.2">
      <c r="AG130" s="1"/>
      <c r="AH130" s="7"/>
    </row>
    <row r="131" spans="33:34" ht="14" x14ac:dyDescent="0.2">
      <c r="AG131" s="1"/>
      <c r="AH131" s="7"/>
    </row>
    <row r="132" spans="33:34" ht="14" x14ac:dyDescent="0.2">
      <c r="AG132" s="1"/>
      <c r="AH132" s="7"/>
    </row>
    <row r="133" spans="33:34" ht="14" x14ac:dyDescent="0.2">
      <c r="AG133" s="1"/>
      <c r="AH133" s="7"/>
    </row>
    <row r="134" spans="33:34" ht="14" x14ac:dyDescent="0.2">
      <c r="AG134" s="1"/>
      <c r="AH134" s="7"/>
    </row>
    <row r="135" spans="33:34" ht="14" x14ac:dyDescent="0.2">
      <c r="AG135" s="1"/>
      <c r="AH135" s="7"/>
    </row>
    <row r="136" spans="33:34" ht="14" x14ac:dyDescent="0.2">
      <c r="AG136" s="1"/>
      <c r="AH136" s="7"/>
    </row>
    <row r="137" spans="33:34" ht="14" x14ac:dyDescent="0.2">
      <c r="AG137" s="1"/>
      <c r="AH137" s="7"/>
    </row>
    <row r="138" spans="33:34" ht="14" x14ac:dyDescent="0.2">
      <c r="AG138" s="1"/>
      <c r="AH138" s="7"/>
    </row>
    <row r="139" spans="33:34" ht="14" x14ac:dyDescent="0.2">
      <c r="AG139" s="1"/>
      <c r="AH139" s="7"/>
    </row>
    <row r="140" spans="33:34" ht="14" x14ac:dyDescent="0.2">
      <c r="AG140" s="1"/>
      <c r="AH140" s="7"/>
    </row>
    <row r="141" spans="33:34" ht="14" x14ac:dyDescent="0.2">
      <c r="AG141" s="1"/>
      <c r="AH141" s="7"/>
    </row>
    <row r="142" spans="33:34" ht="14" x14ac:dyDescent="0.2">
      <c r="AG142" s="1"/>
      <c r="AH142" s="7"/>
    </row>
    <row r="143" spans="33:34" ht="14" x14ac:dyDescent="0.2">
      <c r="AG143" s="1"/>
      <c r="AH143" s="7"/>
    </row>
    <row r="144" spans="33:34" ht="14" x14ac:dyDescent="0.2">
      <c r="AG144" s="1"/>
      <c r="AH144" s="7"/>
    </row>
    <row r="145" spans="33:34" ht="14" x14ac:dyDescent="0.2">
      <c r="AG145" s="1"/>
      <c r="AH145" s="7"/>
    </row>
    <row r="146" spans="33:34" ht="14" x14ac:dyDescent="0.2">
      <c r="AG146" s="1"/>
      <c r="AH146" s="7"/>
    </row>
    <row r="147" spans="33:34" ht="14" x14ac:dyDescent="0.2">
      <c r="AG147" s="1"/>
      <c r="AH147" s="7"/>
    </row>
    <row r="148" spans="33:34" ht="14" x14ac:dyDescent="0.2">
      <c r="AG148" s="1"/>
      <c r="AH148" s="7"/>
    </row>
    <row r="149" spans="33:34" ht="14" x14ac:dyDescent="0.2">
      <c r="AG149" s="1"/>
      <c r="AH149" s="7"/>
    </row>
    <row r="150" spans="33:34" ht="14" x14ac:dyDescent="0.2">
      <c r="AG150" s="1"/>
      <c r="AH150" s="7"/>
    </row>
    <row r="151" spans="33:34" ht="14" x14ac:dyDescent="0.2">
      <c r="AG151" s="1"/>
      <c r="AH151" s="7"/>
    </row>
    <row r="152" spans="33:34" ht="14" x14ac:dyDescent="0.2">
      <c r="AG152" s="1"/>
      <c r="AH152" s="7"/>
    </row>
    <row r="153" spans="33:34" ht="14" x14ac:dyDescent="0.2">
      <c r="AG153" s="1"/>
      <c r="AH153" s="7"/>
    </row>
    <row r="154" spans="33:34" ht="14" x14ac:dyDescent="0.2">
      <c r="AG154" s="1"/>
      <c r="AH154" s="7"/>
    </row>
    <row r="155" spans="33:34" ht="14" x14ac:dyDescent="0.2">
      <c r="AG155" s="1"/>
      <c r="AH155" s="7"/>
    </row>
    <row r="156" spans="33:34" ht="14" x14ac:dyDescent="0.2">
      <c r="AG156" s="1"/>
      <c r="AH156" s="7"/>
    </row>
    <row r="157" spans="33:34" ht="14" x14ac:dyDescent="0.2">
      <c r="AG157" s="1"/>
      <c r="AH157" s="7"/>
    </row>
    <row r="158" spans="33:34" ht="14" x14ac:dyDescent="0.2">
      <c r="AG158" s="1"/>
      <c r="AH158" s="7"/>
    </row>
    <row r="159" spans="33:34" ht="14" x14ac:dyDescent="0.2">
      <c r="AG159" s="1"/>
      <c r="AH159" s="7"/>
    </row>
    <row r="160" spans="33:34" ht="14" x14ac:dyDescent="0.2">
      <c r="AG160" s="1"/>
      <c r="AH160" s="7"/>
    </row>
    <row r="161" spans="33:34" ht="14" x14ac:dyDescent="0.2">
      <c r="AG161" s="1"/>
      <c r="AH161" s="7"/>
    </row>
    <row r="162" spans="33:34" ht="14" x14ac:dyDescent="0.2">
      <c r="AG162" s="1"/>
      <c r="AH162" s="7"/>
    </row>
    <row r="163" spans="33:34" ht="14" x14ac:dyDescent="0.2">
      <c r="AG163" s="1"/>
      <c r="AH163" s="7"/>
    </row>
    <row r="164" spans="33:34" ht="14" x14ac:dyDescent="0.2">
      <c r="AG164" s="1"/>
      <c r="AH164" s="7"/>
    </row>
    <row r="165" spans="33:34" ht="14" x14ac:dyDescent="0.2">
      <c r="AG165" s="1"/>
      <c r="AH165" s="7"/>
    </row>
    <row r="166" spans="33:34" ht="14" x14ac:dyDescent="0.2">
      <c r="AG166" s="1"/>
      <c r="AH166" s="7"/>
    </row>
    <row r="167" spans="33:34" ht="14" x14ac:dyDescent="0.2">
      <c r="AG167" s="1"/>
      <c r="AH167" s="7"/>
    </row>
    <row r="168" spans="33:34" ht="14" x14ac:dyDescent="0.2">
      <c r="AG168" s="1"/>
      <c r="AH168" s="7"/>
    </row>
    <row r="169" spans="33:34" ht="14" x14ac:dyDescent="0.2">
      <c r="AG169" s="1"/>
      <c r="AH169" s="7"/>
    </row>
    <row r="170" spans="33:34" ht="14" x14ac:dyDescent="0.2">
      <c r="AG170" s="1"/>
      <c r="AH170" s="7"/>
    </row>
    <row r="171" spans="33:34" ht="14" x14ac:dyDescent="0.2">
      <c r="AG171" s="1"/>
      <c r="AH171" s="7"/>
    </row>
    <row r="172" spans="33:34" ht="14" x14ac:dyDescent="0.2">
      <c r="AG172" s="1"/>
      <c r="AH172" s="7"/>
    </row>
    <row r="173" spans="33:34" ht="14" x14ac:dyDescent="0.2">
      <c r="AG173" s="1"/>
      <c r="AH173" s="7"/>
    </row>
    <row r="174" spans="33:34" ht="14" x14ac:dyDescent="0.2">
      <c r="AG174" s="1"/>
      <c r="AH174" s="7"/>
    </row>
    <row r="175" spans="33:34" ht="14" x14ac:dyDescent="0.2">
      <c r="AG175" s="1"/>
      <c r="AH175" s="7"/>
    </row>
    <row r="176" spans="33:34" ht="14" x14ac:dyDescent="0.2">
      <c r="AG176" s="1"/>
      <c r="AH176" s="7"/>
    </row>
    <row r="177" spans="33:34" ht="14" x14ac:dyDescent="0.2">
      <c r="AG177" s="1"/>
      <c r="AH177" s="7"/>
    </row>
    <row r="178" spans="33:34" ht="14" x14ac:dyDescent="0.2">
      <c r="AG178" s="1"/>
      <c r="AH178" s="7"/>
    </row>
    <row r="179" spans="33:34" ht="14" x14ac:dyDescent="0.2">
      <c r="AG179" s="1"/>
      <c r="AH179" s="7"/>
    </row>
    <row r="180" spans="33:34" ht="14" x14ac:dyDescent="0.2">
      <c r="AG180" s="1"/>
      <c r="AH180" s="7"/>
    </row>
    <row r="181" spans="33:34" ht="14" x14ac:dyDescent="0.2">
      <c r="AG181" s="1"/>
      <c r="AH181" s="7"/>
    </row>
    <row r="182" spans="33:34" ht="14" x14ac:dyDescent="0.2">
      <c r="AG182" s="1"/>
      <c r="AH182" s="7"/>
    </row>
    <row r="183" spans="33:34" ht="14" x14ac:dyDescent="0.2">
      <c r="AG183" s="1"/>
      <c r="AH183" s="7"/>
    </row>
    <row r="184" spans="33:34" ht="14" x14ac:dyDescent="0.2">
      <c r="AG184" s="1"/>
      <c r="AH184" s="7"/>
    </row>
    <row r="185" spans="33:34" ht="14" x14ac:dyDescent="0.2">
      <c r="AG185" s="1"/>
      <c r="AH185" s="7"/>
    </row>
    <row r="186" spans="33:34" ht="14" x14ac:dyDescent="0.2">
      <c r="AG186" s="1"/>
      <c r="AH186" s="7"/>
    </row>
    <row r="187" spans="33:34" ht="14" x14ac:dyDescent="0.2">
      <c r="AG187" s="1"/>
      <c r="AH187" s="7"/>
    </row>
    <row r="188" spans="33:34" ht="14" x14ac:dyDescent="0.2">
      <c r="AG188" s="1"/>
      <c r="AH188" s="7"/>
    </row>
    <row r="189" spans="33:34" ht="14" x14ac:dyDescent="0.2">
      <c r="AG189" s="1"/>
      <c r="AH189" s="7"/>
    </row>
    <row r="190" spans="33:34" ht="14" x14ac:dyDescent="0.2">
      <c r="AG190" s="1"/>
      <c r="AH190" s="7"/>
    </row>
    <row r="191" spans="33:34" ht="14" x14ac:dyDescent="0.2">
      <c r="AG191" s="1"/>
      <c r="AH191" s="7"/>
    </row>
    <row r="192" spans="33:34" ht="14" x14ac:dyDescent="0.2">
      <c r="AG192" s="1"/>
      <c r="AH192" s="7"/>
    </row>
    <row r="193" spans="33:34" ht="14" x14ac:dyDescent="0.2">
      <c r="AG193" s="1"/>
      <c r="AH193" s="7"/>
    </row>
    <row r="194" spans="33:34" ht="14" x14ac:dyDescent="0.2">
      <c r="AG194" s="1"/>
      <c r="AH194" s="7"/>
    </row>
    <row r="195" spans="33:34" ht="14" x14ac:dyDescent="0.2">
      <c r="AG195" s="1"/>
      <c r="AH195" s="7"/>
    </row>
    <row r="196" spans="33:34" ht="14" x14ac:dyDescent="0.2">
      <c r="AG196" s="1"/>
      <c r="AH196" s="7"/>
    </row>
    <row r="197" spans="33:34" ht="14" x14ac:dyDescent="0.2">
      <c r="AG197" s="1"/>
      <c r="AH197" s="7"/>
    </row>
    <row r="198" spans="33:34" ht="14" x14ac:dyDescent="0.2">
      <c r="AG198" s="1"/>
      <c r="AH198" s="7"/>
    </row>
    <row r="199" spans="33:34" ht="14" x14ac:dyDescent="0.2">
      <c r="AG199" s="1"/>
      <c r="AH199" s="7"/>
    </row>
    <row r="200" spans="33:34" ht="14" x14ac:dyDescent="0.2">
      <c r="AG200" s="1"/>
      <c r="AH200" s="7"/>
    </row>
    <row r="201" spans="33:34" ht="14" x14ac:dyDescent="0.2">
      <c r="AG201" s="1"/>
      <c r="AH201" s="7"/>
    </row>
    <row r="202" spans="33:34" ht="14" x14ac:dyDescent="0.2">
      <c r="AG202" s="1"/>
      <c r="AH202" s="7"/>
    </row>
    <row r="203" spans="33:34" ht="14" x14ac:dyDescent="0.2">
      <c r="AG203" s="1"/>
      <c r="AH203" s="7"/>
    </row>
    <row r="204" spans="33:34" ht="14" x14ac:dyDescent="0.2">
      <c r="AG204" s="1"/>
      <c r="AH204" s="7"/>
    </row>
    <row r="205" spans="33:34" ht="14" x14ac:dyDescent="0.2">
      <c r="AG205" s="1"/>
      <c r="AH205" s="7"/>
    </row>
    <row r="206" spans="33:34" ht="14" x14ac:dyDescent="0.2">
      <c r="AG206" s="1"/>
      <c r="AH206" s="7"/>
    </row>
    <row r="207" spans="33:34" ht="14" x14ac:dyDescent="0.2">
      <c r="AG207" s="1"/>
      <c r="AH207" s="7"/>
    </row>
    <row r="208" spans="33:34" ht="14" x14ac:dyDescent="0.2">
      <c r="AG208" s="1"/>
      <c r="AH208" s="7"/>
    </row>
    <row r="209" spans="33:34" ht="14" x14ac:dyDescent="0.2">
      <c r="AG209" s="1"/>
      <c r="AH209" s="7"/>
    </row>
    <row r="210" spans="33:34" ht="14" x14ac:dyDescent="0.2">
      <c r="AG210" s="1"/>
      <c r="AH210" s="7"/>
    </row>
    <row r="211" spans="33:34" ht="14" x14ac:dyDescent="0.2">
      <c r="AG211" s="1"/>
      <c r="AH211" s="7"/>
    </row>
    <row r="212" spans="33:34" ht="14" x14ac:dyDescent="0.2">
      <c r="AG212" s="1"/>
      <c r="AH212" s="7"/>
    </row>
    <row r="213" spans="33:34" ht="14" x14ac:dyDescent="0.2">
      <c r="AG213" s="1"/>
      <c r="AH213" s="7"/>
    </row>
    <row r="214" spans="33:34" ht="14" x14ac:dyDescent="0.2">
      <c r="AG214" s="1"/>
      <c r="AH214" s="7"/>
    </row>
    <row r="215" spans="33:34" ht="14" x14ac:dyDescent="0.2">
      <c r="AG215" s="1"/>
      <c r="AH215" s="7"/>
    </row>
    <row r="216" spans="33:34" ht="14" x14ac:dyDescent="0.2">
      <c r="AG216" s="1"/>
      <c r="AH216" s="7"/>
    </row>
    <row r="217" spans="33:34" ht="14" x14ac:dyDescent="0.2">
      <c r="AG217" s="1"/>
      <c r="AH217" s="7"/>
    </row>
    <row r="218" spans="33:34" ht="14" x14ac:dyDescent="0.2">
      <c r="AG218" s="1"/>
      <c r="AH218" s="7"/>
    </row>
    <row r="219" spans="33:34" ht="14" x14ac:dyDescent="0.2">
      <c r="AG219" s="1"/>
      <c r="AH219" s="7"/>
    </row>
    <row r="220" spans="33:34" ht="14" x14ac:dyDescent="0.2">
      <c r="AG220" s="1"/>
      <c r="AH220" s="7"/>
    </row>
    <row r="221" spans="33:34" ht="14" x14ac:dyDescent="0.2">
      <c r="AG221" s="1"/>
      <c r="AH221" s="7"/>
    </row>
    <row r="222" spans="33:34" ht="14" x14ac:dyDescent="0.2">
      <c r="AG222" s="1"/>
      <c r="AH222" s="7"/>
    </row>
    <row r="223" spans="33:34" ht="14" x14ac:dyDescent="0.2">
      <c r="AG223" s="1"/>
      <c r="AH223" s="7"/>
    </row>
    <row r="224" spans="33:34" ht="14" x14ac:dyDescent="0.2">
      <c r="AG224" s="1"/>
      <c r="AH224" s="7"/>
    </row>
    <row r="225" spans="33:34" ht="14" x14ac:dyDescent="0.2">
      <c r="AG225" s="1"/>
      <c r="AH225" s="7"/>
    </row>
    <row r="226" spans="33:34" ht="14" x14ac:dyDescent="0.2">
      <c r="AG226" s="1"/>
      <c r="AH226" s="7"/>
    </row>
    <row r="227" spans="33:34" ht="14" x14ac:dyDescent="0.2">
      <c r="AG227" s="1"/>
      <c r="AH227" s="7"/>
    </row>
    <row r="228" spans="33:34" ht="14" x14ac:dyDescent="0.2">
      <c r="AG228" s="1"/>
      <c r="AH228" s="7"/>
    </row>
    <row r="229" spans="33:34" ht="14" x14ac:dyDescent="0.2">
      <c r="AG229" s="1"/>
      <c r="AH229" s="7"/>
    </row>
    <row r="230" spans="33:34" ht="14" x14ac:dyDescent="0.2">
      <c r="AG230" s="1"/>
      <c r="AH230" s="7"/>
    </row>
    <row r="231" spans="33:34" ht="14" x14ac:dyDescent="0.2">
      <c r="AG231" s="1"/>
      <c r="AH231" s="7"/>
    </row>
    <row r="232" spans="33:34" ht="14" x14ac:dyDescent="0.2">
      <c r="AG232" s="1"/>
      <c r="AH232" s="7"/>
    </row>
    <row r="233" spans="33:34" ht="14" x14ac:dyDescent="0.2">
      <c r="AG233" s="1"/>
      <c r="AH233" s="7"/>
    </row>
    <row r="234" spans="33:34" ht="14" x14ac:dyDescent="0.2">
      <c r="AG234" s="1"/>
      <c r="AH234" s="7"/>
    </row>
    <row r="235" spans="33:34" ht="14" x14ac:dyDescent="0.2">
      <c r="AG235" s="1"/>
      <c r="AH235" s="7"/>
    </row>
    <row r="236" spans="33:34" ht="14" x14ac:dyDescent="0.2">
      <c r="AG236" s="1"/>
      <c r="AH236" s="7"/>
    </row>
    <row r="237" spans="33:34" ht="14" x14ac:dyDescent="0.2">
      <c r="AG237" s="1"/>
      <c r="AH237" s="7"/>
    </row>
    <row r="238" spans="33:34" ht="14" x14ac:dyDescent="0.2">
      <c r="AG238" s="1"/>
      <c r="AH238" s="7"/>
    </row>
    <row r="239" spans="33:34" ht="14" x14ac:dyDescent="0.2">
      <c r="AG239" s="1"/>
      <c r="AH239" s="7"/>
    </row>
    <row r="240" spans="33:34" ht="14" x14ac:dyDescent="0.2">
      <c r="AG240" s="1"/>
      <c r="AH240" s="7"/>
    </row>
    <row r="241" spans="33:34" ht="14" x14ac:dyDescent="0.2">
      <c r="AG241" s="1"/>
      <c r="AH241" s="7"/>
    </row>
    <row r="242" spans="33:34" ht="14" x14ac:dyDescent="0.2">
      <c r="AG242" s="1"/>
      <c r="AH242" s="7"/>
    </row>
    <row r="243" spans="33:34" ht="14" x14ac:dyDescent="0.2">
      <c r="AG243" s="1"/>
      <c r="AH243" s="7"/>
    </row>
    <row r="244" spans="33:34" ht="14" x14ac:dyDescent="0.2">
      <c r="AG244" s="1"/>
      <c r="AH244" s="7"/>
    </row>
    <row r="245" spans="33:34" ht="14" x14ac:dyDescent="0.2">
      <c r="AG245" s="1"/>
      <c r="AH245" s="7"/>
    </row>
    <row r="246" spans="33:34" ht="14" x14ac:dyDescent="0.2">
      <c r="AG246" s="1"/>
      <c r="AH246" s="7"/>
    </row>
    <row r="247" spans="33:34" ht="14" x14ac:dyDescent="0.2">
      <c r="AG247" s="1"/>
      <c r="AH247" s="7"/>
    </row>
    <row r="248" spans="33:34" ht="14" x14ac:dyDescent="0.2">
      <c r="AG248" s="1"/>
      <c r="AH248" s="7"/>
    </row>
    <row r="249" spans="33:34" ht="14" x14ac:dyDescent="0.2">
      <c r="AG249" s="1"/>
      <c r="AH249" s="7"/>
    </row>
    <row r="250" spans="33:34" ht="14" x14ac:dyDescent="0.2">
      <c r="AG250" s="1"/>
      <c r="AH250" s="7"/>
    </row>
    <row r="251" spans="33:34" ht="14" x14ac:dyDescent="0.2">
      <c r="AG251" s="1"/>
      <c r="AH251" s="7"/>
    </row>
    <row r="252" spans="33:34" ht="14" x14ac:dyDescent="0.2">
      <c r="AG252" s="1"/>
      <c r="AH252" s="7"/>
    </row>
    <row r="253" spans="33:34" ht="14" x14ac:dyDescent="0.2">
      <c r="AG253" s="1"/>
      <c r="AH253" s="7"/>
    </row>
    <row r="254" spans="33:34" ht="14" x14ac:dyDescent="0.2">
      <c r="AG254" s="1"/>
      <c r="AH254" s="7"/>
    </row>
    <row r="255" spans="33:34" ht="14" x14ac:dyDescent="0.2">
      <c r="AG255" s="1"/>
      <c r="AH255" s="7"/>
    </row>
    <row r="256" spans="33:34" ht="14" x14ac:dyDescent="0.2">
      <c r="AG256" s="1"/>
      <c r="AH256" s="7"/>
    </row>
    <row r="257" spans="33:34" ht="14" x14ac:dyDescent="0.2">
      <c r="AG257" s="1"/>
      <c r="AH257" s="7"/>
    </row>
    <row r="258" spans="33:34" ht="14" x14ac:dyDescent="0.2">
      <c r="AG258" s="1"/>
      <c r="AH258" s="7"/>
    </row>
    <row r="259" spans="33:34" ht="14" x14ac:dyDescent="0.2">
      <c r="AG259" s="1"/>
      <c r="AH259" s="7"/>
    </row>
    <row r="260" spans="33:34" ht="14" x14ac:dyDescent="0.2">
      <c r="AG260" s="1"/>
      <c r="AH260" s="7"/>
    </row>
    <row r="261" spans="33:34" ht="14" x14ac:dyDescent="0.2">
      <c r="AG261" s="1"/>
      <c r="AH261" s="7"/>
    </row>
    <row r="262" spans="33:34" ht="14" x14ac:dyDescent="0.2">
      <c r="AG262" s="1"/>
      <c r="AH262" s="7"/>
    </row>
    <row r="263" spans="33:34" ht="14" x14ac:dyDescent="0.2">
      <c r="AG263" s="1"/>
      <c r="AH263" s="7"/>
    </row>
    <row r="264" spans="33:34" ht="14" x14ac:dyDescent="0.2">
      <c r="AG264" s="1"/>
      <c r="AH264" s="7"/>
    </row>
    <row r="265" spans="33:34" ht="14" x14ac:dyDescent="0.2">
      <c r="AG265" s="1"/>
      <c r="AH265" s="7"/>
    </row>
    <row r="266" spans="33:34" ht="14" x14ac:dyDescent="0.2">
      <c r="AG266" s="1"/>
      <c r="AH266" s="7"/>
    </row>
    <row r="267" spans="33:34" ht="14" x14ac:dyDescent="0.2">
      <c r="AG267" s="1"/>
      <c r="AH267" s="7"/>
    </row>
    <row r="268" spans="33:34" ht="14" x14ac:dyDescent="0.2">
      <c r="AG268" s="1"/>
      <c r="AH268" s="7"/>
    </row>
    <row r="269" spans="33:34" ht="14" x14ac:dyDescent="0.2">
      <c r="AG269" s="1"/>
      <c r="AH269" s="7"/>
    </row>
    <row r="270" spans="33:34" ht="14" x14ac:dyDescent="0.2">
      <c r="AG270" s="1"/>
      <c r="AH270" s="7"/>
    </row>
    <row r="271" spans="33:34" ht="14" x14ac:dyDescent="0.2">
      <c r="AG271" s="1"/>
      <c r="AH271" s="7"/>
    </row>
    <row r="272" spans="33:34" ht="14" x14ac:dyDescent="0.2">
      <c r="AG272" s="1"/>
      <c r="AH272" s="7"/>
    </row>
    <row r="273" spans="33:34" ht="14" x14ac:dyDescent="0.2">
      <c r="AG273" s="1"/>
      <c r="AH273" s="7"/>
    </row>
    <row r="274" spans="33:34" ht="14" x14ac:dyDescent="0.2">
      <c r="AG274" s="1"/>
      <c r="AH274" s="7"/>
    </row>
    <row r="275" spans="33:34" ht="14" x14ac:dyDescent="0.2">
      <c r="AG275" s="1"/>
      <c r="AH275" s="7"/>
    </row>
    <row r="276" spans="33:34" ht="14" x14ac:dyDescent="0.2">
      <c r="AG276" s="1"/>
      <c r="AH276" s="7"/>
    </row>
    <row r="277" spans="33:34" ht="14" x14ac:dyDescent="0.2">
      <c r="AG277" s="1"/>
      <c r="AH277" s="7"/>
    </row>
    <row r="278" spans="33:34" ht="14" x14ac:dyDescent="0.2">
      <c r="AG278" s="1"/>
      <c r="AH278" s="7"/>
    </row>
    <row r="279" spans="33:34" ht="14" x14ac:dyDescent="0.2">
      <c r="AG279" s="1"/>
      <c r="AH279" s="7"/>
    </row>
    <row r="280" spans="33:34" ht="14" x14ac:dyDescent="0.2">
      <c r="AG280" s="1"/>
      <c r="AH280" s="7"/>
    </row>
    <row r="281" spans="33:34" ht="14" x14ac:dyDescent="0.2">
      <c r="AG281" s="1"/>
      <c r="AH281" s="7"/>
    </row>
    <row r="282" spans="33:34" ht="14" x14ac:dyDescent="0.2">
      <c r="AG282" s="1"/>
      <c r="AH282" s="7"/>
    </row>
    <row r="283" spans="33:34" ht="14" x14ac:dyDescent="0.2">
      <c r="AG283" s="1"/>
      <c r="AH283" s="7"/>
    </row>
    <row r="284" spans="33:34" ht="14" x14ac:dyDescent="0.2">
      <c r="AG284" s="1"/>
      <c r="AH284" s="7"/>
    </row>
    <row r="285" spans="33:34" ht="14" x14ac:dyDescent="0.2">
      <c r="AG285" s="1"/>
      <c r="AH285" s="7"/>
    </row>
    <row r="286" spans="33:34" ht="14" x14ac:dyDescent="0.2">
      <c r="AG286" s="1"/>
      <c r="AH286" s="7"/>
    </row>
    <row r="287" spans="33:34" ht="14" x14ac:dyDescent="0.2">
      <c r="AG287" s="1"/>
      <c r="AH287" s="7"/>
    </row>
    <row r="288" spans="33:34" ht="14" x14ac:dyDescent="0.2">
      <c r="AG288" s="1"/>
      <c r="AH288" s="7"/>
    </row>
    <row r="289" spans="33:34" ht="14" x14ac:dyDescent="0.2">
      <c r="AG289" s="1"/>
      <c r="AH289" s="7"/>
    </row>
    <row r="290" spans="33:34" ht="14" x14ac:dyDescent="0.2">
      <c r="AG290" s="1"/>
      <c r="AH290" s="7"/>
    </row>
    <row r="291" spans="33:34" ht="14" x14ac:dyDescent="0.2">
      <c r="AG291" s="1"/>
      <c r="AH291" s="7"/>
    </row>
    <row r="292" spans="33:34" ht="14" x14ac:dyDescent="0.2">
      <c r="AG292" s="1"/>
      <c r="AH292" s="7"/>
    </row>
    <row r="293" spans="33:34" ht="14" x14ac:dyDescent="0.2">
      <c r="AG293" s="1"/>
      <c r="AH293" s="7"/>
    </row>
    <row r="294" spans="33:34" ht="14" x14ac:dyDescent="0.2">
      <c r="AG294" s="1"/>
      <c r="AH294" s="7"/>
    </row>
    <row r="295" spans="33:34" ht="14" x14ac:dyDescent="0.2">
      <c r="AG295" s="1"/>
      <c r="AH295" s="7"/>
    </row>
    <row r="296" spans="33:34" ht="14" x14ac:dyDescent="0.2">
      <c r="AG296" s="1"/>
      <c r="AH296" s="7"/>
    </row>
    <row r="297" spans="33:34" ht="14" x14ac:dyDescent="0.2">
      <c r="AG297" s="1"/>
      <c r="AH297" s="7"/>
    </row>
    <row r="298" spans="33:34" ht="14" x14ac:dyDescent="0.2">
      <c r="AG298" s="1"/>
      <c r="AH298" s="7"/>
    </row>
    <row r="299" spans="33:34" ht="14" x14ac:dyDescent="0.2">
      <c r="AG299" s="1"/>
      <c r="AH299" s="7"/>
    </row>
    <row r="300" spans="33:34" ht="14" x14ac:dyDescent="0.2">
      <c r="AG300" s="1"/>
      <c r="AH300" s="7"/>
    </row>
    <row r="301" spans="33:34" ht="14" x14ac:dyDescent="0.2">
      <c r="AG301" s="1"/>
      <c r="AH301" s="7"/>
    </row>
    <row r="302" spans="33:34" ht="14" x14ac:dyDescent="0.2">
      <c r="AG302" s="1"/>
      <c r="AH302" s="7"/>
    </row>
    <row r="303" spans="33:34" ht="14" x14ac:dyDescent="0.2">
      <c r="AG303" s="1"/>
      <c r="AH303" s="7"/>
    </row>
    <row r="304" spans="33:34" ht="14" x14ac:dyDescent="0.2">
      <c r="AG304" s="1"/>
      <c r="AH304" s="7"/>
    </row>
    <row r="305" spans="33:34" ht="14" x14ac:dyDescent="0.2">
      <c r="AG305" s="1"/>
      <c r="AH305" s="7"/>
    </row>
    <row r="306" spans="33:34" ht="14" x14ac:dyDescent="0.2">
      <c r="AG306" s="1"/>
      <c r="AH306" s="7"/>
    </row>
    <row r="307" spans="33:34" ht="14" x14ac:dyDescent="0.2">
      <c r="AG307" s="1"/>
      <c r="AH307" s="7"/>
    </row>
    <row r="308" spans="33:34" ht="14" x14ac:dyDescent="0.2">
      <c r="AG308" s="1"/>
      <c r="AH308" s="7"/>
    </row>
    <row r="309" spans="33:34" ht="14" x14ac:dyDescent="0.2">
      <c r="AG309" s="1"/>
      <c r="AH309" s="7"/>
    </row>
    <row r="310" spans="33:34" ht="14" x14ac:dyDescent="0.2">
      <c r="AG310" s="1"/>
      <c r="AH310" s="7"/>
    </row>
    <row r="311" spans="33:34" ht="14" x14ac:dyDescent="0.2">
      <c r="AG311" s="1"/>
      <c r="AH311" s="7"/>
    </row>
    <row r="312" spans="33:34" ht="14" x14ac:dyDescent="0.2">
      <c r="AG312" s="1"/>
      <c r="AH312" s="7"/>
    </row>
    <row r="313" spans="33:34" ht="14" x14ac:dyDescent="0.2">
      <c r="AG313" s="1"/>
      <c r="AH313" s="7"/>
    </row>
    <row r="314" spans="33:34" ht="14" x14ac:dyDescent="0.2">
      <c r="AG314" s="1"/>
      <c r="AH314" s="7"/>
    </row>
    <row r="315" spans="33:34" ht="14" x14ac:dyDescent="0.2">
      <c r="AG315" s="1"/>
      <c r="AH315" s="7"/>
    </row>
    <row r="316" spans="33:34" ht="14" x14ac:dyDescent="0.2">
      <c r="AG316" s="1"/>
      <c r="AH316" s="7"/>
    </row>
    <row r="317" spans="33:34" ht="14" x14ac:dyDescent="0.2">
      <c r="AG317" s="1"/>
      <c r="AH317" s="7"/>
    </row>
    <row r="318" spans="33:34" ht="14" x14ac:dyDescent="0.2">
      <c r="AG318" s="1"/>
      <c r="AH318" s="7"/>
    </row>
    <row r="319" spans="33:34" ht="14" x14ac:dyDescent="0.2">
      <c r="AG319" s="1"/>
      <c r="AH319" s="7"/>
    </row>
    <row r="320" spans="33:34" ht="14" x14ac:dyDescent="0.2">
      <c r="AG320" s="1"/>
      <c r="AH320" s="7"/>
    </row>
    <row r="321" spans="33:34" ht="14" x14ac:dyDescent="0.2">
      <c r="AG321" s="1"/>
      <c r="AH321" s="7"/>
    </row>
    <row r="322" spans="33:34" ht="14" x14ac:dyDescent="0.2">
      <c r="AG322" s="1"/>
      <c r="AH322" s="7"/>
    </row>
    <row r="323" spans="33:34" ht="14" x14ac:dyDescent="0.2">
      <c r="AG323" s="1"/>
      <c r="AH323" s="7"/>
    </row>
    <row r="324" spans="33:34" ht="14" x14ac:dyDescent="0.2">
      <c r="AG324" s="1"/>
      <c r="AH324" s="7"/>
    </row>
    <row r="325" spans="33:34" ht="14" x14ac:dyDescent="0.2">
      <c r="AG325" s="1"/>
      <c r="AH325" s="7"/>
    </row>
    <row r="326" spans="33:34" ht="14" x14ac:dyDescent="0.2">
      <c r="AG326" s="1"/>
      <c r="AH326" s="7"/>
    </row>
    <row r="327" spans="33:34" ht="14" x14ac:dyDescent="0.2">
      <c r="AG327" s="1"/>
      <c r="AH327" s="7"/>
    </row>
    <row r="328" spans="33:34" ht="14" x14ac:dyDescent="0.2">
      <c r="AG328" s="1"/>
      <c r="AH328" s="7"/>
    </row>
    <row r="329" spans="33:34" ht="14" x14ac:dyDescent="0.2">
      <c r="AG329" s="1"/>
      <c r="AH329" s="7"/>
    </row>
    <row r="330" spans="33:34" ht="14" x14ac:dyDescent="0.2">
      <c r="AG330" s="1"/>
      <c r="AH330" s="7"/>
    </row>
    <row r="331" spans="33:34" ht="14" x14ac:dyDescent="0.2">
      <c r="AG331" s="1"/>
      <c r="AH331" s="7"/>
    </row>
    <row r="332" spans="33:34" ht="14" x14ac:dyDescent="0.2">
      <c r="AG332" s="1"/>
      <c r="AH332" s="7"/>
    </row>
    <row r="333" spans="33:34" ht="14" x14ac:dyDescent="0.2">
      <c r="AG333" s="1"/>
      <c r="AH333" s="7"/>
    </row>
    <row r="334" spans="33:34" ht="14" x14ac:dyDescent="0.2">
      <c r="AG334" s="1"/>
      <c r="AH334" s="7"/>
    </row>
    <row r="335" spans="33:34" ht="14" x14ac:dyDescent="0.2">
      <c r="AG335" s="1"/>
      <c r="AH335" s="7"/>
    </row>
    <row r="336" spans="33:34" ht="14" x14ac:dyDescent="0.2">
      <c r="AG336" s="1"/>
      <c r="AH336" s="7"/>
    </row>
    <row r="337" spans="33:34" ht="14" x14ac:dyDescent="0.2">
      <c r="AG337" s="1"/>
      <c r="AH337" s="7"/>
    </row>
    <row r="338" spans="33:34" ht="14" x14ac:dyDescent="0.2">
      <c r="AG338" s="1"/>
      <c r="AH338" s="7"/>
    </row>
    <row r="339" spans="33:34" ht="14" x14ac:dyDescent="0.2">
      <c r="AG339" s="1"/>
      <c r="AH339" s="7"/>
    </row>
    <row r="340" spans="33:34" ht="14" x14ac:dyDescent="0.2">
      <c r="AG340" s="1"/>
      <c r="AH340" s="7"/>
    </row>
    <row r="341" spans="33:34" ht="14" x14ac:dyDescent="0.2">
      <c r="AG341" s="1"/>
      <c r="AH341" s="7"/>
    </row>
    <row r="342" spans="33:34" ht="14" x14ac:dyDescent="0.2">
      <c r="AG342" s="1"/>
      <c r="AH342" s="7"/>
    </row>
    <row r="343" spans="33:34" ht="14" x14ac:dyDescent="0.2">
      <c r="AG343" s="1"/>
      <c r="AH343" s="7"/>
    </row>
    <row r="344" spans="33:34" ht="14" x14ac:dyDescent="0.2">
      <c r="AG344" s="1"/>
      <c r="AH344" s="7"/>
    </row>
    <row r="345" spans="33:34" ht="14" x14ac:dyDescent="0.2">
      <c r="AG345" s="1"/>
      <c r="AH345" s="7"/>
    </row>
    <row r="346" spans="33:34" ht="14" x14ac:dyDescent="0.2">
      <c r="AG346" s="1"/>
      <c r="AH346" s="7"/>
    </row>
    <row r="347" spans="33:34" ht="14" x14ac:dyDescent="0.2">
      <c r="AG347" s="1"/>
      <c r="AH347" s="7"/>
    </row>
    <row r="348" spans="33:34" ht="14" x14ac:dyDescent="0.2">
      <c r="AG348" s="1"/>
      <c r="AH348" s="7"/>
    </row>
    <row r="349" spans="33:34" ht="14" x14ac:dyDescent="0.2">
      <c r="AG349" s="1"/>
      <c r="AH349" s="7"/>
    </row>
    <row r="350" spans="33:34" ht="14" x14ac:dyDescent="0.2">
      <c r="AG350" s="1"/>
      <c r="AH350" s="7"/>
    </row>
    <row r="351" spans="33:34" ht="14" x14ac:dyDescent="0.2">
      <c r="AG351" s="1"/>
      <c r="AH351" s="7"/>
    </row>
    <row r="352" spans="33:34" ht="14" x14ac:dyDescent="0.2">
      <c r="AG352" s="1"/>
      <c r="AH352" s="7"/>
    </row>
    <row r="353" spans="33:34" ht="14" x14ac:dyDescent="0.2">
      <c r="AG353" s="1"/>
      <c r="AH353" s="7"/>
    </row>
    <row r="354" spans="33:34" ht="14" x14ac:dyDescent="0.2">
      <c r="AG354" s="1"/>
      <c r="AH354" s="7"/>
    </row>
    <row r="355" spans="33:34" ht="14" x14ac:dyDescent="0.2">
      <c r="AG355" s="1"/>
      <c r="AH355" s="7"/>
    </row>
    <row r="356" spans="33:34" ht="14" x14ac:dyDescent="0.2">
      <c r="AG356" s="1"/>
      <c r="AH356" s="7"/>
    </row>
    <row r="357" spans="33:34" ht="14" x14ac:dyDescent="0.2">
      <c r="AG357" s="1"/>
      <c r="AH357" s="7"/>
    </row>
    <row r="358" spans="33:34" ht="14" x14ac:dyDescent="0.2">
      <c r="AG358" s="1"/>
      <c r="AH358" s="7"/>
    </row>
    <row r="359" spans="33:34" ht="14" x14ac:dyDescent="0.2">
      <c r="AG359" s="1"/>
      <c r="AH359" s="7"/>
    </row>
    <row r="360" spans="33:34" ht="14" x14ac:dyDescent="0.2">
      <c r="AG360" s="1"/>
      <c r="AH360" s="7"/>
    </row>
    <row r="361" spans="33:34" ht="14" x14ac:dyDescent="0.2">
      <c r="AG361" s="1"/>
      <c r="AH361" s="7"/>
    </row>
    <row r="362" spans="33:34" ht="14" x14ac:dyDescent="0.2">
      <c r="AG362" s="1"/>
      <c r="AH362" s="7"/>
    </row>
    <row r="363" spans="33:34" ht="14" x14ac:dyDescent="0.2">
      <c r="AG363" s="1"/>
      <c r="AH363" s="7"/>
    </row>
    <row r="364" spans="33:34" ht="14" x14ac:dyDescent="0.2">
      <c r="AG364" s="1"/>
      <c r="AH364" s="7"/>
    </row>
    <row r="365" spans="33:34" ht="14" x14ac:dyDescent="0.2">
      <c r="AG365" s="1"/>
      <c r="AH365" s="7"/>
    </row>
    <row r="366" spans="33:34" ht="14" x14ac:dyDescent="0.2">
      <c r="AG366" s="1"/>
      <c r="AH366" s="7"/>
    </row>
    <row r="367" spans="33:34" ht="14" x14ac:dyDescent="0.2">
      <c r="AG367" s="1"/>
      <c r="AH367" s="7"/>
    </row>
    <row r="368" spans="33:34" ht="14" x14ac:dyDescent="0.2">
      <c r="AG368" s="1"/>
      <c r="AH368" s="7"/>
    </row>
    <row r="369" spans="33:34" ht="14" x14ac:dyDescent="0.2">
      <c r="AG369" s="1"/>
      <c r="AH369" s="7"/>
    </row>
    <row r="370" spans="33:34" ht="14" x14ac:dyDescent="0.2">
      <c r="AG370" s="1"/>
      <c r="AH370" s="7"/>
    </row>
    <row r="371" spans="33:34" ht="14" x14ac:dyDescent="0.2">
      <c r="AG371" s="1"/>
      <c r="AH371" s="7"/>
    </row>
    <row r="372" spans="33:34" ht="14" x14ac:dyDescent="0.2">
      <c r="AG372" s="1"/>
      <c r="AH372" s="7"/>
    </row>
    <row r="373" spans="33:34" ht="14" x14ac:dyDescent="0.2">
      <c r="AG373" s="1"/>
      <c r="AH373" s="7"/>
    </row>
    <row r="374" spans="33:34" ht="14" x14ac:dyDescent="0.2">
      <c r="AG374" s="1"/>
      <c r="AH374" s="7"/>
    </row>
    <row r="375" spans="33:34" ht="14" x14ac:dyDescent="0.2">
      <c r="AG375" s="1"/>
      <c r="AH375" s="7"/>
    </row>
    <row r="376" spans="33:34" ht="14" x14ac:dyDescent="0.2">
      <c r="AG376" s="1"/>
      <c r="AH376" s="7"/>
    </row>
    <row r="377" spans="33:34" ht="14" x14ac:dyDescent="0.2">
      <c r="AG377" s="1"/>
      <c r="AH377" s="7"/>
    </row>
    <row r="378" spans="33:34" ht="14" x14ac:dyDescent="0.2">
      <c r="AG378" s="1"/>
      <c r="AH378" s="7"/>
    </row>
    <row r="379" spans="33:34" ht="14" x14ac:dyDescent="0.2">
      <c r="AG379" s="1"/>
      <c r="AH379" s="7"/>
    </row>
    <row r="380" spans="33:34" ht="14" x14ac:dyDescent="0.2">
      <c r="AG380" s="1"/>
      <c r="AH380" s="7"/>
    </row>
    <row r="381" spans="33:34" ht="14" x14ac:dyDescent="0.2">
      <c r="AG381" s="1"/>
      <c r="AH381" s="7"/>
    </row>
    <row r="382" spans="33:34" ht="14" x14ac:dyDescent="0.2">
      <c r="AG382" s="1"/>
      <c r="AH382" s="7"/>
    </row>
    <row r="383" spans="33:34" ht="14" x14ac:dyDescent="0.2">
      <c r="AG383" s="1"/>
      <c r="AH383" s="7"/>
    </row>
    <row r="384" spans="33:34" ht="14" x14ac:dyDescent="0.2">
      <c r="AG384" s="1"/>
      <c r="AH384" s="7"/>
    </row>
    <row r="385" spans="33:34" ht="14" x14ac:dyDescent="0.2">
      <c r="AG385" s="1"/>
      <c r="AH385" s="7"/>
    </row>
    <row r="386" spans="33:34" ht="14" x14ac:dyDescent="0.2">
      <c r="AG386" s="1"/>
      <c r="AH386" s="7"/>
    </row>
    <row r="387" spans="33:34" ht="14" x14ac:dyDescent="0.2">
      <c r="AG387" s="1"/>
      <c r="AH387" s="7"/>
    </row>
    <row r="388" spans="33:34" ht="14" x14ac:dyDescent="0.2">
      <c r="AG388" s="1"/>
      <c r="AH388" s="7"/>
    </row>
    <row r="389" spans="33:34" ht="14" x14ac:dyDescent="0.2">
      <c r="AG389" s="1"/>
      <c r="AH389" s="7"/>
    </row>
    <row r="390" spans="33:34" ht="14" x14ac:dyDescent="0.2">
      <c r="AG390" s="1"/>
      <c r="AH390" s="7"/>
    </row>
    <row r="391" spans="33:34" ht="14" x14ac:dyDescent="0.2">
      <c r="AG391" s="1"/>
      <c r="AH391" s="7"/>
    </row>
    <row r="392" spans="33:34" ht="14" x14ac:dyDescent="0.2">
      <c r="AG392" s="1"/>
      <c r="AH392" s="7"/>
    </row>
    <row r="393" spans="33:34" ht="14" x14ac:dyDescent="0.2">
      <c r="AG393" s="1"/>
      <c r="AH393" s="7"/>
    </row>
    <row r="394" spans="33:34" ht="14" x14ac:dyDescent="0.2">
      <c r="AG394" s="1"/>
      <c r="AH394" s="7"/>
    </row>
    <row r="395" spans="33:34" ht="14" x14ac:dyDescent="0.2">
      <c r="AG395" s="1"/>
      <c r="AH395" s="7"/>
    </row>
    <row r="396" spans="33:34" ht="14" x14ac:dyDescent="0.2">
      <c r="AG396" s="1"/>
      <c r="AH396" s="7"/>
    </row>
    <row r="397" spans="33:34" ht="14" x14ac:dyDescent="0.2">
      <c r="AG397" s="1"/>
      <c r="AH397" s="7"/>
    </row>
    <row r="398" spans="33:34" ht="14" x14ac:dyDescent="0.2">
      <c r="AG398" s="1"/>
      <c r="AH398" s="7"/>
    </row>
    <row r="399" spans="33:34" ht="14" x14ac:dyDescent="0.2">
      <c r="AG399" s="1"/>
      <c r="AH399" s="7"/>
    </row>
    <row r="400" spans="33:34" ht="14" x14ac:dyDescent="0.2">
      <c r="AG400" s="1"/>
      <c r="AH400" s="7"/>
    </row>
    <row r="401" spans="33:34" ht="14" x14ac:dyDescent="0.2">
      <c r="AG401" s="1"/>
      <c r="AH401" s="7"/>
    </row>
    <row r="402" spans="33:34" ht="14" x14ac:dyDescent="0.2">
      <c r="AG402" s="1"/>
      <c r="AH402" s="7"/>
    </row>
    <row r="403" spans="33:34" ht="14" x14ac:dyDescent="0.2">
      <c r="AG403" s="1"/>
      <c r="AH403" s="7"/>
    </row>
    <row r="404" spans="33:34" ht="14" x14ac:dyDescent="0.2">
      <c r="AG404" s="1"/>
      <c r="AH404" s="7"/>
    </row>
    <row r="405" spans="33:34" ht="14" x14ac:dyDescent="0.2">
      <c r="AG405" s="1"/>
      <c r="AH405" s="7"/>
    </row>
    <row r="406" spans="33:34" ht="14" x14ac:dyDescent="0.2">
      <c r="AG406" s="1"/>
      <c r="AH406" s="7"/>
    </row>
    <row r="407" spans="33:34" ht="14" x14ac:dyDescent="0.2">
      <c r="AG407" s="1"/>
      <c r="AH407" s="7"/>
    </row>
    <row r="408" spans="33:34" ht="14" x14ac:dyDescent="0.2">
      <c r="AG408" s="1"/>
      <c r="AH408" s="7"/>
    </row>
    <row r="409" spans="33:34" ht="14" x14ac:dyDescent="0.2">
      <c r="AG409" s="1"/>
      <c r="AH409" s="7"/>
    </row>
    <row r="410" spans="33:34" ht="14" x14ac:dyDescent="0.2">
      <c r="AG410" s="1"/>
      <c r="AH410" s="7"/>
    </row>
    <row r="411" spans="33:34" ht="14" x14ac:dyDescent="0.2">
      <c r="AG411" s="1"/>
      <c r="AH411" s="7"/>
    </row>
    <row r="412" spans="33:34" ht="14" x14ac:dyDescent="0.2">
      <c r="AG412" s="1"/>
      <c r="AH412" s="7"/>
    </row>
    <row r="413" spans="33:34" ht="14" x14ac:dyDescent="0.2">
      <c r="AG413" s="1"/>
      <c r="AH413" s="7"/>
    </row>
    <row r="414" spans="33:34" ht="14" x14ac:dyDescent="0.2">
      <c r="AG414" s="1"/>
      <c r="AH414" s="7"/>
    </row>
    <row r="415" spans="33:34" ht="14" x14ac:dyDescent="0.2">
      <c r="AG415" s="1"/>
      <c r="AH415" s="7"/>
    </row>
    <row r="416" spans="33:34" ht="14" x14ac:dyDescent="0.2">
      <c r="AG416" s="1"/>
      <c r="AH416" s="7"/>
    </row>
    <row r="417" spans="33:34" ht="14" x14ac:dyDescent="0.2">
      <c r="AG417" s="1"/>
      <c r="AH417" s="7"/>
    </row>
    <row r="418" spans="33:34" ht="14" x14ac:dyDescent="0.2">
      <c r="AG418" s="1"/>
      <c r="AH418" s="7"/>
    </row>
    <row r="419" spans="33:34" ht="14" x14ac:dyDescent="0.2">
      <c r="AG419" s="1"/>
      <c r="AH419" s="7"/>
    </row>
    <row r="420" spans="33:34" ht="14" x14ac:dyDescent="0.2">
      <c r="AG420" s="1"/>
      <c r="AH420" s="7"/>
    </row>
    <row r="421" spans="33:34" ht="14" x14ac:dyDescent="0.2">
      <c r="AG421" s="1"/>
      <c r="AH421" s="7"/>
    </row>
    <row r="422" spans="33:34" ht="14" x14ac:dyDescent="0.2">
      <c r="AG422" s="1"/>
      <c r="AH422" s="7"/>
    </row>
    <row r="423" spans="33:34" ht="14" x14ac:dyDescent="0.2">
      <c r="AG423" s="1"/>
      <c r="AH423" s="7"/>
    </row>
    <row r="424" spans="33:34" ht="14" x14ac:dyDescent="0.2">
      <c r="AG424" s="1"/>
      <c r="AH424" s="7"/>
    </row>
    <row r="425" spans="33:34" ht="14" x14ac:dyDescent="0.2">
      <c r="AG425" s="1"/>
      <c r="AH425" s="7"/>
    </row>
    <row r="426" spans="33:34" ht="14" x14ac:dyDescent="0.2">
      <c r="AG426" s="1"/>
      <c r="AH426" s="7"/>
    </row>
    <row r="427" spans="33:34" ht="14" x14ac:dyDescent="0.2">
      <c r="AG427" s="1"/>
      <c r="AH427" s="7"/>
    </row>
    <row r="428" spans="33:34" ht="14" x14ac:dyDescent="0.2">
      <c r="AG428" s="1"/>
      <c r="AH428" s="7"/>
    </row>
    <row r="429" spans="33:34" ht="14" x14ac:dyDescent="0.2">
      <c r="AG429" s="1"/>
      <c r="AH429" s="7"/>
    </row>
    <row r="430" spans="33:34" ht="14" x14ac:dyDescent="0.2">
      <c r="AG430" s="1"/>
      <c r="AH430" s="7"/>
    </row>
    <row r="431" spans="33:34" ht="14" x14ac:dyDescent="0.2">
      <c r="AG431" s="1"/>
      <c r="AH431" s="7"/>
    </row>
    <row r="432" spans="33:34" ht="14" x14ac:dyDescent="0.2">
      <c r="AG432" s="1"/>
      <c r="AH432" s="7"/>
    </row>
    <row r="433" spans="33:34" ht="14" x14ac:dyDescent="0.2">
      <c r="AG433" s="1"/>
      <c r="AH433" s="7"/>
    </row>
    <row r="434" spans="33:34" ht="14" x14ac:dyDescent="0.2">
      <c r="AG434" s="1"/>
      <c r="AH434" s="7"/>
    </row>
    <row r="435" spans="33:34" ht="14" x14ac:dyDescent="0.2">
      <c r="AG435" s="1"/>
      <c r="AH435" s="7"/>
    </row>
    <row r="436" spans="33:34" ht="14" x14ac:dyDescent="0.2">
      <c r="AG436" s="1"/>
      <c r="AH436" s="7"/>
    </row>
    <row r="437" spans="33:34" ht="14" x14ac:dyDescent="0.2">
      <c r="AG437" s="1"/>
      <c r="AH437" s="7"/>
    </row>
    <row r="438" spans="33:34" ht="14" x14ac:dyDescent="0.2">
      <c r="AG438" s="1"/>
      <c r="AH438" s="7"/>
    </row>
    <row r="439" spans="33:34" ht="14" x14ac:dyDescent="0.2">
      <c r="AG439" s="1"/>
      <c r="AH439" s="7"/>
    </row>
    <row r="440" spans="33:34" ht="14" x14ac:dyDescent="0.2">
      <c r="AG440" s="1"/>
      <c r="AH440" s="7"/>
    </row>
    <row r="441" spans="33:34" ht="14" x14ac:dyDescent="0.2">
      <c r="AG441" s="1"/>
      <c r="AH441" s="7"/>
    </row>
    <row r="442" spans="33:34" ht="14" x14ac:dyDescent="0.2">
      <c r="AG442" s="1"/>
      <c r="AH442" s="7"/>
    </row>
    <row r="443" spans="33:34" ht="14" x14ac:dyDescent="0.2">
      <c r="AG443" s="1"/>
      <c r="AH443" s="7"/>
    </row>
    <row r="444" spans="33:34" ht="14" x14ac:dyDescent="0.2">
      <c r="AG444" s="1"/>
      <c r="AH444" s="7"/>
    </row>
    <row r="445" spans="33:34" ht="14" x14ac:dyDescent="0.2">
      <c r="AG445" s="1"/>
      <c r="AH445" s="7"/>
    </row>
    <row r="446" spans="33:34" ht="14" x14ac:dyDescent="0.2">
      <c r="AG446" s="1"/>
      <c r="AH446" s="7"/>
    </row>
    <row r="447" spans="33:34" ht="14" x14ac:dyDescent="0.2">
      <c r="AG447" s="1"/>
      <c r="AH447" s="7"/>
    </row>
    <row r="448" spans="33:34" ht="14" x14ac:dyDescent="0.2">
      <c r="AG448" s="1"/>
      <c r="AH448" s="7"/>
    </row>
    <row r="449" spans="33:34" ht="14" x14ac:dyDescent="0.2">
      <c r="AG449" s="1"/>
      <c r="AH449" s="7"/>
    </row>
    <row r="450" spans="33:34" ht="14" x14ac:dyDescent="0.2">
      <c r="AG450" s="1"/>
      <c r="AH450" s="7"/>
    </row>
    <row r="451" spans="33:34" ht="14" x14ac:dyDescent="0.2">
      <c r="AG451" s="1"/>
      <c r="AH451" s="7"/>
    </row>
    <row r="452" spans="33:34" ht="14" x14ac:dyDescent="0.2">
      <c r="AG452" s="1"/>
      <c r="AH452" s="7"/>
    </row>
    <row r="453" spans="33:34" ht="14" x14ac:dyDescent="0.2">
      <c r="AG453" s="1"/>
      <c r="AH453" s="7"/>
    </row>
    <row r="454" spans="33:34" ht="14" x14ac:dyDescent="0.2">
      <c r="AG454" s="1"/>
      <c r="AH454" s="7"/>
    </row>
    <row r="455" spans="33:34" ht="14" x14ac:dyDescent="0.2">
      <c r="AG455" s="1"/>
      <c r="AH455" s="7"/>
    </row>
    <row r="456" spans="33:34" ht="14" x14ac:dyDescent="0.2">
      <c r="AG456" s="1"/>
      <c r="AH456" s="7"/>
    </row>
    <row r="457" spans="33:34" ht="14" x14ac:dyDescent="0.2">
      <c r="AG457" s="1"/>
      <c r="AH457" s="7"/>
    </row>
    <row r="458" spans="33:34" ht="14" x14ac:dyDescent="0.2">
      <c r="AG458" s="1"/>
      <c r="AH458" s="7"/>
    </row>
    <row r="459" spans="33:34" ht="14" x14ac:dyDescent="0.2">
      <c r="AG459" s="1"/>
      <c r="AH459" s="7"/>
    </row>
    <row r="460" spans="33:34" ht="14" x14ac:dyDescent="0.2">
      <c r="AG460" s="1"/>
      <c r="AH460" s="7"/>
    </row>
    <row r="461" spans="33:34" ht="14" x14ac:dyDescent="0.2">
      <c r="AG461" s="1"/>
      <c r="AH461" s="7"/>
    </row>
    <row r="462" spans="33:34" ht="14" x14ac:dyDescent="0.2">
      <c r="AG462" s="1"/>
      <c r="AH462" s="7"/>
    </row>
    <row r="463" spans="33:34" ht="14" x14ac:dyDescent="0.2">
      <c r="AG463" s="1"/>
      <c r="AH463" s="7"/>
    </row>
    <row r="464" spans="33:34" ht="14" x14ac:dyDescent="0.2">
      <c r="AG464" s="1"/>
      <c r="AH464" s="7"/>
    </row>
    <row r="465" spans="33:34" ht="14" x14ac:dyDescent="0.2">
      <c r="AG465" s="1"/>
      <c r="AH465" s="7"/>
    </row>
    <row r="466" spans="33:34" ht="14" x14ac:dyDescent="0.2">
      <c r="AG466" s="1"/>
      <c r="AH466" s="7"/>
    </row>
    <row r="467" spans="33:34" ht="14" x14ac:dyDescent="0.2">
      <c r="AG467" s="1"/>
      <c r="AH467" s="7"/>
    </row>
    <row r="468" spans="33:34" ht="14" x14ac:dyDescent="0.2">
      <c r="AG468" s="1"/>
      <c r="AH468" s="7"/>
    </row>
    <row r="469" spans="33:34" ht="14" x14ac:dyDescent="0.2">
      <c r="AG469" s="1"/>
      <c r="AH469" s="7"/>
    </row>
    <row r="470" spans="33:34" ht="14" x14ac:dyDescent="0.2">
      <c r="AG470" s="1"/>
      <c r="AH470" s="7"/>
    </row>
    <row r="471" spans="33:34" ht="14" x14ac:dyDescent="0.2">
      <c r="AG471" s="1"/>
      <c r="AH471" s="7"/>
    </row>
    <row r="472" spans="33:34" ht="14" x14ac:dyDescent="0.2">
      <c r="AG472" s="1"/>
      <c r="AH472" s="7"/>
    </row>
    <row r="473" spans="33:34" ht="14" x14ac:dyDescent="0.2">
      <c r="AG473" s="1"/>
      <c r="AH473" s="7"/>
    </row>
    <row r="474" spans="33:34" ht="14" x14ac:dyDescent="0.2">
      <c r="AG474" s="1"/>
      <c r="AH474" s="7"/>
    </row>
    <row r="475" spans="33:34" ht="14" x14ac:dyDescent="0.2">
      <c r="AG475" s="1"/>
      <c r="AH475" s="7"/>
    </row>
    <row r="476" spans="33:34" ht="14" x14ac:dyDescent="0.2">
      <c r="AG476" s="1"/>
      <c r="AH476" s="7"/>
    </row>
    <row r="477" spans="33:34" ht="14" x14ac:dyDescent="0.2">
      <c r="AG477" s="1"/>
      <c r="AH477" s="7"/>
    </row>
    <row r="478" spans="33:34" ht="14" x14ac:dyDescent="0.2">
      <c r="AG478" s="1"/>
      <c r="AH478" s="7"/>
    </row>
    <row r="479" spans="33:34" ht="14" x14ac:dyDescent="0.2">
      <c r="AG479" s="1"/>
      <c r="AH479" s="7"/>
    </row>
    <row r="480" spans="33:34" ht="14" x14ac:dyDescent="0.2">
      <c r="AG480" s="1"/>
      <c r="AH480" s="7"/>
    </row>
    <row r="481" spans="33:34" ht="14" x14ac:dyDescent="0.2">
      <c r="AG481" s="1"/>
      <c r="AH481" s="7"/>
    </row>
    <row r="482" spans="33:34" ht="14" x14ac:dyDescent="0.2">
      <c r="AG482" s="1"/>
      <c r="AH482" s="7"/>
    </row>
    <row r="483" spans="33:34" ht="14" x14ac:dyDescent="0.2">
      <c r="AG483" s="1"/>
      <c r="AH483" s="7"/>
    </row>
    <row r="484" spans="33:34" ht="14" x14ac:dyDescent="0.2">
      <c r="AG484" s="1"/>
      <c r="AH484" s="7"/>
    </row>
    <row r="485" spans="33:34" ht="14" x14ac:dyDescent="0.2">
      <c r="AG485" s="1"/>
      <c r="AH485" s="7"/>
    </row>
    <row r="486" spans="33:34" ht="14" x14ac:dyDescent="0.2">
      <c r="AG486" s="1"/>
      <c r="AH486" s="7"/>
    </row>
    <row r="487" spans="33:34" ht="14" x14ac:dyDescent="0.2">
      <c r="AG487" s="1"/>
      <c r="AH487" s="7"/>
    </row>
    <row r="488" spans="33:34" ht="14" x14ac:dyDescent="0.2">
      <c r="AG488" s="1"/>
      <c r="AH488" s="7"/>
    </row>
    <row r="489" spans="33:34" ht="14" x14ac:dyDescent="0.2">
      <c r="AG489" s="1"/>
      <c r="AH489" s="7"/>
    </row>
    <row r="490" spans="33:34" ht="14" x14ac:dyDescent="0.2">
      <c r="AG490" s="1"/>
      <c r="AH490" s="7"/>
    </row>
    <row r="491" spans="33:34" ht="14" x14ac:dyDescent="0.2">
      <c r="AG491" s="1"/>
      <c r="AH491" s="7"/>
    </row>
    <row r="492" spans="33:34" ht="14" x14ac:dyDescent="0.2">
      <c r="AG492" s="1"/>
      <c r="AH492" s="7"/>
    </row>
    <row r="493" spans="33:34" ht="14" x14ac:dyDescent="0.2">
      <c r="AG493" s="1"/>
      <c r="AH493" s="7"/>
    </row>
    <row r="494" spans="33:34" ht="14" x14ac:dyDescent="0.2">
      <c r="AG494" s="1"/>
      <c r="AH494" s="7"/>
    </row>
    <row r="495" spans="33:34" ht="14" x14ac:dyDescent="0.2">
      <c r="AG495" s="1"/>
      <c r="AH495" s="7"/>
    </row>
    <row r="496" spans="33:34" ht="14" x14ac:dyDescent="0.2">
      <c r="AG496" s="1"/>
      <c r="AH496" s="7"/>
    </row>
    <row r="497" spans="33:34" ht="14" x14ac:dyDescent="0.2">
      <c r="AG497" s="1"/>
      <c r="AH497" s="7"/>
    </row>
    <row r="498" spans="33:34" ht="14" x14ac:dyDescent="0.2">
      <c r="AG498" s="1"/>
      <c r="AH498" s="7"/>
    </row>
    <row r="499" spans="33:34" ht="14" x14ac:dyDescent="0.2">
      <c r="AG499" s="1"/>
      <c r="AH499" s="7"/>
    </row>
    <row r="500" spans="33:34" ht="14" x14ac:dyDescent="0.2">
      <c r="AG500" s="1"/>
      <c r="AH500" s="7"/>
    </row>
    <row r="501" spans="33:34" ht="14" x14ac:dyDescent="0.2">
      <c r="AG501" s="1"/>
      <c r="AH501" s="7"/>
    </row>
    <row r="502" spans="33:34" ht="14" x14ac:dyDescent="0.2">
      <c r="AG502" s="1"/>
      <c r="AH502" s="7"/>
    </row>
    <row r="503" spans="33:34" ht="14" x14ac:dyDescent="0.2">
      <c r="AG503" s="1"/>
      <c r="AH503" s="7"/>
    </row>
    <row r="504" spans="33:34" ht="14" x14ac:dyDescent="0.2">
      <c r="AG504" s="1"/>
      <c r="AH504" s="7"/>
    </row>
    <row r="505" spans="33:34" ht="14" x14ac:dyDescent="0.2">
      <c r="AG505" s="1"/>
      <c r="AH505" s="7"/>
    </row>
    <row r="506" spans="33:34" ht="14" x14ac:dyDescent="0.2">
      <c r="AG506" s="1"/>
      <c r="AH506" s="7"/>
    </row>
    <row r="507" spans="33:34" ht="14" x14ac:dyDescent="0.2">
      <c r="AG507" s="1"/>
      <c r="AH507" s="7"/>
    </row>
    <row r="508" spans="33:34" ht="14" x14ac:dyDescent="0.2">
      <c r="AG508" s="1"/>
      <c r="AH508" s="7"/>
    </row>
    <row r="509" spans="33:34" ht="14" x14ac:dyDescent="0.2">
      <c r="AG509" s="1"/>
      <c r="AH509" s="7"/>
    </row>
    <row r="510" spans="33:34" ht="14" x14ac:dyDescent="0.2">
      <c r="AG510" s="1"/>
      <c r="AH510" s="7"/>
    </row>
    <row r="511" spans="33:34" ht="14" x14ac:dyDescent="0.2">
      <c r="AG511" s="1"/>
      <c r="AH511" s="7"/>
    </row>
    <row r="512" spans="33:34" ht="14" x14ac:dyDescent="0.2">
      <c r="AG512" s="1"/>
      <c r="AH512" s="7"/>
    </row>
    <row r="513" spans="33:34" ht="14" x14ac:dyDescent="0.2">
      <c r="AG513" s="1"/>
      <c r="AH513" s="7"/>
    </row>
    <row r="514" spans="33:34" ht="14" x14ac:dyDescent="0.2">
      <c r="AG514" s="1"/>
      <c r="AH514" s="7"/>
    </row>
    <row r="515" spans="33:34" ht="14" x14ac:dyDescent="0.2">
      <c r="AG515" s="1"/>
      <c r="AH515" s="7"/>
    </row>
    <row r="516" spans="33:34" ht="14" x14ac:dyDescent="0.2">
      <c r="AG516" s="1"/>
      <c r="AH516" s="7"/>
    </row>
    <row r="517" spans="33:34" ht="14" x14ac:dyDescent="0.2">
      <c r="AG517" s="1"/>
      <c r="AH517" s="7"/>
    </row>
    <row r="518" spans="33:34" ht="14" x14ac:dyDescent="0.2">
      <c r="AG518" s="1"/>
      <c r="AH518" s="7"/>
    </row>
    <row r="519" spans="33:34" ht="14" x14ac:dyDescent="0.2">
      <c r="AG519" s="1"/>
      <c r="AH519" s="7"/>
    </row>
    <row r="520" spans="33:34" ht="14" x14ac:dyDescent="0.2">
      <c r="AG520" s="1"/>
      <c r="AH520" s="7"/>
    </row>
    <row r="521" spans="33:34" ht="14" x14ac:dyDescent="0.2">
      <c r="AG521" s="1"/>
      <c r="AH521" s="7"/>
    </row>
    <row r="522" spans="33:34" ht="14" x14ac:dyDescent="0.2">
      <c r="AG522" s="1"/>
      <c r="AH522" s="7"/>
    </row>
    <row r="523" spans="33:34" ht="14" x14ac:dyDescent="0.2">
      <c r="AG523" s="1"/>
      <c r="AH523" s="7"/>
    </row>
    <row r="524" spans="33:34" ht="14" x14ac:dyDescent="0.2">
      <c r="AG524" s="1"/>
      <c r="AH524" s="7"/>
    </row>
    <row r="525" spans="33:34" ht="14" x14ac:dyDescent="0.2">
      <c r="AG525" s="1"/>
      <c r="AH525" s="7"/>
    </row>
    <row r="526" spans="33:34" ht="14" x14ac:dyDescent="0.2">
      <c r="AG526" s="1"/>
      <c r="AH526" s="7"/>
    </row>
    <row r="527" spans="33:34" ht="14" x14ac:dyDescent="0.2">
      <c r="AG527" s="1"/>
      <c r="AH527" s="7"/>
    </row>
    <row r="528" spans="33:34" ht="14" x14ac:dyDescent="0.2">
      <c r="AG528" s="1"/>
      <c r="AH528" s="7"/>
    </row>
    <row r="529" spans="33:34" ht="14" x14ac:dyDescent="0.2">
      <c r="AG529" s="1"/>
      <c r="AH529" s="7"/>
    </row>
    <row r="530" spans="33:34" ht="14" x14ac:dyDescent="0.2">
      <c r="AG530" s="1"/>
      <c r="AH530" s="7"/>
    </row>
    <row r="531" spans="33:34" ht="14" x14ac:dyDescent="0.2">
      <c r="AG531" s="1"/>
      <c r="AH531" s="7"/>
    </row>
    <row r="532" spans="33:34" ht="14" x14ac:dyDescent="0.2">
      <c r="AG532" s="1"/>
      <c r="AH532" s="7"/>
    </row>
    <row r="533" spans="33:34" ht="14" x14ac:dyDescent="0.2">
      <c r="AG533" s="1"/>
      <c r="AH533" s="7"/>
    </row>
    <row r="534" spans="33:34" ht="14" x14ac:dyDescent="0.2">
      <c r="AG534" s="1"/>
      <c r="AH534" s="7"/>
    </row>
    <row r="535" spans="33:34" ht="14" x14ac:dyDescent="0.2">
      <c r="AG535" s="1"/>
      <c r="AH535" s="7"/>
    </row>
    <row r="536" spans="33:34" ht="14" x14ac:dyDescent="0.2">
      <c r="AG536" s="1"/>
      <c r="AH536" s="7"/>
    </row>
    <row r="537" spans="33:34" ht="14" x14ac:dyDescent="0.2">
      <c r="AG537" s="1"/>
      <c r="AH537" s="7"/>
    </row>
    <row r="538" spans="33:34" ht="14" x14ac:dyDescent="0.2">
      <c r="AG538" s="1"/>
      <c r="AH538" s="7"/>
    </row>
    <row r="539" spans="33:34" ht="14" x14ac:dyDescent="0.2">
      <c r="AG539" s="1"/>
      <c r="AH539" s="7"/>
    </row>
    <row r="540" spans="33:34" ht="14" x14ac:dyDescent="0.2">
      <c r="AG540" s="1"/>
      <c r="AH540" s="7"/>
    </row>
    <row r="541" spans="33:34" ht="14" x14ac:dyDescent="0.2">
      <c r="AG541" s="1"/>
      <c r="AH541" s="7"/>
    </row>
    <row r="542" spans="33:34" ht="14" x14ac:dyDescent="0.2">
      <c r="AG542" s="1"/>
      <c r="AH542" s="7"/>
    </row>
    <row r="543" spans="33:34" ht="14" x14ac:dyDescent="0.2">
      <c r="AG543" s="1"/>
      <c r="AH543" s="7"/>
    </row>
    <row r="544" spans="33:34" ht="14" x14ac:dyDescent="0.2">
      <c r="AG544" s="1"/>
      <c r="AH544" s="7"/>
    </row>
    <row r="545" spans="33:34" ht="14" x14ac:dyDescent="0.2">
      <c r="AG545" s="1"/>
      <c r="AH545" s="7"/>
    </row>
    <row r="546" spans="33:34" ht="14" x14ac:dyDescent="0.2">
      <c r="AG546" s="1"/>
      <c r="AH546" s="7"/>
    </row>
    <row r="547" spans="33:34" ht="14" x14ac:dyDescent="0.2">
      <c r="AG547" s="1"/>
      <c r="AH547" s="7"/>
    </row>
    <row r="548" spans="33:34" ht="14" x14ac:dyDescent="0.2">
      <c r="AG548" s="1"/>
      <c r="AH548" s="7"/>
    </row>
    <row r="549" spans="33:34" ht="14" x14ac:dyDescent="0.2">
      <c r="AG549" s="1"/>
      <c r="AH549" s="7"/>
    </row>
    <row r="550" spans="33:34" ht="14" x14ac:dyDescent="0.2">
      <c r="AG550" s="1"/>
      <c r="AH550" s="7"/>
    </row>
    <row r="551" spans="33:34" ht="14" x14ac:dyDescent="0.2">
      <c r="AG551" s="1"/>
      <c r="AH551" s="7"/>
    </row>
    <row r="552" spans="33:34" ht="14" x14ac:dyDescent="0.2">
      <c r="AG552" s="1"/>
      <c r="AH552" s="7"/>
    </row>
    <row r="553" spans="33:34" ht="14" x14ac:dyDescent="0.2">
      <c r="AG553" s="1"/>
      <c r="AH553" s="7"/>
    </row>
    <row r="554" spans="33:34" ht="14" x14ac:dyDescent="0.2">
      <c r="AG554" s="1"/>
      <c r="AH554" s="7"/>
    </row>
    <row r="555" spans="33:34" ht="14" x14ac:dyDescent="0.2">
      <c r="AG555" s="1"/>
      <c r="AH555" s="7"/>
    </row>
    <row r="556" spans="33:34" ht="14" x14ac:dyDescent="0.2">
      <c r="AG556" s="1"/>
      <c r="AH556" s="7"/>
    </row>
    <row r="557" spans="33:34" ht="14" x14ac:dyDescent="0.2">
      <c r="AG557" s="1"/>
      <c r="AH557" s="7"/>
    </row>
    <row r="558" spans="33:34" ht="14" x14ac:dyDescent="0.2">
      <c r="AG558" s="1"/>
      <c r="AH558" s="7"/>
    </row>
    <row r="559" spans="33:34" ht="14" x14ac:dyDescent="0.2">
      <c r="AG559" s="1"/>
      <c r="AH559" s="7"/>
    </row>
    <row r="560" spans="33:34" ht="14" x14ac:dyDescent="0.2">
      <c r="AG560" s="1"/>
      <c r="AH560" s="7"/>
    </row>
    <row r="561" spans="33:34" ht="14" x14ac:dyDescent="0.2">
      <c r="AG561" s="1"/>
      <c r="AH561" s="7"/>
    </row>
    <row r="562" spans="33:34" ht="14" x14ac:dyDescent="0.2">
      <c r="AG562" s="1"/>
      <c r="AH562" s="7"/>
    </row>
    <row r="563" spans="33:34" ht="14" x14ac:dyDescent="0.2">
      <c r="AG563" s="1"/>
      <c r="AH563" s="7"/>
    </row>
    <row r="564" spans="33:34" ht="14" x14ac:dyDescent="0.2">
      <c r="AG564" s="1"/>
      <c r="AH564" s="7"/>
    </row>
    <row r="565" spans="33:34" ht="14" x14ac:dyDescent="0.2">
      <c r="AG565" s="1"/>
      <c r="AH565" s="7"/>
    </row>
    <row r="566" spans="33:34" ht="14" x14ac:dyDescent="0.2">
      <c r="AG566" s="1"/>
      <c r="AH566" s="7"/>
    </row>
    <row r="567" spans="33:34" ht="14" x14ac:dyDescent="0.2">
      <c r="AG567" s="1"/>
      <c r="AH567" s="7"/>
    </row>
    <row r="568" spans="33:34" ht="14" x14ac:dyDescent="0.2">
      <c r="AG568" s="1"/>
      <c r="AH568" s="7"/>
    </row>
    <row r="569" spans="33:34" ht="14" x14ac:dyDescent="0.2">
      <c r="AG569" s="1"/>
      <c r="AH569" s="7"/>
    </row>
    <row r="570" spans="33:34" ht="14" x14ac:dyDescent="0.2">
      <c r="AG570" s="1"/>
      <c r="AH570" s="7"/>
    </row>
    <row r="571" spans="33:34" ht="14" x14ac:dyDescent="0.2">
      <c r="AG571" s="1"/>
      <c r="AH571" s="7"/>
    </row>
    <row r="572" spans="33:34" ht="14" x14ac:dyDescent="0.2">
      <c r="AG572" s="1"/>
      <c r="AH572" s="7"/>
    </row>
    <row r="573" spans="33:34" ht="14" x14ac:dyDescent="0.2">
      <c r="AG573" s="1"/>
      <c r="AH573" s="7"/>
    </row>
    <row r="574" spans="33:34" ht="14" x14ac:dyDescent="0.2">
      <c r="AG574" s="1"/>
      <c r="AH574" s="7"/>
    </row>
    <row r="575" spans="33:34" ht="14" x14ac:dyDescent="0.2">
      <c r="AG575" s="1"/>
      <c r="AH575" s="7"/>
    </row>
    <row r="576" spans="33:34" ht="14" x14ac:dyDescent="0.2">
      <c r="AG576" s="1"/>
      <c r="AH576" s="7"/>
    </row>
    <row r="577" spans="33:34" ht="14" x14ac:dyDescent="0.2">
      <c r="AG577" s="1"/>
      <c r="AH577" s="7"/>
    </row>
    <row r="578" spans="33:34" ht="14" x14ac:dyDescent="0.2">
      <c r="AG578" s="1"/>
      <c r="AH578" s="7"/>
    </row>
    <row r="579" spans="33:34" ht="14" x14ac:dyDescent="0.2">
      <c r="AG579" s="1"/>
      <c r="AH579" s="7"/>
    </row>
    <row r="580" spans="33:34" ht="14" x14ac:dyDescent="0.2">
      <c r="AG580" s="1"/>
      <c r="AH580" s="7"/>
    </row>
    <row r="581" spans="33:34" ht="14" x14ac:dyDescent="0.2">
      <c r="AG581" s="1"/>
      <c r="AH581" s="7"/>
    </row>
    <row r="582" spans="33:34" ht="14" x14ac:dyDescent="0.2">
      <c r="AG582" s="1"/>
      <c r="AH582" s="7"/>
    </row>
    <row r="583" spans="33:34" ht="14" x14ac:dyDescent="0.2">
      <c r="AG583" s="1"/>
      <c r="AH583" s="7"/>
    </row>
    <row r="584" spans="33:34" ht="14" x14ac:dyDescent="0.2">
      <c r="AG584" s="1"/>
      <c r="AH584" s="7"/>
    </row>
    <row r="585" spans="33:34" ht="14" x14ac:dyDescent="0.2">
      <c r="AG585" s="1"/>
      <c r="AH585" s="7"/>
    </row>
    <row r="586" spans="33:34" ht="14" x14ac:dyDescent="0.2">
      <c r="AG586" s="1"/>
      <c r="AH586" s="7"/>
    </row>
    <row r="587" spans="33:34" ht="14" x14ac:dyDescent="0.2">
      <c r="AG587" s="1"/>
      <c r="AH587" s="7"/>
    </row>
    <row r="588" spans="33:34" ht="14" x14ac:dyDescent="0.2">
      <c r="AG588" s="1"/>
      <c r="AH588" s="7"/>
    </row>
    <row r="589" spans="33:34" ht="14" x14ac:dyDescent="0.2">
      <c r="AG589" s="1"/>
      <c r="AH589" s="7"/>
    </row>
    <row r="590" spans="33:34" ht="14" x14ac:dyDescent="0.2">
      <c r="AG590" s="1"/>
      <c r="AH590" s="7"/>
    </row>
    <row r="591" spans="33:34" ht="14" x14ac:dyDescent="0.2">
      <c r="AG591" s="1"/>
      <c r="AH591" s="7"/>
    </row>
    <row r="592" spans="33:34" ht="14" x14ac:dyDescent="0.2">
      <c r="AG592" s="1"/>
      <c r="AH592" s="7"/>
    </row>
    <row r="593" spans="33:34" ht="14" x14ac:dyDescent="0.2">
      <c r="AG593" s="1"/>
      <c r="AH593" s="7"/>
    </row>
    <row r="594" spans="33:34" ht="14" x14ac:dyDescent="0.2">
      <c r="AG594" s="1"/>
      <c r="AH594" s="7"/>
    </row>
    <row r="595" spans="33:34" ht="14" x14ac:dyDescent="0.2">
      <c r="AG595" s="1"/>
      <c r="AH595" s="7"/>
    </row>
    <row r="596" spans="33:34" ht="14" x14ac:dyDescent="0.2">
      <c r="AG596" s="1"/>
      <c r="AH596" s="7"/>
    </row>
    <row r="597" spans="33:34" ht="14" x14ac:dyDescent="0.2">
      <c r="AG597" s="1"/>
      <c r="AH597" s="7"/>
    </row>
    <row r="598" spans="33:34" ht="14" x14ac:dyDescent="0.2">
      <c r="AG598" s="1"/>
      <c r="AH598" s="7"/>
    </row>
    <row r="599" spans="33:34" ht="14" x14ac:dyDescent="0.2">
      <c r="AG599" s="1"/>
      <c r="AH599" s="7"/>
    </row>
    <row r="600" spans="33:34" ht="14" x14ac:dyDescent="0.2">
      <c r="AG600" s="1"/>
      <c r="AH600" s="7"/>
    </row>
    <row r="601" spans="33:34" ht="14" x14ac:dyDescent="0.2">
      <c r="AG601" s="1"/>
      <c r="AH601" s="7"/>
    </row>
    <row r="602" spans="33:34" ht="14" x14ac:dyDescent="0.2">
      <c r="AG602" s="1"/>
      <c r="AH602" s="7"/>
    </row>
    <row r="603" spans="33:34" ht="14" x14ac:dyDescent="0.2">
      <c r="AG603" s="1"/>
      <c r="AH603" s="7"/>
    </row>
    <row r="604" spans="33:34" ht="14" x14ac:dyDescent="0.2">
      <c r="AG604" s="1"/>
      <c r="AH604" s="7"/>
    </row>
    <row r="605" spans="33:34" ht="14" x14ac:dyDescent="0.2">
      <c r="AG605" s="1"/>
      <c r="AH605" s="7"/>
    </row>
    <row r="606" spans="33:34" ht="14" x14ac:dyDescent="0.2">
      <c r="AG606" s="1"/>
      <c r="AH606" s="7"/>
    </row>
    <row r="607" spans="33:34" ht="14" x14ac:dyDescent="0.2">
      <c r="AG607" s="1"/>
      <c r="AH607" s="7"/>
    </row>
    <row r="608" spans="33:34" ht="14" x14ac:dyDescent="0.2">
      <c r="AG608" s="1"/>
      <c r="AH608" s="7"/>
    </row>
    <row r="609" spans="33:34" ht="14" x14ac:dyDescent="0.2">
      <c r="AG609" s="1"/>
      <c r="AH609" s="7"/>
    </row>
    <row r="610" spans="33:34" ht="14" x14ac:dyDescent="0.2">
      <c r="AG610" s="1"/>
      <c r="AH610" s="7"/>
    </row>
    <row r="611" spans="33:34" ht="14" x14ac:dyDescent="0.2">
      <c r="AG611" s="1"/>
      <c r="AH611" s="7"/>
    </row>
    <row r="612" spans="33:34" ht="14" x14ac:dyDescent="0.2">
      <c r="AG612" s="1"/>
      <c r="AH612" s="7"/>
    </row>
    <row r="613" spans="33:34" ht="14" x14ac:dyDescent="0.2">
      <c r="AG613" s="1"/>
      <c r="AH613" s="7"/>
    </row>
    <row r="614" spans="33:34" ht="14" x14ac:dyDescent="0.2">
      <c r="AG614" s="1"/>
      <c r="AH614" s="7"/>
    </row>
    <row r="615" spans="33:34" ht="14" x14ac:dyDescent="0.2">
      <c r="AG615" s="1"/>
      <c r="AH615" s="7"/>
    </row>
    <row r="616" spans="33:34" ht="14" x14ac:dyDescent="0.2">
      <c r="AG616" s="1"/>
      <c r="AH616" s="7"/>
    </row>
    <row r="617" spans="33:34" ht="14" x14ac:dyDescent="0.2">
      <c r="AG617" s="1"/>
      <c r="AH617" s="7"/>
    </row>
    <row r="618" spans="33:34" ht="14" x14ac:dyDescent="0.2">
      <c r="AG618" s="1"/>
      <c r="AH618" s="7"/>
    </row>
    <row r="619" spans="33:34" ht="14" x14ac:dyDescent="0.2">
      <c r="AG619" s="1"/>
      <c r="AH619" s="7"/>
    </row>
    <row r="620" spans="33:34" ht="14" x14ac:dyDescent="0.2">
      <c r="AG620" s="1"/>
      <c r="AH620" s="7"/>
    </row>
    <row r="621" spans="33:34" ht="14" x14ac:dyDescent="0.2">
      <c r="AG621" s="1"/>
      <c r="AH621" s="7"/>
    </row>
    <row r="622" spans="33:34" ht="14" x14ac:dyDescent="0.2">
      <c r="AG622" s="1"/>
      <c r="AH622" s="7"/>
    </row>
    <row r="623" spans="33:34" ht="14" x14ac:dyDescent="0.2">
      <c r="AG623" s="1"/>
      <c r="AH623" s="7"/>
    </row>
    <row r="624" spans="33:34" ht="14" x14ac:dyDescent="0.2">
      <c r="AG624" s="1"/>
      <c r="AH624" s="7"/>
    </row>
    <row r="625" spans="33:34" ht="14" x14ac:dyDescent="0.2">
      <c r="AG625" s="1"/>
      <c r="AH625" s="7"/>
    </row>
    <row r="626" spans="33:34" ht="14" x14ac:dyDescent="0.2">
      <c r="AG626" s="1"/>
      <c r="AH626" s="7"/>
    </row>
    <row r="627" spans="33:34" ht="14" x14ac:dyDescent="0.2">
      <c r="AG627" s="1"/>
      <c r="AH627" s="7"/>
    </row>
    <row r="628" spans="33:34" ht="14" x14ac:dyDescent="0.2">
      <c r="AG628" s="1"/>
      <c r="AH628" s="7"/>
    </row>
    <row r="629" spans="33:34" ht="14" x14ac:dyDescent="0.2">
      <c r="AG629" s="1"/>
      <c r="AH629" s="7"/>
    </row>
    <row r="630" spans="33:34" ht="14" x14ac:dyDescent="0.2">
      <c r="AG630" s="1"/>
      <c r="AH630" s="7"/>
    </row>
    <row r="631" spans="33:34" ht="14" x14ac:dyDescent="0.2">
      <c r="AG631" s="1"/>
      <c r="AH631" s="7"/>
    </row>
    <row r="632" spans="33:34" ht="14" x14ac:dyDescent="0.2">
      <c r="AG632" s="1"/>
      <c r="AH632" s="7"/>
    </row>
    <row r="633" spans="33:34" ht="14" x14ac:dyDescent="0.2">
      <c r="AG633" s="1"/>
      <c r="AH633" s="7"/>
    </row>
    <row r="634" spans="33:34" ht="14" x14ac:dyDescent="0.2">
      <c r="AG634" s="1"/>
      <c r="AH634" s="7"/>
    </row>
    <row r="635" spans="33:34" ht="14" x14ac:dyDescent="0.2">
      <c r="AG635" s="1"/>
      <c r="AH635" s="7"/>
    </row>
    <row r="636" spans="33:34" ht="14" x14ac:dyDescent="0.2">
      <c r="AG636" s="1"/>
      <c r="AH636" s="7"/>
    </row>
    <row r="637" spans="33:34" ht="14" x14ac:dyDescent="0.2">
      <c r="AG637" s="1"/>
      <c r="AH637" s="7"/>
    </row>
    <row r="638" spans="33:34" ht="14" x14ac:dyDescent="0.2">
      <c r="AG638" s="1"/>
      <c r="AH638" s="7"/>
    </row>
    <row r="639" spans="33:34" ht="14" x14ac:dyDescent="0.2">
      <c r="AG639" s="1"/>
      <c r="AH639" s="7"/>
    </row>
    <row r="640" spans="33:34" ht="14" x14ac:dyDescent="0.2">
      <c r="AG640" s="1"/>
      <c r="AH640" s="7"/>
    </row>
    <row r="641" spans="33:34" ht="14" x14ac:dyDescent="0.2">
      <c r="AG641" s="1"/>
      <c r="AH641" s="7"/>
    </row>
    <row r="642" spans="33:34" ht="14" x14ac:dyDescent="0.2">
      <c r="AG642" s="1"/>
      <c r="AH642" s="7"/>
    </row>
    <row r="643" spans="33:34" ht="14" x14ac:dyDescent="0.2">
      <c r="AG643" s="1"/>
      <c r="AH643" s="7"/>
    </row>
    <row r="644" spans="33:34" ht="14" x14ac:dyDescent="0.2">
      <c r="AG644" s="1"/>
      <c r="AH644" s="7"/>
    </row>
    <row r="645" spans="33:34" ht="14" x14ac:dyDescent="0.2">
      <c r="AG645" s="1"/>
      <c r="AH645" s="7"/>
    </row>
    <row r="646" spans="33:34" ht="14" x14ac:dyDescent="0.2">
      <c r="AG646" s="1"/>
      <c r="AH646" s="7"/>
    </row>
    <row r="647" spans="33:34" ht="14" x14ac:dyDescent="0.2">
      <c r="AG647" s="1"/>
      <c r="AH647" s="7"/>
    </row>
    <row r="648" spans="33:34" ht="14" x14ac:dyDescent="0.2">
      <c r="AG648" s="1"/>
      <c r="AH648" s="7"/>
    </row>
    <row r="649" spans="33:34" ht="14" x14ac:dyDescent="0.2">
      <c r="AG649" s="1"/>
      <c r="AH649" s="7"/>
    </row>
    <row r="650" spans="33:34" ht="14" x14ac:dyDescent="0.2">
      <c r="AG650" s="1"/>
      <c r="AH650" s="7"/>
    </row>
    <row r="651" spans="33:34" ht="14" x14ac:dyDescent="0.2">
      <c r="AG651" s="1"/>
      <c r="AH651" s="7"/>
    </row>
    <row r="652" spans="33:34" ht="14" x14ac:dyDescent="0.2">
      <c r="AG652" s="1"/>
      <c r="AH652" s="7"/>
    </row>
    <row r="653" spans="33:34" ht="14" x14ac:dyDescent="0.2">
      <c r="AG653" s="1"/>
      <c r="AH653" s="7"/>
    </row>
    <row r="654" spans="33:34" ht="14" x14ac:dyDescent="0.2">
      <c r="AG654" s="1"/>
      <c r="AH654" s="7"/>
    </row>
    <row r="655" spans="33:34" ht="14" x14ac:dyDescent="0.2">
      <c r="AG655" s="1"/>
      <c r="AH655" s="7"/>
    </row>
    <row r="656" spans="33:34" ht="14" x14ac:dyDescent="0.2">
      <c r="AG656" s="1"/>
      <c r="AH656" s="7"/>
    </row>
    <row r="657" spans="33:34" ht="14" x14ac:dyDescent="0.2">
      <c r="AG657" s="1"/>
      <c r="AH657" s="7"/>
    </row>
    <row r="658" spans="33:34" ht="14" x14ac:dyDescent="0.2">
      <c r="AG658" s="1"/>
      <c r="AH658" s="7"/>
    </row>
    <row r="659" spans="33:34" ht="14" x14ac:dyDescent="0.2">
      <c r="AG659" s="1"/>
      <c r="AH659" s="7"/>
    </row>
    <row r="660" spans="33:34" ht="14" x14ac:dyDescent="0.2">
      <c r="AG660" s="1"/>
      <c r="AH660" s="7"/>
    </row>
    <row r="661" spans="33:34" ht="14" x14ac:dyDescent="0.2">
      <c r="AG661" s="1"/>
      <c r="AH661" s="7"/>
    </row>
    <row r="662" spans="33:34" ht="14" x14ac:dyDescent="0.2">
      <c r="AG662" s="1"/>
      <c r="AH662" s="7"/>
    </row>
    <row r="663" spans="33:34" ht="14" x14ac:dyDescent="0.2">
      <c r="AG663" s="1"/>
      <c r="AH663" s="7"/>
    </row>
    <row r="664" spans="33:34" ht="14" x14ac:dyDescent="0.2">
      <c r="AG664" s="1"/>
      <c r="AH664" s="7"/>
    </row>
    <row r="665" spans="33:34" ht="14" x14ac:dyDescent="0.2">
      <c r="AG665" s="1"/>
      <c r="AH665" s="7"/>
    </row>
    <row r="666" spans="33:34" ht="14" x14ac:dyDescent="0.2">
      <c r="AG666" s="1"/>
      <c r="AH666" s="7"/>
    </row>
    <row r="667" spans="33:34" ht="14" x14ac:dyDescent="0.2">
      <c r="AG667" s="1"/>
      <c r="AH667" s="7"/>
    </row>
    <row r="668" spans="33:34" ht="14" x14ac:dyDescent="0.2">
      <c r="AG668" s="1"/>
      <c r="AH668" s="7"/>
    </row>
    <row r="669" spans="33:34" ht="14" x14ac:dyDescent="0.2">
      <c r="AG669" s="1"/>
      <c r="AH669" s="7"/>
    </row>
    <row r="670" spans="33:34" ht="14" x14ac:dyDescent="0.2">
      <c r="AG670" s="1"/>
      <c r="AH670" s="7"/>
    </row>
    <row r="671" spans="33:34" ht="14" x14ac:dyDescent="0.2">
      <c r="AG671" s="1"/>
      <c r="AH671" s="7"/>
    </row>
    <row r="672" spans="33:34" ht="14" x14ac:dyDescent="0.2">
      <c r="AG672" s="1"/>
      <c r="AH672" s="7"/>
    </row>
    <row r="673" spans="33:34" ht="14" x14ac:dyDescent="0.2">
      <c r="AG673" s="1"/>
      <c r="AH673" s="7"/>
    </row>
    <row r="674" spans="33:34" ht="14" x14ac:dyDescent="0.2">
      <c r="AG674" s="1"/>
      <c r="AH674" s="7"/>
    </row>
    <row r="675" spans="33:34" ht="14" x14ac:dyDescent="0.2">
      <c r="AG675" s="1"/>
      <c r="AH675" s="7"/>
    </row>
    <row r="676" spans="33:34" ht="14" x14ac:dyDescent="0.2">
      <c r="AG676" s="1"/>
      <c r="AH676" s="7"/>
    </row>
    <row r="677" spans="33:34" ht="14" x14ac:dyDescent="0.2">
      <c r="AG677" s="1"/>
      <c r="AH677" s="7"/>
    </row>
    <row r="678" spans="33:34" ht="14" x14ac:dyDescent="0.2">
      <c r="AG678" s="1"/>
      <c r="AH678" s="7"/>
    </row>
    <row r="679" spans="33:34" ht="14" x14ac:dyDescent="0.2">
      <c r="AG679" s="1"/>
      <c r="AH679" s="7"/>
    </row>
    <row r="680" spans="33:34" ht="14" x14ac:dyDescent="0.2">
      <c r="AG680" s="1"/>
      <c r="AH680" s="7"/>
    </row>
    <row r="681" spans="33:34" ht="14" x14ac:dyDescent="0.2">
      <c r="AG681" s="1"/>
      <c r="AH681" s="7"/>
    </row>
    <row r="682" spans="33:34" ht="14" x14ac:dyDescent="0.2">
      <c r="AG682" s="1"/>
      <c r="AH682" s="7"/>
    </row>
    <row r="683" spans="33:34" ht="14" x14ac:dyDescent="0.2">
      <c r="AG683" s="1"/>
      <c r="AH683" s="7"/>
    </row>
    <row r="684" spans="33:34" ht="14" x14ac:dyDescent="0.2">
      <c r="AG684" s="1"/>
      <c r="AH684" s="7"/>
    </row>
    <row r="685" spans="33:34" ht="14" x14ac:dyDescent="0.2">
      <c r="AG685" s="1"/>
      <c r="AH685" s="7"/>
    </row>
    <row r="686" spans="33:34" ht="14" x14ac:dyDescent="0.2">
      <c r="AG686" s="1"/>
      <c r="AH686" s="7"/>
    </row>
    <row r="687" spans="33:34" ht="14" x14ac:dyDescent="0.2">
      <c r="AG687" s="1"/>
      <c r="AH687" s="7"/>
    </row>
    <row r="688" spans="33:34" ht="14" x14ac:dyDescent="0.2">
      <c r="AG688" s="1"/>
      <c r="AH688" s="7"/>
    </row>
    <row r="689" spans="33:34" ht="14" x14ac:dyDescent="0.2">
      <c r="AG689" s="1"/>
      <c r="AH689" s="7"/>
    </row>
    <row r="690" spans="33:34" ht="14" x14ac:dyDescent="0.2">
      <c r="AG690" s="1"/>
      <c r="AH690" s="7"/>
    </row>
    <row r="691" spans="33:34" ht="14" x14ac:dyDescent="0.2">
      <c r="AG691" s="1"/>
      <c r="AH691" s="7"/>
    </row>
    <row r="692" spans="33:34" ht="14" x14ac:dyDescent="0.2">
      <c r="AG692" s="1"/>
      <c r="AH692" s="7"/>
    </row>
    <row r="693" spans="33:34" ht="14" x14ac:dyDescent="0.2">
      <c r="AG693" s="1"/>
      <c r="AH693" s="7"/>
    </row>
    <row r="694" spans="33:34" ht="14" x14ac:dyDescent="0.2">
      <c r="AG694" s="1"/>
      <c r="AH694" s="7"/>
    </row>
    <row r="695" spans="33:34" ht="14" x14ac:dyDescent="0.2">
      <c r="AG695" s="1"/>
      <c r="AH695" s="7"/>
    </row>
    <row r="696" spans="33:34" ht="14" x14ac:dyDescent="0.2">
      <c r="AG696" s="1"/>
      <c r="AH696" s="7"/>
    </row>
    <row r="697" spans="33:34" ht="14" x14ac:dyDescent="0.2">
      <c r="AG697" s="1"/>
      <c r="AH697" s="7"/>
    </row>
    <row r="698" spans="33:34" ht="14" x14ac:dyDescent="0.2">
      <c r="AG698" s="1"/>
      <c r="AH698" s="7"/>
    </row>
    <row r="699" spans="33:34" ht="14" x14ac:dyDescent="0.2">
      <c r="AG699" s="1"/>
      <c r="AH699" s="7"/>
    </row>
    <row r="700" spans="33:34" ht="14" x14ac:dyDescent="0.2">
      <c r="AG700" s="1"/>
      <c r="AH700" s="7"/>
    </row>
    <row r="701" spans="33:34" ht="14" x14ac:dyDescent="0.2">
      <c r="AG701" s="1"/>
      <c r="AH701" s="7"/>
    </row>
    <row r="702" spans="33:34" ht="14" x14ac:dyDescent="0.2">
      <c r="AG702" s="1"/>
      <c r="AH702" s="7"/>
    </row>
    <row r="703" spans="33:34" ht="14" x14ac:dyDescent="0.2">
      <c r="AG703" s="1"/>
      <c r="AH703" s="7"/>
    </row>
    <row r="704" spans="33:34" ht="14" x14ac:dyDescent="0.2">
      <c r="AG704" s="1"/>
      <c r="AH704" s="7"/>
    </row>
    <row r="705" spans="33:34" ht="14" x14ac:dyDescent="0.2">
      <c r="AG705" s="1"/>
      <c r="AH705" s="7"/>
    </row>
    <row r="706" spans="33:34" ht="14" x14ac:dyDescent="0.2">
      <c r="AG706" s="1"/>
      <c r="AH706" s="7"/>
    </row>
    <row r="707" spans="33:34" ht="14" x14ac:dyDescent="0.2">
      <c r="AG707" s="1"/>
      <c r="AH707" s="7"/>
    </row>
    <row r="708" spans="33:34" ht="14" x14ac:dyDescent="0.2">
      <c r="AG708" s="1"/>
      <c r="AH708" s="7"/>
    </row>
    <row r="709" spans="33:34" ht="14" x14ac:dyDescent="0.2">
      <c r="AG709" s="1"/>
      <c r="AH709" s="7"/>
    </row>
    <row r="710" spans="33:34" ht="14" x14ac:dyDescent="0.2">
      <c r="AG710" s="1"/>
      <c r="AH710" s="7"/>
    </row>
    <row r="711" spans="33:34" ht="14" x14ac:dyDescent="0.2">
      <c r="AG711" s="1"/>
      <c r="AH711" s="7"/>
    </row>
    <row r="712" spans="33:34" ht="14" x14ac:dyDescent="0.2">
      <c r="AG712" s="1"/>
      <c r="AH712" s="7"/>
    </row>
    <row r="713" spans="33:34" ht="14" x14ac:dyDescent="0.2">
      <c r="AG713" s="1"/>
      <c r="AH713" s="7"/>
    </row>
    <row r="714" spans="33:34" ht="14" x14ac:dyDescent="0.2">
      <c r="AG714" s="1"/>
      <c r="AH714" s="7"/>
    </row>
    <row r="715" spans="33:34" ht="14" x14ac:dyDescent="0.2">
      <c r="AG715" s="1"/>
      <c r="AH715" s="7"/>
    </row>
    <row r="716" spans="33:34" ht="14" x14ac:dyDescent="0.2">
      <c r="AG716" s="1"/>
      <c r="AH716" s="7"/>
    </row>
    <row r="717" spans="33:34" ht="14" x14ac:dyDescent="0.2">
      <c r="AG717" s="1"/>
      <c r="AH717" s="7"/>
    </row>
    <row r="718" spans="33:34" ht="14" x14ac:dyDescent="0.2">
      <c r="AG718" s="1"/>
      <c r="AH718" s="7"/>
    </row>
    <row r="719" spans="33:34" ht="14" x14ac:dyDescent="0.2">
      <c r="AG719" s="1"/>
      <c r="AH719" s="7"/>
    </row>
    <row r="720" spans="33:34" ht="14" x14ac:dyDescent="0.2">
      <c r="AG720" s="1"/>
      <c r="AH720" s="7"/>
    </row>
    <row r="721" spans="33:34" ht="14" x14ac:dyDescent="0.2">
      <c r="AG721" s="1"/>
      <c r="AH721" s="7"/>
    </row>
    <row r="722" spans="33:34" ht="14" x14ac:dyDescent="0.2">
      <c r="AG722" s="1"/>
      <c r="AH722" s="7"/>
    </row>
    <row r="723" spans="33:34" ht="14" x14ac:dyDescent="0.2">
      <c r="AG723" s="1"/>
      <c r="AH723" s="7"/>
    </row>
    <row r="724" spans="33:34" ht="14" x14ac:dyDescent="0.2">
      <c r="AG724" s="1"/>
      <c r="AH724" s="7"/>
    </row>
    <row r="725" spans="33:34" ht="14" x14ac:dyDescent="0.2">
      <c r="AG725" s="1"/>
      <c r="AH725" s="7"/>
    </row>
    <row r="726" spans="33:34" ht="14" x14ac:dyDescent="0.2">
      <c r="AG726" s="1"/>
      <c r="AH726" s="7"/>
    </row>
    <row r="727" spans="33:34" ht="14" x14ac:dyDescent="0.2">
      <c r="AG727" s="1"/>
      <c r="AH727" s="7"/>
    </row>
    <row r="728" spans="33:34" ht="14" x14ac:dyDescent="0.2">
      <c r="AG728" s="1"/>
      <c r="AH728" s="7"/>
    </row>
    <row r="729" spans="33:34" ht="14" x14ac:dyDescent="0.2">
      <c r="AG729" s="1"/>
      <c r="AH729" s="7"/>
    </row>
    <row r="730" spans="33:34" ht="14" x14ac:dyDescent="0.2">
      <c r="AG730" s="1"/>
      <c r="AH730" s="7"/>
    </row>
    <row r="731" spans="33:34" ht="14" x14ac:dyDescent="0.2">
      <c r="AG731" s="1"/>
      <c r="AH731" s="7"/>
    </row>
    <row r="732" spans="33:34" ht="14" x14ac:dyDescent="0.2">
      <c r="AG732" s="1"/>
      <c r="AH732" s="7"/>
    </row>
    <row r="733" spans="33:34" ht="14" x14ac:dyDescent="0.2">
      <c r="AG733" s="1"/>
      <c r="AH733" s="7"/>
    </row>
    <row r="734" spans="33:34" ht="14" x14ac:dyDescent="0.2">
      <c r="AG734" s="1"/>
      <c r="AH734" s="7"/>
    </row>
    <row r="735" spans="33:34" ht="14" x14ac:dyDescent="0.2">
      <c r="AG735" s="1"/>
      <c r="AH735" s="7"/>
    </row>
    <row r="736" spans="33:34" ht="14" x14ac:dyDescent="0.2">
      <c r="AG736" s="1"/>
      <c r="AH736" s="7"/>
    </row>
    <row r="737" spans="33:34" ht="14" x14ac:dyDescent="0.2">
      <c r="AG737" s="1"/>
      <c r="AH737" s="7"/>
    </row>
    <row r="738" spans="33:34" ht="14" x14ac:dyDescent="0.2">
      <c r="AG738" s="1"/>
      <c r="AH738" s="7"/>
    </row>
    <row r="739" spans="33:34" ht="14" x14ac:dyDescent="0.2">
      <c r="AG739" s="1"/>
      <c r="AH739" s="7"/>
    </row>
    <row r="740" spans="33:34" ht="14" x14ac:dyDescent="0.2">
      <c r="AG740" s="1"/>
      <c r="AH740" s="7"/>
    </row>
    <row r="741" spans="33:34" ht="14" x14ac:dyDescent="0.2">
      <c r="AG741" s="1"/>
      <c r="AH741" s="7"/>
    </row>
    <row r="742" spans="33:34" ht="14" x14ac:dyDescent="0.2">
      <c r="AG742" s="1"/>
      <c r="AH742" s="7"/>
    </row>
    <row r="743" spans="33:34" ht="14" x14ac:dyDescent="0.2">
      <c r="AG743" s="1"/>
      <c r="AH743" s="7"/>
    </row>
    <row r="744" spans="33:34" ht="14" x14ac:dyDescent="0.2">
      <c r="AG744" s="1"/>
      <c r="AH744" s="7"/>
    </row>
    <row r="745" spans="33:34" ht="14" x14ac:dyDescent="0.2">
      <c r="AG745" s="1"/>
      <c r="AH745" s="7"/>
    </row>
    <row r="746" spans="33:34" ht="14" x14ac:dyDescent="0.2">
      <c r="AG746" s="1"/>
      <c r="AH746" s="7"/>
    </row>
    <row r="747" spans="33:34" ht="14" x14ac:dyDescent="0.2">
      <c r="AG747" s="1"/>
      <c r="AH747" s="7"/>
    </row>
    <row r="748" spans="33:34" ht="14" x14ac:dyDescent="0.2">
      <c r="AG748" s="1"/>
      <c r="AH748" s="7"/>
    </row>
    <row r="749" spans="33:34" ht="14" x14ac:dyDescent="0.2">
      <c r="AG749" s="1"/>
      <c r="AH749" s="7"/>
    </row>
    <row r="750" spans="33:34" ht="14" x14ac:dyDescent="0.2">
      <c r="AG750" s="1"/>
      <c r="AH750" s="7"/>
    </row>
    <row r="751" spans="33:34" ht="14" x14ac:dyDescent="0.2">
      <c r="AG751" s="1"/>
      <c r="AH751" s="7"/>
    </row>
    <row r="752" spans="33:34" ht="14" x14ac:dyDescent="0.2">
      <c r="AG752" s="1"/>
      <c r="AH752" s="7"/>
    </row>
    <row r="753" spans="33:34" ht="14" x14ac:dyDescent="0.2">
      <c r="AG753" s="1"/>
      <c r="AH753" s="7"/>
    </row>
    <row r="754" spans="33:34" ht="14" x14ac:dyDescent="0.2">
      <c r="AG754" s="1"/>
      <c r="AH754" s="7"/>
    </row>
    <row r="755" spans="33:34" ht="14" x14ac:dyDescent="0.2">
      <c r="AG755" s="1"/>
      <c r="AH755" s="7"/>
    </row>
    <row r="756" spans="33:34" ht="14" x14ac:dyDescent="0.2">
      <c r="AG756" s="1"/>
      <c r="AH756" s="7"/>
    </row>
    <row r="757" spans="33:34" ht="14" x14ac:dyDescent="0.2">
      <c r="AG757" s="1"/>
      <c r="AH757" s="7"/>
    </row>
    <row r="758" spans="33:34" ht="14" x14ac:dyDescent="0.2">
      <c r="AG758" s="1"/>
      <c r="AH758" s="7"/>
    </row>
    <row r="759" spans="33:34" ht="14" x14ac:dyDescent="0.2">
      <c r="AG759" s="1"/>
      <c r="AH759" s="7"/>
    </row>
    <row r="760" spans="33:34" ht="14" x14ac:dyDescent="0.2">
      <c r="AG760" s="1"/>
      <c r="AH760" s="7"/>
    </row>
    <row r="761" spans="33:34" ht="14" x14ac:dyDescent="0.2">
      <c r="AG761" s="1"/>
      <c r="AH761" s="7"/>
    </row>
    <row r="762" spans="33:34" ht="14" x14ac:dyDescent="0.2">
      <c r="AG762" s="1"/>
      <c r="AH762" s="7"/>
    </row>
    <row r="763" spans="33:34" ht="14" x14ac:dyDescent="0.2">
      <c r="AG763" s="1"/>
      <c r="AH763" s="7"/>
    </row>
    <row r="764" spans="33:34" ht="14" x14ac:dyDescent="0.2">
      <c r="AG764" s="1"/>
      <c r="AH764" s="7"/>
    </row>
    <row r="765" spans="33:34" ht="14" x14ac:dyDescent="0.2">
      <c r="AG765" s="1"/>
      <c r="AH765" s="7"/>
    </row>
    <row r="766" spans="33:34" ht="14" x14ac:dyDescent="0.2">
      <c r="AG766" s="1"/>
      <c r="AH766" s="7"/>
    </row>
    <row r="767" spans="33:34" ht="14" x14ac:dyDescent="0.2">
      <c r="AG767" s="1"/>
      <c r="AH767" s="7"/>
    </row>
    <row r="768" spans="33:34" ht="14" x14ac:dyDescent="0.2">
      <c r="AG768" s="1"/>
      <c r="AH768" s="7"/>
    </row>
    <row r="769" spans="33:34" ht="14" x14ac:dyDescent="0.2">
      <c r="AG769" s="1"/>
      <c r="AH769" s="7"/>
    </row>
    <row r="770" spans="33:34" ht="14" x14ac:dyDescent="0.2">
      <c r="AG770" s="1"/>
      <c r="AH770" s="7"/>
    </row>
    <row r="771" spans="33:34" ht="14" x14ac:dyDescent="0.2">
      <c r="AG771" s="1"/>
      <c r="AH771" s="7"/>
    </row>
    <row r="772" spans="33:34" ht="14" x14ac:dyDescent="0.2">
      <c r="AG772" s="1"/>
      <c r="AH772" s="7"/>
    </row>
    <row r="773" spans="33:34" ht="14" x14ac:dyDescent="0.2">
      <c r="AG773" s="1"/>
      <c r="AH773" s="7"/>
    </row>
    <row r="774" spans="33:34" ht="14" x14ac:dyDescent="0.2">
      <c r="AG774" s="1"/>
      <c r="AH774" s="7"/>
    </row>
    <row r="775" spans="33:34" ht="14" x14ac:dyDescent="0.2">
      <c r="AG775" s="1"/>
      <c r="AH775" s="7"/>
    </row>
    <row r="776" spans="33:34" ht="14" x14ac:dyDescent="0.2">
      <c r="AG776" s="1"/>
      <c r="AH776" s="7"/>
    </row>
    <row r="777" spans="33:34" ht="14" x14ac:dyDescent="0.2">
      <c r="AG777" s="1"/>
      <c r="AH777" s="7"/>
    </row>
    <row r="778" spans="33:34" ht="14" x14ac:dyDescent="0.2">
      <c r="AG778" s="1"/>
      <c r="AH778" s="7"/>
    </row>
    <row r="779" spans="33:34" ht="14" x14ac:dyDescent="0.2">
      <c r="AG779" s="1"/>
      <c r="AH779" s="7"/>
    </row>
    <row r="780" spans="33:34" ht="14" x14ac:dyDescent="0.2">
      <c r="AG780" s="1"/>
      <c r="AH780" s="7"/>
    </row>
    <row r="781" spans="33:34" ht="14" x14ac:dyDescent="0.2">
      <c r="AG781" s="1"/>
      <c r="AH781" s="7"/>
    </row>
    <row r="782" spans="33:34" ht="14" x14ac:dyDescent="0.2">
      <c r="AG782" s="1"/>
      <c r="AH782" s="7"/>
    </row>
    <row r="783" spans="33:34" ht="14" x14ac:dyDescent="0.2">
      <c r="AG783" s="1"/>
      <c r="AH783" s="7"/>
    </row>
    <row r="784" spans="33:34" ht="14" x14ac:dyDescent="0.2">
      <c r="AG784" s="1"/>
      <c r="AH784" s="7"/>
    </row>
    <row r="785" spans="33:34" ht="14" x14ac:dyDescent="0.2">
      <c r="AG785" s="1"/>
      <c r="AH785" s="7"/>
    </row>
    <row r="786" spans="33:34" ht="14" x14ac:dyDescent="0.2">
      <c r="AG786" s="1"/>
      <c r="AH786" s="7"/>
    </row>
    <row r="787" spans="33:34" ht="14" x14ac:dyDescent="0.2">
      <c r="AG787" s="1"/>
      <c r="AH787" s="7"/>
    </row>
    <row r="788" spans="33:34" ht="14" x14ac:dyDescent="0.2">
      <c r="AG788" s="1"/>
      <c r="AH788" s="7"/>
    </row>
    <row r="789" spans="33:34" ht="14" x14ac:dyDescent="0.2">
      <c r="AG789" s="1"/>
      <c r="AH789" s="7"/>
    </row>
    <row r="790" spans="33:34" ht="14" x14ac:dyDescent="0.2">
      <c r="AG790" s="1"/>
      <c r="AH790" s="7"/>
    </row>
    <row r="791" spans="33:34" ht="14" x14ac:dyDescent="0.2">
      <c r="AG791" s="1"/>
      <c r="AH791" s="7"/>
    </row>
    <row r="792" spans="33:34" ht="14" x14ac:dyDescent="0.2">
      <c r="AG792" s="1"/>
      <c r="AH792" s="7"/>
    </row>
    <row r="793" spans="33:34" ht="14" x14ac:dyDescent="0.2">
      <c r="AG793" s="1"/>
      <c r="AH793" s="7"/>
    </row>
    <row r="794" spans="33:34" ht="14" x14ac:dyDescent="0.2">
      <c r="AG794" s="1"/>
      <c r="AH794" s="7"/>
    </row>
    <row r="795" spans="33:34" ht="14" x14ac:dyDescent="0.2">
      <c r="AG795" s="1"/>
      <c r="AH795" s="7"/>
    </row>
    <row r="796" spans="33:34" ht="14" x14ac:dyDescent="0.2">
      <c r="AG796" s="1"/>
      <c r="AH796" s="7"/>
    </row>
    <row r="797" spans="33:34" ht="14" x14ac:dyDescent="0.2">
      <c r="AG797" s="1"/>
      <c r="AH797" s="7"/>
    </row>
    <row r="798" spans="33:34" ht="14" x14ac:dyDescent="0.2">
      <c r="AG798" s="1"/>
      <c r="AH798" s="7"/>
    </row>
    <row r="799" spans="33:34" ht="14" x14ac:dyDescent="0.2">
      <c r="AG799" s="1"/>
      <c r="AH799" s="7"/>
    </row>
    <row r="800" spans="33:34" ht="14" x14ac:dyDescent="0.2">
      <c r="AG800" s="1"/>
      <c r="AH800" s="7"/>
    </row>
    <row r="801" spans="33:34" ht="14" x14ac:dyDescent="0.2">
      <c r="AG801" s="1"/>
      <c r="AH801" s="7"/>
    </row>
    <row r="802" spans="33:34" ht="14" x14ac:dyDescent="0.2">
      <c r="AG802" s="1"/>
      <c r="AH802" s="7"/>
    </row>
    <row r="803" spans="33:34" ht="14" x14ac:dyDescent="0.2">
      <c r="AG803" s="1"/>
      <c r="AH803" s="7"/>
    </row>
    <row r="804" spans="33:34" ht="14" x14ac:dyDescent="0.2">
      <c r="AG804" s="1"/>
      <c r="AH804" s="7"/>
    </row>
    <row r="805" spans="33:34" ht="14" x14ac:dyDescent="0.2">
      <c r="AG805" s="1"/>
      <c r="AH805" s="7"/>
    </row>
    <row r="806" spans="33:34" ht="14" x14ac:dyDescent="0.2">
      <c r="AG806" s="1"/>
      <c r="AH806" s="7"/>
    </row>
    <row r="807" spans="33:34" ht="14" x14ac:dyDescent="0.2">
      <c r="AG807" s="1"/>
      <c r="AH807" s="7"/>
    </row>
    <row r="808" spans="33:34" ht="14" x14ac:dyDescent="0.2">
      <c r="AG808" s="1"/>
      <c r="AH808" s="7"/>
    </row>
    <row r="809" spans="33:34" ht="14" x14ac:dyDescent="0.2">
      <c r="AG809" s="1"/>
      <c r="AH809" s="7"/>
    </row>
    <row r="810" spans="33:34" ht="14" x14ac:dyDescent="0.2">
      <c r="AG810" s="1"/>
      <c r="AH810" s="7"/>
    </row>
    <row r="811" spans="33:34" ht="14" x14ac:dyDescent="0.2">
      <c r="AG811" s="1"/>
      <c r="AH811" s="7"/>
    </row>
    <row r="812" spans="33:34" ht="14" x14ac:dyDescent="0.2">
      <c r="AG812" s="1"/>
      <c r="AH812" s="7"/>
    </row>
    <row r="813" spans="33:34" ht="14" x14ac:dyDescent="0.2">
      <c r="AG813" s="1"/>
      <c r="AH813" s="7"/>
    </row>
    <row r="814" spans="33:34" ht="14" x14ac:dyDescent="0.2">
      <c r="AG814" s="1"/>
      <c r="AH814" s="7"/>
    </row>
    <row r="815" spans="33:34" ht="14" x14ac:dyDescent="0.2">
      <c r="AG815" s="1"/>
      <c r="AH815" s="7"/>
    </row>
    <row r="816" spans="33:34" ht="14" x14ac:dyDescent="0.2">
      <c r="AG816" s="1"/>
      <c r="AH816" s="7"/>
    </row>
    <row r="817" spans="33:34" ht="14" x14ac:dyDescent="0.2">
      <c r="AG817" s="1"/>
      <c r="AH817" s="7"/>
    </row>
    <row r="818" spans="33:34" ht="14" x14ac:dyDescent="0.2">
      <c r="AG818" s="1"/>
      <c r="AH818" s="7"/>
    </row>
    <row r="819" spans="33:34" ht="14" x14ac:dyDescent="0.2">
      <c r="AG819" s="1"/>
      <c r="AH819" s="7"/>
    </row>
    <row r="820" spans="33:34" ht="14" x14ac:dyDescent="0.2">
      <c r="AG820" s="1"/>
      <c r="AH820" s="7"/>
    </row>
    <row r="821" spans="33:34" ht="14" x14ac:dyDescent="0.2">
      <c r="AG821" s="1"/>
      <c r="AH821" s="7"/>
    </row>
    <row r="822" spans="33:34" ht="14" x14ac:dyDescent="0.2">
      <c r="AG822" s="1"/>
      <c r="AH822" s="7"/>
    </row>
    <row r="823" spans="33:34" ht="14" x14ac:dyDescent="0.2">
      <c r="AG823" s="1"/>
      <c r="AH823" s="7"/>
    </row>
    <row r="824" spans="33:34" ht="14" x14ac:dyDescent="0.2">
      <c r="AG824" s="1"/>
      <c r="AH824" s="7"/>
    </row>
    <row r="825" spans="33:34" ht="14" x14ac:dyDescent="0.2">
      <c r="AG825" s="1"/>
      <c r="AH825" s="7"/>
    </row>
    <row r="826" spans="33:34" ht="14" x14ac:dyDescent="0.2">
      <c r="AG826" s="1"/>
      <c r="AH826" s="7"/>
    </row>
    <row r="827" spans="33:34" ht="14" x14ac:dyDescent="0.2">
      <c r="AG827" s="1"/>
      <c r="AH827" s="7"/>
    </row>
    <row r="828" spans="33:34" ht="14" x14ac:dyDescent="0.2">
      <c r="AG828" s="1"/>
      <c r="AH828" s="7"/>
    </row>
    <row r="829" spans="33:34" ht="14" x14ac:dyDescent="0.2">
      <c r="AG829" s="1"/>
      <c r="AH829" s="7"/>
    </row>
    <row r="830" spans="33:34" ht="14" x14ac:dyDescent="0.2">
      <c r="AG830" s="1"/>
      <c r="AH830" s="7"/>
    </row>
    <row r="831" spans="33:34" ht="14" x14ac:dyDescent="0.2">
      <c r="AG831" s="1"/>
      <c r="AH831" s="7"/>
    </row>
    <row r="832" spans="33:34" ht="14" x14ac:dyDescent="0.2">
      <c r="AG832" s="1"/>
      <c r="AH832" s="7"/>
    </row>
    <row r="833" spans="33:34" ht="14" x14ac:dyDescent="0.2">
      <c r="AG833" s="1"/>
      <c r="AH833" s="7"/>
    </row>
    <row r="834" spans="33:34" ht="14" x14ac:dyDescent="0.2">
      <c r="AG834" s="1"/>
      <c r="AH834" s="7"/>
    </row>
    <row r="835" spans="33:34" ht="14" x14ac:dyDescent="0.2">
      <c r="AG835" s="1"/>
      <c r="AH835" s="7"/>
    </row>
    <row r="836" spans="33:34" ht="14" x14ac:dyDescent="0.2">
      <c r="AG836" s="1"/>
      <c r="AH836" s="7"/>
    </row>
    <row r="837" spans="33:34" ht="14" x14ac:dyDescent="0.2">
      <c r="AG837" s="1"/>
      <c r="AH837" s="7"/>
    </row>
    <row r="838" spans="33:34" ht="14" x14ac:dyDescent="0.2">
      <c r="AG838" s="1"/>
      <c r="AH838" s="7"/>
    </row>
    <row r="839" spans="33:34" ht="14" x14ac:dyDescent="0.2">
      <c r="AG839" s="1"/>
      <c r="AH839" s="7"/>
    </row>
    <row r="840" spans="33:34" ht="14" x14ac:dyDescent="0.2">
      <c r="AG840" s="1"/>
      <c r="AH840" s="7"/>
    </row>
    <row r="841" spans="33:34" ht="14" x14ac:dyDescent="0.2">
      <c r="AG841" s="1"/>
      <c r="AH841" s="7"/>
    </row>
    <row r="842" spans="33:34" ht="14" x14ac:dyDescent="0.2">
      <c r="AG842" s="1"/>
      <c r="AH842" s="7"/>
    </row>
    <row r="843" spans="33:34" ht="14" x14ac:dyDescent="0.2">
      <c r="AG843" s="1"/>
      <c r="AH843" s="7"/>
    </row>
    <row r="844" spans="33:34" ht="14" x14ac:dyDescent="0.2">
      <c r="AG844" s="1"/>
      <c r="AH844" s="7"/>
    </row>
    <row r="845" spans="33:34" ht="14" x14ac:dyDescent="0.2">
      <c r="AG845" s="1"/>
      <c r="AH845" s="7"/>
    </row>
    <row r="846" spans="33:34" ht="14" x14ac:dyDescent="0.2">
      <c r="AG846" s="1"/>
      <c r="AH846" s="7"/>
    </row>
    <row r="847" spans="33:34" ht="14" x14ac:dyDescent="0.2">
      <c r="AG847" s="1"/>
      <c r="AH847" s="7"/>
    </row>
    <row r="848" spans="33:34" ht="14" x14ac:dyDescent="0.2">
      <c r="AG848" s="1"/>
      <c r="AH848" s="7"/>
    </row>
    <row r="849" spans="33:34" ht="14" x14ac:dyDescent="0.2">
      <c r="AG849" s="1"/>
      <c r="AH849" s="7"/>
    </row>
    <row r="850" spans="33:34" ht="14" x14ac:dyDescent="0.2">
      <c r="AG850" s="1"/>
      <c r="AH850" s="7"/>
    </row>
    <row r="851" spans="33:34" ht="14" x14ac:dyDescent="0.2">
      <c r="AG851" s="1"/>
      <c r="AH851" s="7"/>
    </row>
    <row r="852" spans="33:34" ht="14" x14ac:dyDescent="0.2">
      <c r="AG852" s="1"/>
      <c r="AH852" s="7"/>
    </row>
    <row r="853" spans="33:34" ht="14" x14ac:dyDescent="0.2">
      <c r="AG853" s="1"/>
      <c r="AH853" s="7"/>
    </row>
    <row r="854" spans="33:34" ht="14" x14ac:dyDescent="0.2">
      <c r="AG854" s="1"/>
      <c r="AH854" s="7"/>
    </row>
    <row r="855" spans="33:34" ht="14" x14ac:dyDescent="0.2">
      <c r="AG855" s="1"/>
      <c r="AH855" s="7"/>
    </row>
    <row r="856" spans="33:34" ht="14" x14ac:dyDescent="0.2">
      <c r="AG856" s="1"/>
      <c r="AH856" s="7"/>
    </row>
    <row r="857" spans="33:34" ht="14" x14ac:dyDescent="0.2">
      <c r="AG857" s="1"/>
      <c r="AH857" s="7"/>
    </row>
    <row r="858" spans="33:34" ht="14" x14ac:dyDescent="0.2">
      <c r="AG858" s="1"/>
      <c r="AH858" s="7"/>
    </row>
    <row r="859" spans="33:34" ht="14" x14ac:dyDescent="0.2">
      <c r="AG859" s="1"/>
      <c r="AH859" s="7"/>
    </row>
    <row r="860" spans="33:34" ht="14" x14ac:dyDescent="0.2">
      <c r="AG860" s="1"/>
      <c r="AH860" s="7"/>
    </row>
    <row r="861" spans="33:34" ht="14" x14ac:dyDescent="0.2">
      <c r="AG861" s="1"/>
      <c r="AH861" s="7"/>
    </row>
    <row r="862" spans="33:34" ht="14" x14ac:dyDescent="0.2">
      <c r="AG862" s="1"/>
      <c r="AH862" s="7"/>
    </row>
    <row r="863" spans="33:34" ht="14" x14ac:dyDescent="0.2">
      <c r="AG863" s="1"/>
      <c r="AH863" s="7"/>
    </row>
    <row r="864" spans="33:34" ht="14" x14ac:dyDescent="0.2">
      <c r="AG864" s="1"/>
      <c r="AH864" s="7"/>
    </row>
    <row r="865" spans="33:34" ht="14" x14ac:dyDescent="0.2">
      <c r="AG865" s="1"/>
      <c r="AH865" s="7"/>
    </row>
    <row r="866" spans="33:34" ht="14" x14ac:dyDescent="0.2">
      <c r="AG866" s="1"/>
      <c r="AH866" s="7"/>
    </row>
    <row r="867" spans="33:34" ht="14" x14ac:dyDescent="0.2">
      <c r="AG867" s="1"/>
      <c r="AH867" s="7"/>
    </row>
    <row r="868" spans="33:34" ht="14" x14ac:dyDescent="0.2">
      <c r="AG868" s="1"/>
      <c r="AH868" s="7"/>
    </row>
    <row r="869" spans="33:34" ht="14" x14ac:dyDescent="0.2">
      <c r="AG869" s="1"/>
      <c r="AH869" s="7"/>
    </row>
    <row r="870" spans="33:34" ht="14" x14ac:dyDescent="0.2">
      <c r="AG870" s="1"/>
      <c r="AH870" s="7"/>
    </row>
    <row r="871" spans="33:34" ht="14" x14ac:dyDescent="0.2">
      <c r="AG871" s="1"/>
      <c r="AH871" s="7"/>
    </row>
    <row r="872" spans="33:34" ht="14" x14ac:dyDescent="0.2">
      <c r="AG872" s="1"/>
      <c r="AH872" s="7"/>
    </row>
    <row r="873" spans="33:34" ht="14" x14ac:dyDescent="0.2">
      <c r="AG873" s="1"/>
      <c r="AH873" s="7"/>
    </row>
    <row r="874" spans="33:34" ht="14" x14ac:dyDescent="0.2">
      <c r="AG874" s="1"/>
      <c r="AH874" s="7"/>
    </row>
    <row r="875" spans="33:34" ht="14" x14ac:dyDescent="0.2">
      <c r="AG875" s="1"/>
      <c r="AH875" s="7"/>
    </row>
    <row r="876" spans="33:34" ht="14" x14ac:dyDescent="0.2">
      <c r="AG876" s="1"/>
      <c r="AH876" s="7"/>
    </row>
    <row r="877" spans="33:34" ht="14" x14ac:dyDescent="0.2">
      <c r="AG877" s="1"/>
      <c r="AH877" s="7"/>
    </row>
    <row r="878" spans="33:34" ht="14" x14ac:dyDescent="0.2">
      <c r="AG878" s="1"/>
      <c r="AH878" s="7"/>
    </row>
    <row r="879" spans="33:34" ht="14" x14ac:dyDescent="0.2">
      <c r="AG879" s="1"/>
      <c r="AH879" s="7"/>
    </row>
    <row r="880" spans="33:34" ht="14" x14ac:dyDescent="0.2">
      <c r="AG880" s="1"/>
      <c r="AH880" s="7"/>
    </row>
    <row r="881" spans="33:34" ht="14" x14ac:dyDescent="0.2">
      <c r="AG881" s="1"/>
      <c r="AH881" s="7"/>
    </row>
    <row r="882" spans="33:34" ht="14" x14ac:dyDescent="0.2">
      <c r="AG882" s="1"/>
      <c r="AH882" s="7"/>
    </row>
    <row r="883" spans="33:34" ht="14" x14ac:dyDescent="0.2">
      <c r="AG883" s="1"/>
      <c r="AH883" s="7"/>
    </row>
    <row r="884" spans="33:34" ht="14" x14ac:dyDescent="0.2">
      <c r="AG884" s="1"/>
      <c r="AH884" s="7"/>
    </row>
    <row r="885" spans="33:34" ht="14" x14ac:dyDescent="0.2">
      <c r="AG885" s="1"/>
      <c r="AH885" s="7"/>
    </row>
    <row r="886" spans="33:34" ht="14" x14ac:dyDescent="0.2">
      <c r="AG886" s="1"/>
      <c r="AH886" s="7"/>
    </row>
    <row r="887" spans="33:34" ht="14" x14ac:dyDescent="0.2">
      <c r="AG887" s="1"/>
      <c r="AH887" s="7"/>
    </row>
    <row r="888" spans="33:34" ht="14" x14ac:dyDescent="0.2">
      <c r="AG888" s="1"/>
      <c r="AH888" s="7"/>
    </row>
    <row r="889" spans="33:34" ht="14" x14ac:dyDescent="0.2">
      <c r="AG889" s="1"/>
      <c r="AH889" s="7"/>
    </row>
    <row r="890" spans="33:34" ht="14" x14ac:dyDescent="0.2">
      <c r="AG890" s="1"/>
      <c r="AH890" s="7"/>
    </row>
    <row r="891" spans="33:34" ht="14" x14ac:dyDescent="0.2">
      <c r="AG891" s="1"/>
      <c r="AH891" s="7"/>
    </row>
    <row r="892" spans="33:34" ht="14" x14ac:dyDescent="0.2">
      <c r="AG892" s="1"/>
      <c r="AH892" s="7"/>
    </row>
    <row r="893" spans="33:34" ht="14" x14ac:dyDescent="0.2">
      <c r="AG893" s="1"/>
      <c r="AH893" s="7"/>
    </row>
    <row r="894" spans="33:34" ht="14" x14ac:dyDescent="0.2">
      <c r="AG894" s="1"/>
      <c r="AH894" s="7"/>
    </row>
    <row r="895" spans="33:34" ht="14" x14ac:dyDescent="0.2">
      <c r="AG895" s="1"/>
      <c r="AH895" s="7"/>
    </row>
    <row r="896" spans="33:34" ht="14" x14ac:dyDescent="0.2">
      <c r="AG896" s="1"/>
      <c r="AH896" s="7"/>
    </row>
    <row r="897" spans="33:34" ht="14" x14ac:dyDescent="0.2">
      <c r="AG897" s="1"/>
      <c r="AH897" s="7"/>
    </row>
    <row r="898" spans="33:34" ht="14" x14ac:dyDescent="0.2">
      <c r="AG898" s="1"/>
      <c r="AH898" s="7"/>
    </row>
    <row r="899" spans="33:34" ht="14" x14ac:dyDescent="0.2">
      <c r="AG899" s="1"/>
      <c r="AH899" s="7"/>
    </row>
    <row r="900" spans="33:34" ht="14" x14ac:dyDescent="0.2">
      <c r="AG900" s="1"/>
      <c r="AH900" s="7"/>
    </row>
    <row r="901" spans="33:34" ht="14" x14ac:dyDescent="0.2">
      <c r="AG901" s="1"/>
      <c r="AH901" s="7"/>
    </row>
    <row r="902" spans="33:34" ht="14" x14ac:dyDescent="0.2">
      <c r="AG902" s="1"/>
      <c r="AH902" s="7"/>
    </row>
    <row r="903" spans="33:34" ht="14" x14ac:dyDescent="0.2">
      <c r="AG903" s="1"/>
      <c r="AH903" s="7"/>
    </row>
    <row r="904" spans="33:34" ht="14" x14ac:dyDescent="0.2">
      <c r="AG904" s="1"/>
      <c r="AH904" s="7"/>
    </row>
    <row r="905" spans="33:34" ht="14" x14ac:dyDescent="0.2">
      <c r="AG905" s="1"/>
      <c r="AH905" s="7"/>
    </row>
    <row r="906" spans="33:34" ht="14" x14ac:dyDescent="0.2">
      <c r="AG906" s="1"/>
      <c r="AH906" s="7"/>
    </row>
    <row r="907" spans="33:34" ht="14" x14ac:dyDescent="0.2">
      <c r="AG907" s="1"/>
      <c r="AH907" s="7"/>
    </row>
    <row r="908" spans="33:34" ht="14" x14ac:dyDescent="0.2">
      <c r="AG908" s="1"/>
      <c r="AH908" s="7"/>
    </row>
    <row r="909" spans="33:34" ht="14" x14ac:dyDescent="0.2">
      <c r="AG909" s="1"/>
      <c r="AH909" s="7"/>
    </row>
    <row r="910" spans="33:34" ht="14" x14ac:dyDescent="0.2">
      <c r="AG910" s="1"/>
      <c r="AH910" s="7"/>
    </row>
    <row r="911" spans="33:34" ht="14" x14ac:dyDescent="0.2">
      <c r="AG911" s="1"/>
      <c r="AH911" s="7"/>
    </row>
    <row r="912" spans="33:34" ht="14" x14ac:dyDescent="0.2">
      <c r="AG912" s="1"/>
      <c r="AH912" s="7"/>
    </row>
    <row r="913" spans="33:34" ht="14" x14ac:dyDescent="0.2">
      <c r="AG913" s="1"/>
      <c r="AH913" s="7"/>
    </row>
    <row r="914" spans="33:34" ht="14" x14ac:dyDescent="0.2">
      <c r="AG914" s="1"/>
      <c r="AH914" s="7"/>
    </row>
    <row r="915" spans="33:34" ht="14" x14ac:dyDescent="0.2">
      <c r="AG915" s="1"/>
      <c r="AH915" s="7"/>
    </row>
    <row r="916" spans="33:34" ht="14" x14ac:dyDescent="0.2">
      <c r="AG916" s="1"/>
      <c r="AH916" s="7"/>
    </row>
    <row r="917" spans="33:34" ht="14" x14ac:dyDescent="0.2">
      <c r="AG917" s="1"/>
      <c r="AH917" s="7"/>
    </row>
    <row r="918" spans="33:34" ht="14" x14ac:dyDescent="0.2">
      <c r="AG918" s="1"/>
      <c r="AH918" s="7"/>
    </row>
    <row r="919" spans="33:34" ht="14" x14ac:dyDescent="0.2">
      <c r="AG919" s="1"/>
      <c r="AH919" s="7"/>
    </row>
    <row r="920" spans="33:34" ht="14" x14ac:dyDescent="0.2">
      <c r="AG920" s="1"/>
      <c r="AH920" s="7"/>
    </row>
    <row r="921" spans="33:34" ht="14" x14ac:dyDescent="0.2">
      <c r="AG921" s="1"/>
      <c r="AH921" s="7"/>
    </row>
    <row r="922" spans="33:34" ht="14" x14ac:dyDescent="0.2">
      <c r="AG922" s="1"/>
      <c r="AH922" s="7"/>
    </row>
    <row r="923" spans="33:34" ht="14" x14ac:dyDescent="0.2">
      <c r="AG923" s="1"/>
      <c r="AH923" s="7"/>
    </row>
    <row r="924" spans="33:34" ht="14" x14ac:dyDescent="0.2">
      <c r="AG924" s="1"/>
      <c r="AH924" s="7"/>
    </row>
    <row r="925" spans="33:34" ht="14" x14ac:dyDescent="0.2">
      <c r="AG925" s="1"/>
      <c r="AH925" s="7"/>
    </row>
    <row r="926" spans="33:34" ht="14" x14ac:dyDescent="0.2">
      <c r="AG926" s="1"/>
      <c r="AH926" s="7"/>
    </row>
    <row r="927" spans="33:34" ht="14" x14ac:dyDescent="0.2">
      <c r="AG927" s="1"/>
      <c r="AH927" s="7"/>
    </row>
    <row r="928" spans="33:34" ht="14" x14ac:dyDescent="0.2">
      <c r="AG928" s="1"/>
      <c r="AH928" s="7"/>
    </row>
    <row r="929" spans="33:34" ht="14" x14ac:dyDescent="0.2">
      <c r="AG929" s="1"/>
      <c r="AH929" s="7"/>
    </row>
    <row r="930" spans="33:34" ht="14" x14ac:dyDescent="0.2">
      <c r="AG930" s="1"/>
      <c r="AH930" s="7"/>
    </row>
    <row r="931" spans="33:34" ht="14" x14ac:dyDescent="0.2">
      <c r="AG931" s="1"/>
      <c r="AH931" s="7"/>
    </row>
    <row r="932" spans="33:34" ht="14" x14ac:dyDescent="0.2">
      <c r="AG932" s="1"/>
      <c r="AH932" s="7"/>
    </row>
    <row r="933" spans="33:34" ht="14" x14ac:dyDescent="0.2">
      <c r="AG933" s="1"/>
      <c r="AH933" s="7"/>
    </row>
    <row r="934" spans="33:34" ht="14" x14ac:dyDescent="0.2">
      <c r="AG934" s="1"/>
      <c r="AH934" s="7"/>
    </row>
    <row r="935" spans="33:34" ht="14" x14ac:dyDescent="0.2">
      <c r="AG935" s="1"/>
      <c r="AH935" s="7"/>
    </row>
    <row r="936" spans="33:34" ht="14" x14ac:dyDescent="0.2">
      <c r="AG936" s="1"/>
      <c r="AH936" s="7"/>
    </row>
    <row r="937" spans="33:34" ht="14" x14ac:dyDescent="0.2">
      <c r="AG937" s="1"/>
      <c r="AH937" s="7"/>
    </row>
    <row r="938" spans="33:34" ht="14" x14ac:dyDescent="0.2">
      <c r="AG938" s="1"/>
      <c r="AH938" s="7"/>
    </row>
    <row r="939" spans="33:34" ht="14" x14ac:dyDescent="0.2">
      <c r="AG939" s="1"/>
      <c r="AH939" s="7"/>
    </row>
    <row r="940" spans="33:34" ht="14" x14ac:dyDescent="0.2">
      <c r="AG940" s="1"/>
      <c r="AH940" s="7"/>
    </row>
    <row r="941" spans="33:34" ht="14" x14ac:dyDescent="0.2">
      <c r="AG941" s="1"/>
      <c r="AH941" s="7"/>
    </row>
    <row r="942" spans="33:34" ht="14" x14ac:dyDescent="0.2">
      <c r="AG942" s="1"/>
      <c r="AH942" s="7"/>
    </row>
    <row r="943" spans="33:34" ht="14" x14ac:dyDescent="0.2">
      <c r="AG943" s="1"/>
      <c r="AH943" s="7"/>
    </row>
    <row r="944" spans="33:34" ht="14" x14ac:dyDescent="0.2">
      <c r="AG944" s="1"/>
      <c r="AH944" s="7"/>
    </row>
    <row r="945" spans="33:34" ht="14" x14ac:dyDescent="0.2">
      <c r="AG945" s="1"/>
      <c r="AH945" s="7"/>
    </row>
    <row r="946" spans="33:34" ht="14" x14ac:dyDescent="0.2">
      <c r="AG946" s="1"/>
      <c r="AH946" s="7"/>
    </row>
    <row r="947" spans="33:34" ht="14" x14ac:dyDescent="0.2">
      <c r="AG947" s="1"/>
      <c r="AH947" s="7"/>
    </row>
    <row r="948" spans="33:34" ht="14" x14ac:dyDescent="0.2">
      <c r="AG948" s="1"/>
      <c r="AH948" s="7"/>
    </row>
    <row r="949" spans="33:34" ht="14" x14ac:dyDescent="0.2">
      <c r="AG949" s="1"/>
      <c r="AH949" s="7"/>
    </row>
    <row r="950" spans="33:34" ht="14" x14ac:dyDescent="0.2">
      <c r="AG950" s="1"/>
      <c r="AH950" s="7"/>
    </row>
    <row r="951" spans="33:34" ht="14" x14ac:dyDescent="0.2">
      <c r="AG951" s="1"/>
      <c r="AH951" s="7"/>
    </row>
    <row r="952" spans="33:34" ht="14" x14ac:dyDescent="0.2">
      <c r="AG952" s="1"/>
      <c r="AH952" s="7"/>
    </row>
    <row r="953" spans="33:34" ht="14" x14ac:dyDescent="0.2">
      <c r="AG953" s="1"/>
      <c r="AH953" s="7"/>
    </row>
    <row r="954" spans="33:34" ht="14" x14ac:dyDescent="0.2">
      <c r="AG954" s="1"/>
      <c r="AH954" s="7"/>
    </row>
    <row r="955" spans="33:34" ht="14" x14ac:dyDescent="0.2">
      <c r="AG955" s="1"/>
      <c r="AH955" s="7"/>
    </row>
    <row r="956" spans="33:34" ht="14" x14ac:dyDescent="0.2">
      <c r="AG956" s="1"/>
      <c r="AH956" s="7"/>
    </row>
    <row r="957" spans="33:34" ht="14" x14ac:dyDescent="0.2">
      <c r="AG957" s="1"/>
      <c r="AH957" s="7"/>
    </row>
    <row r="958" spans="33:34" ht="14" x14ac:dyDescent="0.2">
      <c r="AG958" s="1"/>
      <c r="AH958" s="7"/>
    </row>
    <row r="959" spans="33:34" ht="14" x14ac:dyDescent="0.2">
      <c r="AG959" s="1"/>
      <c r="AH959" s="7"/>
    </row>
    <row r="960" spans="33:34" ht="14" x14ac:dyDescent="0.2">
      <c r="AG960" s="1"/>
      <c r="AH960" s="7"/>
    </row>
    <row r="961" spans="33:34" ht="14" x14ac:dyDescent="0.2">
      <c r="AG961" s="1"/>
      <c r="AH961" s="7"/>
    </row>
    <row r="962" spans="33:34" ht="14" x14ac:dyDescent="0.2">
      <c r="AG962" s="1"/>
      <c r="AH962" s="7"/>
    </row>
    <row r="963" spans="33:34" ht="14" x14ac:dyDescent="0.2">
      <c r="AG963" s="1"/>
      <c r="AH963" s="7"/>
    </row>
    <row r="964" spans="33:34" ht="14" x14ac:dyDescent="0.2">
      <c r="AG964" s="1"/>
      <c r="AH964" s="7"/>
    </row>
    <row r="965" spans="33:34" ht="14" x14ac:dyDescent="0.2">
      <c r="AG965" s="1"/>
      <c r="AH965" s="7"/>
    </row>
    <row r="966" spans="33:34" ht="14" x14ac:dyDescent="0.2">
      <c r="AG966" s="1"/>
      <c r="AH966" s="7"/>
    </row>
    <row r="967" spans="33:34" ht="14" x14ac:dyDescent="0.2">
      <c r="AG967" s="1"/>
      <c r="AH967" s="7"/>
    </row>
    <row r="968" spans="33:34" ht="14" x14ac:dyDescent="0.2">
      <c r="AG968" s="1"/>
      <c r="AH968" s="7"/>
    </row>
    <row r="969" spans="33:34" ht="14" x14ac:dyDescent="0.2">
      <c r="AG969" s="1"/>
      <c r="AH969" s="7"/>
    </row>
    <row r="970" spans="33:34" ht="14" x14ac:dyDescent="0.2">
      <c r="AG970" s="1"/>
      <c r="AH970" s="7"/>
    </row>
    <row r="971" spans="33:34" ht="14" x14ac:dyDescent="0.2">
      <c r="AG971" s="1"/>
      <c r="AH971" s="7"/>
    </row>
    <row r="972" spans="33:34" ht="14" x14ac:dyDescent="0.2">
      <c r="AG972" s="1"/>
      <c r="AH972" s="7"/>
    </row>
    <row r="973" spans="33:34" ht="14" x14ac:dyDescent="0.2">
      <c r="AG973" s="1"/>
      <c r="AH973" s="7"/>
    </row>
    <row r="974" spans="33:34" ht="14" x14ac:dyDescent="0.2">
      <c r="AG974" s="1"/>
      <c r="AH974" s="7"/>
    </row>
    <row r="975" spans="33:34" ht="14" x14ac:dyDescent="0.2">
      <c r="AG975" s="1"/>
      <c r="AH975" s="7"/>
    </row>
    <row r="976" spans="33:34" ht="14" x14ac:dyDescent="0.2">
      <c r="AG976" s="1"/>
      <c r="AH976" s="7"/>
    </row>
    <row r="977" spans="33:34" ht="14" x14ac:dyDescent="0.2">
      <c r="AG977" s="1"/>
      <c r="AH977" s="7"/>
    </row>
    <row r="978" spans="33:34" ht="14" x14ac:dyDescent="0.2">
      <c r="AG978" s="1"/>
      <c r="AH978" s="7"/>
    </row>
    <row r="979" spans="33:34" ht="14" x14ac:dyDescent="0.2">
      <c r="AG979" s="1"/>
      <c r="AH979" s="7"/>
    </row>
    <row r="980" spans="33:34" ht="14" x14ac:dyDescent="0.2">
      <c r="AG980" s="1"/>
      <c r="AH980" s="7"/>
    </row>
    <row r="981" spans="33:34" ht="14" x14ac:dyDescent="0.2">
      <c r="AG981" s="1"/>
      <c r="AH981" s="7"/>
    </row>
    <row r="982" spans="33:34" ht="14" x14ac:dyDescent="0.2">
      <c r="AG982" s="1"/>
      <c r="AH982" s="7"/>
    </row>
    <row r="983" spans="33:34" ht="14" x14ac:dyDescent="0.2">
      <c r="AG983" s="1"/>
      <c r="AH983" s="7"/>
    </row>
    <row r="984" spans="33:34" ht="14" x14ac:dyDescent="0.2">
      <c r="AG984" s="1"/>
      <c r="AH984" s="7"/>
    </row>
    <row r="985" spans="33:34" ht="14" x14ac:dyDescent="0.2">
      <c r="AG985" s="1"/>
      <c r="AH985" s="7"/>
    </row>
    <row r="986" spans="33:34" ht="14" x14ac:dyDescent="0.2">
      <c r="AG986" s="1"/>
      <c r="AH986" s="7"/>
    </row>
    <row r="987" spans="33:34" ht="14" x14ac:dyDescent="0.2">
      <c r="AG987" s="1"/>
      <c r="AH987" s="7"/>
    </row>
    <row r="988" spans="33:34" ht="14" x14ac:dyDescent="0.2">
      <c r="AG988" s="1"/>
      <c r="AH988" s="7"/>
    </row>
    <row r="989" spans="33:34" ht="14" x14ac:dyDescent="0.2">
      <c r="AG989" s="1"/>
      <c r="AH989" s="7"/>
    </row>
    <row r="990" spans="33:34" ht="14" x14ac:dyDescent="0.2">
      <c r="AG990" s="1"/>
      <c r="AH990" s="7"/>
    </row>
    <row r="991" spans="33:34" ht="14" x14ac:dyDescent="0.2">
      <c r="AG991" s="1"/>
      <c r="AH991" s="7"/>
    </row>
    <row r="992" spans="33:34" ht="14" x14ac:dyDescent="0.2">
      <c r="AG992" s="1"/>
      <c r="AH992" s="7"/>
    </row>
    <row r="993" spans="33:34" ht="14" x14ac:dyDescent="0.2">
      <c r="AG993" s="1"/>
      <c r="AH993" s="7"/>
    </row>
    <row r="994" spans="33:34" ht="14" x14ac:dyDescent="0.2">
      <c r="AG994" s="1"/>
      <c r="AH994" s="7"/>
    </row>
    <row r="995" spans="33:34" ht="14" x14ac:dyDescent="0.2">
      <c r="AG995" s="1"/>
      <c r="AH995" s="7"/>
    </row>
    <row r="996" spans="33:34" ht="14" x14ac:dyDescent="0.2">
      <c r="AG996" s="1"/>
      <c r="AH996" s="7"/>
    </row>
    <row r="997" spans="33:34" ht="14" x14ac:dyDescent="0.2">
      <c r="AG997" s="1"/>
      <c r="AH997" s="7"/>
    </row>
    <row r="998" spans="33:34" ht="14" x14ac:dyDescent="0.2">
      <c r="AG998" s="1"/>
      <c r="AH998" s="7"/>
    </row>
    <row r="999" spans="33:34" ht="14" x14ac:dyDescent="0.2">
      <c r="AG999" s="1"/>
      <c r="AH999" s="7"/>
    </row>
    <row r="1000" spans="33:34" ht="14" x14ac:dyDescent="0.2">
      <c r="AG1000" s="1"/>
      <c r="AH1000" s="7"/>
    </row>
    <row r="1001" spans="33:34" ht="14" x14ac:dyDescent="0.2">
      <c r="AG1001" s="1"/>
      <c r="AH1001" s="7"/>
    </row>
    <row r="1002" spans="33:34" ht="14" x14ac:dyDescent="0.2">
      <c r="AG1002" s="1"/>
      <c r="AH1002" s="7"/>
    </row>
    <row r="1003" spans="33:34" ht="14" x14ac:dyDescent="0.2">
      <c r="AG1003" s="1"/>
      <c r="AH1003" s="7"/>
    </row>
    <row r="1004" spans="33:34" ht="14" x14ac:dyDescent="0.2">
      <c r="AG1004" s="1"/>
      <c r="AH1004" s="7"/>
    </row>
    <row r="1005" spans="33:34" ht="14" x14ac:dyDescent="0.2">
      <c r="AG1005" s="1"/>
      <c r="AH1005" s="7"/>
    </row>
    <row r="1006" spans="33:34" ht="14" x14ac:dyDescent="0.2">
      <c r="AG1006" s="1"/>
      <c r="AH1006" s="7"/>
    </row>
    <row r="1007" spans="33:34" ht="14" x14ac:dyDescent="0.2">
      <c r="AG1007" s="1"/>
      <c r="AH1007" s="7"/>
    </row>
  </sheetData>
  <conditionalFormatting sqref="B43">
    <cfRule type="cellIs" dxfId="59" priority="3" operator="greaterThanOrEqual">
      <formula>0</formula>
    </cfRule>
    <cfRule type="cellIs" dxfId="58" priority="4" operator="lessThanOrEqual">
      <formula>0</formula>
    </cfRule>
  </conditionalFormatting>
  <conditionalFormatting sqref="B2:S2 U2:AF2 V4">
    <cfRule type="cellIs" dxfId="57" priority="7" operator="greaterThan">
      <formula>4200</formula>
    </cfRule>
  </conditionalFormatting>
  <conditionalFormatting sqref="B33:AG33 AJ33:BG33">
    <cfRule type="cellIs" dxfId="56" priority="1" operator="greaterThanOrEqual">
      <formula>0</formula>
    </cfRule>
    <cfRule type="cellIs" dxfId="55" priority="2" operator="lessThanOrEqual">
      <formula>0</formula>
    </cfRule>
  </conditionalFormatting>
  <conditionalFormatting sqref="AH33">
    <cfRule type="cellIs" dxfId="54" priority="5" operator="greaterThanOrEqual">
      <formula>1</formula>
    </cfRule>
    <cfRule type="cellIs" dxfId="53" priority="6" operator="lessThan">
      <formul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outlinePr summaryBelow="0" summaryRight="0"/>
  </sheetPr>
  <dimension ref="A1:BF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8" width="9" customWidth="1"/>
  </cols>
  <sheetData>
    <row r="1" spans="1:58" ht="15.75" customHeight="1" x14ac:dyDescent="0.2">
      <c r="A1" s="8" t="s">
        <v>127</v>
      </c>
      <c r="B1" s="64">
        <v>45809</v>
      </c>
      <c r="C1" s="64">
        <v>45810</v>
      </c>
      <c r="D1" s="64">
        <v>45811</v>
      </c>
      <c r="E1" s="64">
        <v>45812</v>
      </c>
      <c r="F1" s="64">
        <v>45813</v>
      </c>
      <c r="G1" s="64">
        <v>45814</v>
      </c>
      <c r="H1" s="64">
        <v>45815</v>
      </c>
      <c r="I1" s="64">
        <v>45816</v>
      </c>
      <c r="J1" s="64">
        <v>45817</v>
      </c>
      <c r="K1" s="64">
        <v>45818</v>
      </c>
      <c r="L1" s="64">
        <v>45819</v>
      </c>
      <c r="M1" s="64">
        <v>45820</v>
      </c>
      <c r="N1" s="64">
        <v>45821</v>
      </c>
      <c r="O1" s="64">
        <v>45822</v>
      </c>
      <c r="P1" s="64">
        <v>45823</v>
      </c>
      <c r="Q1" s="64">
        <v>45824</v>
      </c>
      <c r="R1" s="64">
        <v>45825</v>
      </c>
      <c r="S1" s="64">
        <v>45826</v>
      </c>
      <c r="T1" s="64">
        <v>45827</v>
      </c>
      <c r="U1" s="64">
        <v>45828</v>
      </c>
      <c r="V1" s="64">
        <v>45829</v>
      </c>
      <c r="W1" s="64">
        <v>45830</v>
      </c>
      <c r="X1" s="64">
        <v>45831</v>
      </c>
      <c r="Y1" s="64">
        <v>45832</v>
      </c>
      <c r="Z1" s="64">
        <v>45833</v>
      </c>
      <c r="AA1" s="64">
        <v>45834</v>
      </c>
      <c r="AB1" s="64">
        <v>45835</v>
      </c>
      <c r="AC1" s="64">
        <v>45836</v>
      </c>
      <c r="AD1" s="64">
        <v>45837</v>
      </c>
      <c r="AE1" s="64">
        <v>45838</v>
      </c>
      <c r="AF1" s="22" t="s">
        <v>0</v>
      </c>
      <c r="AG1" s="22" t="s">
        <v>153</v>
      </c>
      <c r="AH1" s="8" t="s">
        <v>161</v>
      </c>
      <c r="AI1" s="65"/>
      <c r="AJ1" s="65"/>
      <c r="AK1" s="65"/>
      <c r="AL1" s="65"/>
      <c r="AM1" s="65"/>
      <c r="AN1" s="65"/>
      <c r="AO1" s="65"/>
      <c r="AP1" s="65"/>
      <c r="AQ1" s="65"/>
      <c r="AR1" s="65"/>
      <c r="AS1" s="65"/>
      <c r="AT1" s="65"/>
      <c r="AU1" s="65"/>
      <c r="AV1" s="65"/>
      <c r="AW1" s="65"/>
      <c r="AX1" s="65"/>
      <c r="AY1" s="65"/>
      <c r="AZ1" s="65"/>
      <c r="BA1" s="65"/>
      <c r="BB1" s="65"/>
      <c r="BC1" s="65"/>
      <c r="BD1" s="65"/>
      <c r="BE1" s="65"/>
      <c r="BF1" s="65"/>
    </row>
    <row r="2" spans="1:58" ht="15.75" customHeight="1" x14ac:dyDescent="0.2">
      <c r="A2" s="4" t="s">
        <v>162</v>
      </c>
      <c r="B2" s="66">
        <v>1700</v>
      </c>
      <c r="C2" s="66">
        <v>1700</v>
      </c>
      <c r="D2" s="66">
        <v>1700</v>
      </c>
      <c r="E2" s="66">
        <v>1700</v>
      </c>
      <c r="F2" s="66">
        <v>1700</v>
      </c>
      <c r="G2" s="66">
        <v>1700</v>
      </c>
      <c r="H2" s="66">
        <v>1700</v>
      </c>
      <c r="I2" s="66">
        <v>1700</v>
      </c>
      <c r="J2" s="69">
        <v>0</v>
      </c>
      <c r="K2" s="66">
        <v>1700</v>
      </c>
      <c r="L2" s="66">
        <v>1700</v>
      </c>
      <c r="M2" s="66">
        <v>1700</v>
      </c>
      <c r="N2" s="66">
        <v>1700</v>
      </c>
      <c r="O2" s="66">
        <v>1700</v>
      </c>
      <c r="P2" s="66">
        <v>1700</v>
      </c>
      <c r="Q2" s="66">
        <v>1700</v>
      </c>
      <c r="R2" s="66">
        <v>1700</v>
      </c>
      <c r="S2" s="66">
        <v>1700</v>
      </c>
      <c r="T2" s="66">
        <v>1700</v>
      </c>
      <c r="U2" s="66">
        <v>1700</v>
      </c>
      <c r="V2" s="66">
        <v>1700</v>
      </c>
      <c r="W2" s="66">
        <v>1700</v>
      </c>
      <c r="X2" s="66">
        <v>1700</v>
      </c>
      <c r="Y2" s="66">
        <v>1700</v>
      </c>
      <c r="Z2" s="66">
        <v>1700</v>
      </c>
      <c r="AA2" s="66">
        <v>1700</v>
      </c>
      <c r="AB2" s="66">
        <v>1700</v>
      </c>
      <c r="AC2" s="66">
        <v>1700</v>
      </c>
      <c r="AD2" s="66">
        <v>1700</v>
      </c>
      <c r="AE2" s="69">
        <v>0</v>
      </c>
      <c r="AF2" s="56">
        <f t="shared" ref="AF2:AF4" si="0">SUM(B2:AE2)</f>
        <v>47600</v>
      </c>
      <c r="AG2" s="67">
        <f t="shared" ref="AG2:AG4" si="1">IFERROR(AVERAGE(B2:AE2),0)</f>
        <v>1586.6666666666667</v>
      </c>
      <c r="AH2" s="68">
        <f t="shared" ref="AH2:AH4" si="2">(AG2/$AG$29)*100</f>
        <v>14.932349555009711</v>
      </c>
      <c r="AI2" s="14"/>
      <c r="AJ2" s="14"/>
      <c r="AK2" s="14"/>
      <c r="AL2" s="14"/>
      <c r="AM2" s="14"/>
      <c r="AN2" s="14"/>
      <c r="AO2" s="14"/>
      <c r="AP2" s="14"/>
      <c r="AQ2" s="14"/>
      <c r="AR2" s="14"/>
      <c r="AS2" s="14"/>
      <c r="AT2" s="14"/>
      <c r="AU2" s="14"/>
      <c r="AV2" s="14"/>
      <c r="AW2" s="14"/>
      <c r="AX2" s="14"/>
      <c r="AY2" s="14"/>
      <c r="AZ2" s="14"/>
      <c r="BA2" s="14"/>
      <c r="BB2" s="14"/>
      <c r="BC2" s="14"/>
      <c r="BD2" s="14"/>
      <c r="BE2" s="14"/>
      <c r="BF2" s="14"/>
    </row>
    <row r="3" spans="1:58" ht="15.75" customHeight="1" x14ac:dyDescent="0.2">
      <c r="A3" s="4" t="s">
        <v>163</v>
      </c>
      <c r="B3" s="59">
        <f t="shared" ref="B3:I3" si="3">$B$39/$B$59</f>
        <v>3419.3214285714284</v>
      </c>
      <c r="C3" s="59">
        <f t="shared" si="3"/>
        <v>3419.3214285714284</v>
      </c>
      <c r="D3" s="59">
        <f t="shared" si="3"/>
        <v>3419.3214285714284</v>
      </c>
      <c r="E3" s="59">
        <f t="shared" si="3"/>
        <v>3419.3214285714284</v>
      </c>
      <c r="F3" s="59">
        <f t="shared" si="3"/>
        <v>3419.3214285714284</v>
      </c>
      <c r="G3" s="59">
        <f t="shared" si="3"/>
        <v>3419.3214285714284</v>
      </c>
      <c r="H3" s="59">
        <f t="shared" si="3"/>
        <v>3419.3214285714284</v>
      </c>
      <c r="I3" s="59">
        <f t="shared" si="3"/>
        <v>3419.3214285714284</v>
      </c>
      <c r="J3" s="69">
        <v>0</v>
      </c>
      <c r="K3" s="59">
        <f t="shared" ref="K3:AD3" si="4">$B$39/$B$59</f>
        <v>3419.3214285714284</v>
      </c>
      <c r="L3" s="59">
        <f t="shared" si="4"/>
        <v>3419.3214285714284</v>
      </c>
      <c r="M3" s="59">
        <f t="shared" si="4"/>
        <v>3419.3214285714284</v>
      </c>
      <c r="N3" s="59">
        <f t="shared" si="4"/>
        <v>3419.3214285714284</v>
      </c>
      <c r="O3" s="59">
        <f t="shared" si="4"/>
        <v>3419.3214285714284</v>
      </c>
      <c r="P3" s="59">
        <f t="shared" si="4"/>
        <v>3419.3214285714284</v>
      </c>
      <c r="Q3" s="59">
        <f t="shared" si="4"/>
        <v>3419.3214285714284</v>
      </c>
      <c r="R3" s="59">
        <f t="shared" si="4"/>
        <v>3419.3214285714284</v>
      </c>
      <c r="S3" s="59">
        <f t="shared" si="4"/>
        <v>3419.3214285714284</v>
      </c>
      <c r="T3" s="59">
        <f t="shared" si="4"/>
        <v>3419.3214285714284</v>
      </c>
      <c r="U3" s="59">
        <f t="shared" si="4"/>
        <v>3419.3214285714284</v>
      </c>
      <c r="V3" s="59">
        <f t="shared" si="4"/>
        <v>3419.3214285714284</v>
      </c>
      <c r="W3" s="59">
        <f t="shared" si="4"/>
        <v>3419.3214285714284</v>
      </c>
      <c r="X3" s="59">
        <f t="shared" si="4"/>
        <v>3419.3214285714284</v>
      </c>
      <c r="Y3" s="59">
        <f t="shared" si="4"/>
        <v>3419.3214285714284</v>
      </c>
      <c r="Z3" s="59">
        <f t="shared" si="4"/>
        <v>3419.3214285714284</v>
      </c>
      <c r="AA3" s="59">
        <f t="shared" si="4"/>
        <v>3419.3214285714284</v>
      </c>
      <c r="AB3" s="59">
        <f t="shared" si="4"/>
        <v>3419.3214285714284</v>
      </c>
      <c r="AC3" s="59">
        <f t="shared" si="4"/>
        <v>3419.3214285714284</v>
      </c>
      <c r="AD3" s="59">
        <f t="shared" si="4"/>
        <v>3419.3214285714284</v>
      </c>
      <c r="AE3" s="69">
        <v>0</v>
      </c>
      <c r="AF3" s="56">
        <f t="shared" si="0"/>
        <v>95741.000000000044</v>
      </c>
      <c r="AG3" s="67">
        <f t="shared" si="1"/>
        <v>3191.3666666666682</v>
      </c>
      <c r="AH3" s="68">
        <f t="shared" si="2"/>
        <v>30.034413419037509</v>
      </c>
      <c r="AI3" s="14"/>
      <c r="AJ3" s="14"/>
      <c r="AK3" s="14"/>
      <c r="AL3" s="14"/>
      <c r="AM3" s="14"/>
      <c r="AN3" s="14"/>
      <c r="AO3" s="14"/>
      <c r="AP3" s="14"/>
      <c r="AQ3" s="14"/>
      <c r="AR3" s="14"/>
      <c r="AS3" s="14"/>
      <c r="AT3" s="14"/>
      <c r="AU3" s="14"/>
      <c r="AV3" s="14"/>
      <c r="AW3" s="14"/>
      <c r="AX3" s="14"/>
      <c r="AY3" s="14"/>
      <c r="AZ3" s="14"/>
      <c r="BA3" s="14"/>
      <c r="BB3" s="14"/>
      <c r="BC3" s="14"/>
      <c r="BD3" s="14"/>
      <c r="BE3" s="14"/>
      <c r="BF3" s="14"/>
    </row>
    <row r="4" spans="1:58" ht="15.75" customHeight="1" x14ac:dyDescent="0.2">
      <c r="A4" s="4" t="s">
        <v>20</v>
      </c>
      <c r="B4" s="69">
        <f t="shared" ref="B4:I4" si="5">$B$42/$B$59</f>
        <v>1940.2857142857142</v>
      </c>
      <c r="C4" s="69">
        <f t="shared" si="5"/>
        <v>1940.2857142857142</v>
      </c>
      <c r="D4" s="69">
        <f t="shared" si="5"/>
        <v>1940.2857142857142</v>
      </c>
      <c r="E4" s="69">
        <f t="shared" si="5"/>
        <v>1940.2857142857142</v>
      </c>
      <c r="F4" s="69">
        <f t="shared" si="5"/>
        <v>1940.2857142857142</v>
      </c>
      <c r="G4" s="69">
        <f t="shared" si="5"/>
        <v>1940.2857142857142</v>
      </c>
      <c r="H4" s="69">
        <f t="shared" si="5"/>
        <v>1940.2857142857142</v>
      </c>
      <c r="I4" s="69">
        <f t="shared" si="5"/>
        <v>1940.2857142857142</v>
      </c>
      <c r="J4" s="69">
        <v>0</v>
      </c>
      <c r="K4" s="69">
        <f t="shared" ref="K4:AD4" si="6">$B$42/$B$59</f>
        <v>1940.2857142857142</v>
      </c>
      <c r="L4" s="69">
        <f t="shared" si="6"/>
        <v>1940.2857142857142</v>
      </c>
      <c r="M4" s="69">
        <f t="shared" si="6"/>
        <v>1940.2857142857142</v>
      </c>
      <c r="N4" s="69">
        <f t="shared" si="6"/>
        <v>1940.2857142857142</v>
      </c>
      <c r="O4" s="69">
        <f t="shared" si="6"/>
        <v>1940.2857142857142</v>
      </c>
      <c r="P4" s="69">
        <f t="shared" si="6"/>
        <v>1940.2857142857142</v>
      </c>
      <c r="Q4" s="69">
        <f t="shared" si="6"/>
        <v>1940.2857142857142</v>
      </c>
      <c r="R4" s="69">
        <f t="shared" si="6"/>
        <v>1940.2857142857142</v>
      </c>
      <c r="S4" s="69">
        <f t="shared" si="6"/>
        <v>1940.2857142857142</v>
      </c>
      <c r="T4" s="69">
        <f t="shared" si="6"/>
        <v>1940.2857142857142</v>
      </c>
      <c r="U4" s="69">
        <f t="shared" si="6"/>
        <v>1940.2857142857142</v>
      </c>
      <c r="V4" s="69">
        <f t="shared" si="6"/>
        <v>1940.2857142857142</v>
      </c>
      <c r="W4" s="69">
        <f t="shared" si="6"/>
        <v>1940.2857142857142</v>
      </c>
      <c r="X4" s="69">
        <f t="shared" si="6"/>
        <v>1940.2857142857142</v>
      </c>
      <c r="Y4" s="69">
        <f t="shared" si="6"/>
        <v>1940.2857142857142</v>
      </c>
      <c r="Z4" s="69">
        <f t="shared" si="6"/>
        <v>1940.2857142857142</v>
      </c>
      <c r="AA4" s="69">
        <f t="shared" si="6"/>
        <v>1940.2857142857142</v>
      </c>
      <c r="AB4" s="69">
        <f t="shared" si="6"/>
        <v>1940.2857142857142</v>
      </c>
      <c r="AC4" s="69">
        <f t="shared" si="6"/>
        <v>1940.2857142857142</v>
      </c>
      <c r="AD4" s="69">
        <f t="shared" si="6"/>
        <v>1940.2857142857142</v>
      </c>
      <c r="AE4" s="69">
        <v>0</v>
      </c>
      <c r="AF4" s="56">
        <f t="shared" si="0"/>
        <v>54328.000000000029</v>
      </c>
      <c r="AG4" s="67">
        <f t="shared" si="1"/>
        <v>1810.9333333333343</v>
      </c>
      <c r="AH4" s="68">
        <f t="shared" si="2"/>
        <v>17.042955601356471</v>
      </c>
      <c r="AI4" s="14"/>
      <c r="AJ4" s="14"/>
      <c r="AK4" s="14"/>
      <c r="AL4" s="14"/>
      <c r="AM4" s="14"/>
      <c r="AN4" s="14"/>
      <c r="AO4" s="14"/>
      <c r="AP4" s="14"/>
      <c r="AQ4" s="14"/>
      <c r="AR4" s="14"/>
      <c r="AS4" s="14"/>
      <c r="AT4" s="14"/>
      <c r="AU4" s="14"/>
      <c r="AV4" s="14"/>
      <c r="AW4" s="14"/>
      <c r="AX4" s="14"/>
      <c r="AY4" s="14"/>
      <c r="AZ4" s="14"/>
      <c r="BA4" s="14"/>
      <c r="BB4" s="14"/>
      <c r="BC4" s="14"/>
      <c r="BD4" s="14"/>
      <c r="BE4" s="14"/>
      <c r="BF4" s="14"/>
    </row>
    <row r="5" spans="1:58"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1"/>
      <c r="AG5" s="71"/>
      <c r="AH5" s="72"/>
      <c r="AI5" s="14"/>
      <c r="AJ5" s="14"/>
      <c r="AK5" s="14"/>
      <c r="AL5" s="14"/>
      <c r="AM5" s="14"/>
      <c r="AN5" s="14"/>
      <c r="AO5" s="14"/>
      <c r="AP5" s="14"/>
      <c r="AQ5" s="14"/>
      <c r="AR5" s="14"/>
      <c r="AS5" s="14"/>
      <c r="AT5" s="14"/>
      <c r="AU5" s="14"/>
      <c r="AV5" s="14"/>
      <c r="AW5" s="14"/>
      <c r="AX5" s="14"/>
      <c r="AY5" s="14"/>
      <c r="AZ5" s="14"/>
      <c r="BA5" s="14"/>
      <c r="BB5" s="14"/>
      <c r="BC5" s="14"/>
      <c r="BD5" s="14"/>
      <c r="BE5" s="14"/>
      <c r="BF5" s="14"/>
    </row>
    <row r="6" spans="1:58" ht="15.75" customHeight="1" x14ac:dyDescent="0.2">
      <c r="A6" s="4" t="s">
        <v>165</v>
      </c>
      <c r="B6" s="69">
        <v>3000</v>
      </c>
      <c r="C6" s="69">
        <v>2000</v>
      </c>
      <c r="D6" s="69">
        <v>2500</v>
      </c>
      <c r="E6" s="69">
        <v>2500</v>
      </c>
      <c r="F6" s="69">
        <v>2000</v>
      </c>
      <c r="G6" s="69">
        <v>2500</v>
      </c>
      <c r="H6" s="69">
        <v>2000</v>
      </c>
      <c r="I6" s="69">
        <v>2000</v>
      </c>
      <c r="J6" s="69">
        <v>0</v>
      </c>
      <c r="K6" s="69">
        <v>2000</v>
      </c>
      <c r="L6" s="69">
        <v>2000</v>
      </c>
      <c r="M6" s="69">
        <v>2000</v>
      </c>
      <c r="N6" s="69">
        <v>1800</v>
      </c>
      <c r="O6" s="69">
        <v>1500</v>
      </c>
      <c r="P6" s="69">
        <v>2000</v>
      </c>
      <c r="Q6" s="69">
        <v>1000</v>
      </c>
      <c r="R6" s="69">
        <v>1000</v>
      </c>
      <c r="S6" s="69">
        <v>2000</v>
      </c>
      <c r="T6" s="69">
        <v>2000</v>
      </c>
      <c r="U6" s="69">
        <v>1500</v>
      </c>
      <c r="V6" s="69">
        <v>2000</v>
      </c>
      <c r="W6" s="69">
        <v>2000</v>
      </c>
      <c r="X6" s="69">
        <v>2000</v>
      </c>
      <c r="Y6" s="69">
        <v>2000</v>
      </c>
      <c r="Z6" s="69">
        <v>1500</v>
      </c>
      <c r="AA6" s="69">
        <v>1500</v>
      </c>
      <c r="AB6" s="69">
        <v>1500</v>
      </c>
      <c r="AC6" s="69">
        <v>1500</v>
      </c>
      <c r="AD6" s="69">
        <v>2000</v>
      </c>
      <c r="AE6" s="69">
        <v>0</v>
      </c>
      <c r="AF6" s="56">
        <f t="shared" ref="AF6:AF8" si="7">SUM(B6:AE6)</f>
        <v>53300</v>
      </c>
      <c r="AG6" s="67">
        <f t="shared" ref="AG6:AG8" si="8">IFERROR(AVERAGE(B6:AE6),0)</f>
        <v>1776.6666666666667</v>
      </c>
      <c r="AH6" s="68">
        <f t="shared" ref="AH6:AH8" si="9">(AG6/$AG$29)*100</f>
        <v>16.720467043739866</v>
      </c>
      <c r="AI6" s="14"/>
      <c r="AJ6" s="14"/>
      <c r="AR6" s="14"/>
      <c r="AS6" s="14"/>
      <c r="AT6" s="14"/>
      <c r="AU6" s="14"/>
      <c r="AV6" s="14"/>
      <c r="AW6" s="14"/>
      <c r="AX6" s="14"/>
      <c r="AY6" s="14"/>
      <c r="AZ6" s="14"/>
      <c r="BA6" s="14"/>
      <c r="BB6" s="14"/>
      <c r="BC6" s="14"/>
      <c r="BD6" s="14"/>
      <c r="BE6" s="14"/>
      <c r="BF6" s="14"/>
    </row>
    <row r="7" spans="1:58" ht="15.75" customHeight="1" x14ac:dyDescent="0.2">
      <c r="A7" s="4" t="s">
        <v>166</v>
      </c>
      <c r="B7" s="69">
        <f t="shared" ref="B7:I7" si="10">$B$51/$B$59</f>
        <v>80.357142857142861</v>
      </c>
      <c r="C7" s="69">
        <f t="shared" si="10"/>
        <v>80.357142857142861</v>
      </c>
      <c r="D7" s="69">
        <f t="shared" si="10"/>
        <v>80.357142857142861</v>
      </c>
      <c r="E7" s="69">
        <f t="shared" si="10"/>
        <v>80.357142857142861</v>
      </c>
      <c r="F7" s="69">
        <f t="shared" si="10"/>
        <v>80.357142857142861</v>
      </c>
      <c r="G7" s="69">
        <f t="shared" si="10"/>
        <v>80.357142857142861</v>
      </c>
      <c r="H7" s="69">
        <f t="shared" si="10"/>
        <v>80.357142857142861</v>
      </c>
      <c r="I7" s="69">
        <f t="shared" si="10"/>
        <v>80.357142857142861</v>
      </c>
      <c r="J7" s="69">
        <v>0</v>
      </c>
      <c r="K7" s="69">
        <f t="shared" ref="K7:AD7" si="11">$B$51/$B$59</f>
        <v>80.357142857142861</v>
      </c>
      <c r="L7" s="69">
        <f t="shared" si="11"/>
        <v>80.357142857142861</v>
      </c>
      <c r="M7" s="69">
        <f t="shared" si="11"/>
        <v>80.357142857142861</v>
      </c>
      <c r="N7" s="69">
        <f t="shared" si="11"/>
        <v>80.357142857142861</v>
      </c>
      <c r="O7" s="69">
        <f t="shared" si="11"/>
        <v>80.357142857142861</v>
      </c>
      <c r="P7" s="69">
        <f t="shared" si="11"/>
        <v>80.357142857142861</v>
      </c>
      <c r="Q7" s="69">
        <f t="shared" si="11"/>
        <v>80.357142857142861</v>
      </c>
      <c r="R7" s="69">
        <f t="shared" si="11"/>
        <v>80.357142857142861</v>
      </c>
      <c r="S7" s="69">
        <f t="shared" si="11"/>
        <v>80.357142857142861</v>
      </c>
      <c r="T7" s="69">
        <f t="shared" si="11"/>
        <v>80.357142857142861</v>
      </c>
      <c r="U7" s="69">
        <f t="shared" si="11"/>
        <v>80.357142857142861</v>
      </c>
      <c r="V7" s="69">
        <f t="shared" si="11"/>
        <v>80.357142857142861</v>
      </c>
      <c r="W7" s="69">
        <f t="shared" si="11"/>
        <v>80.357142857142861</v>
      </c>
      <c r="X7" s="69">
        <f t="shared" si="11"/>
        <v>80.357142857142861</v>
      </c>
      <c r="Y7" s="69">
        <f t="shared" si="11"/>
        <v>80.357142857142861</v>
      </c>
      <c r="Z7" s="69">
        <f t="shared" si="11"/>
        <v>80.357142857142861</v>
      </c>
      <c r="AA7" s="69">
        <f t="shared" si="11"/>
        <v>80.357142857142861</v>
      </c>
      <c r="AB7" s="69">
        <f t="shared" si="11"/>
        <v>80.357142857142861</v>
      </c>
      <c r="AC7" s="69">
        <f t="shared" si="11"/>
        <v>80.357142857142861</v>
      </c>
      <c r="AD7" s="69">
        <f t="shared" si="11"/>
        <v>80.357142857142861</v>
      </c>
      <c r="AE7" s="69">
        <v>0</v>
      </c>
      <c r="AF7" s="56">
        <f t="shared" si="7"/>
        <v>2250</v>
      </c>
      <c r="AG7" s="67">
        <f t="shared" si="8"/>
        <v>75</v>
      </c>
      <c r="AH7" s="68">
        <f t="shared" si="9"/>
        <v>0.7058358508145347</v>
      </c>
      <c r="AI7" s="14"/>
      <c r="AJ7" s="14"/>
      <c r="AR7" s="14"/>
      <c r="AS7" s="14"/>
      <c r="AT7" s="14"/>
      <c r="AU7" s="14"/>
      <c r="AV7" s="14"/>
      <c r="AW7" s="14"/>
      <c r="AX7" s="14"/>
      <c r="AY7" s="14"/>
      <c r="AZ7" s="14"/>
      <c r="BA7" s="14"/>
      <c r="BB7" s="14"/>
      <c r="BC7" s="14"/>
      <c r="BD7" s="14"/>
      <c r="BE7" s="14"/>
      <c r="BF7" s="14"/>
    </row>
    <row r="8" spans="1:58" ht="15.75" customHeight="1" x14ac:dyDescent="0.2">
      <c r="A8" s="4" t="s">
        <v>167</v>
      </c>
      <c r="B8" s="69">
        <f t="shared" ref="B8:I8" si="12">$B$52/$B$59</f>
        <v>100</v>
      </c>
      <c r="C8" s="69">
        <f t="shared" si="12"/>
        <v>100</v>
      </c>
      <c r="D8" s="69">
        <f t="shared" si="12"/>
        <v>100</v>
      </c>
      <c r="E8" s="69">
        <f t="shared" si="12"/>
        <v>100</v>
      </c>
      <c r="F8" s="69">
        <f t="shared" si="12"/>
        <v>100</v>
      </c>
      <c r="G8" s="69">
        <f t="shared" si="12"/>
        <v>100</v>
      </c>
      <c r="H8" s="69">
        <f t="shared" si="12"/>
        <v>100</v>
      </c>
      <c r="I8" s="69">
        <f t="shared" si="12"/>
        <v>100</v>
      </c>
      <c r="J8" s="69">
        <v>0</v>
      </c>
      <c r="K8" s="69">
        <f t="shared" ref="K8:AD8" si="13">$B$52/$B$59</f>
        <v>100</v>
      </c>
      <c r="L8" s="69">
        <f t="shared" si="13"/>
        <v>100</v>
      </c>
      <c r="M8" s="69">
        <f t="shared" si="13"/>
        <v>100</v>
      </c>
      <c r="N8" s="69">
        <f t="shared" si="13"/>
        <v>100</v>
      </c>
      <c r="O8" s="69">
        <f t="shared" si="13"/>
        <v>100</v>
      </c>
      <c r="P8" s="69">
        <f t="shared" si="13"/>
        <v>100</v>
      </c>
      <c r="Q8" s="69">
        <f t="shared" si="13"/>
        <v>100</v>
      </c>
      <c r="R8" s="69">
        <f t="shared" si="13"/>
        <v>100</v>
      </c>
      <c r="S8" s="69">
        <f t="shared" si="13"/>
        <v>100</v>
      </c>
      <c r="T8" s="69">
        <f t="shared" si="13"/>
        <v>100</v>
      </c>
      <c r="U8" s="69">
        <f t="shared" si="13"/>
        <v>100</v>
      </c>
      <c r="V8" s="69">
        <f t="shared" si="13"/>
        <v>100</v>
      </c>
      <c r="W8" s="69">
        <f t="shared" si="13"/>
        <v>100</v>
      </c>
      <c r="X8" s="69">
        <f t="shared" si="13"/>
        <v>100</v>
      </c>
      <c r="Y8" s="69">
        <f t="shared" si="13"/>
        <v>100</v>
      </c>
      <c r="Z8" s="69">
        <f t="shared" si="13"/>
        <v>100</v>
      </c>
      <c r="AA8" s="69">
        <f t="shared" si="13"/>
        <v>100</v>
      </c>
      <c r="AB8" s="69">
        <f t="shared" si="13"/>
        <v>100</v>
      </c>
      <c r="AC8" s="69">
        <f t="shared" si="13"/>
        <v>100</v>
      </c>
      <c r="AD8" s="69">
        <f t="shared" si="13"/>
        <v>100</v>
      </c>
      <c r="AE8" s="69">
        <v>0</v>
      </c>
      <c r="AF8" s="56">
        <f t="shared" si="7"/>
        <v>2800</v>
      </c>
      <c r="AG8" s="67">
        <f t="shared" si="8"/>
        <v>93.333333333333329</v>
      </c>
      <c r="AH8" s="68">
        <f t="shared" si="9"/>
        <v>0.87837350323586527</v>
      </c>
      <c r="AI8" s="14"/>
      <c r="AJ8" s="14"/>
      <c r="AM8" s="74"/>
      <c r="AR8" s="14"/>
      <c r="AS8" s="14"/>
      <c r="AT8" s="14"/>
      <c r="AU8" s="14"/>
      <c r="AV8" s="14"/>
      <c r="AW8" s="14"/>
      <c r="AX8" s="14"/>
      <c r="AY8" s="14"/>
      <c r="AZ8" s="14"/>
      <c r="BA8" s="14"/>
      <c r="BB8" s="14"/>
      <c r="BC8" s="14"/>
      <c r="BD8" s="14"/>
      <c r="BE8" s="14"/>
      <c r="BF8" s="14"/>
    </row>
    <row r="9" spans="1:58"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1"/>
      <c r="AG9" s="71"/>
      <c r="AH9" s="72"/>
      <c r="AI9" s="14"/>
      <c r="AJ9" s="14"/>
      <c r="AM9" s="74"/>
      <c r="AR9" s="14"/>
      <c r="AS9" s="14"/>
      <c r="AT9" s="14"/>
      <c r="AU9" s="14"/>
      <c r="AV9" s="14"/>
      <c r="AW9" s="14"/>
      <c r="AX9" s="14"/>
      <c r="AY9" s="14"/>
      <c r="AZ9" s="14"/>
      <c r="BA9" s="14"/>
      <c r="BB9" s="14"/>
      <c r="BC9" s="14"/>
      <c r="BD9" s="14"/>
      <c r="BE9" s="14"/>
      <c r="BF9" s="14"/>
    </row>
    <row r="10" spans="1:58" ht="15.75" customHeight="1" x14ac:dyDescent="0.2">
      <c r="A10" s="4" t="s">
        <v>169</v>
      </c>
      <c r="B10" s="69">
        <f>90+30+30+40+30+20+100+40</f>
        <v>380</v>
      </c>
      <c r="C10" s="69">
        <f>60+20+30+20+30+50+100+30</f>
        <v>340</v>
      </c>
      <c r="D10" s="69">
        <f>60+20+160+40+30+40</f>
        <v>350</v>
      </c>
      <c r="E10" s="69">
        <f>60+20+50+50+40+20+60+1130</f>
        <v>1430</v>
      </c>
      <c r="F10" s="69">
        <f>60+20+10+30+30+50+100+40+50+150</f>
        <v>540</v>
      </c>
      <c r="G10" s="69">
        <f>60+20+80+60+100+10+20+50+20</f>
        <v>420</v>
      </c>
      <c r="H10" s="69">
        <f>90+10+30+20+60+30+30+100+50+120</f>
        <v>540</v>
      </c>
      <c r="I10" s="69">
        <f>60+20+50+50+40+20+10+50</f>
        <v>300</v>
      </c>
      <c r="J10" s="69">
        <v>0</v>
      </c>
      <c r="K10" s="69">
        <f>60+20+30+100+20+60+50</f>
        <v>340</v>
      </c>
      <c r="L10" s="69">
        <f>60+20+30+100+30+40+30+50</f>
        <v>360</v>
      </c>
      <c r="M10" s="69">
        <f>60+20+50+40+40+20+20+30</f>
        <v>280</v>
      </c>
      <c r="N10" s="69">
        <f>60+20+20+100+30+30+40+30+40</f>
        <v>370</v>
      </c>
      <c r="O10" s="69">
        <f>40+10+200+30+30+30+60+50+50</f>
        <v>500</v>
      </c>
      <c r="P10" s="69">
        <f>60+20+80+40+50+30+15</f>
        <v>295</v>
      </c>
      <c r="Q10" s="69">
        <f>60+20+80+50+30+30</f>
        <v>270</v>
      </c>
      <c r="R10" s="69">
        <f>60+20+60+100+20+40+50+30+60</f>
        <v>440</v>
      </c>
      <c r="S10" s="69">
        <f>40+10+30+200+40+30+30</f>
        <v>380</v>
      </c>
      <c r="T10" s="69">
        <f>40+20+30+50+110+20+40+30+50+50</f>
        <v>440</v>
      </c>
      <c r="U10" s="69">
        <f>60+20+50+40+100+30+120</f>
        <v>420</v>
      </c>
      <c r="V10" s="69">
        <f>60+20+80+20+40+60+40+50+50</f>
        <v>420</v>
      </c>
      <c r="W10" s="69">
        <f>60+20+60+20+100+30+50+30</f>
        <v>370</v>
      </c>
      <c r="X10" s="69">
        <f>60+20+100+30+30+49+50</f>
        <v>339</v>
      </c>
      <c r="Y10" s="69">
        <f>60+10+30+40+60+30</f>
        <v>230</v>
      </c>
      <c r="Z10" s="69">
        <f>50+20+20+40+50+20+50+300+50</f>
        <v>600</v>
      </c>
      <c r="AA10" s="69">
        <f>50+20+20+50+50+100+50+40</f>
        <v>380</v>
      </c>
      <c r="AB10" s="69">
        <f>40+10+50+40+20+40+30+100+50</f>
        <v>380</v>
      </c>
      <c r="AC10" s="69">
        <f>50+20+40+50+250+50+20</f>
        <v>480</v>
      </c>
      <c r="AD10" s="69">
        <f>50+20+30+20+50+40+30+50+100</f>
        <v>390</v>
      </c>
      <c r="AE10" s="69">
        <v>0</v>
      </c>
      <c r="AF10" s="56">
        <f t="shared" ref="AF10:AF18" si="14">SUM(B10:AD10)</f>
        <v>11984</v>
      </c>
      <c r="AG10" s="67">
        <f t="shared" ref="AG10:AG18" si="15">IFERROR(AVERAGE(B10:AE10),0)</f>
        <v>399.46666666666664</v>
      </c>
      <c r="AH10" s="68">
        <f t="shared" ref="AH10:AH18" si="16">(AG10/$AG$29)*100</f>
        <v>3.7594385938495032</v>
      </c>
      <c r="AJ10" s="14"/>
      <c r="AM10" s="74"/>
      <c r="AR10" s="14"/>
      <c r="AS10" s="14"/>
      <c r="AT10" s="14"/>
      <c r="AU10" s="14"/>
      <c r="AV10" s="14"/>
      <c r="AW10" s="14"/>
      <c r="AX10" s="14"/>
      <c r="AY10" s="14"/>
      <c r="AZ10" s="14"/>
      <c r="BA10" s="14"/>
      <c r="BB10" s="14"/>
      <c r="BC10" s="14"/>
      <c r="BD10" s="14"/>
      <c r="BE10" s="14"/>
      <c r="BF10" s="14"/>
    </row>
    <row r="11" spans="1:58" ht="15.75" customHeight="1" x14ac:dyDescent="0.2">
      <c r="A11" s="4" t="s">
        <v>170</v>
      </c>
      <c r="B11" s="69">
        <v>165</v>
      </c>
      <c r="C11" s="69">
        <v>220</v>
      </c>
      <c r="D11" s="69">
        <v>165</v>
      </c>
      <c r="E11" s="69">
        <v>165</v>
      </c>
      <c r="F11" s="69">
        <v>220</v>
      </c>
      <c r="G11" s="69">
        <v>220</v>
      </c>
      <c r="H11" s="69">
        <v>220</v>
      </c>
      <c r="I11" s="69">
        <v>165</v>
      </c>
      <c r="J11" s="69">
        <v>0</v>
      </c>
      <c r="K11" s="69">
        <v>165</v>
      </c>
      <c r="L11" s="69">
        <v>140</v>
      </c>
      <c r="M11" s="69">
        <v>220</v>
      </c>
      <c r="N11" s="69">
        <v>140</v>
      </c>
      <c r="O11" s="69">
        <v>165</v>
      </c>
      <c r="P11" s="69">
        <v>165</v>
      </c>
      <c r="Q11" s="69">
        <v>165</v>
      </c>
      <c r="R11" s="69">
        <v>165</v>
      </c>
      <c r="S11" s="69">
        <v>140</v>
      </c>
      <c r="T11" s="69">
        <v>190</v>
      </c>
      <c r="U11" s="69">
        <v>165</v>
      </c>
      <c r="V11" s="69">
        <v>165</v>
      </c>
      <c r="W11" s="69">
        <v>275</v>
      </c>
      <c r="X11" s="69">
        <v>220</v>
      </c>
      <c r="Y11" s="69">
        <v>140</v>
      </c>
      <c r="Z11" s="69">
        <v>165</v>
      </c>
      <c r="AA11" s="69">
        <v>165</v>
      </c>
      <c r="AB11" s="69">
        <v>165</v>
      </c>
      <c r="AC11" s="69">
        <v>220</v>
      </c>
      <c r="AD11" s="69">
        <v>165</v>
      </c>
      <c r="AE11" s="69">
        <v>0</v>
      </c>
      <c r="AF11" s="56">
        <f t="shared" si="14"/>
        <v>5040</v>
      </c>
      <c r="AG11" s="67">
        <f t="shared" si="15"/>
        <v>168</v>
      </c>
      <c r="AH11" s="68">
        <f t="shared" si="16"/>
        <v>1.5810723058245577</v>
      </c>
      <c r="AJ11" s="14"/>
      <c r="AM11" s="74"/>
      <c r="AR11" s="14"/>
      <c r="AS11" s="14"/>
      <c r="AT11" s="14"/>
      <c r="AU11" s="14"/>
      <c r="AV11" s="14"/>
      <c r="AW11" s="14"/>
      <c r="AX11" s="14"/>
      <c r="AY11" s="14"/>
      <c r="AZ11" s="14"/>
      <c r="BA11" s="14"/>
      <c r="BB11" s="14"/>
      <c r="BC11" s="14"/>
      <c r="BD11" s="14"/>
      <c r="BE11" s="14"/>
      <c r="BF11" s="14"/>
    </row>
    <row r="12" spans="1:58" ht="15.75" customHeight="1" x14ac:dyDescent="0.2">
      <c r="A12" s="4" t="s">
        <v>171</v>
      </c>
      <c r="B12" s="69">
        <v>65</v>
      </c>
      <c r="C12" s="69">
        <v>65</v>
      </c>
      <c r="D12" s="69">
        <v>0</v>
      </c>
      <c r="E12" s="69">
        <v>33</v>
      </c>
      <c r="F12" s="69">
        <v>32</v>
      </c>
      <c r="G12" s="69">
        <v>35</v>
      </c>
      <c r="H12" s="69">
        <v>65</v>
      </c>
      <c r="I12" s="69">
        <v>0</v>
      </c>
      <c r="J12" s="69">
        <v>0</v>
      </c>
      <c r="K12" s="69">
        <v>35</v>
      </c>
      <c r="L12" s="69">
        <v>32</v>
      </c>
      <c r="M12" s="69">
        <v>65</v>
      </c>
      <c r="N12" s="69">
        <v>0</v>
      </c>
      <c r="O12" s="69">
        <v>65</v>
      </c>
      <c r="P12" s="69">
        <v>0</v>
      </c>
      <c r="Q12" s="69">
        <v>32</v>
      </c>
      <c r="R12" s="69">
        <v>65</v>
      </c>
      <c r="S12" s="69">
        <v>0</v>
      </c>
      <c r="T12" s="69">
        <v>65</v>
      </c>
      <c r="U12" s="69">
        <v>0</v>
      </c>
      <c r="V12" s="69">
        <v>65</v>
      </c>
      <c r="W12" s="69">
        <v>0</v>
      </c>
      <c r="X12" s="69">
        <v>65</v>
      </c>
      <c r="Y12" s="69">
        <v>0</v>
      </c>
      <c r="Z12" s="69">
        <v>65</v>
      </c>
      <c r="AA12" s="69">
        <v>0</v>
      </c>
      <c r="AB12" s="69">
        <v>65</v>
      </c>
      <c r="AC12" s="69">
        <v>0</v>
      </c>
      <c r="AD12" s="69">
        <v>65</v>
      </c>
      <c r="AE12" s="69">
        <v>0</v>
      </c>
      <c r="AF12" s="56">
        <f t="shared" si="14"/>
        <v>979</v>
      </c>
      <c r="AG12" s="67">
        <f t="shared" si="15"/>
        <v>32.633333333333333</v>
      </c>
      <c r="AH12" s="68">
        <f t="shared" si="16"/>
        <v>0.3071170213099686</v>
      </c>
      <c r="AJ12" s="14"/>
      <c r="AM12" s="74"/>
      <c r="AR12" s="14"/>
      <c r="AS12" s="14"/>
      <c r="AT12" s="14"/>
      <c r="AU12" s="14"/>
      <c r="AV12" s="14"/>
      <c r="AW12" s="14"/>
      <c r="AX12" s="14"/>
      <c r="AY12" s="14"/>
      <c r="AZ12" s="14"/>
      <c r="BA12" s="14"/>
      <c r="BB12" s="14"/>
      <c r="BC12" s="14"/>
      <c r="BD12" s="14"/>
      <c r="BE12" s="14"/>
      <c r="BF12" s="14"/>
    </row>
    <row r="13" spans="1:58" ht="15.75" customHeight="1" x14ac:dyDescent="0.2">
      <c r="A13" s="4" t="s">
        <v>172</v>
      </c>
      <c r="B13" s="69">
        <v>370</v>
      </c>
      <c r="C13" s="69">
        <v>0</v>
      </c>
      <c r="D13" s="69">
        <v>370</v>
      </c>
      <c r="E13" s="69">
        <v>0</v>
      </c>
      <c r="F13" s="69">
        <v>370</v>
      </c>
      <c r="G13" s="69">
        <v>0</v>
      </c>
      <c r="H13" s="69">
        <v>370</v>
      </c>
      <c r="I13" s="69">
        <v>370</v>
      </c>
      <c r="J13" s="69">
        <v>0</v>
      </c>
      <c r="K13" s="69">
        <v>0</v>
      </c>
      <c r="L13" s="69">
        <v>0</v>
      </c>
      <c r="M13" s="69">
        <v>370</v>
      </c>
      <c r="N13" s="69">
        <v>370</v>
      </c>
      <c r="O13" s="69">
        <v>0</v>
      </c>
      <c r="P13" s="69">
        <v>370</v>
      </c>
      <c r="Q13" s="69">
        <v>370</v>
      </c>
      <c r="R13" s="69">
        <v>0</v>
      </c>
      <c r="S13" s="69">
        <v>0</v>
      </c>
      <c r="T13" s="69">
        <v>370</v>
      </c>
      <c r="U13" s="69">
        <v>0</v>
      </c>
      <c r="V13" s="69">
        <v>370</v>
      </c>
      <c r="W13" s="69">
        <v>0</v>
      </c>
      <c r="X13" s="69">
        <v>0</v>
      </c>
      <c r="Y13" s="69">
        <v>370</v>
      </c>
      <c r="Z13" s="69">
        <v>0</v>
      </c>
      <c r="AA13" s="69">
        <v>370</v>
      </c>
      <c r="AB13" s="69">
        <v>370</v>
      </c>
      <c r="AC13" s="69">
        <v>0</v>
      </c>
      <c r="AD13" s="69">
        <v>370</v>
      </c>
      <c r="AE13" s="69">
        <v>0</v>
      </c>
      <c r="AF13" s="56">
        <f t="shared" si="14"/>
        <v>5550</v>
      </c>
      <c r="AG13" s="67">
        <f t="shared" si="15"/>
        <v>185</v>
      </c>
      <c r="AH13" s="68">
        <f t="shared" si="16"/>
        <v>1.7410617653425189</v>
      </c>
      <c r="AJ13" s="14"/>
      <c r="AM13" s="74"/>
      <c r="AR13" s="14"/>
      <c r="AS13" s="14"/>
      <c r="AT13" s="14"/>
      <c r="AU13" s="14"/>
      <c r="AV13" s="14"/>
      <c r="AW13" s="14"/>
      <c r="AX13" s="14"/>
      <c r="AY13" s="14"/>
      <c r="AZ13" s="14"/>
      <c r="BA13" s="14"/>
      <c r="BB13" s="14"/>
      <c r="BC13" s="14"/>
      <c r="BD13" s="14"/>
      <c r="BE13" s="14"/>
      <c r="BF13" s="14"/>
    </row>
    <row r="14" spans="1:58" ht="15.75" customHeight="1" x14ac:dyDescent="0.2">
      <c r="A14" s="4" t="s">
        <v>173</v>
      </c>
      <c r="B14" s="69">
        <v>160</v>
      </c>
      <c r="C14" s="69">
        <v>0</v>
      </c>
      <c r="D14" s="69">
        <v>80</v>
      </c>
      <c r="E14" s="69">
        <v>0</v>
      </c>
      <c r="F14" s="69">
        <v>0</v>
      </c>
      <c r="G14" s="69">
        <v>200</v>
      </c>
      <c r="H14" s="69">
        <v>0</v>
      </c>
      <c r="I14" s="69">
        <v>200</v>
      </c>
      <c r="J14" s="69">
        <v>0</v>
      </c>
      <c r="K14" s="69">
        <v>80</v>
      </c>
      <c r="L14" s="69">
        <v>160</v>
      </c>
      <c r="M14" s="69">
        <v>120</v>
      </c>
      <c r="N14" s="69">
        <v>0</v>
      </c>
      <c r="O14" s="69">
        <v>120</v>
      </c>
      <c r="P14" s="69">
        <v>80</v>
      </c>
      <c r="Q14" s="69">
        <v>80</v>
      </c>
      <c r="R14" s="69">
        <v>80</v>
      </c>
      <c r="S14" s="69">
        <v>0</v>
      </c>
      <c r="T14" s="69">
        <v>120</v>
      </c>
      <c r="U14" s="69">
        <v>0</v>
      </c>
      <c r="V14" s="69">
        <v>120</v>
      </c>
      <c r="W14" s="69">
        <v>0</v>
      </c>
      <c r="X14" s="69">
        <v>0</v>
      </c>
      <c r="Y14" s="69">
        <v>0</v>
      </c>
      <c r="Z14" s="69">
        <v>90</v>
      </c>
      <c r="AA14" s="69">
        <v>0</v>
      </c>
      <c r="AB14" s="69">
        <v>80</v>
      </c>
      <c r="AC14" s="69">
        <v>120</v>
      </c>
      <c r="AD14" s="69">
        <v>150</v>
      </c>
      <c r="AE14" s="69">
        <v>0</v>
      </c>
      <c r="AF14" s="56">
        <f t="shared" si="14"/>
        <v>2040</v>
      </c>
      <c r="AG14" s="67">
        <f t="shared" si="15"/>
        <v>68</v>
      </c>
      <c r="AH14" s="68">
        <f t="shared" si="16"/>
        <v>0.63995783807184481</v>
      </c>
      <c r="AI14" s="14"/>
      <c r="AJ14" s="14"/>
      <c r="AR14" s="14"/>
      <c r="AS14" s="14"/>
      <c r="AT14" s="14"/>
      <c r="AU14" s="14"/>
      <c r="AV14" s="14"/>
      <c r="AW14" s="14"/>
      <c r="AX14" s="14"/>
      <c r="AY14" s="14"/>
      <c r="AZ14" s="14"/>
      <c r="BA14" s="14"/>
      <c r="BB14" s="14"/>
      <c r="BC14" s="14"/>
      <c r="BD14" s="14"/>
      <c r="BE14" s="14"/>
      <c r="BF14" s="14"/>
    </row>
    <row r="15" spans="1:58" ht="15.75" customHeight="1" x14ac:dyDescent="0.2">
      <c r="A15" s="4" t="s">
        <v>174</v>
      </c>
      <c r="B15" s="69">
        <v>0</v>
      </c>
      <c r="C15" s="69">
        <v>70</v>
      </c>
      <c r="D15" s="69">
        <v>70</v>
      </c>
      <c r="E15" s="69">
        <v>0</v>
      </c>
      <c r="F15" s="69">
        <v>0</v>
      </c>
      <c r="G15" s="69">
        <v>70</v>
      </c>
      <c r="H15" s="69">
        <v>0</v>
      </c>
      <c r="I15" s="69">
        <v>70</v>
      </c>
      <c r="J15" s="69">
        <v>0</v>
      </c>
      <c r="K15" s="69">
        <v>0</v>
      </c>
      <c r="L15" s="69">
        <v>105</v>
      </c>
      <c r="M15" s="69">
        <v>0</v>
      </c>
      <c r="N15" s="69">
        <v>0</v>
      </c>
      <c r="O15" s="69">
        <v>0</v>
      </c>
      <c r="P15" s="69">
        <v>0</v>
      </c>
      <c r="Q15" s="69">
        <v>150</v>
      </c>
      <c r="R15" s="69">
        <v>0</v>
      </c>
      <c r="S15" s="69">
        <v>0</v>
      </c>
      <c r="T15" s="69">
        <v>0</v>
      </c>
      <c r="U15" s="69">
        <v>0</v>
      </c>
      <c r="V15" s="69">
        <v>0</v>
      </c>
      <c r="W15" s="69">
        <v>0</v>
      </c>
      <c r="X15" s="69">
        <v>0</v>
      </c>
      <c r="Y15" s="69">
        <v>0</v>
      </c>
      <c r="Z15" s="69">
        <v>0</v>
      </c>
      <c r="AA15" s="69">
        <v>0</v>
      </c>
      <c r="AB15" s="69">
        <v>0</v>
      </c>
      <c r="AC15" s="69">
        <v>70</v>
      </c>
      <c r="AD15" s="69">
        <v>0</v>
      </c>
      <c r="AE15" s="69">
        <v>0</v>
      </c>
      <c r="AF15" s="56">
        <f t="shared" si="14"/>
        <v>605</v>
      </c>
      <c r="AG15" s="67">
        <f t="shared" si="15"/>
        <v>20.166666666666668</v>
      </c>
      <c r="AH15" s="68">
        <f t="shared" si="16"/>
        <v>0.18979141766346377</v>
      </c>
      <c r="AI15" s="14"/>
      <c r="AJ15" s="14"/>
      <c r="AR15" s="14"/>
      <c r="AS15" s="14"/>
      <c r="AT15" s="14"/>
      <c r="AU15" s="14"/>
      <c r="AV15" s="14"/>
      <c r="AW15" s="14"/>
      <c r="AX15" s="14"/>
      <c r="AY15" s="14"/>
      <c r="AZ15" s="14"/>
      <c r="BA15" s="14"/>
      <c r="BB15" s="14"/>
      <c r="BC15" s="14"/>
      <c r="BD15" s="14"/>
      <c r="BE15" s="14"/>
      <c r="BF15" s="14"/>
    </row>
    <row r="16" spans="1:58" ht="15.75" customHeight="1" x14ac:dyDescent="0.2">
      <c r="A16" s="4" t="s">
        <v>175</v>
      </c>
      <c r="B16" s="69">
        <v>0</v>
      </c>
      <c r="C16" s="69">
        <v>180</v>
      </c>
      <c r="D16" s="69">
        <v>0</v>
      </c>
      <c r="E16" s="69">
        <v>180</v>
      </c>
      <c r="F16" s="69">
        <v>180</v>
      </c>
      <c r="G16" s="69">
        <v>0</v>
      </c>
      <c r="H16" s="69">
        <v>180</v>
      </c>
      <c r="I16" s="69">
        <v>0</v>
      </c>
      <c r="J16" s="69">
        <v>0</v>
      </c>
      <c r="K16" s="69">
        <v>190</v>
      </c>
      <c r="L16" s="69">
        <v>0</v>
      </c>
      <c r="M16" s="69">
        <v>190</v>
      </c>
      <c r="N16" s="69">
        <v>0</v>
      </c>
      <c r="O16" s="69">
        <v>190</v>
      </c>
      <c r="P16" s="69">
        <v>0</v>
      </c>
      <c r="Q16" s="69">
        <v>0</v>
      </c>
      <c r="R16" s="69">
        <v>190</v>
      </c>
      <c r="S16" s="69">
        <v>0</v>
      </c>
      <c r="T16" s="69">
        <v>0</v>
      </c>
      <c r="U16" s="69">
        <v>190</v>
      </c>
      <c r="V16" s="69">
        <v>190</v>
      </c>
      <c r="W16" s="69">
        <v>0</v>
      </c>
      <c r="X16" s="69">
        <v>190</v>
      </c>
      <c r="Y16" s="69">
        <v>0</v>
      </c>
      <c r="Z16" s="69">
        <v>190</v>
      </c>
      <c r="AA16" s="69">
        <v>0</v>
      </c>
      <c r="AB16" s="69">
        <v>190</v>
      </c>
      <c r="AC16" s="69">
        <v>0</v>
      </c>
      <c r="AD16" s="69">
        <v>190</v>
      </c>
      <c r="AE16" s="69">
        <v>0</v>
      </c>
      <c r="AF16" s="56">
        <f t="shared" si="14"/>
        <v>2620</v>
      </c>
      <c r="AG16" s="67">
        <f t="shared" si="15"/>
        <v>87.333333333333329</v>
      </c>
      <c r="AH16" s="68">
        <f t="shared" si="16"/>
        <v>0.8219066351707025</v>
      </c>
      <c r="AI16" s="14"/>
      <c r="AJ16" s="14"/>
      <c r="AR16" s="14"/>
      <c r="AS16" s="14"/>
      <c r="AT16" s="14"/>
      <c r="AU16" s="14"/>
      <c r="AV16" s="14"/>
      <c r="AW16" s="14"/>
      <c r="AX16" s="14"/>
      <c r="AY16" s="14"/>
      <c r="AZ16" s="14"/>
      <c r="BA16" s="14"/>
      <c r="BB16" s="14"/>
      <c r="BC16" s="14"/>
      <c r="BD16" s="14"/>
      <c r="BE16" s="14"/>
      <c r="BF16" s="14"/>
    </row>
    <row r="17" spans="1:58" ht="15.75" customHeight="1" x14ac:dyDescent="0.2">
      <c r="A17" s="4" t="s">
        <v>176</v>
      </c>
      <c r="B17" s="69">
        <v>65</v>
      </c>
      <c r="C17" s="69">
        <f>65+65</f>
        <v>130</v>
      </c>
      <c r="D17" s="69">
        <v>500</v>
      </c>
      <c r="E17" s="69">
        <v>89</v>
      </c>
      <c r="F17" s="69">
        <v>450</v>
      </c>
      <c r="G17" s="69">
        <v>0</v>
      </c>
      <c r="H17" s="69">
        <v>0</v>
      </c>
      <c r="I17" s="69">
        <v>89</v>
      </c>
      <c r="J17" s="69">
        <v>0</v>
      </c>
      <c r="K17" s="69">
        <v>0</v>
      </c>
      <c r="L17" s="69">
        <v>0</v>
      </c>
      <c r="M17" s="69">
        <v>0</v>
      </c>
      <c r="N17" s="69">
        <v>0</v>
      </c>
      <c r="O17" s="69">
        <v>0</v>
      </c>
      <c r="P17" s="69">
        <v>0</v>
      </c>
      <c r="Q17" s="69">
        <v>0</v>
      </c>
      <c r="R17" s="69">
        <f>40+40+65+89</f>
        <v>234</v>
      </c>
      <c r="S17" s="69">
        <v>0</v>
      </c>
      <c r="T17" s="69">
        <v>100</v>
      </c>
      <c r="U17" s="69">
        <v>0</v>
      </c>
      <c r="V17" s="69">
        <v>0</v>
      </c>
      <c r="W17" s="69">
        <f>180+90</f>
        <v>270</v>
      </c>
      <c r="X17" s="69">
        <v>0</v>
      </c>
      <c r="Y17" s="69">
        <f>60+40+30</f>
        <v>130</v>
      </c>
      <c r="Z17" s="69">
        <v>0</v>
      </c>
      <c r="AA17" s="69">
        <v>0</v>
      </c>
      <c r="AB17" s="69">
        <v>0</v>
      </c>
      <c r="AC17" s="69">
        <v>200</v>
      </c>
      <c r="AD17" s="69">
        <f>70+89+30</f>
        <v>189</v>
      </c>
      <c r="AE17" s="69">
        <v>0</v>
      </c>
      <c r="AF17" s="56">
        <f t="shared" si="14"/>
        <v>2446</v>
      </c>
      <c r="AG17" s="67">
        <f t="shared" si="15"/>
        <v>81.533333333333331</v>
      </c>
      <c r="AH17" s="68">
        <f t="shared" si="16"/>
        <v>0.76732199604104523</v>
      </c>
      <c r="AI17" s="14"/>
      <c r="AJ17" s="14"/>
      <c r="AR17" s="14"/>
      <c r="AS17" s="14"/>
      <c r="AT17" s="14"/>
      <c r="AU17" s="14"/>
      <c r="AV17" s="14"/>
      <c r="AW17" s="14"/>
      <c r="AX17" s="14"/>
      <c r="AY17" s="14"/>
      <c r="AZ17" s="14"/>
      <c r="BA17" s="14"/>
      <c r="BB17" s="14"/>
      <c r="BC17" s="14"/>
      <c r="BD17" s="14"/>
      <c r="BE17" s="14"/>
      <c r="BF17" s="14"/>
    </row>
    <row r="18" spans="1:58" ht="15.75" customHeight="1" x14ac:dyDescent="0.2">
      <c r="A18" s="4" t="s">
        <v>177</v>
      </c>
      <c r="B18" s="69">
        <v>80</v>
      </c>
      <c r="C18" s="69">
        <v>0</v>
      </c>
      <c r="D18" s="69">
        <v>0</v>
      </c>
      <c r="E18" s="69">
        <v>0</v>
      </c>
      <c r="F18" s="69">
        <v>70</v>
      </c>
      <c r="G18" s="69">
        <v>0</v>
      </c>
      <c r="H18" s="69">
        <v>200</v>
      </c>
      <c r="I18" s="69">
        <v>0</v>
      </c>
      <c r="J18" s="69">
        <v>0</v>
      </c>
      <c r="K18" s="69">
        <v>80</v>
      </c>
      <c r="L18" s="69">
        <v>0</v>
      </c>
      <c r="M18" s="69">
        <v>0</v>
      </c>
      <c r="N18" s="69">
        <v>0</v>
      </c>
      <c r="O18" s="69">
        <v>0</v>
      </c>
      <c r="P18" s="69">
        <v>70</v>
      </c>
      <c r="Q18" s="69">
        <v>0</v>
      </c>
      <c r="R18" s="69">
        <v>0</v>
      </c>
      <c r="S18" s="69">
        <v>0</v>
      </c>
      <c r="T18" s="69">
        <v>0</v>
      </c>
      <c r="U18" s="69">
        <v>200</v>
      </c>
      <c r="V18" s="69">
        <v>0</v>
      </c>
      <c r="W18" s="69">
        <v>80</v>
      </c>
      <c r="X18" s="69">
        <v>0</v>
      </c>
      <c r="Y18" s="69">
        <v>0</v>
      </c>
      <c r="Z18" s="69">
        <v>0</v>
      </c>
      <c r="AA18" s="69">
        <v>0</v>
      </c>
      <c r="AB18" s="69">
        <v>0</v>
      </c>
      <c r="AC18" s="69">
        <v>70</v>
      </c>
      <c r="AD18" s="69">
        <v>0</v>
      </c>
      <c r="AE18" s="69">
        <v>0</v>
      </c>
      <c r="AF18" s="56">
        <f t="shared" si="14"/>
        <v>850</v>
      </c>
      <c r="AG18" s="67">
        <f t="shared" si="15"/>
        <v>28.333333333333332</v>
      </c>
      <c r="AH18" s="68">
        <f t="shared" si="16"/>
        <v>0.26664909919660196</v>
      </c>
      <c r="AI18" s="14"/>
      <c r="AJ18" s="14"/>
      <c r="AR18" s="14"/>
      <c r="AS18" s="14"/>
      <c r="AT18" s="14"/>
      <c r="AU18" s="14"/>
      <c r="AV18" s="14"/>
      <c r="AW18" s="14"/>
      <c r="AX18" s="14"/>
      <c r="AY18" s="14"/>
      <c r="AZ18" s="14"/>
      <c r="BA18" s="14"/>
      <c r="BB18" s="14"/>
      <c r="BC18" s="14"/>
      <c r="BD18" s="14"/>
      <c r="BE18" s="14"/>
      <c r="BF18" s="14"/>
    </row>
    <row r="19" spans="1:58"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1"/>
      <c r="AG19" s="71"/>
      <c r="AH19" s="72"/>
      <c r="AI19" s="14"/>
      <c r="AJ19" s="14"/>
      <c r="AR19" s="14"/>
      <c r="AS19" s="14"/>
      <c r="AT19" s="14"/>
      <c r="AU19" s="14"/>
      <c r="AV19" s="14"/>
      <c r="AW19" s="14"/>
      <c r="AX19" s="14"/>
      <c r="AY19" s="14"/>
      <c r="AZ19" s="14"/>
      <c r="BA19" s="14"/>
      <c r="BB19" s="14"/>
      <c r="BC19" s="14"/>
      <c r="BD19" s="14"/>
      <c r="BE19" s="14"/>
      <c r="BF19" s="14"/>
    </row>
    <row r="20" spans="1:58" ht="15.75" customHeight="1" x14ac:dyDescent="0.2">
      <c r="A20" s="4" t="s">
        <v>179</v>
      </c>
      <c r="B20" s="69">
        <f t="shared" ref="B20:I20" si="17">$B$53/$B$59</f>
        <v>607.14285714285711</v>
      </c>
      <c r="C20" s="69">
        <f t="shared" si="17"/>
        <v>607.14285714285711</v>
      </c>
      <c r="D20" s="69">
        <f t="shared" si="17"/>
        <v>607.14285714285711</v>
      </c>
      <c r="E20" s="69">
        <f t="shared" si="17"/>
        <v>607.14285714285711</v>
      </c>
      <c r="F20" s="69">
        <f t="shared" si="17"/>
        <v>607.14285714285711</v>
      </c>
      <c r="G20" s="69">
        <f t="shared" si="17"/>
        <v>607.14285714285711</v>
      </c>
      <c r="H20" s="69">
        <f t="shared" si="17"/>
        <v>607.14285714285711</v>
      </c>
      <c r="I20" s="69">
        <f t="shared" si="17"/>
        <v>607.14285714285711</v>
      </c>
      <c r="J20" s="69">
        <v>0</v>
      </c>
      <c r="K20" s="69">
        <f t="shared" ref="K20:AD20" si="18">$B$53/$B$59</f>
        <v>607.14285714285711</v>
      </c>
      <c r="L20" s="69">
        <f t="shared" si="18"/>
        <v>607.14285714285711</v>
      </c>
      <c r="M20" s="69">
        <f t="shared" si="18"/>
        <v>607.14285714285711</v>
      </c>
      <c r="N20" s="69">
        <f t="shared" si="18"/>
        <v>607.14285714285711</v>
      </c>
      <c r="O20" s="69">
        <f t="shared" si="18"/>
        <v>607.14285714285711</v>
      </c>
      <c r="P20" s="69">
        <f t="shared" si="18"/>
        <v>607.14285714285711</v>
      </c>
      <c r="Q20" s="69">
        <f t="shared" si="18"/>
        <v>607.14285714285711</v>
      </c>
      <c r="R20" s="69">
        <f t="shared" si="18"/>
        <v>607.14285714285711</v>
      </c>
      <c r="S20" s="69">
        <f t="shared" si="18"/>
        <v>607.14285714285711</v>
      </c>
      <c r="T20" s="69">
        <f t="shared" si="18"/>
        <v>607.14285714285711</v>
      </c>
      <c r="U20" s="69">
        <f t="shared" si="18"/>
        <v>607.14285714285711</v>
      </c>
      <c r="V20" s="69">
        <f t="shared" si="18"/>
        <v>607.14285714285711</v>
      </c>
      <c r="W20" s="69">
        <f t="shared" si="18"/>
        <v>607.14285714285711</v>
      </c>
      <c r="X20" s="69">
        <f t="shared" si="18"/>
        <v>607.14285714285711</v>
      </c>
      <c r="Y20" s="69">
        <f t="shared" si="18"/>
        <v>607.14285714285711</v>
      </c>
      <c r="Z20" s="69">
        <f t="shared" si="18"/>
        <v>607.14285714285711</v>
      </c>
      <c r="AA20" s="69">
        <f t="shared" si="18"/>
        <v>607.14285714285711</v>
      </c>
      <c r="AB20" s="69">
        <f t="shared" si="18"/>
        <v>607.14285714285711</v>
      </c>
      <c r="AC20" s="69">
        <f t="shared" si="18"/>
        <v>607.14285714285711</v>
      </c>
      <c r="AD20" s="69">
        <f t="shared" si="18"/>
        <v>607.14285714285711</v>
      </c>
      <c r="AE20" s="69">
        <v>0</v>
      </c>
      <c r="AF20" s="56">
        <f t="shared" ref="AF20:AF22" si="19">SUM(B20:AE20)</f>
        <v>16999.999999999996</v>
      </c>
      <c r="AG20" s="67">
        <f t="shared" ref="AG20:AG22" si="20">IFERROR(AVERAGE(B20:AE20),0)</f>
        <v>566.66666666666652</v>
      </c>
      <c r="AH20" s="68">
        <f t="shared" ref="AH20:AH22" si="21">(AG20/$AG$29)*100</f>
        <v>5.3329819839320374</v>
      </c>
      <c r="AI20" s="14"/>
      <c r="AJ20" s="14"/>
      <c r="AR20" s="14"/>
      <c r="AS20" s="14"/>
      <c r="AT20" s="14"/>
      <c r="AU20" s="14"/>
      <c r="AV20" s="14"/>
      <c r="AW20" s="14"/>
      <c r="AX20" s="14"/>
      <c r="AY20" s="14"/>
      <c r="AZ20" s="14"/>
      <c r="BA20" s="14"/>
      <c r="BB20" s="14"/>
      <c r="BC20" s="14"/>
      <c r="BD20" s="14"/>
      <c r="BE20" s="14"/>
      <c r="BF20" s="14"/>
    </row>
    <row r="21" spans="1:58" ht="15.75" customHeight="1" x14ac:dyDescent="0.2">
      <c r="A21" s="4" t="s">
        <v>180</v>
      </c>
      <c r="B21" s="69">
        <f t="shared" ref="B21:I21" si="22">$B$54/$B$59</f>
        <v>89.285714285714292</v>
      </c>
      <c r="C21" s="69">
        <f t="shared" si="22"/>
        <v>89.285714285714292</v>
      </c>
      <c r="D21" s="69">
        <f t="shared" si="22"/>
        <v>89.285714285714292</v>
      </c>
      <c r="E21" s="69">
        <f t="shared" si="22"/>
        <v>89.285714285714292</v>
      </c>
      <c r="F21" s="69">
        <f t="shared" si="22"/>
        <v>89.285714285714292</v>
      </c>
      <c r="G21" s="69">
        <f t="shared" si="22"/>
        <v>89.285714285714292</v>
      </c>
      <c r="H21" s="69">
        <f t="shared" si="22"/>
        <v>89.285714285714292</v>
      </c>
      <c r="I21" s="69">
        <f t="shared" si="22"/>
        <v>89.285714285714292</v>
      </c>
      <c r="J21" s="69">
        <v>0</v>
      </c>
      <c r="K21" s="69">
        <f t="shared" ref="K21:AD21" si="23">$B$54/$B$59</f>
        <v>89.285714285714292</v>
      </c>
      <c r="L21" s="69">
        <f t="shared" si="23"/>
        <v>89.285714285714292</v>
      </c>
      <c r="M21" s="69">
        <f t="shared" si="23"/>
        <v>89.285714285714292</v>
      </c>
      <c r="N21" s="69">
        <f t="shared" si="23"/>
        <v>89.285714285714292</v>
      </c>
      <c r="O21" s="69">
        <f t="shared" si="23"/>
        <v>89.285714285714292</v>
      </c>
      <c r="P21" s="69">
        <f t="shared" si="23"/>
        <v>89.285714285714292</v>
      </c>
      <c r="Q21" s="69">
        <f t="shared" si="23"/>
        <v>89.285714285714292</v>
      </c>
      <c r="R21" s="69">
        <f t="shared" si="23"/>
        <v>89.285714285714292</v>
      </c>
      <c r="S21" s="69">
        <f t="shared" si="23"/>
        <v>89.285714285714292</v>
      </c>
      <c r="T21" s="69">
        <f t="shared" si="23"/>
        <v>89.285714285714292</v>
      </c>
      <c r="U21" s="69">
        <f t="shared" si="23"/>
        <v>89.285714285714292</v>
      </c>
      <c r="V21" s="69">
        <f t="shared" si="23"/>
        <v>89.285714285714292</v>
      </c>
      <c r="W21" s="69">
        <f t="shared" si="23"/>
        <v>89.285714285714292</v>
      </c>
      <c r="X21" s="69">
        <f t="shared" si="23"/>
        <v>89.285714285714292</v>
      </c>
      <c r="Y21" s="69">
        <f t="shared" si="23"/>
        <v>89.285714285714292</v>
      </c>
      <c r="Z21" s="69">
        <f t="shared" si="23"/>
        <v>89.285714285714292</v>
      </c>
      <c r="AA21" s="69">
        <f t="shared" si="23"/>
        <v>89.285714285714292</v>
      </c>
      <c r="AB21" s="69">
        <f t="shared" si="23"/>
        <v>89.285714285714292</v>
      </c>
      <c r="AC21" s="69">
        <f t="shared" si="23"/>
        <v>89.285714285714292</v>
      </c>
      <c r="AD21" s="69">
        <f t="shared" si="23"/>
        <v>89.285714285714292</v>
      </c>
      <c r="AE21" s="69">
        <v>0</v>
      </c>
      <c r="AF21" s="56">
        <f t="shared" si="19"/>
        <v>2499.9999999999995</v>
      </c>
      <c r="AG21" s="67">
        <f t="shared" si="20"/>
        <v>83.333333333333314</v>
      </c>
      <c r="AH21" s="68">
        <f t="shared" si="21"/>
        <v>0.78426205646059377</v>
      </c>
      <c r="AI21" s="14"/>
      <c r="AJ21" s="14"/>
      <c r="AR21" s="14"/>
      <c r="AS21" s="14"/>
      <c r="AT21" s="14"/>
      <c r="AU21" s="14"/>
      <c r="AV21" s="14"/>
      <c r="AW21" s="14"/>
      <c r="AX21" s="14"/>
      <c r="AY21" s="14"/>
      <c r="AZ21" s="14"/>
      <c r="BA21" s="14"/>
      <c r="BB21" s="14"/>
      <c r="BC21" s="14"/>
      <c r="BD21" s="14"/>
      <c r="BE21" s="14"/>
      <c r="BF21" s="14"/>
    </row>
    <row r="22" spans="1:58" ht="15.75" customHeight="1" x14ac:dyDescent="0.2">
      <c r="A22" s="4" t="s">
        <v>181</v>
      </c>
      <c r="B22" s="69">
        <f t="shared" ref="B22:I22" si="24">$B$55/$B$59</f>
        <v>110.71428571428571</v>
      </c>
      <c r="C22" s="69">
        <f t="shared" si="24"/>
        <v>110.71428571428571</v>
      </c>
      <c r="D22" s="69">
        <f t="shared" si="24"/>
        <v>110.71428571428571</v>
      </c>
      <c r="E22" s="69">
        <f t="shared" si="24"/>
        <v>110.71428571428571</v>
      </c>
      <c r="F22" s="69">
        <f t="shared" si="24"/>
        <v>110.71428571428571</v>
      </c>
      <c r="G22" s="69">
        <f t="shared" si="24"/>
        <v>110.71428571428571</v>
      </c>
      <c r="H22" s="69">
        <f t="shared" si="24"/>
        <v>110.71428571428571</v>
      </c>
      <c r="I22" s="69">
        <f t="shared" si="24"/>
        <v>110.71428571428571</v>
      </c>
      <c r="J22" s="69">
        <v>0</v>
      </c>
      <c r="K22" s="69">
        <f t="shared" ref="K22:AD22" si="25">$B$55/$B$59</f>
        <v>110.71428571428571</v>
      </c>
      <c r="L22" s="69">
        <f t="shared" si="25"/>
        <v>110.71428571428571</v>
      </c>
      <c r="M22" s="69">
        <f t="shared" si="25"/>
        <v>110.71428571428571</v>
      </c>
      <c r="N22" s="69">
        <f t="shared" si="25"/>
        <v>110.71428571428571</v>
      </c>
      <c r="O22" s="69">
        <f t="shared" si="25"/>
        <v>110.71428571428571</v>
      </c>
      <c r="P22" s="69">
        <f t="shared" si="25"/>
        <v>110.71428571428571</v>
      </c>
      <c r="Q22" s="69">
        <f t="shared" si="25"/>
        <v>110.71428571428571</v>
      </c>
      <c r="R22" s="69">
        <f t="shared" si="25"/>
        <v>110.71428571428571</v>
      </c>
      <c r="S22" s="69">
        <f t="shared" si="25"/>
        <v>110.71428571428571</v>
      </c>
      <c r="T22" s="69">
        <f t="shared" si="25"/>
        <v>110.71428571428571</v>
      </c>
      <c r="U22" s="69">
        <f t="shared" si="25"/>
        <v>110.71428571428571</v>
      </c>
      <c r="V22" s="69">
        <f t="shared" si="25"/>
        <v>110.71428571428571</v>
      </c>
      <c r="W22" s="69">
        <f t="shared" si="25"/>
        <v>110.71428571428571</v>
      </c>
      <c r="X22" s="69">
        <f t="shared" si="25"/>
        <v>110.71428571428571</v>
      </c>
      <c r="Y22" s="69">
        <f t="shared" si="25"/>
        <v>110.71428571428571</v>
      </c>
      <c r="Z22" s="69">
        <f t="shared" si="25"/>
        <v>110.71428571428571</v>
      </c>
      <c r="AA22" s="69">
        <f t="shared" si="25"/>
        <v>110.71428571428571</v>
      </c>
      <c r="AB22" s="69">
        <f t="shared" si="25"/>
        <v>110.71428571428571</v>
      </c>
      <c r="AC22" s="69">
        <f t="shared" si="25"/>
        <v>110.71428571428571</v>
      </c>
      <c r="AD22" s="69">
        <f t="shared" si="25"/>
        <v>110.71428571428571</v>
      </c>
      <c r="AE22" s="69">
        <v>0</v>
      </c>
      <c r="AF22" s="56">
        <f t="shared" si="19"/>
        <v>3100.0000000000009</v>
      </c>
      <c r="AG22" s="67">
        <f t="shared" si="20"/>
        <v>103.33333333333336</v>
      </c>
      <c r="AH22" s="68">
        <f t="shared" si="21"/>
        <v>0.97248495001113677</v>
      </c>
      <c r="AI22" s="14"/>
      <c r="AJ22" s="14"/>
      <c r="AR22" s="14"/>
      <c r="AS22" s="14"/>
      <c r="AT22" s="14"/>
      <c r="AU22" s="14"/>
      <c r="AV22" s="14"/>
      <c r="AW22" s="14"/>
      <c r="AX22" s="14"/>
      <c r="AY22" s="14"/>
      <c r="AZ22" s="14"/>
      <c r="BA22" s="14"/>
      <c r="BB22" s="14"/>
      <c r="BC22" s="14"/>
      <c r="BD22" s="14"/>
      <c r="BE22" s="14"/>
      <c r="BF22" s="14"/>
    </row>
    <row r="23" spans="1:58"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1"/>
      <c r="AG23" s="71"/>
      <c r="AH23" s="72"/>
      <c r="AI23" s="14"/>
      <c r="AJ23" s="14"/>
      <c r="AR23" s="14"/>
      <c r="AS23" s="14"/>
      <c r="AT23" s="14"/>
      <c r="AU23" s="14"/>
      <c r="AV23" s="14"/>
      <c r="AW23" s="14"/>
      <c r="AX23" s="14"/>
      <c r="AY23" s="14"/>
      <c r="AZ23" s="14"/>
      <c r="BA23" s="14"/>
      <c r="BB23" s="14"/>
      <c r="BC23" s="14"/>
      <c r="BD23" s="14"/>
      <c r="BE23" s="14"/>
      <c r="BF23" s="14"/>
    </row>
    <row r="24" spans="1:58" ht="15.75" customHeight="1" x14ac:dyDescent="0.2">
      <c r="A24" s="4" t="s">
        <v>183</v>
      </c>
      <c r="B24" s="69">
        <v>0</v>
      </c>
      <c r="C24" s="69">
        <v>0</v>
      </c>
      <c r="D24" s="69">
        <v>0</v>
      </c>
      <c r="E24" s="69">
        <v>100</v>
      </c>
      <c r="F24" s="69">
        <v>0</v>
      </c>
      <c r="G24" s="69">
        <v>840</v>
      </c>
      <c r="H24" s="69">
        <v>0</v>
      </c>
      <c r="I24" s="69">
        <v>0</v>
      </c>
      <c r="J24" s="69">
        <v>0</v>
      </c>
      <c r="K24" s="69">
        <v>0</v>
      </c>
      <c r="L24" s="69">
        <v>0</v>
      </c>
      <c r="M24" s="69">
        <v>0</v>
      </c>
      <c r="N24" s="69">
        <v>0</v>
      </c>
      <c r="O24" s="69">
        <v>0</v>
      </c>
      <c r="P24" s="69">
        <v>0</v>
      </c>
      <c r="Q24" s="69">
        <v>0</v>
      </c>
      <c r="R24" s="69">
        <v>0</v>
      </c>
      <c r="S24" s="69">
        <v>100</v>
      </c>
      <c r="T24" s="69">
        <v>0</v>
      </c>
      <c r="U24" s="69">
        <v>0</v>
      </c>
      <c r="V24" s="69">
        <v>0</v>
      </c>
      <c r="W24" s="69">
        <v>0</v>
      </c>
      <c r="X24" s="69">
        <v>0</v>
      </c>
      <c r="Y24" s="69">
        <v>0</v>
      </c>
      <c r="Z24" s="69">
        <v>0</v>
      </c>
      <c r="AA24" s="69">
        <v>0</v>
      </c>
      <c r="AB24" s="69">
        <v>0</v>
      </c>
      <c r="AC24" s="69">
        <v>0</v>
      </c>
      <c r="AD24" s="69">
        <v>1440</v>
      </c>
      <c r="AE24" s="69">
        <v>0</v>
      </c>
      <c r="AF24" s="56">
        <f t="shared" ref="AF24:AF32" si="26">SUM(B24:AE24)</f>
        <v>2480</v>
      </c>
      <c r="AG24" s="67">
        <f t="shared" ref="AG24:AG28" si="27">IFERROR(AVERAGE(B24:AE24),0)</f>
        <v>82.666666666666671</v>
      </c>
      <c r="AH24" s="68">
        <f t="shared" ref="AH24:AH29" si="28">(AG24/$AG$29)*100</f>
        <v>0.77798796000890935</v>
      </c>
      <c r="AI24" s="14"/>
      <c r="AJ24" s="14"/>
      <c r="AR24" s="14"/>
      <c r="AS24" s="14"/>
      <c r="AT24" s="14"/>
      <c r="AU24" s="14"/>
      <c r="AV24" s="14"/>
      <c r="AW24" s="14"/>
      <c r="AX24" s="14"/>
      <c r="AY24" s="14"/>
      <c r="AZ24" s="14"/>
      <c r="BA24" s="14"/>
      <c r="BB24" s="14"/>
      <c r="BC24" s="14"/>
      <c r="BD24" s="14"/>
      <c r="BE24" s="14"/>
      <c r="BF24" s="14"/>
    </row>
    <row r="25" spans="1:58" ht="15.75" customHeight="1" x14ac:dyDescent="0.2">
      <c r="A25" s="4" t="s">
        <v>184</v>
      </c>
      <c r="B25" s="69">
        <v>0</v>
      </c>
      <c r="C25" s="69">
        <v>0</v>
      </c>
      <c r="D25" s="69">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69">
        <v>0</v>
      </c>
      <c r="V25" s="69">
        <v>0</v>
      </c>
      <c r="W25" s="69">
        <v>0</v>
      </c>
      <c r="X25" s="69">
        <v>0</v>
      </c>
      <c r="Y25" s="69">
        <v>800</v>
      </c>
      <c r="Z25" s="69">
        <v>0</v>
      </c>
      <c r="AA25" s="69">
        <v>0</v>
      </c>
      <c r="AB25" s="69">
        <v>0</v>
      </c>
      <c r="AC25" s="69">
        <v>0</v>
      </c>
      <c r="AD25" s="69">
        <v>800</v>
      </c>
      <c r="AE25" s="69">
        <v>0</v>
      </c>
      <c r="AF25" s="56">
        <f t="shared" si="26"/>
        <v>1600</v>
      </c>
      <c r="AG25" s="67">
        <f t="shared" si="27"/>
        <v>53.333333333333336</v>
      </c>
      <c r="AH25" s="68">
        <f t="shared" si="28"/>
        <v>0.50192771613478027</v>
      </c>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row>
    <row r="26" spans="1:58" ht="15.75" customHeight="1" x14ac:dyDescent="0.2">
      <c r="A26" s="4" t="s">
        <v>185</v>
      </c>
      <c r="B26" s="69">
        <v>220</v>
      </c>
      <c r="C26" s="69">
        <v>150</v>
      </c>
      <c r="D26" s="69">
        <v>720</v>
      </c>
      <c r="E26" s="69">
        <v>70</v>
      </c>
      <c r="F26" s="69">
        <v>0</v>
      </c>
      <c r="G26" s="69">
        <v>0</v>
      </c>
      <c r="H26" s="69">
        <v>0</v>
      </c>
      <c r="I26" s="69">
        <v>220</v>
      </c>
      <c r="J26" s="69">
        <v>0</v>
      </c>
      <c r="K26" s="69">
        <v>300</v>
      </c>
      <c r="L26" s="69">
        <v>0</v>
      </c>
      <c r="M26" s="69">
        <v>0</v>
      </c>
      <c r="N26" s="69">
        <v>0</v>
      </c>
      <c r="O26" s="69">
        <v>0</v>
      </c>
      <c r="P26" s="69">
        <v>0</v>
      </c>
      <c r="Q26" s="69">
        <v>65</v>
      </c>
      <c r="R26" s="69">
        <v>0</v>
      </c>
      <c r="S26" s="69">
        <v>0</v>
      </c>
      <c r="T26" s="69">
        <v>120</v>
      </c>
      <c r="U26" s="69">
        <v>0</v>
      </c>
      <c r="V26" s="69">
        <v>0</v>
      </c>
      <c r="W26" s="69">
        <v>0</v>
      </c>
      <c r="X26" s="69">
        <v>0</v>
      </c>
      <c r="Y26" s="69">
        <v>0</v>
      </c>
      <c r="Z26" s="69">
        <v>0</v>
      </c>
      <c r="AA26" s="69">
        <v>0</v>
      </c>
      <c r="AB26" s="69">
        <v>100</v>
      </c>
      <c r="AC26" s="69">
        <v>0</v>
      </c>
      <c r="AD26" s="69">
        <v>0</v>
      </c>
      <c r="AE26" s="69">
        <v>0</v>
      </c>
      <c r="AF26" s="56">
        <f t="shared" si="26"/>
        <v>1965</v>
      </c>
      <c r="AG26" s="67">
        <f t="shared" si="27"/>
        <v>65.5</v>
      </c>
      <c r="AH26" s="68">
        <f t="shared" si="28"/>
        <v>0.61642997637802688</v>
      </c>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row>
    <row r="27" spans="1:58" ht="15.75" customHeight="1" x14ac:dyDescent="0.2">
      <c r="A27" s="4" t="s">
        <v>186</v>
      </c>
      <c r="B27" s="69">
        <v>90</v>
      </c>
      <c r="C27" s="69">
        <v>0</v>
      </c>
      <c r="D27" s="69">
        <v>0</v>
      </c>
      <c r="E27" s="69">
        <v>0</v>
      </c>
      <c r="F27" s="69">
        <v>330</v>
      </c>
      <c r="G27" s="69">
        <v>0</v>
      </c>
      <c r="H27" s="69">
        <v>0</v>
      </c>
      <c r="I27" s="69">
        <v>0</v>
      </c>
      <c r="J27" s="69">
        <v>0</v>
      </c>
      <c r="K27" s="69">
        <v>170</v>
      </c>
      <c r="L27" s="69">
        <v>0</v>
      </c>
      <c r="M27" s="69">
        <v>0</v>
      </c>
      <c r="N27" s="69">
        <v>0</v>
      </c>
      <c r="O27" s="69">
        <v>333</v>
      </c>
      <c r="P27" s="69">
        <v>400</v>
      </c>
      <c r="Q27" s="69">
        <v>0</v>
      </c>
      <c r="R27" s="69">
        <v>0</v>
      </c>
      <c r="S27" s="69">
        <v>0</v>
      </c>
      <c r="T27" s="69">
        <v>0</v>
      </c>
      <c r="U27" s="69">
        <v>0</v>
      </c>
      <c r="V27" s="69">
        <v>0</v>
      </c>
      <c r="W27" s="69">
        <v>0</v>
      </c>
      <c r="X27" s="69">
        <v>670</v>
      </c>
      <c r="Y27" s="69">
        <v>0</v>
      </c>
      <c r="Z27" s="69">
        <v>0</v>
      </c>
      <c r="AA27" s="69">
        <v>0</v>
      </c>
      <c r="AB27" s="69">
        <v>0</v>
      </c>
      <c r="AC27" s="69">
        <v>0</v>
      </c>
      <c r="AD27" s="69">
        <v>0</v>
      </c>
      <c r="AE27" s="69">
        <v>0</v>
      </c>
      <c r="AF27" s="56">
        <f t="shared" si="26"/>
        <v>1993</v>
      </c>
      <c r="AG27" s="67">
        <f t="shared" si="27"/>
        <v>66.433333333333337</v>
      </c>
      <c r="AH27" s="68">
        <f t="shared" si="28"/>
        <v>0.62521371141038562</v>
      </c>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row>
    <row r="28" spans="1:58"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56">
        <f t="shared" si="26"/>
        <v>0</v>
      </c>
      <c r="AG28" s="67">
        <f t="shared" si="27"/>
        <v>0</v>
      </c>
      <c r="AH28" s="68">
        <f t="shared" si="28"/>
        <v>0</v>
      </c>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row>
    <row r="29" spans="1:58" ht="15.75" customHeight="1" x14ac:dyDescent="0.2">
      <c r="A29" s="10" t="s">
        <v>0</v>
      </c>
      <c r="B29" s="76">
        <f t="shared" ref="B29:AE29" si="29">SUM(B2:B28)</f>
        <v>12642.107142857143</v>
      </c>
      <c r="C29" s="76">
        <f t="shared" si="29"/>
        <v>11202.107142857143</v>
      </c>
      <c r="D29" s="76">
        <f t="shared" si="29"/>
        <v>12802.107142857143</v>
      </c>
      <c r="E29" s="76">
        <f t="shared" si="29"/>
        <v>12614.107142857143</v>
      </c>
      <c r="F29" s="76">
        <f t="shared" si="29"/>
        <v>12239.107142857143</v>
      </c>
      <c r="G29" s="76">
        <f t="shared" si="29"/>
        <v>12332.107142857143</v>
      </c>
      <c r="H29" s="76">
        <f t="shared" si="29"/>
        <v>11622.107142857143</v>
      </c>
      <c r="I29" s="76">
        <f t="shared" si="29"/>
        <v>11461.107142857143</v>
      </c>
      <c r="J29" s="76">
        <f t="shared" si="29"/>
        <v>0</v>
      </c>
      <c r="K29" s="76">
        <f t="shared" si="29"/>
        <v>11407.107142857143</v>
      </c>
      <c r="L29" s="76">
        <f t="shared" si="29"/>
        <v>10844.107142857143</v>
      </c>
      <c r="M29" s="76">
        <f t="shared" si="29"/>
        <v>11292.107142857143</v>
      </c>
      <c r="N29" s="76">
        <f t="shared" si="29"/>
        <v>10727.107142857143</v>
      </c>
      <c r="O29" s="76">
        <f t="shared" si="29"/>
        <v>10920.107142857143</v>
      </c>
      <c r="P29" s="76">
        <f t="shared" si="29"/>
        <v>11427.107142857143</v>
      </c>
      <c r="Q29" s="76">
        <f t="shared" si="29"/>
        <v>10179.107142857143</v>
      </c>
      <c r="R29" s="76">
        <f t="shared" si="29"/>
        <v>10221.107142857143</v>
      </c>
      <c r="S29" s="76">
        <f t="shared" si="29"/>
        <v>10667.107142857143</v>
      </c>
      <c r="T29" s="76">
        <f t="shared" si="29"/>
        <v>11452.107142857143</v>
      </c>
      <c r="U29" s="76">
        <f t="shared" si="29"/>
        <v>10522.107142857143</v>
      </c>
      <c r="V29" s="76">
        <f t="shared" si="29"/>
        <v>11377.107142857143</v>
      </c>
      <c r="W29" s="76">
        <f t="shared" si="29"/>
        <v>11042.107142857143</v>
      </c>
      <c r="X29" s="76">
        <f t="shared" si="29"/>
        <v>11531.107142857143</v>
      </c>
      <c r="Y29" s="76">
        <f t="shared" si="29"/>
        <v>11717.107142857143</v>
      </c>
      <c r="Z29" s="76">
        <f t="shared" si="29"/>
        <v>10657.107142857143</v>
      </c>
      <c r="AA29" s="76">
        <f t="shared" si="29"/>
        <v>10462.107142857143</v>
      </c>
      <c r="AB29" s="76">
        <f t="shared" si="29"/>
        <v>10897.107142857143</v>
      </c>
      <c r="AC29" s="76">
        <f t="shared" si="29"/>
        <v>10707.107142857143</v>
      </c>
      <c r="AD29" s="76">
        <f t="shared" si="29"/>
        <v>13806.107142857143</v>
      </c>
      <c r="AE29" s="76">
        <f t="shared" si="29"/>
        <v>0</v>
      </c>
      <c r="AF29" s="28">
        <f t="shared" si="26"/>
        <v>318770.99999999994</v>
      </c>
      <c r="AG29" s="28">
        <f>AVERAGE(B29:AE29)</f>
        <v>10625.699999999999</v>
      </c>
      <c r="AH29" s="77">
        <f t="shared" si="28"/>
        <v>100</v>
      </c>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row>
    <row r="30" spans="1:58" ht="15.75" customHeight="1" x14ac:dyDescent="0.2">
      <c r="A30" s="4" t="s">
        <v>188</v>
      </c>
      <c r="B30" s="69">
        <v>5815</v>
      </c>
      <c r="C30" s="69">
        <v>9530</v>
      </c>
      <c r="D30" s="69">
        <v>7261</v>
      </c>
      <c r="E30" s="69">
        <v>5850</v>
      </c>
      <c r="F30" s="69">
        <v>2355</v>
      </c>
      <c r="G30" s="69">
        <v>9410</v>
      </c>
      <c r="H30" s="69">
        <v>2760</v>
      </c>
      <c r="I30" s="69">
        <v>10225</v>
      </c>
      <c r="J30" s="69">
        <v>0</v>
      </c>
      <c r="K30" s="69">
        <v>6080</v>
      </c>
      <c r="L30" s="69">
        <v>3995</v>
      </c>
      <c r="M30" s="69">
        <v>5380</v>
      </c>
      <c r="N30" s="69">
        <v>5025</v>
      </c>
      <c r="O30" s="69">
        <v>3300</v>
      </c>
      <c r="P30" s="69">
        <v>3495</v>
      </c>
      <c r="Q30" s="69">
        <v>3150</v>
      </c>
      <c r="R30" s="69">
        <v>3680</v>
      </c>
      <c r="S30" s="69">
        <v>9240</v>
      </c>
      <c r="T30" s="69">
        <v>4065</v>
      </c>
      <c r="U30" s="69">
        <v>2785</v>
      </c>
      <c r="V30" s="69">
        <v>3020</v>
      </c>
      <c r="W30" s="69">
        <v>5730</v>
      </c>
      <c r="X30" s="69">
        <v>3070</v>
      </c>
      <c r="Y30" s="69">
        <v>5860</v>
      </c>
      <c r="Z30" s="69">
        <v>905</v>
      </c>
      <c r="AA30" s="69">
        <v>3848</v>
      </c>
      <c r="AB30" s="69">
        <v>3550</v>
      </c>
      <c r="AC30" s="69">
        <v>4325</v>
      </c>
      <c r="AD30" s="69">
        <v>4550</v>
      </c>
      <c r="AE30" s="69">
        <v>0</v>
      </c>
      <c r="AF30" s="56">
        <f t="shared" si="26"/>
        <v>138259</v>
      </c>
      <c r="AG30" s="67">
        <f t="shared" ref="AG30:AG32" si="30">IFERROR(AVERAGE(B30:AE30),0)</f>
        <v>4608.6333333333332</v>
      </c>
      <c r="AH30" s="68">
        <f t="shared" ref="AH30:AH31" si="31">IFERROR((AG30/$AG$32)*100,0)</f>
        <v>46.65080811148227</v>
      </c>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row>
    <row r="31" spans="1:58" ht="15.75" customHeight="1" x14ac:dyDescent="0.2">
      <c r="A31" s="4" t="s">
        <v>189</v>
      </c>
      <c r="B31" s="78">
        <f t="shared" ref="B31:AE31" si="32">B32-B30</f>
        <v>7265</v>
      </c>
      <c r="C31" s="78">
        <f t="shared" si="32"/>
        <v>5560</v>
      </c>
      <c r="D31" s="78">
        <f t="shared" si="32"/>
        <v>4450</v>
      </c>
      <c r="E31" s="78">
        <f t="shared" si="32"/>
        <v>5250</v>
      </c>
      <c r="F31" s="78">
        <f t="shared" si="32"/>
        <v>4475</v>
      </c>
      <c r="G31" s="78">
        <f t="shared" si="32"/>
        <v>8280</v>
      </c>
      <c r="H31" s="78">
        <f t="shared" si="32"/>
        <v>6155</v>
      </c>
      <c r="I31" s="78">
        <f t="shared" si="32"/>
        <v>1450</v>
      </c>
      <c r="J31" s="78">
        <f t="shared" si="32"/>
        <v>0</v>
      </c>
      <c r="K31" s="78">
        <f t="shared" si="32"/>
        <v>4795</v>
      </c>
      <c r="L31" s="78">
        <f t="shared" si="32"/>
        <v>7700</v>
      </c>
      <c r="M31" s="78">
        <f t="shared" si="32"/>
        <v>3410</v>
      </c>
      <c r="N31" s="78">
        <f t="shared" si="32"/>
        <v>4325</v>
      </c>
      <c r="O31" s="78">
        <f t="shared" si="32"/>
        <v>6110</v>
      </c>
      <c r="P31" s="78">
        <f t="shared" si="32"/>
        <v>6000</v>
      </c>
      <c r="Q31" s="78">
        <f t="shared" si="32"/>
        <v>6790</v>
      </c>
      <c r="R31" s="78">
        <f t="shared" si="32"/>
        <v>2405</v>
      </c>
      <c r="S31" s="78">
        <f t="shared" si="32"/>
        <v>7005</v>
      </c>
      <c r="T31" s="78">
        <f t="shared" si="32"/>
        <v>7125</v>
      </c>
      <c r="U31" s="78">
        <f t="shared" si="32"/>
        <v>7195</v>
      </c>
      <c r="V31" s="78">
        <f t="shared" si="32"/>
        <v>5490</v>
      </c>
      <c r="W31" s="78">
        <f t="shared" si="32"/>
        <v>7990</v>
      </c>
      <c r="X31" s="78">
        <f t="shared" si="32"/>
        <v>3610</v>
      </c>
      <c r="Y31" s="78">
        <f t="shared" si="32"/>
        <v>5964</v>
      </c>
      <c r="Z31" s="78">
        <f t="shared" si="32"/>
        <v>4625</v>
      </c>
      <c r="AA31" s="78">
        <f t="shared" si="32"/>
        <v>5932</v>
      </c>
      <c r="AB31" s="78">
        <f t="shared" si="32"/>
        <v>6075</v>
      </c>
      <c r="AC31" s="78">
        <f t="shared" si="32"/>
        <v>5205</v>
      </c>
      <c r="AD31" s="78">
        <f t="shared" si="32"/>
        <v>7475</v>
      </c>
      <c r="AE31" s="78">
        <f t="shared" si="32"/>
        <v>0</v>
      </c>
      <c r="AF31" s="56">
        <f t="shared" si="26"/>
        <v>158111</v>
      </c>
      <c r="AG31" s="67">
        <f t="shared" si="30"/>
        <v>5270.3666666666668</v>
      </c>
      <c r="AH31" s="68">
        <f t="shared" si="31"/>
        <v>53.34919188851773</v>
      </c>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row>
    <row r="32" spans="1:58" ht="15.75" customHeight="1" x14ac:dyDescent="0.2">
      <c r="A32" s="4" t="s">
        <v>190</v>
      </c>
      <c r="B32" s="69">
        <v>13080</v>
      </c>
      <c r="C32" s="69">
        <v>15090</v>
      </c>
      <c r="D32" s="69">
        <v>11711</v>
      </c>
      <c r="E32" s="69">
        <v>11100</v>
      </c>
      <c r="F32" s="69">
        <v>6830</v>
      </c>
      <c r="G32" s="69">
        <v>17690</v>
      </c>
      <c r="H32" s="69">
        <v>8915</v>
      </c>
      <c r="I32" s="69">
        <v>11675</v>
      </c>
      <c r="J32" s="69">
        <v>0</v>
      </c>
      <c r="K32" s="69">
        <v>10875</v>
      </c>
      <c r="L32" s="69">
        <v>11695</v>
      </c>
      <c r="M32" s="69">
        <v>8790</v>
      </c>
      <c r="N32" s="69">
        <v>9350</v>
      </c>
      <c r="O32" s="69">
        <v>9410</v>
      </c>
      <c r="P32" s="69">
        <v>9495</v>
      </c>
      <c r="Q32" s="69">
        <v>9940</v>
      </c>
      <c r="R32" s="69">
        <v>6085</v>
      </c>
      <c r="S32" s="69">
        <v>16245</v>
      </c>
      <c r="T32" s="69">
        <v>11190</v>
      </c>
      <c r="U32" s="69">
        <v>9980</v>
      </c>
      <c r="V32" s="69">
        <v>8510</v>
      </c>
      <c r="W32" s="69">
        <v>13720</v>
      </c>
      <c r="X32" s="69">
        <v>6680</v>
      </c>
      <c r="Y32" s="69">
        <v>11824</v>
      </c>
      <c r="Z32" s="69">
        <v>5530</v>
      </c>
      <c r="AA32" s="69">
        <v>9780</v>
      </c>
      <c r="AB32" s="69">
        <v>9625</v>
      </c>
      <c r="AC32" s="69">
        <v>9530</v>
      </c>
      <c r="AD32" s="69">
        <v>12025</v>
      </c>
      <c r="AE32" s="69">
        <v>0</v>
      </c>
      <c r="AF32" s="56">
        <f t="shared" si="26"/>
        <v>296370</v>
      </c>
      <c r="AG32" s="67">
        <f t="shared" si="30"/>
        <v>9879</v>
      </c>
      <c r="AH32" s="68">
        <f>IFERROR((AG32/$AG$32)*100,0)</f>
        <v>100</v>
      </c>
      <c r="AI32" s="75"/>
      <c r="AJ32" s="75"/>
      <c r="AK32" s="75"/>
      <c r="AL32" s="75"/>
      <c r="AM32" s="75"/>
      <c r="AN32" s="75"/>
      <c r="AO32" s="75"/>
      <c r="AP32" s="75"/>
      <c r="AQ32" s="75"/>
      <c r="AR32" s="75"/>
      <c r="AS32" s="75"/>
      <c r="AT32" s="75"/>
      <c r="AU32" s="14"/>
      <c r="AV32" s="14"/>
      <c r="AW32" s="14"/>
      <c r="AX32" s="14"/>
      <c r="AY32" s="14"/>
      <c r="AZ32" s="14"/>
      <c r="BA32" s="14"/>
      <c r="BB32" s="14"/>
      <c r="BC32" s="14"/>
      <c r="BD32" s="14"/>
      <c r="BE32" s="14"/>
      <c r="BF32" s="14"/>
    </row>
    <row r="33" spans="1:34" ht="15.75" customHeight="1" x14ac:dyDescent="0.2">
      <c r="A33" s="4" t="s">
        <v>191</v>
      </c>
      <c r="B33" s="69">
        <f t="shared" ref="B33:AE33" si="33">B32-B29</f>
        <v>437.89285714285688</v>
      </c>
      <c r="C33" s="69">
        <f t="shared" si="33"/>
        <v>3887.8928571428569</v>
      </c>
      <c r="D33" s="69">
        <f t="shared" si="33"/>
        <v>-1091.1071428571431</v>
      </c>
      <c r="E33" s="69">
        <f t="shared" si="33"/>
        <v>-1514.1071428571431</v>
      </c>
      <c r="F33" s="69">
        <f t="shared" si="33"/>
        <v>-5409.1071428571431</v>
      </c>
      <c r="G33" s="69">
        <f t="shared" si="33"/>
        <v>5357.8928571428569</v>
      </c>
      <c r="H33" s="69">
        <f t="shared" si="33"/>
        <v>-2707.1071428571431</v>
      </c>
      <c r="I33" s="69">
        <f t="shared" si="33"/>
        <v>213.89285714285688</v>
      </c>
      <c r="J33" s="69">
        <f t="shared" si="33"/>
        <v>0</v>
      </c>
      <c r="K33" s="69">
        <f t="shared" si="33"/>
        <v>-532.10714285714312</v>
      </c>
      <c r="L33" s="69">
        <f t="shared" si="33"/>
        <v>850.89285714285688</v>
      </c>
      <c r="M33" s="69">
        <f t="shared" si="33"/>
        <v>-2502.1071428571431</v>
      </c>
      <c r="N33" s="69">
        <f t="shared" si="33"/>
        <v>-1377.1071428571431</v>
      </c>
      <c r="O33" s="69">
        <f t="shared" si="33"/>
        <v>-1510.1071428571431</v>
      </c>
      <c r="P33" s="69">
        <f t="shared" si="33"/>
        <v>-1932.1071428571431</v>
      </c>
      <c r="Q33" s="69">
        <f t="shared" si="33"/>
        <v>-239.10714285714312</v>
      </c>
      <c r="R33" s="69">
        <f t="shared" si="33"/>
        <v>-4136.1071428571431</v>
      </c>
      <c r="S33" s="69">
        <f t="shared" si="33"/>
        <v>5577.8928571428569</v>
      </c>
      <c r="T33" s="69">
        <f t="shared" si="33"/>
        <v>-262.10714285714312</v>
      </c>
      <c r="U33" s="69">
        <f t="shared" si="33"/>
        <v>-542.10714285714312</v>
      </c>
      <c r="V33" s="59">
        <f t="shared" si="33"/>
        <v>-2867.1071428571431</v>
      </c>
      <c r="W33" s="59">
        <f t="shared" si="33"/>
        <v>2677.8928571428569</v>
      </c>
      <c r="X33" s="59">
        <f t="shared" si="33"/>
        <v>-4851.1071428571431</v>
      </c>
      <c r="Y33" s="59">
        <f t="shared" si="33"/>
        <v>106.89285714285688</v>
      </c>
      <c r="Z33" s="59">
        <f t="shared" si="33"/>
        <v>-5127.1071428571431</v>
      </c>
      <c r="AA33" s="59">
        <f t="shared" si="33"/>
        <v>-682.10714285714312</v>
      </c>
      <c r="AB33" s="59">
        <f t="shared" si="33"/>
        <v>-1272.1071428571431</v>
      </c>
      <c r="AC33" s="59">
        <f t="shared" si="33"/>
        <v>-1177.1071428571431</v>
      </c>
      <c r="AD33" s="59">
        <f t="shared" si="33"/>
        <v>-1781.1071428571431</v>
      </c>
      <c r="AE33" s="59">
        <f t="shared" si="33"/>
        <v>0</v>
      </c>
      <c r="AF33" s="81">
        <f>SUM(B33:AE33)+B40+B41</f>
        <v>2843.9999999999854</v>
      </c>
      <c r="AG33" s="5">
        <f>AVERAGE(B33:AE33,B40,B41)</f>
        <v>88.874999999999545</v>
      </c>
      <c r="AH33" s="68"/>
    </row>
    <row r="34" spans="1:34"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7"/>
      <c r="AG34" s="7"/>
    </row>
    <row r="35" spans="1:34" ht="15.75" customHeight="1" x14ac:dyDescent="0.2">
      <c r="A35" s="4" t="s">
        <v>13</v>
      </c>
      <c r="B35" s="59">
        <f t="shared" ref="B35:B38" si="34">SUM(B29:AE29)</f>
        <v>318770.99999999994</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7"/>
      <c r="AG35" s="7"/>
    </row>
    <row r="36" spans="1:34" ht="15.75" customHeight="1" x14ac:dyDescent="0.2">
      <c r="A36" s="4" t="s">
        <v>14</v>
      </c>
      <c r="B36" s="59">
        <f t="shared" si="34"/>
        <v>138259</v>
      </c>
      <c r="C36" s="6"/>
      <c r="D36" s="14" t="s">
        <v>228</v>
      </c>
      <c r="F36" s="14" t="s">
        <v>228</v>
      </c>
      <c r="M36" s="6"/>
      <c r="N36" s="6"/>
      <c r="O36" s="6"/>
      <c r="P36" s="6"/>
      <c r="Q36" s="6"/>
      <c r="R36" s="6"/>
      <c r="S36" s="6"/>
      <c r="T36" s="6"/>
      <c r="U36" s="6"/>
      <c r="V36" s="6"/>
      <c r="W36" s="6"/>
      <c r="X36" s="6"/>
      <c r="Y36" s="6"/>
      <c r="Z36" s="6"/>
      <c r="AA36" s="6"/>
      <c r="AB36" s="6"/>
      <c r="AC36" s="6"/>
      <c r="AD36" s="6"/>
      <c r="AE36" s="6"/>
      <c r="AF36" s="7"/>
      <c r="AG36" s="7"/>
    </row>
    <row r="37" spans="1:34" ht="15.75" customHeight="1" x14ac:dyDescent="0.2">
      <c r="A37" s="4" t="s">
        <v>15</v>
      </c>
      <c r="B37" s="59">
        <f t="shared" si="34"/>
        <v>158111</v>
      </c>
      <c r="C37" s="6"/>
      <c r="M37" s="6"/>
      <c r="N37" s="6"/>
      <c r="O37" s="6"/>
      <c r="P37" s="6" t="s">
        <v>229</v>
      </c>
      <c r="Q37" s="6"/>
      <c r="R37" s="6"/>
      <c r="S37" s="6"/>
      <c r="T37" s="6" t="s">
        <v>194</v>
      </c>
      <c r="U37" s="6" t="s">
        <v>230</v>
      </c>
      <c r="V37" s="6"/>
      <c r="W37" s="6"/>
      <c r="X37" s="6"/>
      <c r="Y37" s="6"/>
      <c r="Z37" s="6"/>
      <c r="AA37" s="6"/>
      <c r="AB37" s="6"/>
      <c r="AC37" s="6"/>
      <c r="AD37" s="6"/>
      <c r="AE37" s="6"/>
      <c r="AF37" s="7"/>
      <c r="AG37" s="7"/>
    </row>
    <row r="38" spans="1:34" ht="15.75" customHeight="1" x14ac:dyDescent="0.2">
      <c r="A38" s="4" t="s">
        <v>16</v>
      </c>
      <c r="B38" s="59">
        <f t="shared" si="34"/>
        <v>296370</v>
      </c>
      <c r="C38" s="6"/>
      <c r="D38" s="14" t="s">
        <v>231</v>
      </c>
      <c r="N38" s="6"/>
      <c r="O38" s="6"/>
      <c r="P38" s="6"/>
      <c r="Q38" s="6"/>
      <c r="R38" s="6"/>
      <c r="S38" s="6"/>
      <c r="T38" s="6"/>
      <c r="U38" s="6"/>
      <c r="V38" s="6"/>
      <c r="W38" s="6"/>
      <c r="X38" s="6"/>
      <c r="Y38" s="6"/>
      <c r="Z38" s="6"/>
      <c r="AA38" s="6"/>
      <c r="AB38" s="6"/>
      <c r="AC38" s="6"/>
      <c r="AD38" s="6"/>
      <c r="AE38" s="6"/>
      <c r="AF38" s="7"/>
      <c r="AG38" s="7"/>
    </row>
    <row r="39" spans="1:34" ht="15.75" customHeight="1" x14ac:dyDescent="0.2">
      <c r="A39" s="4" t="s">
        <v>17</v>
      </c>
      <c r="B39" s="80">
        <f>Expenses!J20</f>
        <v>95741</v>
      </c>
      <c r="C39" s="6"/>
      <c r="D39" s="14" t="s">
        <v>215</v>
      </c>
      <c r="O39" s="6"/>
      <c r="P39" s="6"/>
      <c r="Q39" s="6"/>
      <c r="R39" s="6"/>
      <c r="S39" s="6"/>
      <c r="T39" s="6"/>
      <c r="U39" s="6"/>
      <c r="V39" s="6"/>
      <c r="W39" s="6"/>
      <c r="X39" s="6"/>
      <c r="Y39" s="6"/>
      <c r="Z39" s="6"/>
      <c r="AA39" s="6"/>
      <c r="AB39" s="6"/>
      <c r="AC39" s="6"/>
      <c r="AD39" s="6"/>
      <c r="AE39" s="6"/>
      <c r="AF39" s="7"/>
      <c r="AG39" s="7"/>
    </row>
    <row r="40" spans="1:34" ht="15.75" customHeight="1" x14ac:dyDescent="0.2">
      <c r="A40" s="4" t="s">
        <v>18</v>
      </c>
      <c r="B40" s="32">
        <f>6593+1305+3164+4379</f>
        <v>15441</v>
      </c>
      <c r="C40" s="6"/>
      <c r="M40" s="6"/>
      <c r="N40" s="6"/>
      <c r="O40" s="6"/>
      <c r="P40" s="6"/>
      <c r="Q40" s="6"/>
      <c r="R40" s="6"/>
      <c r="S40" s="6"/>
      <c r="T40" s="6"/>
      <c r="U40" s="6"/>
      <c r="V40" s="6"/>
      <c r="W40" s="6"/>
      <c r="X40" s="6"/>
      <c r="Y40" s="6"/>
      <c r="Z40" s="6"/>
      <c r="AA40" s="6"/>
      <c r="AB40" s="6"/>
      <c r="AC40" s="6"/>
      <c r="AD40" s="6"/>
      <c r="AE40" s="6"/>
      <c r="AF40" s="7"/>
      <c r="AG40" s="7"/>
    </row>
    <row r="41" spans="1:34" ht="15.75" customHeight="1" x14ac:dyDescent="0.2">
      <c r="A41" s="4" t="s">
        <v>19</v>
      </c>
      <c r="B41" s="82">
        <f>3830+1917+2100+1957</f>
        <v>9804</v>
      </c>
      <c r="C41" s="6"/>
      <c r="M41" s="6"/>
      <c r="N41" s="6"/>
      <c r="O41" s="6"/>
      <c r="P41" s="6"/>
      <c r="Q41" s="6"/>
      <c r="R41" s="6"/>
      <c r="S41" s="6"/>
      <c r="T41" s="6"/>
      <c r="U41" s="6"/>
      <c r="V41" s="6"/>
      <c r="W41" s="6"/>
      <c r="X41" s="6"/>
      <c r="Y41" s="6"/>
      <c r="Z41" s="6"/>
      <c r="AA41" s="6"/>
      <c r="AB41" s="6"/>
      <c r="AC41" s="6"/>
      <c r="AD41" s="6"/>
      <c r="AE41" s="6"/>
      <c r="AF41" s="7"/>
      <c r="AG41" s="7"/>
    </row>
    <row r="42" spans="1:34" ht="15.75" customHeight="1" x14ac:dyDescent="0.2">
      <c r="A42" s="4" t="s">
        <v>20</v>
      </c>
      <c r="B42" s="59">
        <f>Stock!AB72</f>
        <v>54328</v>
      </c>
      <c r="C42" s="6"/>
      <c r="M42" s="6"/>
      <c r="N42" s="6"/>
      <c r="O42" s="6"/>
      <c r="P42" s="6"/>
      <c r="Q42" s="6"/>
      <c r="R42" s="6"/>
      <c r="S42" s="6"/>
      <c r="T42" s="6"/>
      <c r="U42" s="6"/>
      <c r="V42" s="6"/>
      <c r="W42" s="6"/>
      <c r="X42" s="6"/>
      <c r="Y42" s="6"/>
      <c r="Z42" s="6"/>
      <c r="AA42" s="6"/>
      <c r="AB42" s="6"/>
      <c r="AC42" s="6"/>
      <c r="AD42" s="6"/>
      <c r="AE42" s="6"/>
      <c r="AF42" s="7"/>
      <c r="AG42" s="7"/>
    </row>
    <row r="43" spans="1:34" ht="15.75" customHeight="1" x14ac:dyDescent="0.2">
      <c r="A43" s="4" t="s">
        <v>21</v>
      </c>
      <c r="B43" s="59">
        <f>B38-B35+B40+B41</f>
        <v>2844.0000000000582</v>
      </c>
      <c r="C43" s="6"/>
      <c r="M43" s="6"/>
      <c r="N43" s="6"/>
      <c r="O43" s="6"/>
      <c r="P43" s="6"/>
      <c r="Q43" s="6"/>
      <c r="R43" s="6"/>
      <c r="S43" s="6"/>
      <c r="T43" s="6"/>
      <c r="U43" s="6"/>
      <c r="V43" s="6"/>
      <c r="W43" s="6"/>
      <c r="X43" s="6"/>
      <c r="Y43" s="6"/>
      <c r="Z43" s="6"/>
      <c r="AA43" s="6"/>
      <c r="AB43" s="6"/>
      <c r="AC43" s="6"/>
      <c r="AD43" s="6"/>
      <c r="AE43" s="6"/>
      <c r="AF43" s="7"/>
      <c r="AG43" s="7"/>
    </row>
    <row r="44" spans="1:34" ht="15.75" customHeight="1" x14ac:dyDescent="0.2">
      <c r="B44" s="6"/>
      <c r="C44" s="6"/>
      <c r="M44" s="6"/>
      <c r="N44" s="6"/>
      <c r="O44" s="6"/>
      <c r="P44" s="6"/>
      <c r="Q44" s="6"/>
      <c r="R44" s="6"/>
      <c r="S44" s="6"/>
      <c r="T44" s="6"/>
      <c r="U44" s="6"/>
      <c r="V44" s="6"/>
      <c r="W44" s="6"/>
      <c r="X44" s="6"/>
      <c r="Y44" s="6"/>
      <c r="Z44" s="6"/>
      <c r="AA44" s="6"/>
      <c r="AB44" s="6"/>
      <c r="AC44" s="6"/>
      <c r="AD44" s="6"/>
      <c r="AE44" s="6"/>
      <c r="AF44" s="7"/>
      <c r="AG44" s="7"/>
    </row>
    <row r="45" spans="1:34" ht="15.75" customHeight="1" x14ac:dyDescent="0.2">
      <c r="A45" s="4" t="s">
        <v>201</v>
      </c>
      <c r="B45" s="59">
        <v>1100</v>
      </c>
      <c r="C45" s="59">
        <v>1100</v>
      </c>
      <c r="D45" s="59">
        <v>1100</v>
      </c>
      <c r="E45" s="59">
        <v>1100</v>
      </c>
      <c r="F45" s="59">
        <v>1100</v>
      </c>
      <c r="G45" s="59">
        <v>1100</v>
      </c>
      <c r="H45" s="59">
        <v>1100</v>
      </c>
      <c r="I45" s="59">
        <v>1100</v>
      </c>
      <c r="J45" s="59">
        <v>0</v>
      </c>
      <c r="K45" s="59">
        <v>1100</v>
      </c>
      <c r="L45" s="59">
        <v>1100</v>
      </c>
      <c r="M45" s="59">
        <v>1100</v>
      </c>
      <c r="N45" s="59">
        <v>1100</v>
      </c>
      <c r="O45" s="59">
        <v>1100</v>
      </c>
      <c r="P45" s="59">
        <v>1100</v>
      </c>
      <c r="Q45" s="59">
        <v>1100</v>
      </c>
      <c r="R45" s="59">
        <v>1100</v>
      </c>
      <c r="S45" s="59">
        <v>1100</v>
      </c>
      <c r="T45" s="59">
        <v>1100</v>
      </c>
      <c r="U45" s="59">
        <v>200</v>
      </c>
      <c r="V45" s="59">
        <v>1100</v>
      </c>
      <c r="W45" s="59">
        <v>1100</v>
      </c>
      <c r="X45" s="59">
        <v>1100</v>
      </c>
      <c r="Y45" s="59">
        <v>200</v>
      </c>
      <c r="Z45" s="59">
        <v>0</v>
      </c>
      <c r="AA45" s="59">
        <v>0</v>
      </c>
      <c r="AB45" s="59">
        <v>0</v>
      </c>
      <c r="AC45" s="59">
        <v>0</v>
      </c>
      <c r="AD45" s="59">
        <v>0</v>
      </c>
      <c r="AE45" s="59">
        <v>0</v>
      </c>
      <c r="AF45" s="56">
        <f t="shared" ref="AF45:AF47" si="35">SUM(B45:AE45)</f>
        <v>23500</v>
      </c>
      <c r="AG45" s="7"/>
    </row>
    <row r="46" spans="1:34" ht="15.75" customHeight="1" x14ac:dyDescent="0.2">
      <c r="A46" s="4" t="s">
        <v>202</v>
      </c>
      <c r="B46" s="59">
        <v>0</v>
      </c>
      <c r="C46" s="59">
        <v>0</v>
      </c>
      <c r="D46" s="59">
        <v>0</v>
      </c>
      <c r="E46" s="59">
        <v>1330</v>
      </c>
      <c r="F46" s="59">
        <v>0</v>
      </c>
      <c r="G46" s="59">
        <v>0</v>
      </c>
      <c r="H46" s="59">
        <v>0</v>
      </c>
      <c r="I46" s="59">
        <v>0</v>
      </c>
      <c r="J46" s="59">
        <v>0</v>
      </c>
      <c r="K46" s="59">
        <v>1300</v>
      </c>
      <c r="L46" s="59">
        <v>0</v>
      </c>
      <c r="M46" s="59">
        <v>-1020</v>
      </c>
      <c r="N46" s="59">
        <v>0</v>
      </c>
      <c r="O46" s="59">
        <v>0</v>
      </c>
      <c r="P46" s="59">
        <v>0</v>
      </c>
      <c r="Q46" s="59">
        <v>500</v>
      </c>
      <c r="R46" s="59">
        <v>0</v>
      </c>
      <c r="S46" s="59">
        <v>-12290</v>
      </c>
      <c r="T46" s="59">
        <v>-2000</v>
      </c>
      <c r="U46" s="59">
        <f>400-9700</f>
        <v>-9300</v>
      </c>
      <c r="V46" s="59">
        <v>0</v>
      </c>
      <c r="W46" s="59">
        <v>200</v>
      </c>
      <c r="X46" s="59">
        <v>0</v>
      </c>
      <c r="Y46" s="59">
        <v>0</v>
      </c>
      <c r="Z46" s="59">
        <v>0</v>
      </c>
      <c r="AA46" s="59">
        <v>1000</v>
      </c>
      <c r="AB46" s="59">
        <v>0</v>
      </c>
      <c r="AC46" s="59">
        <v>0</v>
      </c>
      <c r="AD46" s="59">
        <v>0</v>
      </c>
      <c r="AE46" s="59">
        <v>0</v>
      </c>
      <c r="AF46" s="56">
        <f t="shared" si="35"/>
        <v>-20280</v>
      </c>
      <c r="AG46" s="7"/>
    </row>
    <row r="47" spans="1:34" ht="15.75" customHeight="1" x14ac:dyDescent="0.2">
      <c r="A47" s="4" t="s">
        <v>203</v>
      </c>
      <c r="B47" s="59">
        <f t="shared" ref="B47:AE47" si="36">B4+B3+B7+B8+(SUM(B20:B22))+B45+B46</f>
        <v>7447.1071428571431</v>
      </c>
      <c r="C47" s="59">
        <f t="shared" si="36"/>
        <v>7447.1071428571431</v>
      </c>
      <c r="D47" s="59">
        <f t="shared" si="36"/>
        <v>7447.1071428571431</v>
      </c>
      <c r="E47" s="59">
        <f t="shared" si="36"/>
        <v>8777.1071428571431</v>
      </c>
      <c r="F47" s="59">
        <f t="shared" si="36"/>
        <v>7447.1071428571431</v>
      </c>
      <c r="G47" s="59">
        <f t="shared" si="36"/>
        <v>7447.1071428571431</v>
      </c>
      <c r="H47" s="59">
        <f t="shared" si="36"/>
        <v>7447.1071428571431</v>
      </c>
      <c r="I47" s="59">
        <f t="shared" si="36"/>
        <v>7447.1071428571431</v>
      </c>
      <c r="J47" s="59">
        <f t="shared" si="36"/>
        <v>0</v>
      </c>
      <c r="K47" s="59">
        <f t="shared" si="36"/>
        <v>8747.1071428571431</v>
      </c>
      <c r="L47" s="59">
        <f t="shared" si="36"/>
        <v>7447.1071428571431</v>
      </c>
      <c r="M47" s="59">
        <f t="shared" si="36"/>
        <v>6427.1071428571431</v>
      </c>
      <c r="N47" s="59">
        <f t="shared" si="36"/>
        <v>7447.1071428571431</v>
      </c>
      <c r="O47" s="59">
        <f t="shared" si="36"/>
        <v>7447.1071428571431</v>
      </c>
      <c r="P47" s="59">
        <f t="shared" si="36"/>
        <v>7447.1071428571431</v>
      </c>
      <c r="Q47" s="59">
        <f t="shared" si="36"/>
        <v>7947.1071428571431</v>
      </c>
      <c r="R47" s="59">
        <f t="shared" si="36"/>
        <v>7447.1071428571431</v>
      </c>
      <c r="S47" s="59">
        <f t="shared" si="36"/>
        <v>-4842.8928571428569</v>
      </c>
      <c r="T47" s="59">
        <f t="shared" si="36"/>
        <v>5447.1071428571431</v>
      </c>
      <c r="U47" s="59">
        <f t="shared" si="36"/>
        <v>-2752.8928571428569</v>
      </c>
      <c r="V47" s="59">
        <f t="shared" si="36"/>
        <v>7447.1071428571431</v>
      </c>
      <c r="W47" s="59">
        <f t="shared" si="36"/>
        <v>7647.1071428571431</v>
      </c>
      <c r="X47" s="59">
        <f t="shared" si="36"/>
        <v>7447.1071428571431</v>
      </c>
      <c r="Y47" s="59">
        <f t="shared" si="36"/>
        <v>6547.1071428571431</v>
      </c>
      <c r="Z47" s="59">
        <f t="shared" si="36"/>
        <v>6347.1071428571431</v>
      </c>
      <c r="AA47" s="59">
        <f t="shared" si="36"/>
        <v>7347.1071428571431</v>
      </c>
      <c r="AB47" s="59">
        <f t="shared" si="36"/>
        <v>6347.1071428571431</v>
      </c>
      <c r="AC47" s="59">
        <f t="shared" si="36"/>
        <v>6347.1071428571431</v>
      </c>
      <c r="AD47" s="59">
        <f t="shared" si="36"/>
        <v>6347.1071428571431</v>
      </c>
      <c r="AE47" s="59">
        <f t="shared" si="36"/>
        <v>0</v>
      </c>
      <c r="AF47" s="67">
        <f t="shared" si="35"/>
        <v>180938.99999999994</v>
      </c>
      <c r="AG47" s="7"/>
    </row>
    <row r="48" spans="1:34" ht="15.75" customHeight="1" x14ac:dyDescent="0.2">
      <c r="A48" s="4" t="s">
        <v>204</v>
      </c>
      <c r="B48" s="59">
        <f>B31-B29+B47+8675</f>
        <v>10745</v>
      </c>
      <c r="C48" s="59">
        <f t="shared" ref="C48:AE48" si="37">B48+C31-C29+C47</f>
        <v>12550</v>
      </c>
      <c r="D48" s="59">
        <f t="shared" si="37"/>
        <v>11645</v>
      </c>
      <c r="E48" s="59">
        <f t="shared" si="37"/>
        <v>13058</v>
      </c>
      <c r="F48" s="59">
        <f t="shared" si="37"/>
        <v>12741</v>
      </c>
      <c r="G48" s="59">
        <f t="shared" si="37"/>
        <v>16136</v>
      </c>
      <c r="H48" s="59">
        <f t="shared" si="37"/>
        <v>18116</v>
      </c>
      <c r="I48" s="59">
        <f t="shared" si="37"/>
        <v>15552</v>
      </c>
      <c r="J48" s="59">
        <f t="shared" si="37"/>
        <v>15552</v>
      </c>
      <c r="K48" s="59">
        <f t="shared" si="37"/>
        <v>17687</v>
      </c>
      <c r="L48" s="59">
        <f t="shared" si="37"/>
        <v>21990</v>
      </c>
      <c r="M48" s="59">
        <f t="shared" si="37"/>
        <v>20535</v>
      </c>
      <c r="N48" s="59">
        <f t="shared" si="37"/>
        <v>21580</v>
      </c>
      <c r="O48" s="59">
        <f t="shared" si="37"/>
        <v>24217</v>
      </c>
      <c r="P48" s="59">
        <f t="shared" si="37"/>
        <v>26237</v>
      </c>
      <c r="Q48" s="59">
        <f t="shared" si="37"/>
        <v>30795</v>
      </c>
      <c r="R48" s="59">
        <f t="shared" si="37"/>
        <v>30426</v>
      </c>
      <c r="S48" s="59">
        <f t="shared" si="37"/>
        <v>21921</v>
      </c>
      <c r="T48" s="59">
        <f t="shared" si="37"/>
        <v>23041</v>
      </c>
      <c r="U48" s="59">
        <f t="shared" si="37"/>
        <v>16961</v>
      </c>
      <c r="V48" s="59">
        <f t="shared" si="37"/>
        <v>18521</v>
      </c>
      <c r="W48" s="59">
        <f t="shared" si="37"/>
        <v>23116</v>
      </c>
      <c r="X48" s="59">
        <f t="shared" si="37"/>
        <v>22642</v>
      </c>
      <c r="Y48" s="59">
        <f t="shared" si="37"/>
        <v>23436</v>
      </c>
      <c r="Z48" s="59">
        <f t="shared" si="37"/>
        <v>23751</v>
      </c>
      <c r="AA48" s="59">
        <f t="shared" si="37"/>
        <v>26568</v>
      </c>
      <c r="AB48" s="59">
        <f t="shared" si="37"/>
        <v>28093</v>
      </c>
      <c r="AC48" s="59">
        <f t="shared" si="37"/>
        <v>28938</v>
      </c>
      <c r="AD48" s="59">
        <f t="shared" si="37"/>
        <v>28954</v>
      </c>
      <c r="AE48" s="59">
        <f t="shared" si="37"/>
        <v>28954</v>
      </c>
      <c r="AF48" s="7"/>
      <c r="AG48" s="7"/>
    </row>
    <row r="49" spans="1:33"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7"/>
      <c r="AG49" s="7"/>
    </row>
    <row r="50" spans="1:33" ht="15.75" customHeight="1" x14ac:dyDescent="0.2">
      <c r="AF50" s="1"/>
      <c r="AG50" s="7"/>
    </row>
    <row r="51" spans="1:33" ht="15.75" customHeight="1" x14ac:dyDescent="0.2">
      <c r="A51" s="4" t="s">
        <v>166</v>
      </c>
      <c r="B51" s="4">
        <v>2250</v>
      </c>
      <c r="AF51" s="1"/>
      <c r="AG51" s="7"/>
    </row>
    <row r="52" spans="1:33" ht="15.75" customHeight="1" x14ac:dyDescent="0.2">
      <c r="A52" s="4" t="s">
        <v>205</v>
      </c>
      <c r="B52" s="4">
        <v>2800</v>
      </c>
      <c r="AF52" s="1"/>
      <c r="AG52" s="7"/>
    </row>
    <row r="53" spans="1:33" ht="15.75" customHeight="1" x14ac:dyDescent="0.2">
      <c r="A53" s="4" t="s">
        <v>179</v>
      </c>
      <c r="B53" s="4">
        <f>4000+4000+9000</f>
        <v>17000</v>
      </c>
      <c r="I53" s="14" t="s">
        <v>206</v>
      </c>
      <c r="AF53" s="1"/>
      <c r="AG53" s="7"/>
    </row>
    <row r="54" spans="1:33" ht="15.75" customHeight="1" x14ac:dyDescent="0.2">
      <c r="A54" s="4" t="s">
        <v>180</v>
      </c>
      <c r="B54" s="4">
        <v>2500</v>
      </c>
      <c r="AF54" s="1"/>
      <c r="AG54" s="7"/>
    </row>
    <row r="55" spans="1:33" ht="15.75" customHeight="1" x14ac:dyDescent="0.2">
      <c r="A55" s="4" t="s">
        <v>181</v>
      </c>
      <c r="B55" s="4">
        <v>3100</v>
      </c>
      <c r="AF55" s="1"/>
      <c r="AG55" s="7"/>
    </row>
    <row r="56" spans="1:33" ht="15.75" customHeight="1" x14ac:dyDescent="0.2">
      <c r="B56" s="83">
        <f>SUM(B51:B55)</f>
        <v>27650</v>
      </c>
      <c r="J56" s="84" t="s">
        <v>207</v>
      </c>
      <c r="K56" s="4"/>
      <c r="L56" s="59">
        <f>C32</f>
        <v>15090</v>
      </c>
      <c r="M56" s="59">
        <f>J32</f>
        <v>0</v>
      </c>
      <c r="N56" s="59">
        <f>Q32</f>
        <v>9940</v>
      </c>
      <c r="O56" s="59">
        <f>X32</f>
        <v>6680</v>
      </c>
      <c r="P56" s="59">
        <f>AE32</f>
        <v>0</v>
      </c>
      <c r="Q56" s="84">
        <f t="shared" ref="Q56:Q62" si="38">AVERAGEIF(K56:P56,"&lt;&gt;0")</f>
        <v>10570</v>
      </c>
      <c r="R56" s="6"/>
      <c r="AF56" s="1"/>
      <c r="AG56" s="7"/>
    </row>
    <row r="57" spans="1:33" ht="15.75" customHeight="1" x14ac:dyDescent="0.2">
      <c r="J57" s="84" t="s">
        <v>208</v>
      </c>
      <c r="K57" s="4"/>
      <c r="L57" s="59">
        <f>D32</f>
        <v>11711</v>
      </c>
      <c r="M57" s="59">
        <f>K32</f>
        <v>10875</v>
      </c>
      <c r="N57" s="59">
        <f>R32</f>
        <v>6085</v>
      </c>
      <c r="O57" s="59">
        <f>Y32</f>
        <v>11824</v>
      </c>
      <c r="P57" s="4"/>
      <c r="Q57" s="84">
        <f t="shared" si="38"/>
        <v>10123.75</v>
      </c>
      <c r="AF57" s="1"/>
      <c r="AG57" s="7"/>
    </row>
    <row r="58" spans="1:33" ht="15.75" customHeight="1" x14ac:dyDescent="0.2">
      <c r="J58" s="84" t="s">
        <v>209</v>
      </c>
      <c r="K58" s="4"/>
      <c r="L58" s="59">
        <f>E32</f>
        <v>11100</v>
      </c>
      <c r="M58" s="59">
        <f>L32</f>
        <v>11695</v>
      </c>
      <c r="N58" s="59">
        <f>S32</f>
        <v>16245</v>
      </c>
      <c r="O58" s="59">
        <f>Z32</f>
        <v>5530</v>
      </c>
      <c r="P58" s="4"/>
      <c r="Q58" s="84">
        <f t="shared" si="38"/>
        <v>11142.5</v>
      </c>
      <c r="AF58" s="1"/>
      <c r="AG58" s="7"/>
    </row>
    <row r="59" spans="1:33" ht="15.75" customHeight="1" x14ac:dyDescent="0.2">
      <c r="A59" s="14" t="s">
        <v>210</v>
      </c>
      <c r="B59" s="14">
        <v>28</v>
      </c>
      <c r="J59" s="84" t="s">
        <v>211</v>
      </c>
      <c r="K59" s="4"/>
      <c r="L59" s="36">
        <f>F32</f>
        <v>6830</v>
      </c>
      <c r="M59" s="59">
        <f>M32</f>
        <v>8790</v>
      </c>
      <c r="N59" s="59">
        <f>T32</f>
        <v>11190</v>
      </c>
      <c r="O59" s="59">
        <f>AA32</f>
        <v>9780</v>
      </c>
      <c r="P59" s="4"/>
      <c r="Q59" s="84">
        <f t="shared" si="38"/>
        <v>9147.5</v>
      </c>
      <c r="AF59" s="1"/>
      <c r="AG59" s="7"/>
    </row>
    <row r="60" spans="1:33" ht="15.75" customHeight="1" x14ac:dyDescent="0.2">
      <c r="J60" s="84" t="s">
        <v>212</v>
      </c>
      <c r="K60" s="4"/>
      <c r="L60" s="36">
        <f>G32</f>
        <v>17690</v>
      </c>
      <c r="M60" s="59">
        <f>N32</f>
        <v>9350</v>
      </c>
      <c r="N60" s="59">
        <f>U32</f>
        <v>9980</v>
      </c>
      <c r="O60" s="59">
        <f>AB32</f>
        <v>9625</v>
      </c>
      <c r="P60" s="4"/>
      <c r="Q60" s="84">
        <f t="shared" si="38"/>
        <v>11661.25</v>
      </c>
      <c r="AF60" s="1"/>
      <c r="AG60" s="7"/>
    </row>
    <row r="61" spans="1:33" ht="15.75" customHeight="1" x14ac:dyDescent="0.2">
      <c r="J61" s="84" t="s">
        <v>213</v>
      </c>
      <c r="K61" s="4"/>
      <c r="L61" s="36">
        <f>H32</f>
        <v>8915</v>
      </c>
      <c r="M61" s="59">
        <f>O32</f>
        <v>9410</v>
      </c>
      <c r="N61" s="59">
        <f>V32</f>
        <v>8510</v>
      </c>
      <c r="O61" s="59">
        <f>AC32</f>
        <v>9530</v>
      </c>
      <c r="P61" s="4"/>
      <c r="Q61" s="84">
        <f t="shared" si="38"/>
        <v>9091.25</v>
      </c>
      <c r="AF61" s="1"/>
      <c r="AG61" s="7"/>
    </row>
    <row r="62" spans="1:33" ht="15.75" customHeight="1" x14ac:dyDescent="0.2">
      <c r="J62" s="84" t="s">
        <v>214</v>
      </c>
      <c r="K62" s="59">
        <f>B32</f>
        <v>13080</v>
      </c>
      <c r="L62" s="36">
        <f>I32</f>
        <v>11675</v>
      </c>
      <c r="M62" s="59">
        <f>P32</f>
        <v>9495</v>
      </c>
      <c r="N62" s="59">
        <f>W32</f>
        <v>13720</v>
      </c>
      <c r="O62" s="59">
        <f>AD32</f>
        <v>12025</v>
      </c>
      <c r="P62" s="4"/>
      <c r="Q62" s="84">
        <f t="shared" si="38"/>
        <v>11999</v>
      </c>
      <c r="AF62" s="1"/>
      <c r="AG62" s="7"/>
    </row>
    <row r="63" spans="1:33" ht="15.75" customHeight="1" x14ac:dyDescent="0.2">
      <c r="Q63" s="14" t="s">
        <v>127</v>
      </c>
      <c r="AF63" s="1"/>
      <c r="AG63" s="7"/>
    </row>
    <row r="64" spans="1:33" ht="15.75" customHeight="1" x14ac:dyDescent="0.2">
      <c r="AF64" s="1"/>
      <c r="AG64" s="7"/>
    </row>
    <row r="65" spans="25:33" ht="14" x14ac:dyDescent="0.2">
      <c r="AF65" s="1"/>
      <c r="AG65" s="7"/>
    </row>
    <row r="66" spans="25:33" ht="14" x14ac:dyDescent="0.2">
      <c r="Y66" s="14" t="s">
        <v>206</v>
      </c>
      <c r="AF66" s="1"/>
      <c r="AG66" s="7"/>
    </row>
    <row r="67" spans="25:33" ht="14" x14ac:dyDescent="0.2">
      <c r="AF67" s="1"/>
      <c r="AG67" s="7"/>
    </row>
    <row r="68" spans="25:33" ht="14" x14ac:dyDescent="0.2">
      <c r="AF68" s="1"/>
      <c r="AG68" s="7"/>
    </row>
    <row r="69" spans="25:33" ht="14" x14ac:dyDescent="0.2">
      <c r="AF69" s="1"/>
      <c r="AG69" s="7"/>
    </row>
    <row r="70" spans="25:33" ht="14" x14ac:dyDescent="0.2">
      <c r="AF70" s="1"/>
      <c r="AG70" s="7"/>
    </row>
    <row r="71" spans="25:33" ht="14" x14ac:dyDescent="0.2">
      <c r="AF71" s="1"/>
      <c r="AG71" s="7"/>
    </row>
    <row r="72" spans="25:33" ht="14" x14ac:dyDescent="0.2">
      <c r="AF72" s="1"/>
      <c r="AG72" s="7"/>
    </row>
    <row r="73" spans="25:33" ht="14" x14ac:dyDescent="0.2">
      <c r="AF73" s="1"/>
      <c r="AG73" s="7"/>
    </row>
    <row r="74" spans="25:33" ht="14" x14ac:dyDescent="0.2">
      <c r="AF74" s="1"/>
      <c r="AG74" s="7"/>
    </row>
    <row r="75" spans="25:33" ht="14" x14ac:dyDescent="0.2">
      <c r="AF75" s="1"/>
      <c r="AG75" s="7"/>
    </row>
    <row r="76" spans="25:33" ht="14" x14ac:dyDescent="0.2">
      <c r="AF76" s="1"/>
      <c r="AG76" s="7"/>
    </row>
    <row r="77" spans="25:33" ht="14" x14ac:dyDescent="0.2">
      <c r="AF77" s="1"/>
      <c r="AG77" s="7"/>
    </row>
    <row r="78" spans="25:33" ht="14" x14ac:dyDescent="0.2">
      <c r="AF78" s="1"/>
      <c r="AG78" s="7"/>
    </row>
    <row r="79" spans="25:33" ht="14" x14ac:dyDescent="0.2">
      <c r="AF79" s="1"/>
      <c r="AG79" s="7"/>
    </row>
    <row r="80" spans="25:33" ht="14" x14ac:dyDescent="0.2">
      <c r="AF80" s="1"/>
      <c r="AG80" s="7"/>
    </row>
    <row r="81" spans="32:33" ht="14" x14ac:dyDescent="0.2">
      <c r="AF81" s="1"/>
      <c r="AG81" s="7"/>
    </row>
    <row r="82" spans="32:33" ht="14" x14ac:dyDescent="0.2">
      <c r="AF82" s="1"/>
      <c r="AG82" s="7"/>
    </row>
    <row r="83" spans="32:33" ht="14" x14ac:dyDescent="0.2">
      <c r="AF83" s="1"/>
      <c r="AG83" s="7"/>
    </row>
    <row r="84" spans="32:33" ht="14" x14ac:dyDescent="0.2">
      <c r="AF84" s="1"/>
      <c r="AG84" s="7"/>
    </row>
    <row r="85" spans="32:33" ht="14" x14ac:dyDescent="0.2">
      <c r="AF85" s="1"/>
      <c r="AG85" s="7"/>
    </row>
    <row r="86" spans="32:33" ht="14" x14ac:dyDescent="0.2">
      <c r="AF86" s="1"/>
      <c r="AG86" s="7"/>
    </row>
    <row r="87" spans="32:33" ht="14" x14ac:dyDescent="0.2">
      <c r="AF87" s="1"/>
      <c r="AG87" s="7"/>
    </row>
    <row r="88" spans="32:33" ht="14" x14ac:dyDescent="0.2">
      <c r="AF88" s="1"/>
      <c r="AG88" s="7"/>
    </row>
    <row r="89" spans="32:33" ht="14" x14ac:dyDescent="0.2">
      <c r="AF89" s="1"/>
      <c r="AG89" s="7"/>
    </row>
    <row r="90" spans="32:33" ht="14" x14ac:dyDescent="0.2">
      <c r="AF90" s="1"/>
      <c r="AG90" s="7"/>
    </row>
    <row r="91" spans="32:33" ht="14" x14ac:dyDescent="0.2">
      <c r="AF91" s="1"/>
      <c r="AG91" s="7"/>
    </row>
    <row r="92" spans="32:33" ht="14" x14ac:dyDescent="0.2">
      <c r="AF92" s="1"/>
      <c r="AG92" s="7"/>
    </row>
    <row r="93" spans="32:33" ht="14" x14ac:dyDescent="0.2">
      <c r="AF93" s="1"/>
      <c r="AG93" s="7"/>
    </row>
    <row r="94" spans="32:33" ht="14" x14ac:dyDescent="0.2">
      <c r="AF94" s="1"/>
      <c r="AG94" s="7"/>
    </row>
    <row r="95" spans="32:33" ht="14" x14ac:dyDescent="0.2">
      <c r="AF95" s="1"/>
      <c r="AG95" s="7"/>
    </row>
    <row r="96" spans="32:33" ht="14" x14ac:dyDescent="0.2">
      <c r="AF96" s="1"/>
      <c r="AG96" s="7"/>
    </row>
    <row r="97" spans="32:33" ht="14" x14ac:dyDescent="0.2">
      <c r="AF97" s="1"/>
      <c r="AG97" s="7"/>
    </row>
    <row r="98" spans="32:33" ht="14" x14ac:dyDescent="0.2">
      <c r="AF98" s="1"/>
      <c r="AG98" s="7"/>
    </row>
    <row r="99" spans="32:33" ht="14" x14ac:dyDescent="0.2">
      <c r="AF99" s="1"/>
      <c r="AG99" s="7"/>
    </row>
    <row r="100" spans="32:33" ht="14" x14ac:dyDescent="0.2">
      <c r="AF100" s="1"/>
      <c r="AG100" s="7"/>
    </row>
    <row r="101" spans="32:33" ht="14" x14ac:dyDescent="0.2">
      <c r="AF101" s="1"/>
      <c r="AG101" s="7"/>
    </row>
    <row r="102" spans="32:33" ht="14" x14ac:dyDescent="0.2">
      <c r="AF102" s="1"/>
      <c r="AG102" s="7"/>
    </row>
    <row r="103" spans="32:33" ht="14" x14ac:dyDescent="0.2">
      <c r="AF103" s="1"/>
      <c r="AG103" s="7"/>
    </row>
    <row r="104" spans="32:33" ht="14" x14ac:dyDescent="0.2">
      <c r="AF104" s="1"/>
      <c r="AG104" s="7"/>
    </row>
    <row r="105" spans="32:33" ht="14" x14ac:dyDescent="0.2">
      <c r="AF105" s="1"/>
      <c r="AG105" s="7"/>
    </row>
    <row r="106" spans="32:33" ht="14" x14ac:dyDescent="0.2">
      <c r="AF106" s="1"/>
      <c r="AG106" s="7"/>
    </row>
    <row r="107" spans="32:33" ht="14" x14ac:dyDescent="0.2">
      <c r="AF107" s="1"/>
      <c r="AG107" s="7"/>
    </row>
    <row r="108" spans="32:33" ht="14" x14ac:dyDescent="0.2">
      <c r="AF108" s="1"/>
      <c r="AG108" s="7"/>
    </row>
    <row r="109" spans="32:33" ht="14" x14ac:dyDescent="0.2">
      <c r="AF109" s="1"/>
      <c r="AG109" s="7"/>
    </row>
    <row r="110" spans="32:33" ht="14" x14ac:dyDescent="0.2">
      <c r="AF110" s="1"/>
      <c r="AG110" s="7"/>
    </row>
    <row r="111" spans="32:33" ht="14" x14ac:dyDescent="0.2">
      <c r="AF111" s="1"/>
      <c r="AG111" s="7"/>
    </row>
    <row r="112" spans="32:33" ht="14" x14ac:dyDescent="0.2">
      <c r="AF112" s="1"/>
      <c r="AG112" s="7"/>
    </row>
    <row r="113" spans="32:33" ht="14" x14ac:dyDescent="0.2">
      <c r="AF113" s="1"/>
      <c r="AG113" s="7"/>
    </row>
    <row r="114" spans="32:33" ht="14" x14ac:dyDescent="0.2">
      <c r="AF114" s="1"/>
      <c r="AG114" s="7"/>
    </row>
    <row r="115" spans="32:33" ht="14" x14ac:dyDescent="0.2">
      <c r="AF115" s="1"/>
      <c r="AG115" s="7"/>
    </row>
    <row r="116" spans="32:33" ht="14" x14ac:dyDescent="0.2">
      <c r="AF116" s="1"/>
      <c r="AG116" s="7"/>
    </row>
    <row r="117" spans="32:33" ht="14" x14ac:dyDescent="0.2">
      <c r="AF117" s="1"/>
      <c r="AG117" s="7"/>
    </row>
    <row r="118" spans="32:33" ht="14" x14ac:dyDescent="0.2">
      <c r="AF118" s="1"/>
      <c r="AG118" s="7"/>
    </row>
    <row r="119" spans="32:33" ht="14" x14ac:dyDescent="0.2">
      <c r="AF119" s="1"/>
      <c r="AG119" s="7"/>
    </row>
    <row r="120" spans="32:33" ht="14" x14ac:dyDescent="0.2">
      <c r="AF120" s="1"/>
      <c r="AG120" s="7"/>
    </row>
    <row r="121" spans="32:33" ht="14" x14ac:dyDescent="0.2">
      <c r="AF121" s="1"/>
      <c r="AG121" s="7"/>
    </row>
    <row r="122" spans="32:33" ht="14" x14ac:dyDescent="0.2">
      <c r="AF122" s="1"/>
      <c r="AG122" s="7"/>
    </row>
    <row r="123" spans="32:33" ht="14" x14ac:dyDescent="0.2">
      <c r="AF123" s="1"/>
      <c r="AG123" s="7"/>
    </row>
    <row r="124" spans="32:33" ht="14" x14ac:dyDescent="0.2">
      <c r="AF124" s="1"/>
      <c r="AG124" s="7"/>
    </row>
    <row r="125" spans="32:33" ht="14" x14ac:dyDescent="0.2">
      <c r="AF125" s="1"/>
      <c r="AG125" s="7"/>
    </row>
    <row r="126" spans="32:33" ht="14" x14ac:dyDescent="0.2">
      <c r="AF126" s="1"/>
      <c r="AG126" s="7"/>
    </row>
    <row r="127" spans="32:33" ht="14" x14ac:dyDescent="0.2">
      <c r="AF127" s="1"/>
      <c r="AG127" s="7"/>
    </row>
    <row r="128" spans="32:33" ht="14" x14ac:dyDescent="0.2">
      <c r="AF128" s="1"/>
      <c r="AG128" s="7"/>
    </row>
    <row r="129" spans="32:33" ht="14" x14ac:dyDescent="0.2">
      <c r="AF129" s="1"/>
      <c r="AG129" s="7"/>
    </row>
    <row r="130" spans="32:33" ht="14" x14ac:dyDescent="0.2">
      <c r="AF130" s="1"/>
      <c r="AG130" s="7"/>
    </row>
    <row r="131" spans="32:33" ht="14" x14ac:dyDescent="0.2">
      <c r="AF131" s="1"/>
      <c r="AG131" s="7"/>
    </row>
    <row r="132" spans="32:33" ht="14" x14ac:dyDescent="0.2">
      <c r="AF132" s="1"/>
      <c r="AG132" s="7"/>
    </row>
    <row r="133" spans="32:33" ht="14" x14ac:dyDescent="0.2">
      <c r="AF133" s="1"/>
      <c r="AG133" s="7"/>
    </row>
    <row r="134" spans="32:33" ht="14" x14ac:dyDescent="0.2">
      <c r="AF134" s="1"/>
      <c r="AG134" s="7"/>
    </row>
    <row r="135" spans="32:33" ht="14" x14ac:dyDescent="0.2">
      <c r="AF135" s="1"/>
      <c r="AG135" s="7"/>
    </row>
    <row r="136" spans="32:33" ht="14" x14ac:dyDescent="0.2">
      <c r="AF136" s="1"/>
      <c r="AG136" s="7"/>
    </row>
    <row r="137" spans="32:33" ht="14" x14ac:dyDescent="0.2">
      <c r="AF137" s="1"/>
      <c r="AG137" s="7"/>
    </row>
    <row r="138" spans="32:33" ht="14" x14ac:dyDescent="0.2">
      <c r="AF138" s="1"/>
      <c r="AG138" s="7"/>
    </row>
    <row r="139" spans="32:33" ht="14" x14ac:dyDescent="0.2">
      <c r="AF139" s="1"/>
      <c r="AG139" s="7"/>
    </row>
    <row r="140" spans="32:33" ht="14" x14ac:dyDescent="0.2">
      <c r="AF140" s="1"/>
      <c r="AG140" s="7"/>
    </row>
    <row r="141" spans="32:33" ht="14" x14ac:dyDescent="0.2">
      <c r="AF141" s="1"/>
      <c r="AG141" s="7"/>
    </row>
    <row r="142" spans="32:33" ht="14" x14ac:dyDescent="0.2">
      <c r="AF142" s="1"/>
      <c r="AG142" s="7"/>
    </row>
    <row r="143" spans="32:33" ht="14" x14ac:dyDescent="0.2">
      <c r="AF143" s="1"/>
      <c r="AG143" s="7"/>
    </row>
    <row r="144" spans="32:33" ht="14" x14ac:dyDescent="0.2">
      <c r="AF144" s="1"/>
      <c r="AG144" s="7"/>
    </row>
    <row r="145" spans="32:33" ht="14" x14ac:dyDescent="0.2">
      <c r="AF145" s="1"/>
      <c r="AG145" s="7"/>
    </row>
    <row r="146" spans="32:33" ht="14" x14ac:dyDescent="0.2">
      <c r="AF146" s="1"/>
      <c r="AG146" s="7"/>
    </row>
    <row r="147" spans="32:33" ht="14" x14ac:dyDescent="0.2">
      <c r="AF147" s="1"/>
      <c r="AG147" s="7"/>
    </row>
    <row r="148" spans="32:33" ht="14" x14ac:dyDescent="0.2">
      <c r="AF148" s="1"/>
      <c r="AG148" s="7"/>
    </row>
    <row r="149" spans="32:33" ht="14" x14ac:dyDescent="0.2">
      <c r="AF149" s="1"/>
      <c r="AG149" s="7"/>
    </row>
    <row r="150" spans="32:33" ht="14" x14ac:dyDescent="0.2">
      <c r="AF150" s="1"/>
      <c r="AG150" s="7"/>
    </row>
    <row r="151" spans="32:33" ht="14" x14ac:dyDescent="0.2">
      <c r="AF151" s="1"/>
      <c r="AG151" s="7"/>
    </row>
    <row r="152" spans="32:33" ht="14" x14ac:dyDescent="0.2">
      <c r="AF152" s="1"/>
      <c r="AG152" s="7"/>
    </row>
    <row r="153" spans="32:33" ht="14" x14ac:dyDescent="0.2">
      <c r="AF153" s="1"/>
      <c r="AG153" s="7"/>
    </row>
    <row r="154" spans="32:33" ht="14" x14ac:dyDescent="0.2">
      <c r="AF154" s="1"/>
      <c r="AG154" s="7"/>
    </row>
    <row r="155" spans="32:33" ht="14" x14ac:dyDescent="0.2">
      <c r="AF155" s="1"/>
      <c r="AG155" s="7"/>
    </row>
    <row r="156" spans="32:33" ht="14" x14ac:dyDescent="0.2">
      <c r="AF156" s="1"/>
      <c r="AG156" s="7"/>
    </row>
    <row r="157" spans="32:33" ht="14" x14ac:dyDescent="0.2">
      <c r="AF157" s="1"/>
      <c r="AG157" s="7"/>
    </row>
    <row r="158" spans="32:33" ht="14" x14ac:dyDescent="0.2">
      <c r="AF158" s="1"/>
      <c r="AG158" s="7"/>
    </row>
    <row r="159" spans="32:33" ht="14" x14ac:dyDescent="0.2">
      <c r="AF159" s="1"/>
      <c r="AG159" s="7"/>
    </row>
    <row r="160" spans="32:33" ht="14" x14ac:dyDescent="0.2">
      <c r="AF160" s="1"/>
      <c r="AG160" s="7"/>
    </row>
    <row r="161" spans="32:33" ht="14" x14ac:dyDescent="0.2">
      <c r="AF161" s="1"/>
      <c r="AG161" s="7"/>
    </row>
    <row r="162" spans="32:33" ht="14" x14ac:dyDescent="0.2">
      <c r="AF162" s="1"/>
      <c r="AG162" s="7"/>
    </row>
    <row r="163" spans="32:33" ht="14" x14ac:dyDescent="0.2">
      <c r="AF163" s="1"/>
      <c r="AG163" s="7"/>
    </row>
    <row r="164" spans="32:33" ht="14" x14ac:dyDescent="0.2">
      <c r="AF164" s="1"/>
      <c r="AG164" s="7"/>
    </row>
    <row r="165" spans="32:33" ht="14" x14ac:dyDescent="0.2">
      <c r="AF165" s="1"/>
      <c r="AG165" s="7"/>
    </row>
    <row r="166" spans="32:33" ht="14" x14ac:dyDescent="0.2">
      <c r="AF166" s="1"/>
      <c r="AG166" s="7"/>
    </row>
    <row r="167" spans="32:33" ht="14" x14ac:dyDescent="0.2">
      <c r="AF167" s="1"/>
      <c r="AG167" s="7"/>
    </row>
    <row r="168" spans="32:33" ht="14" x14ac:dyDescent="0.2">
      <c r="AF168" s="1"/>
      <c r="AG168" s="7"/>
    </row>
    <row r="169" spans="32:33" ht="14" x14ac:dyDescent="0.2">
      <c r="AF169" s="1"/>
      <c r="AG169" s="7"/>
    </row>
    <row r="170" spans="32:33" ht="14" x14ac:dyDescent="0.2">
      <c r="AF170" s="1"/>
      <c r="AG170" s="7"/>
    </row>
    <row r="171" spans="32:33" ht="14" x14ac:dyDescent="0.2">
      <c r="AF171" s="1"/>
      <c r="AG171" s="7"/>
    </row>
    <row r="172" spans="32:33" ht="14" x14ac:dyDescent="0.2">
      <c r="AF172" s="1"/>
      <c r="AG172" s="7"/>
    </row>
    <row r="173" spans="32:33" ht="14" x14ac:dyDescent="0.2">
      <c r="AF173" s="1"/>
      <c r="AG173" s="7"/>
    </row>
    <row r="174" spans="32:33" ht="14" x14ac:dyDescent="0.2">
      <c r="AF174" s="1"/>
      <c r="AG174" s="7"/>
    </row>
    <row r="175" spans="32:33" ht="14" x14ac:dyDescent="0.2">
      <c r="AF175" s="1"/>
      <c r="AG175" s="7"/>
    </row>
    <row r="176" spans="32:33" ht="14" x14ac:dyDescent="0.2">
      <c r="AF176" s="1"/>
      <c r="AG176" s="7"/>
    </row>
    <row r="177" spans="32:33" ht="14" x14ac:dyDescent="0.2">
      <c r="AF177" s="1"/>
      <c r="AG177" s="7"/>
    </row>
    <row r="178" spans="32:33" ht="14" x14ac:dyDescent="0.2">
      <c r="AF178" s="1"/>
      <c r="AG178" s="7"/>
    </row>
    <row r="179" spans="32:33" ht="14" x14ac:dyDescent="0.2">
      <c r="AF179" s="1"/>
      <c r="AG179" s="7"/>
    </row>
    <row r="180" spans="32:33" ht="14" x14ac:dyDescent="0.2">
      <c r="AF180" s="1"/>
      <c r="AG180" s="7"/>
    </row>
    <row r="181" spans="32:33" ht="14" x14ac:dyDescent="0.2">
      <c r="AF181" s="1"/>
      <c r="AG181" s="7"/>
    </row>
    <row r="182" spans="32:33" ht="14" x14ac:dyDescent="0.2">
      <c r="AF182" s="1"/>
      <c r="AG182" s="7"/>
    </row>
    <row r="183" spans="32:33" ht="14" x14ac:dyDescent="0.2">
      <c r="AF183" s="1"/>
      <c r="AG183" s="7"/>
    </row>
    <row r="184" spans="32:33" ht="14" x14ac:dyDescent="0.2">
      <c r="AF184" s="1"/>
      <c r="AG184" s="7"/>
    </row>
    <row r="185" spans="32:33" ht="14" x14ac:dyDescent="0.2">
      <c r="AF185" s="1"/>
      <c r="AG185" s="7"/>
    </row>
    <row r="186" spans="32:33" ht="14" x14ac:dyDescent="0.2">
      <c r="AF186" s="1"/>
      <c r="AG186" s="7"/>
    </row>
    <row r="187" spans="32:33" ht="14" x14ac:dyDescent="0.2">
      <c r="AF187" s="1"/>
      <c r="AG187" s="7"/>
    </row>
    <row r="188" spans="32:33" ht="14" x14ac:dyDescent="0.2">
      <c r="AF188" s="1"/>
      <c r="AG188" s="7"/>
    </row>
    <row r="189" spans="32:33" ht="14" x14ac:dyDescent="0.2">
      <c r="AF189" s="1"/>
      <c r="AG189" s="7"/>
    </row>
    <row r="190" spans="32:33" ht="14" x14ac:dyDescent="0.2">
      <c r="AF190" s="1"/>
      <c r="AG190" s="7"/>
    </row>
    <row r="191" spans="32:33" ht="14" x14ac:dyDescent="0.2">
      <c r="AF191" s="1"/>
      <c r="AG191" s="7"/>
    </row>
    <row r="192" spans="32:33" ht="14" x14ac:dyDescent="0.2">
      <c r="AF192" s="1"/>
      <c r="AG192" s="7"/>
    </row>
    <row r="193" spans="32:33" ht="14" x14ac:dyDescent="0.2">
      <c r="AF193" s="1"/>
      <c r="AG193" s="7"/>
    </row>
    <row r="194" spans="32:33" ht="14" x14ac:dyDescent="0.2">
      <c r="AF194" s="1"/>
      <c r="AG194" s="7"/>
    </row>
    <row r="195" spans="32:33" ht="14" x14ac:dyDescent="0.2">
      <c r="AF195" s="1"/>
      <c r="AG195" s="7"/>
    </row>
    <row r="196" spans="32:33" ht="14" x14ac:dyDescent="0.2">
      <c r="AF196" s="1"/>
      <c r="AG196" s="7"/>
    </row>
    <row r="197" spans="32:33" ht="14" x14ac:dyDescent="0.2">
      <c r="AF197" s="1"/>
      <c r="AG197" s="7"/>
    </row>
    <row r="198" spans="32:33" ht="14" x14ac:dyDescent="0.2">
      <c r="AF198" s="1"/>
      <c r="AG198" s="7"/>
    </row>
    <row r="199" spans="32:33" ht="14" x14ac:dyDescent="0.2">
      <c r="AF199" s="1"/>
      <c r="AG199" s="7"/>
    </row>
    <row r="200" spans="32:33" ht="14" x14ac:dyDescent="0.2">
      <c r="AF200" s="1"/>
      <c r="AG200" s="7"/>
    </row>
    <row r="201" spans="32:33" ht="14" x14ac:dyDescent="0.2">
      <c r="AF201" s="1"/>
      <c r="AG201" s="7"/>
    </row>
    <row r="202" spans="32:33" ht="14" x14ac:dyDescent="0.2">
      <c r="AF202" s="1"/>
      <c r="AG202" s="7"/>
    </row>
    <row r="203" spans="32:33" ht="14" x14ac:dyDescent="0.2">
      <c r="AF203" s="1"/>
      <c r="AG203" s="7"/>
    </row>
    <row r="204" spans="32:33" ht="14" x14ac:dyDescent="0.2">
      <c r="AF204" s="1"/>
      <c r="AG204" s="7"/>
    </row>
    <row r="205" spans="32:33" ht="14" x14ac:dyDescent="0.2">
      <c r="AF205" s="1"/>
      <c r="AG205" s="7"/>
    </row>
    <row r="206" spans="32:33" ht="14" x14ac:dyDescent="0.2">
      <c r="AF206" s="1"/>
      <c r="AG206" s="7"/>
    </row>
    <row r="207" spans="32:33" ht="14" x14ac:dyDescent="0.2">
      <c r="AF207" s="1"/>
      <c r="AG207" s="7"/>
    </row>
    <row r="208" spans="32:33" ht="14" x14ac:dyDescent="0.2">
      <c r="AF208" s="1"/>
      <c r="AG208" s="7"/>
    </row>
    <row r="209" spans="32:33" ht="14" x14ac:dyDescent="0.2">
      <c r="AF209" s="1"/>
      <c r="AG209" s="7"/>
    </row>
    <row r="210" spans="32:33" ht="14" x14ac:dyDescent="0.2">
      <c r="AF210" s="1"/>
      <c r="AG210" s="7"/>
    </row>
    <row r="211" spans="32:33" ht="14" x14ac:dyDescent="0.2">
      <c r="AF211" s="1"/>
      <c r="AG211" s="7"/>
    </row>
    <row r="212" spans="32:33" ht="14" x14ac:dyDescent="0.2">
      <c r="AF212" s="1"/>
      <c r="AG212" s="7"/>
    </row>
    <row r="213" spans="32:33" ht="14" x14ac:dyDescent="0.2">
      <c r="AF213" s="1"/>
      <c r="AG213" s="7"/>
    </row>
    <row r="214" spans="32:33" ht="14" x14ac:dyDescent="0.2">
      <c r="AF214" s="1"/>
      <c r="AG214" s="7"/>
    </row>
    <row r="215" spans="32:33" ht="14" x14ac:dyDescent="0.2">
      <c r="AF215" s="1"/>
      <c r="AG215" s="7"/>
    </row>
    <row r="216" spans="32:33" ht="14" x14ac:dyDescent="0.2">
      <c r="AF216" s="1"/>
      <c r="AG216" s="7"/>
    </row>
    <row r="217" spans="32:33" ht="14" x14ac:dyDescent="0.2">
      <c r="AF217" s="1"/>
      <c r="AG217" s="7"/>
    </row>
    <row r="218" spans="32:33" ht="14" x14ac:dyDescent="0.2">
      <c r="AF218" s="1"/>
      <c r="AG218" s="7"/>
    </row>
    <row r="219" spans="32:33" ht="14" x14ac:dyDescent="0.2">
      <c r="AF219" s="1"/>
      <c r="AG219" s="7"/>
    </row>
    <row r="220" spans="32:33" ht="14" x14ac:dyDescent="0.2">
      <c r="AF220" s="1"/>
      <c r="AG220" s="7"/>
    </row>
    <row r="221" spans="32:33" ht="14" x14ac:dyDescent="0.2">
      <c r="AF221" s="1"/>
      <c r="AG221" s="7"/>
    </row>
    <row r="222" spans="32:33" ht="14" x14ac:dyDescent="0.2">
      <c r="AF222" s="1"/>
      <c r="AG222" s="7"/>
    </row>
    <row r="223" spans="32:33" ht="14" x14ac:dyDescent="0.2">
      <c r="AF223" s="1"/>
      <c r="AG223" s="7"/>
    </row>
    <row r="224" spans="32:33" ht="14" x14ac:dyDescent="0.2">
      <c r="AF224" s="1"/>
      <c r="AG224" s="7"/>
    </row>
    <row r="225" spans="32:33" ht="14" x14ac:dyDescent="0.2">
      <c r="AF225" s="1"/>
      <c r="AG225" s="7"/>
    </row>
    <row r="226" spans="32:33" ht="14" x14ac:dyDescent="0.2">
      <c r="AF226" s="1"/>
      <c r="AG226" s="7"/>
    </row>
    <row r="227" spans="32:33" ht="14" x14ac:dyDescent="0.2">
      <c r="AF227" s="1"/>
      <c r="AG227" s="7"/>
    </row>
    <row r="228" spans="32:33" ht="14" x14ac:dyDescent="0.2">
      <c r="AF228" s="1"/>
      <c r="AG228" s="7"/>
    </row>
    <row r="229" spans="32:33" ht="14" x14ac:dyDescent="0.2">
      <c r="AF229" s="1"/>
      <c r="AG229" s="7"/>
    </row>
    <row r="230" spans="32:33" ht="14" x14ac:dyDescent="0.2">
      <c r="AF230" s="1"/>
      <c r="AG230" s="7"/>
    </row>
    <row r="231" spans="32:33" ht="14" x14ac:dyDescent="0.2">
      <c r="AF231" s="1"/>
      <c r="AG231" s="7"/>
    </row>
    <row r="232" spans="32:33" ht="14" x14ac:dyDescent="0.2">
      <c r="AF232" s="1"/>
      <c r="AG232" s="7"/>
    </row>
    <row r="233" spans="32:33" ht="14" x14ac:dyDescent="0.2">
      <c r="AF233" s="1"/>
      <c r="AG233" s="7"/>
    </row>
    <row r="234" spans="32:33" ht="14" x14ac:dyDescent="0.2">
      <c r="AF234" s="1"/>
      <c r="AG234" s="7"/>
    </row>
    <row r="235" spans="32:33" ht="14" x14ac:dyDescent="0.2">
      <c r="AF235" s="1"/>
      <c r="AG235" s="7"/>
    </row>
    <row r="236" spans="32:33" ht="14" x14ac:dyDescent="0.2">
      <c r="AF236" s="1"/>
      <c r="AG236" s="7"/>
    </row>
    <row r="237" spans="32:33" ht="14" x14ac:dyDescent="0.2">
      <c r="AF237" s="1"/>
      <c r="AG237" s="7"/>
    </row>
    <row r="238" spans="32:33" ht="14" x14ac:dyDescent="0.2">
      <c r="AF238" s="1"/>
      <c r="AG238" s="7"/>
    </row>
    <row r="239" spans="32:33" ht="14" x14ac:dyDescent="0.2">
      <c r="AF239" s="1"/>
      <c r="AG239" s="7"/>
    </row>
    <row r="240" spans="32:33" ht="14" x14ac:dyDescent="0.2">
      <c r="AF240" s="1"/>
      <c r="AG240" s="7"/>
    </row>
    <row r="241" spans="32:33" ht="14" x14ac:dyDescent="0.2">
      <c r="AF241" s="1"/>
      <c r="AG241" s="7"/>
    </row>
    <row r="242" spans="32:33" ht="14" x14ac:dyDescent="0.2">
      <c r="AF242" s="1"/>
      <c r="AG242" s="7"/>
    </row>
    <row r="243" spans="32:33" ht="14" x14ac:dyDescent="0.2">
      <c r="AF243" s="1"/>
      <c r="AG243" s="7"/>
    </row>
    <row r="244" spans="32:33" ht="14" x14ac:dyDescent="0.2">
      <c r="AF244" s="1"/>
      <c r="AG244" s="7"/>
    </row>
    <row r="245" spans="32:33" ht="14" x14ac:dyDescent="0.2">
      <c r="AF245" s="1"/>
      <c r="AG245" s="7"/>
    </row>
    <row r="246" spans="32:33" ht="14" x14ac:dyDescent="0.2">
      <c r="AF246" s="1"/>
      <c r="AG246" s="7"/>
    </row>
    <row r="247" spans="32:33" ht="14" x14ac:dyDescent="0.2">
      <c r="AF247" s="1"/>
      <c r="AG247" s="7"/>
    </row>
    <row r="248" spans="32:33" ht="14" x14ac:dyDescent="0.2">
      <c r="AF248" s="1"/>
      <c r="AG248" s="7"/>
    </row>
    <row r="249" spans="32:33" ht="14" x14ac:dyDescent="0.2">
      <c r="AF249" s="1"/>
      <c r="AG249" s="7"/>
    </row>
    <row r="250" spans="32:33" ht="14" x14ac:dyDescent="0.2">
      <c r="AF250" s="1"/>
      <c r="AG250" s="7"/>
    </row>
    <row r="251" spans="32:33" ht="14" x14ac:dyDescent="0.2">
      <c r="AF251" s="1"/>
      <c r="AG251" s="7"/>
    </row>
    <row r="252" spans="32:33" ht="14" x14ac:dyDescent="0.2">
      <c r="AF252" s="1"/>
      <c r="AG252" s="7"/>
    </row>
    <row r="253" spans="32:33" ht="14" x14ac:dyDescent="0.2">
      <c r="AF253" s="1"/>
      <c r="AG253" s="7"/>
    </row>
    <row r="254" spans="32:33" ht="14" x14ac:dyDescent="0.2">
      <c r="AF254" s="1"/>
      <c r="AG254" s="7"/>
    </row>
    <row r="255" spans="32:33" ht="14" x14ac:dyDescent="0.2">
      <c r="AF255" s="1"/>
      <c r="AG255" s="7"/>
    </row>
    <row r="256" spans="32:33" ht="14" x14ac:dyDescent="0.2">
      <c r="AF256" s="1"/>
      <c r="AG256" s="7"/>
    </row>
    <row r="257" spans="32:33" ht="14" x14ac:dyDescent="0.2">
      <c r="AF257" s="1"/>
      <c r="AG257" s="7"/>
    </row>
    <row r="258" spans="32:33" ht="14" x14ac:dyDescent="0.2">
      <c r="AF258" s="1"/>
      <c r="AG258" s="7"/>
    </row>
    <row r="259" spans="32:33" ht="14" x14ac:dyDescent="0.2">
      <c r="AF259" s="1"/>
      <c r="AG259" s="7"/>
    </row>
    <row r="260" spans="32:33" ht="14" x14ac:dyDescent="0.2">
      <c r="AF260" s="1"/>
      <c r="AG260" s="7"/>
    </row>
    <row r="261" spans="32:33" ht="14" x14ac:dyDescent="0.2">
      <c r="AF261" s="1"/>
      <c r="AG261" s="7"/>
    </row>
    <row r="262" spans="32:33" ht="14" x14ac:dyDescent="0.2">
      <c r="AF262" s="1"/>
      <c r="AG262" s="7"/>
    </row>
    <row r="263" spans="32:33" ht="14" x14ac:dyDescent="0.2">
      <c r="AF263" s="1"/>
      <c r="AG263" s="7"/>
    </row>
    <row r="264" spans="32:33" ht="14" x14ac:dyDescent="0.2">
      <c r="AF264" s="1"/>
      <c r="AG264" s="7"/>
    </row>
    <row r="265" spans="32:33" ht="14" x14ac:dyDescent="0.2">
      <c r="AF265" s="1"/>
      <c r="AG265" s="7"/>
    </row>
    <row r="266" spans="32:33" ht="14" x14ac:dyDescent="0.2">
      <c r="AF266" s="1"/>
      <c r="AG266" s="7"/>
    </row>
    <row r="267" spans="32:33" ht="14" x14ac:dyDescent="0.2">
      <c r="AF267" s="1"/>
      <c r="AG267" s="7"/>
    </row>
    <row r="268" spans="32:33" ht="14" x14ac:dyDescent="0.2">
      <c r="AF268" s="1"/>
      <c r="AG268" s="7"/>
    </row>
    <row r="269" spans="32:33" ht="14" x14ac:dyDescent="0.2">
      <c r="AF269" s="1"/>
      <c r="AG269" s="7"/>
    </row>
    <row r="270" spans="32:33" ht="14" x14ac:dyDescent="0.2">
      <c r="AF270" s="1"/>
      <c r="AG270" s="7"/>
    </row>
    <row r="271" spans="32:33" ht="14" x14ac:dyDescent="0.2">
      <c r="AF271" s="1"/>
      <c r="AG271" s="7"/>
    </row>
    <row r="272" spans="32:33" ht="14" x14ac:dyDescent="0.2">
      <c r="AF272" s="1"/>
      <c r="AG272" s="7"/>
    </row>
    <row r="273" spans="32:33" ht="14" x14ac:dyDescent="0.2">
      <c r="AF273" s="1"/>
      <c r="AG273" s="7"/>
    </row>
    <row r="274" spans="32:33" ht="14" x14ac:dyDescent="0.2">
      <c r="AF274" s="1"/>
      <c r="AG274" s="7"/>
    </row>
    <row r="275" spans="32:33" ht="14" x14ac:dyDescent="0.2">
      <c r="AF275" s="1"/>
      <c r="AG275" s="7"/>
    </row>
    <row r="276" spans="32:33" ht="14" x14ac:dyDescent="0.2">
      <c r="AF276" s="1"/>
      <c r="AG276" s="7"/>
    </row>
    <row r="277" spans="32:33" ht="14" x14ac:dyDescent="0.2">
      <c r="AF277" s="1"/>
      <c r="AG277" s="7"/>
    </row>
    <row r="278" spans="32:33" ht="14" x14ac:dyDescent="0.2">
      <c r="AF278" s="1"/>
      <c r="AG278" s="7"/>
    </row>
    <row r="279" spans="32:33" ht="14" x14ac:dyDescent="0.2">
      <c r="AF279" s="1"/>
      <c r="AG279" s="7"/>
    </row>
    <row r="280" spans="32:33" ht="14" x14ac:dyDescent="0.2">
      <c r="AF280" s="1"/>
      <c r="AG280" s="7"/>
    </row>
    <row r="281" spans="32:33" ht="14" x14ac:dyDescent="0.2">
      <c r="AF281" s="1"/>
      <c r="AG281" s="7"/>
    </row>
    <row r="282" spans="32:33" ht="14" x14ac:dyDescent="0.2">
      <c r="AF282" s="1"/>
      <c r="AG282" s="7"/>
    </row>
    <row r="283" spans="32:33" ht="14" x14ac:dyDescent="0.2">
      <c r="AF283" s="1"/>
      <c r="AG283" s="7"/>
    </row>
    <row r="284" spans="32:33" ht="14" x14ac:dyDescent="0.2">
      <c r="AF284" s="1"/>
      <c r="AG284" s="7"/>
    </row>
    <row r="285" spans="32:33" ht="14" x14ac:dyDescent="0.2">
      <c r="AF285" s="1"/>
      <c r="AG285" s="7"/>
    </row>
    <row r="286" spans="32:33" ht="14" x14ac:dyDescent="0.2">
      <c r="AF286" s="1"/>
      <c r="AG286" s="7"/>
    </row>
    <row r="287" spans="32:33" ht="14" x14ac:dyDescent="0.2">
      <c r="AF287" s="1"/>
      <c r="AG287" s="7"/>
    </row>
    <row r="288" spans="32:33" ht="14" x14ac:dyDescent="0.2">
      <c r="AF288" s="1"/>
      <c r="AG288" s="7"/>
    </row>
    <row r="289" spans="32:33" ht="14" x14ac:dyDescent="0.2">
      <c r="AF289" s="1"/>
      <c r="AG289" s="7"/>
    </row>
    <row r="290" spans="32:33" ht="14" x14ac:dyDescent="0.2">
      <c r="AF290" s="1"/>
      <c r="AG290" s="7"/>
    </row>
    <row r="291" spans="32:33" ht="14" x14ac:dyDescent="0.2">
      <c r="AF291" s="1"/>
      <c r="AG291" s="7"/>
    </row>
    <row r="292" spans="32:33" ht="14" x14ac:dyDescent="0.2">
      <c r="AF292" s="1"/>
      <c r="AG292" s="7"/>
    </row>
    <row r="293" spans="32:33" ht="14" x14ac:dyDescent="0.2">
      <c r="AF293" s="1"/>
      <c r="AG293" s="7"/>
    </row>
    <row r="294" spans="32:33" ht="14" x14ac:dyDescent="0.2">
      <c r="AF294" s="1"/>
      <c r="AG294" s="7"/>
    </row>
    <row r="295" spans="32:33" ht="14" x14ac:dyDescent="0.2">
      <c r="AF295" s="1"/>
      <c r="AG295" s="7"/>
    </row>
    <row r="296" spans="32:33" ht="14" x14ac:dyDescent="0.2">
      <c r="AF296" s="1"/>
      <c r="AG296" s="7"/>
    </row>
    <row r="297" spans="32:33" ht="14" x14ac:dyDescent="0.2">
      <c r="AF297" s="1"/>
      <c r="AG297" s="7"/>
    </row>
    <row r="298" spans="32:33" ht="14" x14ac:dyDescent="0.2">
      <c r="AF298" s="1"/>
      <c r="AG298" s="7"/>
    </row>
    <row r="299" spans="32:33" ht="14" x14ac:dyDescent="0.2">
      <c r="AF299" s="1"/>
      <c r="AG299" s="7"/>
    </row>
    <row r="300" spans="32:33" ht="14" x14ac:dyDescent="0.2">
      <c r="AF300" s="1"/>
      <c r="AG300" s="7"/>
    </row>
    <row r="301" spans="32:33" ht="14" x14ac:dyDescent="0.2">
      <c r="AF301" s="1"/>
      <c r="AG301" s="7"/>
    </row>
    <row r="302" spans="32:33" ht="14" x14ac:dyDescent="0.2">
      <c r="AF302" s="1"/>
      <c r="AG302" s="7"/>
    </row>
    <row r="303" spans="32:33" ht="14" x14ac:dyDescent="0.2">
      <c r="AF303" s="1"/>
      <c r="AG303" s="7"/>
    </row>
    <row r="304" spans="32:33" ht="14" x14ac:dyDescent="0.2">
      <c r="AF304" s="1"/>
      <c r="AG304" s="7"/>
    </row>
    <row r="305" spans="32:33" ht="14" x14ac:dyDescent="0.2">
      <c r="AF305" s="1"/>
      <c r="AG305" s="7"/>
    </row>
    <row r="306" spans="32:33" ht="14" x14ac:dyDescent="0.2">
      <c r="AF306" s="1"/>
      <c r="AG306" s="7"/>
    </row>
    <row r="307" spans="32:33" ht="14" x14ac:dyDescent="0.2">
      <c r="AF307" s="1"/>
      <c r="AG307" s="7"/>
    </row>
    <row r="308" spans="32:33" ht="14" x14ac:dyDescent="0.2">
      <c r="AF308" s="1"/>
      <c r="AG308" s="7"/>
    </row>
    <row r="309" spans="32:33" ht="14" x14ac:dyDescent="0.2">
      <c r="AF309" s="1"/>
      <c r="AG309" s="7"/>
    </row>
    <row r="310" spans="32:33" ht="14" x14ac:dyDescent="0.2">
      <c r="AF310" s="1"/>
      <c r="AG310" s="7"/>
    </row>
    <row r="311" spans="32:33" ht="14" x14ac:dyDescent="0.2">
      <c r="AF311" s="1"/>
      <c r="AG311" s="7"/>
    </row>
    <row r="312" spans="32:33" ht="14" x14ac:dyDescent="0.2">
      <c r="AF312" s="1"/>
      <c r="AG312" s="7"/>
    </row>
    <row r="313" spans="32:33" ht="14" x14ac:dyDescent="0.2">
      <c r="AF313" s="1"/>
      <c r="AG313" s="7"/>
    </row>
    <row r="314" spans="32:33" ht="14" x14ac:dyDescent="0.2">
      <c r="AF314" s="1"/>
      <c r="AG314" s="7"/>
    </row>
    <row r="315" spans="32:33" ht="14" x14ac:dyDescent="0.2">
      <c r="AF315" s="1"/>
      <c r="AG315" s="7"/>
    </row>
    <row r="316" spans="32:33" ht="14" x14ac:dyDescent="0.2">
      <c r="AF316" s="1"/>
      <c r="AG316" s="7"/>
    </row>
    <row r="317" spans="32:33" ht="14" x14ac:dyDescent="0.2">
      <c r="AF317" s="1"/>
      <c r="AG317" s="7"/>
    </row>
    <row r="318" spans="32:33" ht="14" x14ac:dyDescent="0.2">
      <c r="AF318" s="1"/>
      <c r="AG318" s="7"/>
    </row>
    <row r="319" spans="32:33" ht="14" x14ac:dyDescent="0.2">
      <c r="AF319" s="1"/>
      <c r="AG319" s="7"/>
    </row>
    <row r="320" spans="32:33" ht="14" x14ac:dyDescent="0.2">
      <c r="AF320" s="1"/>
      <c r="AG320" s="7"/>
    </row>
    <row r="321" spans="32:33" ht="14" x14ac:dyDescent="0.2">
      <c r="AF321" s="1"/>
      <c r="AG321" s="7"/>
    </row>
    <row r="322" spans="32:33" ht="14" x14ac:dyDescent="0.2">
      <c r="AF322" s="1"/>
      <c r="AG322" s="7"/>
    </row>
    <row r="323" spans="32:33" ht="14" x14ac:dyDescent="0.2">
      <c r="AF323" s="1"/>
      <c r="AG323" s="7"/>
    </row>
    <row r="324" spans="32:33" ht="14" x14ac:dyDescent="0.2">
      <c r="AF324" s="1"/>
      <c r="AG324" s="7"/>
    </row>
    <row r="325" spans="32:33" ht="14" x14ac:dyDescent="0.2">
      <c r="AF325" s="1"/>
      <c r="AG325" s="7"/>
    </row>
    <row r="326" spans="32:33" ht="14" x14ac:dyDescent="0.2">
      <c r="AF326" s="1"/>
      <c r="AG326" s="7"/>
    </row>
    <row r="327" spans="32:33" ht="14" x14ac:dyDescent="0.2">
      <c r="AF327" s="1"/>
      <c r="AG327" s="7"/>
    </row>
    <row r="328" spans="32:33" ht="14" x14ac:dyDescent="0.2">
      <c r="AF328" s="1"/>
      <c r="AG328" s="7"/>
    </row>
    <row r="329" spans="32:33" ht="14" x14ac:dyDescent="0.2">
      <c r="AF329" s="1"/>
      <c r="AG329" s="7"/>
    </row>
    <row r="330" spans="32:33" ht="14" x14ac:dyDescent="0.2">
      <c r="AF330" s="1"/>
      <c r="AG330" s="7"/>
    </row>
    <row r="331" spans="32:33" ht="14" x14ac:dyDescent="0.2">
      <c r="AF331" s="1"/>
      <c r="AG331" s="7"/>
    </row>
    <row r="332" spans="32:33" ht="14" x14ac:dyDescent="0.2">
      <c r="AF332" s="1"/>
      <c r="AG332" s="7"/>
    </row>
    <row r="333" spans="32:33" ht="14" x14ac:dyDescent="0.2">
      <c r="AF333" s="1"/>
      <c r="AG333" s="7"/>
    </row>
    <row r="334" spans="32:33" ht="14" x14ac:dyDescent="0.2">
      <c r="AF334" s="1"/>
      <c r="AG334" s="7"/>
    </row>
    <row r="335" spans="32:33" ht="14" x14ac:dyDescent="0.2">
      <c r="AF335" s="1"/>
      <c r="AG335" s="7"/>
    </row>
    <row r="336" spans="32:33" ht="14" x14ac:dyDescent="0.2">
      <c r="AF336" s="1"/>
      <c r="AG336" s="7"/>
    </row>
    <row r="337" spans="32:33" ht="14" x14ac:dyDescent="0.2">
      <c r="AF337" s="1"/>
      <c r="AG337" s="7"/>
    </row>
    <row r="338" spans="32:33" ht="14" x14ac:dyDescent="0.2">
      <c r="AF338" s="1"/>
      <c r="AG338" s="7"/>
    </row>
    <row r="339" spans="32:33" ht="14" x14ac:dyDescent="0.2">
      <c r="AF339" s="1"/>
      <c r="AG339" s="7"/>
    </row>
    <row r="340" spans="32:33" ht="14" x14ac:dyDescent="0.2">
      <c r="AF340" s="1"/>
      <c r="AG340" s="7"/>
    </row>
    <row r="341" spans="32:33" ht="14" x14ac:dyDescent="0.2">
      <c r="AF341" s="1"/>
      <c r="AG341" s="7"/>
    </row>
    <row r="342" spans="32:33" ht="14" x14ac:dyDescent="0.2">
      <c r="AF342" s="1"/>
      <c r="AG342" s="7"/>
    </row>
    <row r="343" spans="32:33" ht="14" x14ac:dyDescent="0.2">
      <c r="AF343" s="1"/>
      <c r="AG343" s="7"/>
    </row>
    <row r="344" spans="32:33" ht="14" x14ac:dyDescent="0.2">
      <c r="AF344" s="1"/>
      <c r="AG344" s="7"/>
    </row>
    <row r="345" spans="32:33" ht="14" x14ac:dyDescent="0.2">
      <c r="AF345" s="1"/>
      <c r="AG345" s="7"/>
    </row>
    <row r="346" spans="32:33" ht="14" x14ac:dyDescent="0.2">
      <c r="AF346" s="1"/>
      <c r="AG346" s="7"/>
    </row>
    <row r="347" spans="32:33" ht="14" x14ac:dyDescent="0.2">
      <c r="AF347" s="1"/>
      <c r="AG347" s="7"/>
    </row>
    <row r="348" spans="32:33" ht="14" x14ac:dyDescent="0.2">
      <c r="AF348" s="1"/>
      <c r="AG348" s="7"/>
    </row>
    <row r="349" spans="32:33" ht="14" x14ac:dyDescent="0.2">
      <c r="AF349" s="1"/>
      <c r="AG349" s="7"/>
    </row>
    <row r="350" spans="32:33" ht="14" x14ac:dyDescent="0.2">
      <c r="AF350" s="1"/>
      <c r="AG350" s="7"/>
    </row>
    <row r="351" spans="32:33" ht="14" x14ac:dyDescent="0.2">
      <c r="AF351" s="1"/>
      <c r="AG351" s="7"/>
    </row>
    <row r="352" spans="32:33" ht="14" x14ac:dyDescent="0.2">
      <c r="AF352" s="1"/>
      <c r="AG352" s="7"/>
    </row>
    <row r="353" spans="32:33" ht="14" x14ac:dyDescent="0.2">
      <c r="AF353" s="1"/>
      <c r="AG353" s="7"/>
    </row>
    <row r="354" spans="32:33" ht="14" x14ac:dyDescent="0.2">
      <c r="AF354" s="1"/>
      <c r="AG354" s="7"/>
    </row>
    <row r="355" spans="32:33" ht="14" x14ac:dyDescent="0.2">
      <c r="AF355" s="1"/>
      <c r="AG355" s="7"/>
    </row>
    <row r="356" spans="32:33" ht="14" x14ac:dyDescent="0.2">
      <c r="AF356" s="1"/>
      <c r="AG356" s="7"/>
    </row>
    <row r="357" spans="32:33" ht="14" x14ac:dyDescent="0.2">
      <c r="AF357" s="1"/>
      <c r="AG357" s="7"/>
    </row>
    <row r="358" spans="32:33" ht="14" x14ac:dyDescent="0.2">
      <c r="AF358" s="1"/>
      <c r="AG358" s="7"/>
    </row>
    <row r="359" spans="32:33" ht="14" x14ac:dyDescent="0.2">
      <c r="AF359" s="1"/>
      <c r="AG359" s="7"/>
    </row>
    <row r="360" spans="32:33" ht="14" x14ac:dyDescent="0.2">
      <c r="AF360" s="1"/>
      <c r="AG360" s="7"/>
    </row>
    <row r="361" spans="32:33" ht="14" x14ac:dyDescent="0.2">
      <c r="AF361" s="1"/>
      <c r="AG361" s="7"/>
    </row>
    <row r="362" spans="32:33" ht="14" x14ac:dyDescent="0.2">
      <c r="AF362" s="1"/>
      <c r="AG362" s="7"/>
    </row>
    <row r="363" spans="32:33" ht="14" x14ac:dyDescent="0.2">
      <c r="AF363" s="1"/>
      <c r="AG363" s="7"/>
    </row>
    <row r="364" spans="32:33" ht="14" x14ac:dyDescent="0.2">
      <c r="AF364" s="1"/>
      <c r="AG364" s="7"/>
    </row>
    <row r="365" spans="32:33" ht="14" x14ac:dyDescent="0.2">
      <c r="AF365" s="1"/>
      <c r="AG365" s="7"/>
    </row>
    <row r="366" spans="32:33" ht="14" x14ac:dyDescent="0.2">
      <c r="AF366" s="1"/>
      <c r="AG366" s="7"/>
    </row>
    <row r="367" spans="32:33" ht="14" x14ac:dyDescent="0.2">
      <c r="AF367" s="1"/>
      <c r="AG367" s="7"/>
    </row>
    <row r="368" spans="32:33" ht="14" x14ac:dyDescent="0.2">
      <c r="AF368" s="1"/>
      <c r="AG368" s="7"/>
    </row>
    <row r="369" spans="32:33" ht="14" x14ac:dyDescent="0.2">
      <c r="AF369" s="1"/>
      <c r="AG369" s="7"/>
    </row>
    <row r="370" spans="32:33" ht="14" x14ac:dyDescent="0.2">
      <c r="AF370" s="1"/>
      <c r="AG370" s="7"/>
    </row>
    <row r="371" spans="32:33" ht="14" x14ac:dyDescent="0.2">
      <c r="AF371" s="1"/>
      <c r="AG371" s="7"/>
    </row>
    <row r="372" spans="32:33" ht="14" x14ac:dyDescent="0.2">
      <c r="AF372" s="1"/>
      <c r="AG372" s="7"/>
    </row>
    <row r="373" spans="32:33" ht="14" x14ac:dyDescent="0.2">
      <c r="AF373" s="1"/>
      <c r="AG373" s="7"/>
    </row>
    <row r="374" spans="32:33" ht="14" x14ac:dyDescent="0.2">
      <c r="AF374" s="1"/>
      <c r="AG374" s="7"/>
    </row>
    <row r="375" spans="32:33" ht="14" x14ac:dyDescent="0.2">
      <c r="AF375" s="1"/>
      <c r="AG375" s="7"/>
    </row>
    <row r="376" spans="32:33" ht="14" x14ac:dyDescent="0.2">
      <c r="AF376" s="1"/>
      <c r="AG376" s="7"/>
    </row>
    <row r="377" spans="32:33" ht="14" x14ac:dyDescent="0.2">
      <c r="AF377" s="1"/>
      <c r="AG377" s="7"/>
    </row>
    <row r="378" spans="32:33" ht="14" x14ac:dyDescent="0.2">
      <c r="AF378" s="1"/>
      <c r="AG378" s="7"/>
    </row>
    <row r="379" spans="32:33" ht="14" x14ac:dyDescent="0.2">
      <c r="AF379" s="1"/>
      <c r="AG379" s="7"/>
    </row>
    <row r="380" spans="32:33" ht="14" x14ac:dyDescent="0.2">
      <c r="AF380" s="1"/>
      <c r="AG380" s="7"/>
    </row>
    <row r="381" spans="32:33" ht="14" x14ac:dyDescent="0.2">
      <c r="AF381" s="1"/>
      <c r="AG381" s="7"/>
    </row>
    <row r="382" spans="32:33" ht="14" x14ac:dyDescent="0.2">
      <c r="AF382" s="1"/>
      <c r="AG382" s="7"/>
    </row>
    <row r="383" spans="32:33" ht="14" x14ac:dyDescent="0.2">
      <c r="AF383" s="1"/>
      <c r="AG383" s="7"/>
    </row>
    <row r="384" spans="32:33" ht="14" x14ac:dyDescent="0.2">
      <c r="AF384" s="1"/>
      <c r="AG384" s="7"/>
    </row>
    <row r="385" spans="32:33" ht="14" x14ac:dyDescent="0.2">
      <c r="AF385" s="1"/>
      <c r="AG385" s="7"/>
    </row>
    <row r="386" spans="32:33" ht="14" x14ac:dyDescent="0.2">
      <c r="AF386" s="1"/>
      <c r="AG386" s="7"/>
    </row>
    <row r="387" spans="32:33" ht="14" x14ac:dyDescent="0.2">
      <c r="AF387" s="1"/>
      <c r="AG387" s="7"/>
    </row>
    <row r="388" spans="32:33" ht="14" x14ac:dyDescent="0.2">
      <c r="AF388" s="1"/>
      <c r="AG388" s="7"/>
    </row>
    <row r="389" spans="32:33" ht="14" x14ac:dyDescent="0.2">
      <c r="AF389" s="1"/>
      <c r="AG389" s="7"/>
    </row>
    <row r="390" spans="32:33" ht="14" x14ac:dyDescent="0.2">
      <c r="AF390" s="1"/>
      <c r="AG390" s="7"/>
    </row>
    <row r="391" spans="32:33" ht="14" x14ac:dyDescent="0.2">
      <c r="AF391" s="1"/>
      <c r="AG391" s="7"/>
    </row>
    <row r="392" spans="32:33" ht="14" x14ac:dyDescent="0.2">
      <c r="AF392" s="1"/>
      <c r="AG392" s="7"/>
    </row>
    <row r="393" spans="32:33" ht="14" x14ac:dyDescent="0.2">
      <c r="AF393" s="1"/>
      <c r="AG393" s="7"/>
    </row>
    <row r="394" spans="32:33" ht="14" x14ac:dyDescent="0.2">
      <c r="AF394" s="1"/>
      <c r="AG394" s="7"/>
    </row>
    <row r="395" spans="32:33" ht="14" x14ac:dyDescent="0.2">
      <c r="AF395" s="1"/>
      <c r="AG395" s="7"/>
    </row>
    <row r="396" spans="32:33" ht="14" x14ac:dyDescent="0.2">
      <c r="AF396" s="1"/>
      <c r="AG396" s="7"/>
    </row>
    <row r="397" spans="32:33" ht="14" x14ac:dyDescent="0.2">
      <c r="AF397" s="1"/>
      <c r="AG397" s="7"/>
    </row>
    <row r="398" spans="32:33" ht="14" x14ac:dyDescent="0.2">
      <c r="AF398" s="1"/>
      <c r="AG398" s="7"/>
    </row>
    <row r="399" spans="32:33" ht="14" x14ac:dyDescent="0.2">
      <c r="AF399" s="1"/>
      <c r="AG399" s="7"/>
    </row>
    <row r="400" spans="32:33" ht="14" x14ac:dyDescent="0.2">
      <c r="AF400" s="1"/>
      <c r="AG400" s="7"/>
    </row>
    <row r="401" spans="32:33" ht="14" x14ac:dyDescent="0.2">
      <c r="AF401" s="1"/>
      <c r="AG401" s="7"/>
    </row>
    <row r="402" spans="32:33" ht="14" x14ac:dyDescent="0.2">
      <c r="AF402" s="1"/>
      <c r="AG402" s="7"/>
    </row>
    <row r="403" spans="32:33" ht="14" x14ac:dyDescent="0.2">
      <c r="AF403" s="1"/>
      <c r="AG403" s="7"/>
    </row>
    <row r="404" spans="32:33" ht="14" x14ac:dyDescent="0.2">
      <c r="AF404" s="1"/>
      <c r="AG404" s="7"/>
    </row>
    <row r="405" spans="32:33" ht="14" x14ac:dyDescent="0.2">
      <c r="AF405" s="1"/>
      <c r="AG405" s="7"/>
    </row>
    <row r="406" spans="32:33" ht="14" x14ac:dyDescent="0.2">
      <c r="AF406" s="1"/>
      <c r="AG406" s="7"/>
    </row>
    <row r="407" spans="32:33" ht="14" x14ac:dyDescent="0.2">
      <c r="AF407" s="1"/>
      <c r="AG407" s="7"/>
    </row>
    <row r="408" spans="32:33" ht="14" x14ac:dyDescent="0.2">
      <c r="AF408" s="1"/>
      <c r="AG408" s="7"/>
    </row>
    <row r="409" spans="32:33" ht="14" x14ac:dyDescent="0.2">
      <c r="AF409" s="1"/>
      <c r="AG409" s="7"/>
    </row>
    <row r="410" spans="32:33" ht="14" x14ac:dyDescent="0.2">
      <c r="AF410" s="1"/>
      <c r="AG410" s="7"/>
    </row>
    <row r="411" spans="32:33" ht="14" x14ac:dyDescent="0.2">
      <c r="AF411" s="1"/>
      <c r="AG411" s="7"/>
    </row>
    <row r="412" spans="32:33" ht="14" x14ac:dyDescent="0.2">
      <c r="AF412" s="1"/>
      <c r="AG412" s="7"/>
    </row>
    <row r="413" spans="32:33" ht="14" x14ac:dyDescent="0.2">
      <c r="AF413" s="1"/>
      <c r="AG413" s="7"/>
    </row>
    <row r="414" spans="32:33" ht="14" x14ac:dyDescent="0.2">
      <c r="AF414" s="1"/>
      <c r="AG414" s="7"/>
    </row>
    <row r="415" spans="32:33" ht="14" x14ac:dyDescent="0.2">
      <c r="AF415" s="1"/>
      <c r="AG415" s="7"/>
    </row>
    <row r="416" spans="32:33" ht="14" x14ac:dyDescent="0.2">
      <c r="AF416" s="1"/>
      <c r="AG416" s="7"/>
    </row>
    <row r="417" spans="32:33" ht="14" x14ac:dyDescent="0.2">
      <c r="AF417" s="1"/>
      <c r="AG417" s="7"/>
    </row>
    <row r="418" spans="32:33" ht="14" x14ac:dyDescent="0.2">
      <c r="AF418" s="1"/>
      <c r="AG418" s="7"/>
    </row>
    <row r="419" spans="32:33" ht="14" x14ac:dyDescent="0.2">
      <c r="AF419" s="1"/>
      <c r="AG419" s="7"/>
    </row>
    <row r="420" spans="32:33" ht="14" x14ac:dyDescent="0.2">
      <c r="AF420" s="1"/>
      <c r="AG420" s="7"/>
    </row>
    <row r="421" spans="32:33" ht="14" x14ac:dyDescent="0.2">
      <c r="AF421" s="1"/>
      <c r="AG421" s="7"/>
    </row>
    <row r="422" spans="32:33" ht="14" x14ac:dyDescent="0.2">
      <c r="AF422" s="1"/>
      <c r="AG422" s="7"/>
    </row>
    <row r="423" spans="32:33" ht="14" x14ac:dyDescent="0.2">
      <c r="AF423" s="1"/>
      <c r="AG423" s="7"/>
    </row>
    <row r="424" spans="32:33" ht="14" x14ac:dyDescent="0.2">
      <c r="AF424" s="1"/>
      <c r="AG424" s="7"/>
    </row>
    <row r="425" spans="32:33" ht="14" x14ac:dyDescent="0.2">
      <c r="AF425" s="1"/>
      <c r="AG425" s="7"/>
    </row>
    <row r="426" spans="32:33" ht="14" x14ac:dyDescent="0.2">
      <c r="AF426" s="1"/>
      <c r="AG426" s="7"/>
    </row>
    <row r="427" spans="32:33" ht="14" x14ac:dyDescent="0.2">
      <c r="AF427" s="1"/>
      <c r="AG427" s="7"/>
    </row>
    <row r="428" spans="32:33" ht="14" x14ac:dyDescent="0.2">
      <c r="AF428" s="1"/>
      <c r="AG428" s="7"/>
    </row>
    <row r="429" spans="32:33" ht="14" x14ac:dyDescent="0.2">
      <c r="AF429" s="1"/>
      <c r="AG429" s="7"/>
    </row>
    <row r="430" spans="32:33" ht="14" x14ac:dyDescent="0.2">
      <c r="AF430" s="1"/>
      <c r="AG430" s="7"/>
    </row>
    <row r="431" spans="32:33" ht="14" x14ac:dyDescent="0.2">
      <c r="AF431" s="1"/>
      <c r="AG431" s="7"/>
    </row>
    <row r="432" spans="32:33" ht="14" x14ac:dyDescent="0.2">
      <c r="AF432" s="1"/>
      <c r="AG432" s="7"/>
    </row>
    <row r="433" spans="32:33" ht="14" x14ac:dyDescent="0.2">
      <c r="AF433" s="1"/>
      <c r="AG433" s="7"/>
    </row>
    <row r="434" spans="32:33" ht="14" x14ac:dyDescent="0.2">
      <c r="AF434" s="1"/>
      <c r="AG434" s="7"/>
    </row>
    <row r="435" spans="32:33" ht="14" x14ac:dyDescent="0.2">
      <c r="AF435" s="1"/>
      <c r="AG435" s="7"/>
    </row>
    <row r="436" spans="32:33" ht="14" x14ac:dyDescent="0.2">
      <c r="AF436" s="1"/>
      <c r="AG436" s="7"/>
    </row>
    <row r="437" spans="32:33" ht="14" x14ac:dyDescent="0.2">
      <c r="AF437" s="1"/>
      <c r="AG437" s="7"/>
    </row>
    <row r="438" spans="32:33" ht="14" x14ac:dyDescent="0.2">
      <c r="AF438" s="1"/>
      <c r="AG438" s="7"/>
    </row>
    <row r="439" spans="32:33" ht="14" x14ac:dyDescent="0.2">
      <c r="AF439" s="1"/>
      <c r="AG439" s="7"/>
    </row>
    <row r="440" spans="32:33" ht="14" x14ac:dyDescent="0.2">
      <c r="AF440" s="1"/>
      <c r="AG440" s="7"/>
    </row>
    <row r="441" spans="32:33" ht="14" x14ac:dyDescent="0.2">
      <c r="AF441" s="1"/>
      <c r="AG441" s="7"/>
    </row>
    <row r="442" spans="32:33" ht="14" x14ac:dyDescent="0.2">
      <c r="AF442" s="1"/>
      <c r="AG442" s="7"/>
    </row>
    <row r="443" spans="32:33" ht="14" x14ac:dyDescent="0.2">
      <c r="AF443" s="1"/>
      <c r="AG443" s="7"/>
    </row>
    <row r="444" spans="32:33" ht="14" x14ac:dyDescent="0.2">
      <c r="AF444" s="1"/>
      <c r="AG444" s="7"/>
    </row>
    <row r="445" spans="32:33" ht="14" x14ac:dyDescent="0.2">
      <c r="AF445" s="1"/>
      <c r="AG445" s="7"/>
    </row>
    <row r="446" spans="32:33" ht="14" x14ac:dyDescent="0.2">
      <c r="AF446" s="1"/>
      <c r="AG446" s="7"/>
    </row>
    <row r="447" spans="32:33" ht="14" x14ac:dyDescent="0.2">
      <c r="AF447" s="1"/>
      <c r="AG447" s="7"/>
    </row>
    <row r="448" spans="32:33" ht="14" x14ac:dyDescent="0.2">
      <c r="AF448" s="1"/>
      <c r="AG448" s="7"/>
    </row>
    <row r="449" spans="32:33" ht="14" x14ac:dyDescent="0.2">
      <c r="AF449" s="1"/>
      <c r="AG449" s="7"/>
    </row>
    <row r="450" spans="32:33" ht="14" x14ac:dyDescent="0.2">
      <c r="AF450" s="1"/>
      <c r="AG450" s="7"/>
    </row>
    <row r="451" spans="32:33" ht="14" x14ac:dyDescent="0.2">
      <c r="AF451" s="1"/>
      <c r="AG451" s="7"/>
    </row>
    <row r="452" spans="32:33" ht="14" x14ac:dyDescent="0.2">
      <c r="AF452" s="1"/>
      <c r="AG452" s="7"/>
    </row>
    <row r="453" spans="32:33" ht="14" x14ac:dyDescent="0.2">
      <c r="AF453" s="1"/>
      <c r="AG453" s="7"/>
    </row>
    <row r="454" spans="32:33" ht="14" x14ac:dyDescent="0.2">
      <c r="AF454" s="1"/>
      <c r="AG454" s="7"/>
    </row>
    <row r="455" spans="32:33" ht="14" x14ac:dyDescent="0.2">
      <c r="AF455" s="1"/>
      <c r="AG455" s="7"/>
    </row>
    <row r="456" spans="32:33" ht="14" x14ac:dyDescent="0.2">
      <c r="AF456" s="1"/>
      <c r="AG456" s="7"/>
    </row>
    <row r="457" spans="32:33" ht="14" x14ac:dyDescent="0.2">
      <c r="AF457" s="1"/>
      <c r="AG457" s="7"/>
    </row>
    <row r="458" spans="32:33" ht="14" x14ac:dyDescent="0.2">
      <c r="AF458" s="1"/>
      <c r="AG458" s="7"/>
    </row>
    <row r="459" spans="32:33" ht="14" x14ac:dyDescent="0.2">
      <c r="AF459" s="1"/>
      <c r="AG459" s="7"/>
    </row>
    <row r="460" spans="32:33" ht="14" x14ac:dyDescent="0.2">
      <c r="AF460" s="1"/>
      <c r="AG460" s="7"/>
    </row>
    <row r="461" spans="32:33" ht="14" x14ac:dyDescent="0.2">
      <c r="AF461" s="1"/>
      <c r="AG461" s="7"/>
    </row>
    <row r="462" spans="32:33" ht="14" x14ac:dyDescent="0.2">
      <c r="AF462" s="1"/>
      <c r="AG462" s="7"/>
    </row>
    <row r="463" spans="32:33" ht="14" x14ac:dyDescent="0.2">
      <c r="AF463" s="1"/>
      <c r="AG463" s="7"/>
    </row>
    <row r="464" spans="32:33" ht="14" x14ac:dyDescent="0.2">
      <c r="AF464" s="1"/>
      <c r="AG464" s="7"/>
    </row>
    <row r="465" spans="32:33" ht="14" x14ac:dyDescent="0.2">
      <c r="AF465" s="1"/>
      <c r="AG465" s="7"/>
    </row>
    <row r="466" spans="32:33" ht="14" x14ac:dyDescent="0.2">
      <c r="AF466" s="1"/>
      <c r="AG466" s="7"/>
    </row>
    <row r="467" spans="32:33" ht="14" x14ac:dyDescent="0.2">
      <c r="AF467" s="1"/>
      <c r="AG467" s="7"/>
    </row>
    <row r="468" spans="32:33" ht="14" x14ac:dyDescent="0.2">
      <c r="AF468" s="1"/>
      <c r="AG468" s="7"/>
    </row>
    <row r="469" spans="32:33" ht="14" x14ac:dyDescent="0.2">
      <c r="AF469" s="1"/>
      <c r="AG469" s="7"/>
    </row>
    <row r="470" spans="32:33" ht="14" x14ac:dyDescent="0.2">
      <c r="AF470" s="1"/>
      <c r="AG470" s="7"/>
    </row>
    <row r="471" spans="32:33" ht="14" x14ac:dyDescent="0.2">
      <c r="AF471" s="1"/>
      <c r="AG471" s="7"/>
    </row>
    <row r="472" spans="32:33" ht="14" x14ac:dyDescent="0.2">
      <c r="AF472" s="1"/>
      <c r="AG472" s="7"/>
    </row>
    <row r="473" spans="32:33" ht="14" x14ac:dyDescent="0.2">
      <c r="AF473" s="1"/>
      <c r="AG473" s="7"/>
    </row>
    <row r="474" spans="32:33" ht="14" x14ac:dyDescent="0.2">
      <c r="AF474" s="1"/>
      <c r="AG474" s="7"/>
    </row>
    <row r="475" spans="32:33" ht="14" x14ac:dyDescent="0.2">
      <c r="AF475" s="1"/>
      <c r="AG475" s="7"/>
    </row>
    <row r="476" spans="32:33" ht="14" x14ac:dyDescent="0.2">
      <c r="AF476" s="1"/>
      <c r="AG476" s="7"/>
    </row>
    <row r="477" spans="32:33" ht="14" x14ac:dyDescent="0.2">
      <c r="AF477" s="1"/>
      <c r="AG477" s="7"/>
    </row>
    <row r="478" spans="32:33" ht="14" x14ac:dyDescent="0.2">
      <c r="AF478" s="1"/>
      <c r="AG478" s="7"/>
    </row>
    <row r="479" spans="32:33" ht="14" x14ac:dyDescent="0.2">
      <c r="AF479" s="1"/>
      <c r="AG479" s="7"/>
    </row>
    <row r="480" spans="32:33" ht="14" x14ac:dyDescent="0.2">
      <c r="AF480" s="1"/>
      <c r="AG480" s="7"/>
    </row>
    <row r="481" spans="32:33" ht="14" x14ac:dyDescent="0.2">
      <c r="AF481" s="1"/>
      <c r="AG481" s="7"/>
    </row>
    <row r="482" spans="32:33" ht="14" x14ac:dyDescent="0.2">
      <c r="AF482" s="1"/>
      <c r="AG482" s="7"/>
    </row>
    <row r="483" spans="32:33" ht="14" x14ac:dyDescent="0.2">
      <c r="AF483" s="1"/>
      <c r="AG483" s="7"/>
    </row>
    <row r="484" spans="32:33" ht="14" x14ac:dyDescent="0.2">
      <c r="AF484" s="1"/>
      <c r="AG484" s="7"/>
    </row>
    <row r="485" spans="32:33" ht="14" x14ac:dyDescent="0.2">
      <c r="AF485" s="1"/>
      <c r="AG485" s="7"/>
    </row>
    <row r="486" spans="32:33" ht="14" x14ac:dyDescent="0.2">
      <c r="AF486" s="1"/>
      <c r="AG486" s="7"/>
    </row>
    <row r="487" spans="32:33" ht="14" x14ac:dyDescent="0.2">
      <c r="AF487" s="1"/>
      <c r="AG487" s="7"/>
    </row>
    <row r="488" spans="32:33" ht="14" x14ac:dyDescent="0.2">
      <c r="AF488" s="1"/>
      <c r="AG488" s="7"/>
    </row>
    <row r="489" spans="32:33" ht="14" x14ac:dyDescent="0.2">
      <c r="AF489" s="1"/>
      <c r="AG489" s="7"/>
    </row>
    <row r="490" spans="32:33" ht="14" x14ac:dyDescent="0.2">
      <c r="AF490" s="1"/>
      <c r="AG490" s="7"/>
    </row>
    <row r="491" spans="32:33" ht="14" x14ac:dyDescent="0.2">
      <c r="AF491" s="1"/>
      <c r="AG491" s="7"/>
    </row>
    <row r="492" spans="32:33" ht="14" x14ac:dyDescent="0.2">
      <c r="AF492" s="1"/>
      <c r="AG492" s="7"/>
    </row>
    <row r="493" spans="32:33" ht="14" x14ac:dyDescent="0.2">
      <c r="AF493" s="1"/>
      <c r="AG493" s="7"/>
    </row>
    <row r="494" spans="32:33" ht="14" x14ac:dyDescent="0.2">
      <c r="AF494" s="1"/>
      <c r="AG494" s="7"/>
    </row>
    <row r="495" spans="32:33" ht="14" x14ac:dyDescent="0.2">
      <c r="AF495" s="1"/>
      <c r="AG495" s="7"/>
    </row>
    <row r="496" spans="32:33" ht="14" x14ac:dyDescent="0.2">
      <c r="AF496" s="1"/>
      <c r="AG496" s="7"/>
    </row>
    <row r="497" spans="32:33" ht="14" x14ac:dyDescent="0.2">
      <c r="AF497" s="1"/>
      <c r="AG497" s="7"/>
    </row>
    <row r="498" spans="32:33" ht="14" x14ac:dyDescent="0.2">
      <c r="AF498" s="1"/>
      <c r="AG498" s="7"/>
    </row>
    <row r="499" spans="32:33" ht="14" x14ac:dyDescent="0.2">
      <c r="AF499" s="1"/>
      <c r="AG499" s="7"/>
    </row>
    <row r="500" spans="32:33" ht="14" x14ac:dyDescent="0.2">
      <c r="AF500" s="1"/>
      <c r="AG500" s="7"/>
    </row>
    <row r="501" spans="32:33" ht="14" x14ac:dyDescent="0.2">
      <c r="AF501" s="1"/>
      <c r="AG501" s="7"/>
    </row>
    <row r="502" spans="32:33" ht="14" x14ac:dyDescent="0.2">
      <c r="AF502" s="1"/>
      <c r="AG502" s="7"/>
    </row>
    <row r="503" spans="32:33" ht="14" x14ac:dyDescent="0.2">
      <c r="AF503" s="1"/>
      <c r="AG503" s="7"/>
    </row>
    <row r="504" spans="32:33" ht="14" x14ac:dyDescent="0.2">
      <c r="AF504" s="1"/>
      <c r="AG504" s="7"/>
    </row>
    <row r="505" spans="32:33" ht="14" x14ac:dyDescent="0.2">
      <c r="AF505" s="1"/>
      <c r="AG505" s="7"/>
    </row>
    <row r="506" spans="32:33" ht="14" x14ac:dyDescent="0.2">
      <c r="AF506" s="1"/>
      <c r="AG506" s="7"/>
    </row>
    <row r="507" spans="32:33" ht="14" x14ac:dyDescent="0.2">
      <c r="AF507" s="1"/>
      <c r="AG507" s="7"/>
    </row>
    <row r="508" spans="32:33" ht="14" x14ac:dyDescent="0.2">
      <c r="AF508" s="1"/>
      <c r="AG508" s="7"/>
    </row>
    <row r="509" spans="32:33" ht="14" x14ac:dyDescent="0.2">
      <c r="AF509" s="1"/>
      <c r="AG509" s="7"/>
    </row>
    <row r="510" spans="32:33" ht="14" x14ac:dyDescent="0.2">
      <c r="AF510" s="1"/>
      <c r="AG510" s="7"/>
    </row>
    <row r="511" spans="32:33" ht="14" x14ac:dyDescent="0.2">
      <c r="AF511" s="1"/>
      <c r="AG511" s="7"/>
    </row>
    <row r="512" spans="32:33" ht="14" x14ac:dyDescent="0.2">
      <c r="AF512" s="1"/>
      <c r="AG512" s="7"/>
    </row>
    <row r="513" spans="32:33" ht="14" x14ac:dyDescent="0.2">
      <c r="AF513" s="1"/>
      <c r="AG513" s="7"/>
    </row>
    <row r="514" spans="32:33" ht="14" x14ac:dyDescent="0.2">
      <c r="AF514" s="1"/>
      <c r="AG514" s="7"/>
    </row>
    <row r="515" spans="32:33" ht="14" x14ac:dyDescent="0.2">
      <c r="AF515" s="1"/>
      <c r="AG515" s="7"/>
    </row>
    <row r="516" spans="32:33" ht="14" x14ac:dyDescent="0.2">
      <c r="AF516" s="1"/>
      <c r="AG516" s="7"/>
    </row>
    <row r="517" spans="32:33" ht="14" x14ac:dyDescent="0.2">
      <c r="AF517" s="1"/>
      <c r="AG517" s="7"/>
    </row>
    <row r="518" spans="32:33" ht="14" x14ac:dyDescent="0.2">
      <c r="AF518" s="1"/>
      <c r="AG518" s="7"/>
    </row>
    <row r="519" spans="32:33" ht="14" x14ac:dyDescent="0.2">
      <c r="AF519" s="1"/>
      <c r="AG519" s="7"/>
    </row>
    <row r="520" spans="32:33" ht="14" x14ac:dyDescent="0.2">
      <c r="AF520" s="1"/>
      <c r="AG520" s="7"/>
    </row>
    <row r="521" spans="32:33" ht="14" x14ac:dyDescent="0.2">
      <c r="AF521" s="1"/>
      <c r="AG521" s="7"/>
    </row>
    <row r="522" spans="32:33" ht="14" x14ac:dyDescent="0.2">
      <c r="AF522" s="1"/>
      <c r="AG522" s="7"/>
    </row>
    <row r="523" spans="32:33" ht="14" x14ac:dyDescent="0.2">
      <c r="AF523" s="1"/>
      <c r="AG523" s="7"/>
    </row>
    <row r="524" spans="32:33" ht="14" x14ac:dyDescent="0.2">
      <c r="AF524" s="1"/>
      <c r="AG524" s="7"/>
    </row>
    <row r="525" spans="32:33" ht="14" x14ac:dyDescent="0.2">
      <c r="AF525" s="1"/>
      <c r="AG525" s="7"/>
    </row>
    <row r="526" spans="32:33" ht="14" x14ac:dyDescent="0.2">
      <c r="AF526" s="1"/>
      <c r="AG526" s="7"/>
    </row>
    <row r="527" spans="32:33" ht="14" x14ac:dyDescent="0.2">
      <c r="AF527" s="1"/>
      <c r="AG527" s="7"/>
    </row>
    <row r="528" spans="32:33" ht="14" x14ac:dyDescent="0.2">
      <c r="AF528" s="1"/>
      <c r="AG528" s="7"/>
    </row>
    <row r="529" spans="32:33" ht="14" x14ac:dyDescent="0.2">
      <c r="AF529" s="1"/>
      <c r="AG529" s="7"/>
    </row>
    <row r="530" spans="32:33" ht="14" x14ac:dyDescent="0.2">
      <c r="AF530" s="1"/>
      <c r="AG530" s="7"/>
    </row>
    <row r="531" spans="32:33" ht="14" x14ac:dyDescent="0.2">
      <c r="AF531" s="1"/>
      <c r="AG531" s="7"/>
    </row>
    <row r="532" spans="32:33" ht="14" x14ac:dyDescent="0.2">
      <c r="AF532" s="1"/>
      <c r="AG532" s="7"/>
    </row>
    <row r="533" spans="32:33" ht="14" x14ac:dyDescent="0.2">
      <c r="AF533" s="1"/>
      <c r="AG533" s="7"/>
    </row>
    <row r="534" spans="32:33" ht="14" x14ac:dyDescent="0.2">
      <c r="AF534" s="1"/>
      <c r="AG534" s="7"/>
    </row>
    <row r="535" spans="32:33" ht="14" x14ac:dyDescent="0.2">
      <c r="AF535" s="1"/>
      <c r="AG535" s="7"/>
    </row>
    <row r="536" spans="32:33" ht="14" x14ac:dyDescent="0.2">
      <c r="AF536" s="1"/>
      <c r="AG536" s="7"/>
    </row>
    <row r="537" spans="32:33" ht="14" x14ac:dyDescent="0.2">
      <c r="AF537" s="1"/>
      <c r="AG537" s="7"/>
    </row>
    <row r="538" spans="32:33" ht="14" x14ac:dyDescent="0.2">
      <c r="AF538" s="1"/>
      <c r="AG538" s="7"/>
    </row>
    <row r="539" spans="32:33" ht="14" x14ac:dyDescent="0.2">
      <c r="AF539" s="1"/>
      <c r="AG539" s="7"/>
    </row>
    <row r="540" spans="32:33" ht="14" x14ac:dyDescent="0.2">
      <c r="AF540" s="1"/>
      <c r="AG540" s="7"/>
    </row>
    <row r="541" spans="32:33" ht="14" x14ac:dyDescent="0.2">
      <c r="AF541" s="1"/>
      <c r="AG541" s="7"/>
    </row>
    <row r="542" spans="32:33" ht="14" x14ac:dyDescent="0.2">
      <c r="AF542" s="1"/>
      <c r="AG542" s="7"/>
    </row>
    <row r="543" spans="32:33" ht="14" x14ac:dyDescent="0.2">
      <c r="AF543" s="1"/>
      <c r="AG543" s="7"/>
    </row>
    <row r="544" spans="32:33" ht="14" x14ac:dyDescent="0.2">
      <c r="AF544" s="1"/>
      <c r="AG544" s="7"/>
    </row>
    <row r="545" spans="32:33" ht="14" x14ac:dyDescent="0.2">
      <c r="AF545" s="1"/>
      <c r="AG545" s="7"/>
    </row>
    <row r="546" spans="32:33" ht="14" x14ac:dyDescent="0.2">
      <c r="AF546" s="1"/>
      <c r="AG546" s="7"/>
    </row>
    <row r="547" spans="32:33" ht="14" x14ac:dyDescent="0.2">
      <c r="AF547" s="1"/>
      <c r="AG547" s="7"/>
    </row>
    <row r="548" spans="32:33" ht="14" x14ac:dyDescent="0.2">
      <c r="AF548" s="1"/>
      <c r="AG548" s="7"/>
    </row>
    <row r="549" spans="32:33" ht="14" x14ac:dyDescent="0.2">
      <c r="AF549" s="1"/>
      <c r="AG549" s="7"/>
    </row>
    <row r="550" spans="32:33" ht="14" x14ac:dyDescent="0.2">
      <c r="AF550" s="1"/>
      <c r="AG550" s="7"/>
    </row>
    <row r="551" spans="32:33" ht="14" x14ac:dyDescent="0.2">
      <c r="AF551" s="1"/>
      <c r="AG551" s="7"/>
    </row>
    <row r="552" spans="32:33" ht="14" x14ac:dyDescent="0.2">
      <c r="AF552" s="1"/>
      <c r="AG552" s="7"/>
    </row>
    <row r="553" spans="32:33" ht="14" x14ac:dyDescent="0.2">
      <c r="AF553" s="1"/>
      <c r="AG553" s="7"/>
    </row>
    <row r="554" spans="32:33" ht="14" x14ac:dyDescent="0.2">
      <c r="AF554" s="1"/>
      <c r="AG554" s="7"/>
    </row>
    <row r="555" spans="32:33" ht="14" x14ac:dyDescent="0.2">
      <c r="AF555" s="1"/>
      <c r="AG555" s="7"/>
    </row>
    <row r="556" spans="32:33" ht="14" x14ac:dyDescent="0.2">
      <c r="AF556" s="1"/>
      <c r="AG556" s="7"/>
    </row>
    <row r="557" spans="32:33" ht="14" x14ac:dyDescent="0.2">
      <c r="AF557" s="1"/>
      <c r="AG557" s="7"/>
    </row>
    <row r="558" spans="32:33" ht="14" x14ac:dyDescent="0.2">
      <c r="AF558" s="1"/>
      <c r="AG558" s="7"/>
    </row>
    <row r="559" spans="32:33" ht="14" x14ac:dyDescent="0.2">
      <c r="AF559" s="1"/>
      <c r="AG559" s="7"/>
    </row>
    <row r="560" spans="32:33" ht="14" x14ac:dyDescent="0.2">
      <c r="AF560" s="1"/>
      <c r="AG560" s="7"/>
    </row>
    <row r="561" spans="32:33" ht="14" x14ac:dyDescent="0.2">
      <c r="AF561" s="1"/>
      <c r="AG561" s="7"/>
    </row>
    <row r="562" spans="32:33" ht="14" x14ac:dyDescent="0.2">
      <c r="AF562" s="1"/>
      <c r="AG562" s="7"/>
    </row>
    <row r="563" spans="32:33" ht="14" x14ac:dyDescent="0.2">
      <c r="AF563" s="1"/>
      <c r="AG563" s="7"/>
    </row>
    <row r="564" spans="32:33" ht="14" x14ac:dyDescent="0.2">
      <c r="AF564" s="1"/>
      <c r="AG564" s="7"/>
    </row>
    <row r="565" spans="32:33" ht="14" x14ac:dyDescent="0.2">
      <c r="AF565" s="1"/>
      <c r="AG565" s="7"/>
    </row>
    <row r="566" spans="32:33" ht="14" x14ac:dyDescent="0.2">
      <c r="AF566" s="1"/>
      <c r="AG566" s="7"/>
    </row>
    <row r="567" spans="32:33" ht="14" x14ac:dyDescent="0.2">
      <c r="AF567" s="1"/>
      <c r="AG567" s="7"/>
    </row>
    <row r="568" spans="32:33" ht="14" x14ac:dyDescent="0.2">
      <c r="AF568" s="1"/>
      <c r="AG568" s="7"/>
    </row>
    <row r="569" spans="32:33" ht="14" x14ac:dyDescent="0.2">
      <c r="AF569" s="1"/>
      <c r="AG569" s="7"/>
    </row>
    <row r="570" spans="32:33" ht="14" x14ac:dyDescent="0.2">
      <c r="AF570" s="1"/>
      <c r="AG570" s="7"/>
    </row>
    <row r="571" spans="32:33" ht="14" x14ac:dyDescent="0.2">
      <c r="AF571" s="1"/>
      <c r="AG571" s="7"/>
    </row>
    <row r="572" spans="32:33" ht="14" x14ac:dyDescent="0.2">
      <c r="AF572" s="1"/>
      <c r="AG572" s="7"/>
    </row>
    <row r="573" spans="32:33" ht="14" x14ac:dyDescent="0.2">
      <c r="AF573" s="1"/>
      <c r="AG573" s="7"/>
    </row>
    <row r="574" spans="32:33" ht="14" x14ac:dyDescent="0.2">
      <c r="AF574" s="1"/>
      <c r="AG574" s="7"/>
    </row>
    <row r="575" spans="32:33" ht="14" x14ac:dyDescent="0.2">
      <c r="AF575" s="1"/>
      <c r="AG575" s="7"/>
    </row>
    <row r="576" spans="32:33" ht="14" x14ac:dyDescent="0.2">
      <c r="AF576" s="1"/>
      <c r="AG576" s="7"/>
    </row>
    <row r="577" spans="32:33" ht="14" x14ac:dyDescent="0.2">
      <c r="AF577" s="1"/>
      <c r="AG577" s="7"/>
    </row>
    <row r="578" spans="32:33" ht="14" x14ac:dyDescent="0.2">
      <c r="AF578" s="1"/>
      <c r="AG578" s="7"/>
    </row>
    <row r="579" spans="32:33" ht="14" x14ac:dyDescent="0.2">
      <c r="AF579" s="1"/>
      <c r="AG579" s="7"/>
    </row>
    <row r="580" spans="32:33" ht="14" x14ac:dyDescent="0.2">
      <c r="AF580" s="1"/>
      <c r="AG580" s="7"/>
    </row>
    <row r="581" spans="32:33" ht="14" x14ac:dyDescent="0.2">
      <c r="AF581" s="1"/>
      <c r="AG581" s="7"/>
    </row>
    <row r="582" spans="32:33" ht="14" x14ac:dyDescent="0.2">
      <c r="AF582" s="1"/>
      <c r="AG582" s="7"/>
    </row>
    <row r="583" spans="32:33" ht="14" x14ac:dyDescent="0.2">
      <c r="AF583" s="1"/>
      <c r="AG583" s="7"/>
    </row>
    <row r="584" spans="32:33" ht="14" x14ac:dyDescent="0.2">
      <c r="AF584" s="1"/>
      <c r="AG584" s="7"/>
    </row>
    <row r="585" spans="32:33" ht="14" x14ac:dyDescent="0.2">
      <c r="AF585" s="1"/>
      <c r="AG585" s="7"/>
    </row>
    <row r="586" spans="32:33" ht="14" x14ac:dyDescent="0.2">
      <c r="AF586" s="1"/>
      <c r="AG586" s="7"/>
    </row>
    <row r="587" spans="32:33" ht="14" x14ac:dyDescent="0.2">
      <c r="AF587" s="1"/>
      <c r="AG587" s="7"/>
    </row>
    <row r="588" spans="32:33" ht="14" x14ac:dyDescent="0.2">
      <c r="AF588" s="1"/>
      <c r="AG588" s="7"/>
    </row>
    <row r="589" spans="32:33" ht="14" x14ac:dyDescent="0.2">
      <c r="AF589" s="1"/>
      <c r="AG589" s="7"/>
    </row>
    <row r="590" spans="32:33" ht="14" x14ac:dyDescent="0.2">
      <c r="AF590" s="1"/>
      <c r="AG590" s="7"/>
    </row>
    <row r="591" spans="32:33" ht="14" x14ac:dyDescent="0.2">
      <c r="AF591" s="1"/>
      <c r="AG591" s="7"/>
    </row>
    <row r="592" spans="32:33" ht="14" x14ac:dyDescent="0.2">
      <c r="AF592" s="1"/>
      <c r="AG592" s="7"/>
    </row>
    <row r="593" spans="32:33" ht="14" x14ac:dyDescent="0.2">
      <c r="AF593" s="1"/>
      <c r="AG593" s="7"/>
    </row>
    <row r="594" spans="32:33" ht="14" x14ac:dyDescent="0.2">
      <c r="AF594" s="1"/>
      <c r="AG594" s="7"/>
    </row>
    <row r="595" spans="32:33" ht="14" x14ac:dyDescent="0.2">
      <c r="AF595" s="1"/>
      <c r="AG595" s="7"/>
    </row>
    <row r="596" spans="32:33" ht="14" x14ac:dyDescent="0.2">
      <c r="AF596" s="1"/>
      <c r="AG596" s="7"/>
    </row>
    <row r="597" spans="32:33" ht="14" x14ac:dyDescent="0.2">
      <c r="AF597" s="1"/>
      <c r="AG597" s="7"/>
    </row>
    <row r="598" spans="32:33" ht="14" x14ac:dyDescent="0.2">
      <c r="AF598" s="1"/>
      <c r="AG598" s="7"/>
    </row>
    <row r="599" spans="32:33" ht="14" x14ac:dyDescent="0.2">
      <c r="AF599" s="1"/>
      <c r="AG599" s="7"/>
    </row>
    <row r="600" spans="32:33" ht="14" x14ac:dyDescent="0.2">
      <c r="AF600" s="1"/>
      <c r="AG600" s="7"/>
    </row>
    <row r="601" spans="32:33" ht="14" x14ac:dyDescent="0.2">
      <c r="AF601" s="1"/>
      <c r="AG601" s="7"/>
    </row>
    <row r="602" spans="32:33" ht="14" x14ac:dyDescent="0.2">
      <c r="AF602" s="1"/>
      <c r="AG602" s="7"/>
    </row>
    <row r="603" spans="32:33" ht="14" x14ac:dyDescent="0.2">
      <c r="AF603" s="1"/>
      <c r="AG603" s="7"/>
    </row>
    <row r="604" spans="32:33" ht="14" x14ac:dyDescent="0.2">
      <c r="AF604" s="1"/>
      <c r="AG604" s="7"/>
    </row>
    <row r="605" spans="32:33" ht="14" x14ac:dyDescent="0.2">
      <c r="AF605" s="1"/>
      <c r="AG605" s="7"/>
    </row>
    <row r="606" spans="32:33" ht="14" x14ac:dyDescent="0.2">
      <c r="AF606" s="1"/>
      <c r="AG606" s="7"/>
    </row>
    <row r="607" spans="32:33" ht="14" x14ac:dyDescent="0.2">
      <c r="AF607" s="1"/>
      <c r="AG607" s="7"/>
    </row>
    <row r="608" spans="32:33" ht="14" x14ac:dyDescent="0.2">
      <c r="AF608" s="1"/>
      <c r="AG608" s="7"/>
    </row>
    <row r="609" spans="32:33" ht="14" x14ac:dyDescent="0.2">
      <c r="AF609" s="1"/>
      <c r="AG609" s="7"/>
    </row>
    <row r="610" spans="32:33" ht="14" x14ac:dyDescent="0.2">
      <c r="AF610" s="1"/>
      <c r="AG610" s="7"/>
    </row>
    <row r="611" spans="32:33" ht="14" x14ac:dyDescent="0.2">
      <c r="AF611" s="1"/>
      <c r="AG611" s="7"/>
    </row>
    <row r="612" spans="32:33" ht="14" x14ac:dyDescent="0.2">
      <c r="AF612" s="1"/>
      <c r="AG612" s="7"/>
    </row>
    <row r="613" spans="32:33" ht="14" x14ac:dyDescent="0.2">
      <c r="AF613" s="1"/>
      <c r="AG613" s="7"/>
    </row>
    <row r="614" spans="32:33" ht="14" x14ac:dyDescent="0.2">
      <c r="AF614" s="1"/>
      <c r="AG614" s="7"/>
    </row>
    <row r="615" spans="32:33" ht="14" x14ac:dyDescent="0.2">
      <c r="AF615" s="1"/>
      <c r="AG615" s="7"/>
    </row>
    <row r="616" spans="32:33" ht="14" x14ac:dyDescent="0.2">
      <c r="AF616" s="1"/>
      <c r="AG616" s="7"/>
    </row>
    <row r="617" spans="32:33" ht="14" x14ac:dyDescent="0.2">
      <c r="AF617" s="1"/>
      <c r="AG617" s="7"/>
    </row>
    <row r="618" spans="32:33" ht="14" x14ac:dyDescent="0.2">
      <c r="AF618" s="1"/>
      <c r="AG618" s="7"/>
    </row>
    <row r="619" spans="32:33" ht="14" x14ac:dyDescent="0.2">
      <c r="AF619" s="1"/>
      <c r="AG619" s="7"/>
    </row>
    <row r="620" spans="32:33" ht="14" x14ac:dyDescent="0.2">
      <c r="AF620" s="1"/>
      <c r="AG620" s="7"/>
    </row>
    <row r="621" spans="32:33" ht="14" x14ac:dyDescent="0.2">
      <c r="AF621" s="1"/>
      <c r="AG621" s="7"/>
    </row>
    <row r="622" spans="32:33" ht="14" x14ac:dyDescent="0.2">
      <c r="AF622" s="1"/>
      <c r="AG622" s="7"/>
    </row>
    <row r="623" spans="32:33" ht="14" x14ac:dyDescent="0.2">
      <c r="AF623" s="1"/>
      <c r="AG623" s="7"/>
    </row>
    <row r="624" spans="32:33" ht="14" x14ac:dyDescent="0.2">
      <c r="AF624" s="1"/>
      <c r="AG624" s="7"/>
    </row>
    <row r="625" spans="32:33" ht="14" x14ac:dyDescent="0.2">
      <c r="AF625" s="1"/>
      <c r="AG625" s="7"/>
    </row>
    <row r="626" spans="32:33" ht="14" x14ac:dyDescent="0.2">
      <c r="AF626" s="1"/>
      <c r="AG626" s="7"/>
    </row>
    <row r="627" spans="32:33" ht="14" x14ac:dyDescent="0.2">
      <c r="AF627" s="1"/>
      <c r="AG627" s="7"/>
    </row>
    <row r="628" spans="32:33" ht="14" x14ac:dyDescent="0.2">
      <c r="AF628" s="1"/>
      <c r="AG628" s="7"/>
    </row>
    <row r="629" spans="32:33" ht="14" x14ac:dyDescent="0.2">
      <c r="AF629" s="1"/>
      <c r="AG629" s="7"/>
    </row>
    <row r="630" spans="32:33" ht="14" x14ac:dyDescent="0.2">
      <c r="AF630" s="1"/>
      <c r="AG630" s="7"/>
    </row>
    <row r="631" spans="32:33" ht="14" x14ac:dyDescent="0.2">
      <c r="AF631" s="1"/>
      <c r="AG631" s="7"/>
    </row>
    <row r="632" spans="32:33" ht="14" x14ac:dyDescent="0.2">
      <c r="AF632" s="1"/>
      <c r="AG632" s="7"/>
    </row>
    <row r="633" spans="32:33" ht="14" x14ac:dyDescent="0.2">
      <c r="AF633" s="1"/>
      <c r="AG633" s="7"/>
    </row>
    <row r="634" spans="32:33" ht="14" x14ac:dyDescent="0.2">
      <c r="AF634" s="1"/>
      <c r="AG634" s="7"/>
    </row>
    <row r="635" spans="32:33" ht="14" x14ac:dyDescent="0.2">
      <c r="AF635" s="1"/>
      <c r="AG635" s="7"/>
    </row>
    <row r="636" spans="32:33" ht="14" x14ac:dyDescent="0.2">
      <c r="AF636" s="1"/>
      <c r="AG636" s="7"/>
    </row>
    <row r="637" spans="32:33" ht="14" x14ac:dyDescent="0.2">
      <c r="AF637" s="1"/>
      <c r="AG637" s="7"/>
    </row>
    <row r="638" spans="32:33" ht="14" x14ac:dyDescent="0.2">
      <c r="AF638" s="1"/>
      <c r="AG638" s="7"/>
    </row>
    <row r="639" spans="32:33" ht="14" x14ac:dyDescent="0.2">
      <c r="AF639" s="1"/>
      <c r="AG639" s="7"/>
    </row>
    <row r="640" spans="32:33" ht="14" x14ac:dyDescent="0.2">
      <c r="AF640" s="1"/>
      <c r="AG640" s="7"/>
    </row>
    <row r="641" spans="32:33" ht="14" x14ac:dyDescent="0.2">
      <c r="AF641" s="1"/>
      <c r="AG641" s="7"/>
    </row>
    <row r="642" spans="32:33" ht="14" x14ac:dyDescent="0.2">
      <c r="AF642" s="1"/>
      <c r="AG642" s="7"/>
    </row>
    <row r="643" spans="32:33" ht="14" x14ac:dyDescent="0.2">
      <c r="AF643" s="1"/>
      <c r="AG643" s="7"/>
    </row>
    <row r="644" spans="32:33" ht="14" x14ac:dyDescent="0.2">
      <c r="AF644" s="1"/>
      <c r="AG644" s="7"/>
    </row>
    <row r="645" spans="32:33" ht="14" x14ac:dyDescent="0.2">
      <c r="AF645" s="1"/>
      <c r="AG645" s="7"/>
    </row>
    <row r="646" spans="32:33" ht="14" x14ac:dyDescent="0.2">
      <c r="AF646" s="1"/>
      <c r="AG646" s="7"/>
    </row>
    <row r="647" spans="32:33" ht="14" x14ac:dyDescent="0.2">
      <c r="AF647" s="1"/>
      <c r="AG647" s="7"/>
    </row>
    <row r="648" spans="32:33" ht="14" x14ac:dyDescent="0.2">
      <c r="AF648" s="1"/>
      <c r="AG648" s="7"/>
    </row>
    <row r="649" spans="32:33" ht="14" x14ac:dyDescent="0.2">
      <c r="AF649" s="1"/>
      <c r="AG649" s="7"/>
    </row>
    <row r="650" spans="32:33" ht="14" x14ac:dyDescent="0.2">
      <c r="AF650" s="1"/>
      <c r="AG650" s="7"/>
    </row>
    <row r="651" spans="32:33" ht="14" x14ac:dyDescent="0.2">
      <c r="AF651" s="1"/>
      <c r="AG651" s="7"/>
    </row>
    <row r="652" spans="32:33" ht="14" x14ac:dyDescent="0.2">
      <c r="AF652" s="1"/>
      <c r="AG652" s="7"/>
    </row>
    <row r="653" spans="32:33" ht="14" x14ac:dyDescent="0.2">
      <c r="AF653" s="1"/>
      <c r="AG653" s="7"/>
    </row>
    <row r="654" spans="32:33" ht="14" x14ac:dyDescent="0.2">
      <c r="AF654" s="1"/>
      <c r="AG654" s="7"/>
    </row>
    <row r="655" spans="32:33" ht="14" x14ac:dyDescent="0.2">
      <c r="AF655" s="1"/>
      <c r="AG655" s="7"/>
    </row>
    <row r="656" spans="32:33" ht="14" x14ac:dyDescent="0.2">
      <c r="AF656" s="1"/>
      <c r="AG656" s="7"/>
    </row>
    <row r="657" spans="32:33" ht="14" x14ac:dyDescent="0.2">
      <c r="AF657" s="1"/>
      <c r="AG657" s="7"/>
    </row>
    <row r="658" spans="32:33" ht="14" x14ac:dyDescent="0.2">
      <c r="AF658" s="1"/>
      <c r="AG658" s="7"/>
    </row>
    <row r="659" spans="32:33" ht="14" x14ac:dyDescent="0.2">
      <c r="AF659" s="1"/>
      <c r="AG659" s="7"/>
    </row>
    <row r="660" spans="32:33" ht="14" x14ac:dyDescent="0.2">
      <c r="AF660" s="1"/>
      <c r="AG660" s="7"/>
    </row>
    <row r="661" spans="32:33" ht="14" x14ac:dyDescent="0.2">
      <c r="AF661" s="1"/>
      <c r="AG661" s="7"/>
    </row>
    <row r="662" spans="32:33" ht="14" x14ac:dyDescent="0.2">
      <c r="AF662" s="1"/>
      <c r="AG662" s="7"/>
    </row>
    <row r="663" spans="32:33" ht="14" x14ac:dyDescent="0.2">
      <c r="AF663" s="1"/>
      <c r="AG663" s="7"/>
    </row>
    <row r="664" spans="32:33" ht="14" x14ac:dyDescent="0.2">
      <c r="AF664" s="1"/>
      <c r="AG664" s="7"/>
    </row>
    <row r="665" spans="32:33" ht="14" x14ac:dyDescent="0.2">
      <c r="AF665" s="1"/>
      <c r="AG665" s="7"/>
    </row>
    <row r="666" spans="32:33" ht="14" x14ac:dyDescent="0.2">
      <c r="AF666" s="1"/>
      <c r="AG666" s="7"/>
    </row>
    <row r="667" spans="32:33" ht="14" x14ac:dyDescent="0.2">
      <c r="AF667" s="1"/>
      <c r="AG667" s="7"/>
    </row>
    <row r="668" spans="32:33" ht="14" x14ac:dyDescent="0.2">
      <c r="AF668" s="1"/>
      <c r="AG668" s="7"/>
    </row>
    <row r="669" spans="32:33" ht="14" x14ac:dyDescent="0.2">
      <c r="AF669" s="1"/>
      <c r="AG669" s="7"/>
    </row>
    <row r="670" spans="32:33" ht="14" x14ac:dyDescent="0.2">
      <c r="AF670" s="1"/>
      <c r="AG670" s="7"/>
    </row>
    <row r="671" spans="32:33" ht="14" x14ac:dyDescent="0.2">
      <c r="AF671" s="1"/>
      <c r="AG671" s="7"/>
    </row>
    <row r="672" spans="32:33" ht="14" x14ac:dyDescent="0.2">
      <c r="AF672" s="1"/>
      <c r="AG672" s="7"/>
    </row>
    <row r="673" spans="32:33" ht="14" x14ac:dyDescent="0.2">
      <c r="AF673" s="1"/>
      <c r="AG673" s="7"/>
    </row>
    <row r="674" spans="32:33" ht="14" x14ac:dyDescent="0.2">
      <c r="AF674" s="1"/>
      <c r="AG674" s="7"/>
    </row>
    <row r="675" spans="32:33" ht="14" x14ac:dyDescent="0.2">
      <c r="AF675" s="1"/>
      <c r="AG675" s="7"/>
    </row>
    <row r="676" spans="32:33" ht="14" x14ac:dyDescent="0.2">
      <c r="AF676" s="1"/>
      <c r="AG676" s="7"/>
    </row>
    <row r="677" spans="32:33" ht="14" x14ac:dyDescent="0.2">
      <c r="AF677" s="1"/>
      <c r="AG677" s="7"/>
    </row>
    <row r="678" spans="32:33" ht="14" x14ac:dyDescent="0.2">
      <c r="AF678" s="1"/>
      <c r="AG678" s="7"/>
    </row>
    <row r="679" spans="32:33" ht="14" x14ac:dyDescent="0.2">
      <c r="AF679" s="1"/>
      <c r="AG679" s="7"/>
    </row>
    <row r="680" spans="32:33" ht="14" x14ac:dyDescent="0.2">
      <c r="AF680" s="1"/>
      <c r="AG680" s="7"/>
    </row>
    <row r="681" spans="32:33" ht="14" x14ac:dyDescent="0.2">
      <c r="AF681" s="1"/>
      <c r="AG681" s="7"/>
    </row>
    <row r="682" spans="32:33" ht="14" x14ac:dyDescent="0.2">
      <c r="AF682" s="1"/>
      <c r="AG682" s="7"/>
    </row>
    <row r="683" spans="32:33" ht="14" x14ac:dyDescent="0.2">
      <c r="AF683" s="1"/>
      <c r="AG683" s="7"/>
    </row>
    <row r="684" spans="32:33" ht="14" x14ac:dyDescent="0.2">
      <c r="AF684" s="1"/>
      <c r="AG684" s="7"/>
    </row>
    <row r="685" spans="32:33" ht="14" x14ac:dyDescent="0.2">
      <c r="AF685" s="1"/>
      <c r="AG685" s="7"/>
    </row>
    <row r="686" spans="32:33" ht="14" x14ac:dyDescent="0.2">
      <c r="AF686" s="1"/>
      <c r="AG686" s="7"/>
    </row>
    <row r="687" spans="32:33" ht="14" x14ac:dyDescent="0.2">
      <c r="AF687" s="1"/>
      <c r="AG687" s="7"/>
    </row>
    <row r="688" spans="32:33" ht="14" x14ac:dyDescent="0.2">
      <c r="AF688" s="1"/>
      <c r="AG688" s="7"/>
    </row>
    <row r="689" spans="32:33" ht="14" x14ac:dyDescent="0.2">
      <c r="AF689" s="1"/>
      <c r="AG689" s="7"/>
    </row>
    <row r="690" spans="32:33" ht="14" x14ac:dyDescent="0.2">
      <c r="AF690" s="1"/>
      <c r="AG690" s="7"/>
    </row>
    <row r="691" spans="32:33" ht="14" x14ac:dyDescent="0.2">
      <c r="AF691" s="1"/>
      <c r="AG691" s="7"/>
    </row>
    <row r="692" spans="32:33" ht="14" x14ac:dyDescent="0.2">
      <c r="AF692" s="1"/>
      <c r="AG692" s="7"/>
    </row>
    <row r="693" spans="32:33" ht="14" x14ac:dyDescent="0.2">
      <c r="AF693" s="1"/>
      <c r="AG693" s="7"/>
    </row>
    <row r="694" spans="32:33" ht="14" x14ac:dyDescent="0.2">
      <c r="AF694" s="1"/>
      <c r="AG694" s="7"/>
    </row>
    <row r="695" spans="32:33" ht="14" x14ac:dyDescent="0.2">
      <c r="AF695" s="1"/>
      <c r="AG695" s="7"/>
    </row>
    <row r="696" spans="32:33" ht="14" x14ac:dyDescent="0.2">
      <c r="AF696" s="1"/>
      <c r="AG696" s="7"/>
    </row>
    <row r="697" spans="32:33" ht="14" x14ac:dyDescent="0.2">
      <c r="AF697" s="1"/>
      <c r="AG697" s="7"/>
    </row>
    <row r="698" spans="32:33" ht="14" x14ac:dyDescent="0.2">
      <c r="AF698" s="1"/>
      <c r="AG698" s="7"/>
    </row>
    <row r="699" spans="32:33" ht="14" x14ac:dyDescent="0.2">
      <c r="AF699" s="1"/>
      <c r="AG699" s="7"/>
    </row>
    <row r="700" spans="32:33" ht="14" x14ac:dyDescent="0.2">
      <c r="AF700" s="1"/>
      <c r="AG700" s="7"/>
    </row>
    <row r="701" spans="32:33" ht="14" x14ac:dyDescent="0.2">
      <c r="AF701" s="1"/>
      <c r="AG701" s="7"/>
    </row>
    <row r="702" spans="32:33" ht="14" x14ac:dyDescent="0.2">
      <c r="AF702" s="1"/>
      <c r="AG702" s="7"/>
    </row>
    <row r="703" spans="32:33" ht="14" x14ac:dyDescent="0.2">
      <c r="AF703" s="1"/>
      <c r="AG703" s="7"/>
    </row>
    <row r="704" spans="32:33" ht="14" x14ac:dyDescent="0.2">
      <c r="AF704" s="1"/>
      <c r="AG704" s="7"/>
    </row>
    <row r="705" spans="32:33" ht="14" x14ac:dyDescent="0.2">
      <c r="AF705" s="1"/>
      <c r="AG705" s="7"/>
    </row>
    <row r="706" spans="32:33" ht="14" x14ac:dyDescent="0.2">
      <c r="AF706" s="1"/>
      <c r="AG706" s="7"/>
    </row>
    <row r="707" spans="32:33" ht="14" x14ac:dyDescent="0.2">
      <c r="AF707" s="1"/>
      <c r="AG707" s="7"/>
    </row>
    <row r="708" spans="32:33" ht="14" x14ac:dyDescent="0.2">
      <c r="AF708" s="1"/>
      <c r="AG708" s="7"/>
    </row>
    <row r="709" spans="32:33" ht="14" x14ac:dyDescent="0.2">
      <c r="AF709" s="1"/>
      <c r="AG709" s="7"/>
    </row>
    <row r="710" spans="32:33" ht="14" x14ac:dyDescent="0.2">
      <c r="AF710" s="1"/>
      <c r="AG710" s="7"/>
    </row>
    <row r="711" spans="32:33" ht="14" x14ac:dyDescent="0.2">
      <c r="AF711" s="1"/>
      <c r="AG711" s="7"/>
    </row>
    <row r="712" spans="32:33" ht="14" x14ac:dyDescent="0.2">
      <c r="AF712" s="1"/>
      <c r="AG712" s="7"/>
    </row>
    <row r="713" spans="32:33" ht="14" x14ac:dyDescent="0.2">
      <c r="AF713" s="1"/>
      <c r="AG713" s="7"/>
    </row>
    <row r="714" spans="32:33" ht="14" x14ac:dyDescent="0.2">
      <c r="AF714" s="1"/>
      <c r="AG714" s="7"/>
    </row>
    <row r="715" spans="32:33" ht="14" x14ac:dyDescent="0.2">
      <c r="AF715" s="1"/>
      <c r="AG715" s="7"/>
    </row>
    <row r="716" spans="32:33" ht="14" x14ac:dyDescent="0.2">
      <c r="AF716" s="1"/>
      <c r="AG716" s="7"/>
    </row>
    <row r="717" spans="32:33" ht="14" x14ac:dyDescent="0.2">
      <c r="AF717" s="1"/>
      <c r="AG717" s="7"/>
    </row>
    <row r="718" spans="32:33" ht="14" x14ac:dyDescent="0.2">
      <c r="AF718" s="1"/>
      <c r="AG718" s="7"/>
    </row>
    <row r="719" spans="32:33" ht="14" x14ac:dyDescent="0.2">
      <c r="AF719" s="1"/>
      <c r="AG719" s="7"/>
    </row>
    <row r="720" spans="32:33" ht="14" x14ac:dyDescent="0.2">
      <c r="AF720" s="1"/>
      <c r="AG720" s="7"/>
    </row>
    <row r="721" spans="32:33" ht="14" x14ac:dyDescent="0.2">
      <c r="AF721" s="1"/>
      <c r="AG721" s="7"/>
    </row>
    <row r="722" spans="32:33" ht="14" x14ac:dyDescent="0.2">
      <c r="AF722" s="1"/>
      <c r="AG722" s="7"/>
    </row>
    <row r="723" spans="32:33" ht="14" x14ac:dyDescent="0.2">
      <c r="AF723" s="1"/>
      <c r="AG723" s="7"/>
    </row>
    <row r="724" spans="32:33" ht="14" x14ac:dyDescent="0.2">
      <c r="AF724" s="1"/>
      <c r="AG724" s="7"/>
    </row>
    <row r="725" spans="32:33" ht="14" x14ac:dyDescent="0.2">
      <c r="AF725" s="1"/>
      <c r="AG725" s="7"/>
    </row>
    <row r="726" spans="32:33" ht="14" x14ac:dyDescent="0.2">
      <c r="AF726" s="1"/>
      <c r="AG726" s="7"/>
    </row>
    <row r="727" spans="32:33" ht="14" x14ac:dyDescent="0.2">
      <c r="AF727" s="1"/>
      <c r="AG727" s="7"/>
    </row>
    <row r="728" spans="32:33" ht="14" x14ac:dyDescent="0.2">
      <c r="AF728" s="1"/>
      <c r="AG728" s="7"/>
    </row>
    <row r="729" spans="32:33" ht="14" x14ac:dyDescent="0.2">
      <c r="AF729" s="1"/>
      <c r="AG729" s="7"/>
    </row>
    <row r="730" spans="32:33" ht="14" x14ac:dyDescent="0.2">
      <c r="AF730" s="1"/>
      <c r="AG730" s="7"/>
    </row>
    <row r="731" spans="32:33" ht="14" x14ac:dyDescent="0.2">
      <c r="AF731" s="1"/>
      <c r="AG731" s="7"/>
    </row>
    <row r="732" spans="32:33" ht="14" x14ac:dyDescent="0.2">
      <c r="AF732" s="1"/>
      <c r="AG732" s="7"/>
    </row>
    <row r="733" spans="32:33" ht="14" x14ac:dyDescent="0.2">
      <c r="AF733" s="1"/>
      <c r="AG733" s="7"/>
    </row>
    <row r="734" spans="32:33" ht="14" x14ac:dyDescent="0.2">
      <c r="AF734" s="1"/>
      <c r="AG734" s="7"/>
    </row>
    <row r="735" spans="32:33" ht="14" x14ac:dyDescent="0.2">
      <c r="AF735" s="1"/>
      <c r="AG735" s="7"/>
    </row>
    <row r="736" spans="32:33" ht="14" x14ac:dyDescent="0.2">
      <c r="AF736" s="1"/>
      <c r="AG736" s="7"/>
    </row>
    <row r="737" spans="32:33" ht="14" x14ac:dyDescent="0.2">
      <c r="AF737" s="1"/>
      <c r="AG737" s="7"/>
    </row>
    <row r="738" spans="32:33" ht="14" x14ac:dyDescent="0.2">
      <c r="AF738" s="1"/>
      <c r="AG738" s="7"/>
    </row>
    <row r="739" spans="32:33" ht="14" x14ac:dyDescent="0.2">
      <c r="AF739" s="1"/>
      <c r="AG739" s="7"/>
    </row>
    <row r="740" spans="32:33" ht="14" x14ac:dyDescent="0.2">
      <c r="AF740" s="1"/>
      <c r="AG740" s="7"/>
    </row>
    <row r="741" spans="32:33" ht="14" x14ac:dyDescent="0.2">
      <c r="AF741" s="1"/>
      <c r="AG741" s="7"/>
    </row>
    <row r="742" spans="32:33" ht="14" x14ac:dyDescent="0.2">
      <c r="AF742" s="1"/>
      <c r="AG742" s="7"/>
    </row>
    <row r="743" spans="32:33" ht="14" x14ac:dyDescent="0.2">
      <c r="AF743" s="1"/>
      <c r="AG743" s="7"/>
    </row>
    <row r="744" spans="32:33" ht="14" x14ac:dyDescent="0.2">
      <c r="AF744" s="1"/>
      <c r="AG744" s="7"/>
    </row>
    <row r="745" spans="32:33" ht="14" x14ac:dyDescent="0.2">
      <c r="AF745" s="1"/>
      <c r="AG745" s="7"/>
    </row>
    <row r="746" spans="32:33" ht="14" x14ac:dyDescent="0.2">
      <c r="AF746" s="1"/>
      <c r="AG746" s="7"/>
    </row>
    <row r="747" spans="32:33" ht="14" x14ac:dyDescent="0.2">
      <c r="AF747" s="1"/>
      <c r="AG747" s="7"/>
    </row>
    <row r="748" spans="32:33" ht="14" x14ac:dyDescent="0.2">
      <c r="AF748" s="1"/>
      <c r="AG748" s="7"/>
    </row>
    <row r="749" spans="32:33" ht="14" x14ac:dyDescent="0.2">
      <c r="AF749" s="1"/>
      <c r="AG749" s="7"/>
    </row>
    <row r="750" spans="32:33" ht="14" x14ac:dyDescent="0.2">
      <c r="AF750" s="1"/>
      <c r="AG750" s="7"/>
    </row>
    <row r="751" spans="32:33" ht="14" x14ac:dyDescent="0.2">
      <c r="AF751" s="1"/>
      <c r="AG751" s="7"/>
    </row>
    <row r="752" spans="32:33" ht="14" x14ac:dyDescent="0.2">
      <c r="AF752" s="1"/>
      <c r="AG752" s="7"/>
    </row>
    <row r="753" spans="32:33" ht="14" x14ac:dyDescent="0.2">
      <c r="AF753" s="1"/>
      <c r="AG753" s="7"/>
    </row>
    <row r="754" spans="32:33" ht="14" x14ac:dyDescent="0.2">
      <c r="AF754" s="1"/>
      <c r="AG754" s="7"/>
    </row>
    <row r="755" spans="32:33" ht="14" x14ac:dyDescent="0.2">
      <c r="AF755" s="1"/>
      <c r="AG755" s="7"/>
    </row>
    <row r="756" spans="32:33" ht="14" x14ac:dyDescent="0.2">
      <c r="AF756" s="1"/>
      <c r="AG756" s="7"/>
    </row>
    <row r="757" spans="32:33" ht="14" x14ac:dyDescent="0.2">
      <c r="AF757" s="1"/>
      <c r="AG757" s="7"/>
    </row>
    <row r="758" spans="32:33" ht="14" x14ac:dyDescent="0.2">
      <c r="AF758" s="1"/>
      <c r="AG758" s="7"/>
    </row>
    <row r="759" spans="32:33" ht="14" x14ac:dyDescent="0.2">
      <c r="AF759" s="1"/>
      <c r="AG759" s="7"/>
    </row>
    <row r="760" spans="32:33" ht="14" x14ac:dyDescent="0.2">
      <c r="AF760" s="1"/>
      <c r="AG760" s="7"/>
    </row>
    <row r="761" spans="32:33" ht="14" x14ac:dyDescent="0.2">
      <c r="AF761" s="1"/>
      <c r="AG761" s="7"/>
    </row>
    <row r="762" spans="32:33" ht="14" x14ac:dyDescent="0.2">
      <c r="AF762" s="1"/>
      <c r="AG762" s="7"/>
    </row>
    <row r="763" spans="32:33" ht="14" x14ac:dyDescent="0.2">
      <c r="AF763" s="1"/>
      <c r="AG763" s="7"/>
    </row>
    <row r="764" spans="32:33" ht="14" x14ac:dyDescent="0.2">
      <c r="AF764" s="1"/>
      <c r="AG764" s="7"/>
    </row>
    <row r="765" spans="32:33" ht="14" x14ac:dyDescent="0.2">
      <c r="AF765" s="1"/>
      <c r="AG765" s="7"/>
    </row>
    <row r="766" spans="32:33" ht="14" x14ac:dyDescent="0.2">
      <c r="AF766" s="1"/>
      <c r="AG766" s="7"/>
    </row>
    <row r="767" spans="32:33" ht="14" x14ac:dyDescent="0.2">
      <c r="AF767" s="1"/>
      <c r="AG767" s="7"/>
    </row>
    <row r="768" spans="32:33" ht="14" x14ac:dyDescent="0.2">
      <c r="AF768" s="1"/>
      <c r="AG768" s="7"/>
    </row>
    <row r="769" spans="32:33" ht="14" x14ac:dyDescent="0.2">
      <c r="AF769" s="1"/>
      <c r="AG769" s="7"/>
    </row>
    <row r="770" spans="32:33" ht="14" x14ac:dyDescent="0.2">
      <c r="AF770" s="1"/>
      <c r="AG770" s="7"/>
    </row>
    <row r="771" spans="32:33" ht="14" x14ac:dyDescent="0.2">
      <c r="AF771" s="1"/>
      <c r="AG771" s="7"/>
    </row>
    <row r="772" spans="32:33" ht="14" x14ac:dyDescent="0.2">
      <c r="AF772" s="1"/>
      <c r="AG772" s="7"/>
    </row>
    <row r="773" spans="32:33" ht="14" x14ac:dyDescent="0.2">
      <c r="AF773" s="1"/>
      <c r="AG773" s="7"/>
    </row>
    <row r="774" spans="32:33" ht="14" x14ac:dyDescent="0.2">
      <c r="AF774" s="1"/>
      <c r="AG774" s="7"/>
    </row>
    <row r="775" spans="32:33" ht="14" x14ac:dyDescent="0.2">
      <c r="AF775" s="1"/>
      <c r="AG775" s="7"/>
    </row>
    <row r="776" spans="32:33" ht="14" x14ac:dyDescent="0.2">
      <c r="AF776" s="1"/>
      <c r="AG776" s="7"/>
    </row>
    <row r="777" spans="32:33" ht="14" x14ac:dyDescent="0.2">
      <c r="AF777" s="1"/>
      <c r="AG777" s="7"/>
    </row>
    <row r="778" spans="32:33" ht="14" x14ac:dyDescent="0.2">
      <c r="AF778" s="1"/>
      <c r="AG778" s="7"/>
    </row>
    <row r="779" spans="32:33" ht="14" x14ac:dyDescent="0.2">
      <c r="AF779" s="1"/>
      <c r="AG779" s="7"/>
    </row>
    <row r="780" spans="32:33" ht="14" x14ac:dyDescent="0.2">
      <c r="AF780" s="1"/>
      <c r="AG780" s="7"/>
    </row>
    <row r="781" spans="32:33" ht="14" x14ac:dyDescent="0.2">
      <c r="AF781" s="1"/>
      <c r="AG781" s="7"/>
    </row>
    <row r="782" spans="32:33" ht="14" x14ac:dyDescent="0.2">
      <c r="AF782" s="1"/>
      <c r="AG782" s="7"/>
    </row>
    <row r="783" spans="32:33" ht="14" x14ac:dyDescent="0.2">
      <c r="AF783" s="1"/>
      <c r="AG783" s="7"/>
    </row>
    <row r="784" spans="32:33" ht="14" x14ac:dyDescent="0.2">
      <c r="AF784" s="1"/>
      <c r="AG784" s="7"/>
    </row>
    <row r="785" spans="32:33" ht="14" x14ac:dyDescent="0.2">
      <c r="AF785" s="1"/>
      <c r="AG785" s="7"/>
    </row>
    <row r="786" spans="32:33" ht="14" x14ac:dyDescent="0.2">
      <c r="AF786" s="1"/>
      <c r="AG786" s="7"/>
    </row>
    <row r="787" spans="32:33" ht="14" x14ac:dyDescent="0.2">
      <c r="AF787" s="1"/>
      <c r="AG787" s="7"/>
    </row>
    <row r="788" spans="32:33" ht="14" x14ac:dyDescent="0.2">
      <c r="AF788" s="1"/>
      <c r="AG788" s="7"/>
    </row>
    <row r="789" spans="32:33" ht="14" x14ac:dyDescent="0.2">
      <c r="AF789" s="1"/>
      <c r="AG789" s="7"/>
    </row>
    <row r="790" spans="32:33" ht="14" x14ac:dyDescent="0.2">
      <c r="AF790" s="1"/>
      <c r="AG790" s="7"/>
    </row>
    <row r="791" spans="32:33" ht="14" x14ac:dyDescent="0.2">
      <c r="AF791" s="1"/>
      <c r="AG791" s="7"/>
    </row>
    <row r="792" spans="32:33" ht="14" x14ac:dyDescent="0.2">
      <c r="AF792" s="1"/>
      <c r="AG792" s="7"/>
    </row>
    <row r="793" spans="32:33" ht="14" x14ac:dyDescent="0.2">
      <c r="AF793" s="1"/>
      <c r="AG793" s="7"/>
    </row>
    <row r="794" spans="32:33" ht="14" x14ac:dyDescent="0.2">
      <c r="AF794" s="1"/>
      <c r="AG794" s="7"/>
    </row>
    <row r="795" spans="32:33" ht="14" x14ac:dyDescent="0.2">
      <c r="AF795" s="1"/>
      <c r="AG795" s="7"/>
    </row>
    <row r="796" spans="32:33" ht="14" x14ac:dyDescent="0.2">
      <c r="AF796" s="1"/>
      <c r="AG796" s="7"/>
    </row>
    <row r="797" spans="32:33" ht="14" x14ac:dyDescent="0.2">
      <c r="AF797" s="1"/>
      <c r="AG797" s="7"/>
    </row>
    <row r="798" spans="32:33" ht="14" x14ac:dyDescent="0.2">
      <c r="AF798" s="1"/>
      <c r="AG798" s="7"/>
    </row>
    <row r="799" spans="32:33" ht="14" x14ac:dyDescent="0.2">
      <c r="AF799" s="1"/>
      <c r="AG799" s="7"/>
    </row>
    <row r="800" spans="32:33" ht="14" x14ac:dyDescent="0.2">
      <c r="AF800" s="1"/>
      <c r="AG800" s="7"/>
    </row>
    <row r="801" spans="32:33" ht="14" x14ac:dyDescent="0.2">
      <c r="AF801" s="1"/>
      <c r="AG801" s="7"/>
    </row>
    <row r="802" spans="32:33" ht="14" x14ac:dyDescent="0.2">
      <c r="AF802" s="1"/>
      <c r="AG802" s="7"/>
    </row>
    <row r="803" spans="32:33" ht="14" x14ac:dyDescent="0.2">
      <c r="AF803" s="1"/>
      <c r="AG803" s="7"/>
    </row>
    <row r="804" spans="32:33" ht="14" x14ac:dyDescent="0.2">
      <c r="AF804" s="1"/>
      <c r="AG804" s="7"/>
    </row>
    <row r="805" spans="32:33" ht="14" x14ac:dyDescent="0.2">
      <c r="AF805" s="1"/>
      <c r="AG805" s="7"/>
    </row>
    <row r="806" spans="32:33" ht="14" x14ac:dyDescent="0.2">
      <c r="AF806" s="1"/>
      <c r="AG806" s="7"/>
    </row>
    <row r="807" spans="32:33" ht="14" x14ac:dyDescent="0.2">
      <c r="AF807" s="1"/>
      <c r="AG807" s="7"/>
    </row>
    <row r="808" spans="32:33" ht="14" x14ac:dyDescent="0.2">
      <c r="AF808" s="1"/>
      <c r="AG808" s="7"/>
    </row>
    <row r="809" spans="32:33" ht="14" x14ac:dyDescent="0.2">
      <c r="AF809" s="1"/>
      <c r="AG809" s="7"/>
    </row>
    <row r="810" spans="32:33" ht="14" x14ac:dyDescent="0.2">
      <c r="AF810" s="1"/>
      <c r="AG810" s="7"/>
    </row>
    <row r="811" spans="32:33" ht="14" x14ac:dyDescent="0.2">
      <c r="AF811" s="1"/>
      <c r="AG811" s="7"/>
    </row>
    <row r="812" spans="32:33" ht="14" x14ac:dyDescent="0.2">
      <c r="AF812" s="1"/>
      <c r="AG812" s="7"/>
    </row>
    <row r="813" spans="32:33" ht="14" x14ac:dyDescent="0.2">
      <c r="AF813" s="1"/>
      <c r="AG813" s="7"/>
    </row>
    <row r="814" spans="32:33" ht="14" x14ac:dyDescent="0.2">
      <c r="AF814" s="1"/>
      <c r="AG814" s="7"/>
    </row>
    <row r="815" spans="32:33" ht="14" x14ac:dyDescent="0.2">
      <c r="AF815" s="1"/>
      <c r="AG815" s="7"/>
    </row>
    <row r="816" spans="32:33" ht="14" x14ac:dyDescent="0.2">
      <c r="AF816" s="1"/>
      <c r="AG816" s="7"/>
    </row>
    <row r="817" spans="32:33" ht="14" x14ac:dyDescent="0.2">
      <c r="AF817" s="1"/>
      <c r="AG817" s="7"/>
    </row>
    <row r="818" spans="32:33" ht="14" x14ac:dyDescent="0.2">
      <c r="AF818" s="1"/>
      <c r="AG818" s="7"/>
    </row>
    <row r="819" spans="32:33" ht="14" x14ac:dyDescent="0.2">
      <c r="AF819" s="1"/>
      <c r="AG819" s="7"/>
    </row>
    <row r="820" spans="32:33" ht="14" x14ac:dyDescent="0.2">
      <c r="AF820" s="1"/>
      <c r="AG820" s="7"/>
    </row>
    <row r="821" spans="32:33" ht="14" x14ac:dyDescent="0.2">
      <c r="AF821" s="1"/>
      <c r="AG821" s="7"/>
    </row>
    <row r="822" spans="32:33" ht="14" x14ac:dyDescent="0.2">
      <c r="AF822" s="1"/>
      <c r="AG822" s="7"/>
    </row>
    <row r="823" spans="32:33" ht="14" x14ac:dyDescent="0.2">
      <c r="AF823" s="1"/>
      <c r="AG823" s="7"/>
    </row>
    <row r="824" spans="32:33" ht="14" x14ac:dyDescent="0.2">
      <c r="AF824" s="1"/>
      <c r="AG824" s="7"/>
    </row>
    <row r="825" spans="32:33" ht="14" x14ac:dyDescent="0.2">
      <c r="AF825" s="1"/>
      <c r="AG825" s="7"/>
    </row>
    <row r="826" spans="32:33" ht="14" x14ac:dyDescent="0.2">
      <c r="AF826" s="1"/>
      <c r="AG826" s="7"/>
    </row>
    <row r="827" spans="32:33" ht="14" x14ac:dyDescent="0.2">
      <c r="AF827" s="1"/>
      <c r="AG827" s="7"/>
    </row>
    <row r="828" spans="32:33" ht="14" x14ac:dyDescent="0.2">
      <c r="AF828" s="1"/>
      <c r="AG828" s="7"/>
    </row>
    <row r="829" spans="32:33" ht="14" x14ac:dyDescent="0.2">
      <c r="AF829" s="1"/>
      <c r="AG829" s="7"/>
    </row>
    <row r="830" spans="32:33" ht="14" x14ac:dyDescent="0.2">
      <c r="AF830" s="1"/>
      <c r="AG830" s="7"/>
    </row>
    <row r="831" spans="32:33" ht="14" x14ac:dyDescent="0.2">
      <c r="AF831" s="1"/>
      <c r="AG831" s="7"/>
    </row>
    <row r="832" spans="32:33" ht="14" x14ac:dyDescent="0.2">
      <c r="AF832" s="1"/>
      <c r="AG832" s="7"/>
    </row>
    <row r="833" spans="32:33" ht="14" x14ac:dyDescent="0.2">
      <c r="AF833" s="1"/>
      <c r="AG833" s="7"/>
    </row>
    <row r="834" spans="32:33" ht="14" x14ac:dyDescent="0.2">
      <c r="AF834" s="1"/>
      <c r="AG834" s="7"/>
    </row>
    <row r="835" spans="32:33" ht="14" x14ac:dyDescent="0.2">
      <c r="AF835" s="1"/>
      <c r="AG835" s="7"/>
    </row>
    <row r="836" spans="32:33" ht="14" x14ac:dyDescent="0.2">
      <c r="AF836" s="1"/>
      <c r="AG836" s="7"/>
    </row>
    <row r="837" spans="32:33" ht="14" x14ac:dyDescent="0.2">
      <c r="AF837" s="1"/>
      <c r="AG837" s="7"/>
    </row>
    <row r="838" spans="32:33" ht="14" x14ac:dyDescent="0.2">
      <c r="AF838" s="1"/>
      <c r="AG838" s="7"/>
    </row>
    <row r="839" spans="32:33" ht="14" x14ac:dyDescent="0.2">
      <c r="AF839" s="1"/>
      <c r="AG839" s="7"/>
    </row>
    <row r="840" spans="32:33" ht="14" x14ac:dyDescent="0.2">
      <c r="AF840" s="1"/>
      <c r="AG840" s="7"/>
    </row>
    <row r="841" spans="32:33" ht="14" x14ac:dyDescent="0.2">
      <c r="AF841" s="1"/>
      <c r="AG841" s="7"/>
    </row>
    <row r="842" spans="32:33" ht="14" x14ac:dyDescent="0.2">
      <c r="AF842" s="1"/>
      <c r="AG842" s="7"/>
    </row>
    <row r="843" spans="32:33" ht="14" x14ac:dyDescent="0.2">
      <c r="AF843" s="1"/>
      <c r="AG843" s="7"/>
    </row>
    <row r="844" spans="32:33" ht="14" x14ac:dyDescent="0.2">
      <c r="AF844" s="1"/>
      <c r="AG844" s="7"/>
    </row>
    <row r="845" spans="32:33" ht="14" x14ac:dyDescent="0.2">
      <c r="AF845" s="1"/>
      <c r="AG845" s="7"/>
    </row>
    <row r="846" spans="32:33" ht="14" x14ac:dyDescent="0.2">
      <c r="AF846" s="1"/>
      <c r="AG846" s="7"/>
    </row>
    <row r="847" spans="32:33" ht="14" x14ac:dyDescent="0.2">
      <c r="AF847" s="1"/>
      <c r="AG847" s="7"/>
    </row>
    <row r="848" spans="32:33" ht="14" x14ac:dyDescent="0.2">
      <c r="AF848" s="1"/>
      <c r="AG848" s="7"/>
    </row>
    <row r="849" spans="32:33" ht="14" x14ac:dyDescent="0.2">
      <c r="AF849" s="1"/>
      <c r="AG849" s="7"/>
    </row>
    <row r="850" spans="32:33" ht="14" x14ac:dyDescent="0.2">
      <c r="AF850" s="1"/>
      <c r="AG850" s="7"/>
    </row>
    <row r="851" spans="32:33" ht="14" x14ac:dyDescent="0.2">
      <c r="AF851" s="1"/>
      <c r="AG851" s="7"/>
    </row>
    <row r="852" spans="32:33" ht="14" x14ac:dyDescent="0.2">
      <c r="AF852" s="1"/>
      <c r="AG852" s="7"/>
    </row>
    <row r="853" spans="32:33" ht="14" x14ac:dyDescent="0.2">
      <c r="AF853" s="1"/>
      <c r="AG853" s="7"/>
    </row>
    <row r="854" spans="32:33" ht="14" x14ac:dyDescent="0.2">
      <c r="AF854" s="1"/>
      <c r="AG854" s="7"/>
    </row>
    <row r="855" spans="32:33" ht="14" x14ac:dyDescent="0.2">
      <c r="AF855" s="1"/>
      <c r="AG855" s="7"/>
    </row>
    <row r="856" spans="32:33" ht="14" x14ac:dyDescent="0.2">
      <c r="AF856" s="1"/>
      <c r="AG856" s="7"/>
    </row>
    <row r="857" spans="32:33" ht="14" x14ac:dyDescent="0.2">
      <c r="AF857" s="1"/>
      <c r="AG857" s="7"/>
    </row>
    <row r="858" spans="32:33" ht="14" x14ac:dyDescent="0.2">
      <c r="AF858" s="1"/>
      <c r="AG858" s="7"/>
    </row>
    <row r="859" spans="32:33" ht="14" x14ac:dyDescent="0.2">
      <c r="AF859" s="1"/>
      <c r="AG859" s="7"/>
    </row>
    <row r="860" spans="32:33" ht="14" x14ac:dyDescent="0.2">
      <c r="AF860" s="1"/>
      <c r="AG860" s="7"/>
    </row>
    <row r="861" spans="32:33" ht="14" x14ac:dyDescent="0.2">
      <c r="AF861" s="1"/>
      <c r="AG861" s="7"/>
    </row>
    <row r="862" spans="32:33" ht="14" x14ac:dyDescent="0.2">
      <c r="AF862" s="1"/>
      <c r="AG862" s="7"/>
    </row>
    <row r="863" spans="32:33" ht="14" x14ac:dyDescent="0.2">
      <c r="AF863" s="1"/>
      <c r="AG863" s="7"/>
    </row>
    <row r="864" spans="32:33" ht="14" x14ac:dyDescent="0.2">
      <c r="AF864" s="1"/>
      <c r="AG864" s="7"/>
    </row>
    <row r="865" spans="32:33" ht="14" x14ac:dyDescent="0.2">
      <c r="AF865" s="1"/>
      <c r="AG865" s="7"/>
    </row>
    <row r="866" spans="32:33" ht="14" x14ac:dyDescent="0.2">
      <c r="AF866" s="1"/>
      <c r="AG866" s="7"/>
    </row>
    <row r="867" spans="32:33" ht="14" x14ac:dyDescent="0.2">
      <c r="AF867" s="1"/>
      <c r="AG867" s="7"/>
    </row>
    <row r="868" spans="32:33" ht="14" x14ac:dyDescent="0.2">
      <c r="AF868" s="1"/>
      <c r="AG868" s="7"/>
    </row>
    <row r="869" spans="32:33" ht="14" x14ac:dyDescent="0.2">
      <c r="AF869" s="1"/>
      <c r="AG869" s="7"/>
    </row>
    <row r="870" spans="32:33" ht="14" x14ac:dyDescent="0.2">
      <c r="AF870" s="1"/>
      <c r="AG870" s="7"/>
    </row>
    <row r="871" spans="32:33" ht="14" x14ac:dyDescent="0.2">
      <c r="AF871" s="1"/>
      <c r="AG871" s="7"/>
    </row>
    <row r="872" spans="32:33" ht="14" x14ac:dyDescent="0.2">
      <c r="AF872" s="1"/>
      <c r="AG872" s="7"/>
    </row>
    <row r="873" spans="32:33" ht="14" x14ac:dyDescent="0.2">
      <c r="AF873" s="1"/>
      <c r="AG873" s="7"/>
    </row>
    <row r="874" spans="32:33" ht="14" x14ac:dyDescent="0.2">
      <c r="AF874" s="1"/>
      <c r="AG874" s="7"/>
    </row>
    <row r="875" spans="32:33" ht="14" x14ac:dyDescent="0.2">
      <c r="AF875" s="1"/>
      <c r="AG875" s="7"/>
    </row>
    <row r="876" spans="32:33" ht="14" x14ac:dyDescent="0.2">
      <c r="AF876" s="1"/>
      <c r="AG876" s="7"/>
    </row>
    <row r="877" spans="32:33" ht="14" x14ac:dyDescent="0.2">
      <c r="AF877" s="1"/>
      <c r="AG877" s="7"/>
    </row>
    <row r="878" spans="32:33" ht="14" x14ac:dyDescent="0.2">
      <c r="AF878" s="1"/>
      <c r="AG878" s="7"/>
    </row>
    <row r="879" spans="32:33" ht="14" x14ac:dyDescent="0.2">
      <c r="AF879" s="1"/>
      <c r="AG879" s="7"/>
    </row>
    <row r="880" spans="32:33" ht="14" x14ac:dyDescent="0.2">
      <c r="AF880" s="1"/>
      <c r="AG880" s="7"/>
    </row>
    <row r="881" spans="32:33" ht="14" x14ac:dyDescent="0.2">
      <c r="AF881" s="1"/>
      <c r="AG881" s="7"/>
    </row>
    <row r="882" spans="32:33" ht="14" x14ac:dyDescent="0.2">
      <c r="AF882" s="1"/>
      <c r="AG882" s="7"/>
    </row>
    <row r="883" spans="32:33" ht="14" x14ac:dyDescent="0.2">
      <c r="AF883" s="1"/>
      <c r="AG883" s="7"/>
    </row>
    <row r="884" spans="32:33" ht="14" x14ac:dyDescent="0.2">
      <c r="AF884" s="1"/>
      <c r="AG884" s="7"/>
    </row>
    <row r="885" spans="32:33" ht="14" x14ac:dyDescent="0.2">
      <c r="AF885" s="1"/>
      <c r="AG885" s="7"/>
    </row>
    <row r="886" spans="32:33" ht="14" x14ac:dyDescent="0.2">
      <c r="AF886" s="1"/>
      <c r="AG886" s="7"/>
    </row>
    <row r="887" spans="32:33" ht="14" x14ac:dyDescent="0.2">
      <c r="AF887" s="1"/>
      <c r="AG887" s="7"/>
    </row>
    <row r="888" spans="32:33" ht="14" x14ac:dyDescent="0.2">
      <c r="AF888" s="1"/>
      <c r="AG888" s="7"/>
    </row>
    <row r="889" spans="32:33" ht="14" x14ac:dyDescent="0.2">
      <c r="AF889" s="1"/>
      <c r="AG889" s="7"/>
    </row>
    <row r="890" spans="32:33" ht="14" x14ac:dyDescent="0.2">
      <c r="AF890" s="1"/>
      <c r="AG890" s="7"/>
    </row>
    <row r="891" spans="32:33" ht="14" x14ac:dyDescent="0.2">
      <c r="AF891" s="1"/>
      <c r="AG891" s="7"/>
    </row>
    <row r="892" spans="32:33" ht="14" x14ac:dyDescent="0.2">
      <c r="AF892" s="1"/>
      <c r="AG892" s="7"/>
    </row>
    <row r="893" spans="32:33" ht="14" x14ac:dyDescent="0.2">
      <c r="AF893" s="1"/>
      <c r="AG893" s="7"/>
    </row>
    <row r="894" spans="32:33" ht="14" x14ac:dyDescent="0.2">
      <c r="AF894" s="1"/>
      <c r="AG894" s="7"/>
    </row>
    <row r="895" spans="32:33" ht="14" x14ac:dyDescent="0.2">
      <c r="AF895" s="1"/>
      <c r="AG895" s="7"/>
    </row>
    <row r="896" spans="32:33" ht="14" x14ac:dyDescent="0.2">
      <c r="AF896" s="1"/>
      <c r="AG896" s="7"/>
    </row>
    <row r="897" spans="32:33" ht="14" x14ac:dyDescent="0.2">
      <c r="AF897" s="1"/>
      <c r="AG897" s="7"/>
    </row>
    <row r="898" spans="32:33" ht="14" x14ac:dyDescent="0.2">
      <c r="AF898" s="1"/>
      <c r="AG898" s="7"/>
    </row>
    <row r="899" spans="32:33" ht="14" x14ac:dyDescent="0.2">
      <c r="AF899" s="1"/>
      <c r="AG899" s="7"/>
    </row>
    <row r="900" spans="32:33" ht="14" x14ac:dyDescent="0.2">
      <c r="AF900" s="1"/>
      <c r="AG900" s="7"/>
    </row>
    <row r="901" spans="32:33" ht="14" x14ac:dyDescent="0.2">
      <c r="AF901" s="1"/>
      <c r="AG901" s="7"/>
    </row>
    <row r="902" spans="32:33" ht="14" x14ac:dyDescent="0.2">
      <c r="AF902" s="1"/>
      <c r="AG902" s="7"/>
    </row>
    <row r="903" spans="32:33" ht="14" x14ac:dyDescent="0.2">
      <c r="AF903" s="1"/>
      <c r="AG903" s="7"/>
    </row>
    <row r="904" spans="32:33" ht="14" x14ac:dyDescent="0.2">
      <c r="AF904" s="1"/>
      <c r="AG904" s="7"/>
    </row>
    <row r="905" spans="32:33" ht="14" x14ac:dyDescent="0.2">
      <c r="AF905" s="1"/>
      <c r="AG905" s="7"/>
    </row>
    <row r="906" spans="32:33" ht="14" x14ac:dyDescent="0.2">
      <c r="AF906" s="1"/>
      <c r="AG906" s="7"/>
    </row>
    <row r="907" spans="32:33" ht="14" x14ac:dyDescent="0.2">
      <c r="AF907" s="1"/>
      <c r="AG907" s="7"/>
    </row>
    <row r="908" spans="32:33" ht="14" x14ac:dyDescent="0.2">
      <c r="AF908" s="1"/>
      <c r="AG908" s="7"/>
    </row>
    <row r="909" spans="32:33" ht="14" x14ac:dyDescent="0.2">
      <c r="AF909" s="1"/>
      <c r="AG909" s="7"/>
    </row>
    <row r="910" spans="32:33" ht="14" x14ac:dyDescent="0.2">
      <c r="AF910" s="1"/>
      <c r="AG910" s="7"/>
    </row>
    <row r="911" spans="32:33" ht="14" x14ac:dyDescent="0.2">
      <c r="AF911" s="1"/>
      <c r="AG911" s="7"/>
    </row>
    <row r="912" spans="32:33" ht="14" x14ac:dyDescent="0.2">
      <c r="AF912" s="1"/>
      <c r="AG912" s="7"/>
    </row>
    <row r="913" spans="32:33" ht="14" x14ac:dyDescent="0.2">
      <c r="AF913" s="1"/>
      <c r="AG913" s="7"/>
    </row>
    <row r="914" spans="32:33" ht="14" x14ac:dyDescent="0.2">
      <c r="AF914" s="1"/>
      <c r="AG914" s="7"/>
    </row>
    <row r="915" spans="32:33" ht="14" x14ac:dyDescent="0.2">
      <c r="AF915" s="1"/>
      <c r="AG915" s="7"/>
    </row>
    <row r="916" spans="32:33" ht="14" x14ac:dyDescent="0.2">
      <c r="AF916" s="1"/>
      <c r="AG916" s="7"/>
    </row>
    <row r="917" spans="32:33" ht="14" x14ac:dyDescent="0.2">
      <c r="AF917" s="1"/>
      <c r="AG917" s="7"/>
    </row>
    <row r="918" spans="32:33" ht="14" x14ac:dyDescent="0.2">
      <c r="AF918" s="1"/>
      <c r="AG918" s="7"/>
    </row>
    <row r="919" spans="32:33" ht="14" x14ac:dyDescent="0.2">
      <c r="AF919" s="1"/>
      <c r="AG919" s="7"/>
    </row>
    <row r="920" spans="32:33" ht="14" x14ac:dyDescent="0.2">
      <c r="AF920" s="1"/>
      <c r="AG920" s="7"/>
    </row>
    <row r="921" spans="32:33" ht="14" x14ac:dyDescent="0.2">
      <c r="AF921" s="1"/>
      <c r="AG921" s="7"/>
    </row>
    <row r="922" spans="32:33" ht="14" x14ac:dyDescent="0.2">
      <c r="AF922" s="1"/>
      <c r="AG922" s="7"/>
    </row>
    <row r="923" spans="32:33" ht="14" x14ac:dyDescent="0.2">
      <c r="AF923" s="1"/>
      <c r="AG923" s="7"/>
    </row>
    <row r="924" spans="32:33" ht="14" x14ac:dyDescent="0.2">
      <c r="AF924" s="1"/>
      <c r="AG924" s="7"/>
    </row>
    <row r="925" spans="32:33" ht="14" x14ac:dyDescent="0.2">
      <c r="AF925" s="1"/>
      <c r="AG925" s="7"/>
    </row>
    <row r="926" spans="32:33" ht="14" x14ac:dyDescent="0.2">
      <c r="AF926" s="1"/>
      <c r="AG926" s="7"/>
    </row>
    <row r="927" spans="32:33" ht="14" x14ac:dyDescent="0.2">
      <c r="AF927" s="1"/>
      <c r="AG927" s="7"/>
    </row>
    <row r="928" spans="32:33" ht="14" x14ac:dyDescent="0.2">
      <c r="AF928" s="1"/>
      <c r="AG928" s="7"/>
    </row>
    <row r="929" spans="32:33" ht="14" x14ac:dyDescent="0.2">
      <c r="AF929" s="1"/>
      <c r="AG929" s="7"/>
    </row>
    <row r="930" spans="32:33" ht="14" x14ac:dyDescent="0.2">
      <c r="AF930" s="1"/>
      <c r="AG930" s="7"/>
    </row>
    <row r="931" spans="32:33" ht="14" x14ac:dyDescent="0.2">
      <c r="AF931" s="1"/>
      <c r="AG931" s="7"/>
    </row>
    <row r="932" spans="32:33" ht="14" x14ac:dyDescent="0.2">
      <c r="AF932" s="1"/>
      <c r="AG932" s="7"/>
    </row>
    <row r="933" spans="32:33" ht="14" x14ac:dyDescent="0.2">
      <c r="AF933" s="1"/>
      <c r="AG933" s="7"/>
    </row>
    <row r="934" spans="32:33" ht="14" x14ac:dyDescent="0.2">
      <c r="AF934" s="1"/>
      <c r="AG934" s="7"/>
    </row>
    <row r="935" spans="32:33" ht="14" x14ac:dyDescent="0.2">
      <c r="AF935" s="1"/>
      <c r="AG935" s="7"/>
    </row>
    <row r="936" spans="32:33" ht="14" x14ac:dyDescent="0.2">
      <c r="AF936" s="1"/>
      <c r="AG936" s="7"/>
    </row>
    <row r="937" spans="32:33" ht="14" x14ac:dyDescent="0.2">
      <c r="AF937" s="1"/>
      <c r="AG937" s="7"/>
    </row>
    <row r="938" spans="32:33" ht="14" x14ac:dyDescent="0.2">
      <c r="AF938" s="1"/>
      <c r="AG938" s="7"/>
    </row>
    <row r="939" spans="32:33" ht="14" x14ac:dyDescent="0.2">
      <c r="AF939" s="1"/>
      <c r="AG939" s="7"/>
    </row>
    <row r="940" spans="32:33" ht="14" x14ac:dyDescent="0.2">
      <c r="AF940" s="1"/>
      <c r="AG940" s="7"/>
    </row>
    <row r="941" spans="32:33" ht="14" x14ac:dyDescent="0.2">
      <c r="AF941" s="1"/>
      <c r="AG941" s="7"/>
    </row>
    <row r="942" spans="32:33" ht="14" x14ac:dyDescent="0.2">
      <c r="AF942" s="1"/>
      <c r="AG942" s="7"/>
    </row>
    <row r="943" spans="32:33" ht="14" x14ac:dyDescent="0.2">
      <c r="AF943" s="1"/>
      <c r="AG943" s="7"/>
    </row>
    <row r="944" spans="32:33" ht="14" x14ac:dyDescent="0.2">
      <c r="AF944" s="1"/>
      <c r="AG944" s="7"/>
    </row>
    <row r="945" spans="32:33" ht="14" x14ac:dyDescent="0.2">
      <c r="AF945" s="1"/>
      <c r="AG945" s="7"/>
    </row>
    <row r="946" spans="32:33" ht="14" x14ac:dyDescent="0.2">
      <c r="AF946" s="1"/>
      <c r="AG946" s="7"/>
    </row>
    <row r="947" spans="32:33" ht="14" x14ac:dyDescent="0.2">
      <c r="AF947" s="1"/>
      <c r="AG947" s="7"/>
    </row>
    <row r="948" spans="32:33" ht="14" x14ac:dyDescent="0.2">
      <c r="AF948" s="1"/>
      <c r="AG948" s="7"/>
    </row>
    <row r="949" spans="32:33" ht="14" x14ac:dyDescent="0.2">
      <c r="AF949" s="1"/>
      <c r="AG949" s="7"/>
    </row>
    <row r="950" spans="32:33" ht="14" x14ac:dyDescent="0.2">
      <c r="AF950" s="1"/>
      <c r="AG950" s="7"/>
    </row>
    <row r="951" spans="32:33" ht="14" x14ac:dyDescent="0.2">
      <c r="AF951" s="1"/>
      <c r="AG951" s="7"/>
    </row>
    <row r="952" spans="32:33" ht="14" x14ac:dyDescent="0.2">
      <c r="AF952" s="1"/>
      <c r="AG952" s="7"/>
    </row>
    <row r="953" spans="32:33" ht="14" x14ac:dyDescent="0.2">
      <c r="AF953" s="1"/>
      <c r="AG953" s="7"/>
    </row>
    <row r="954" spans="32:33" ht="14" x14ac:dyDescent="0.2">
      <c r="AF954" s="1"/>
      <c r="AG954" s="7"/>
    </row>
    <row r="955" spans="32:33" ht="14" x14ac:dyDescent="0.2">
      <c r="AF955" s="1"/>
      <c r="AG955" s="7"/>
    </row>
    <row r="956" spans="32:33" ht="14" x14ac:dyDescent="0.2">
      <c r="AF956" s="1"/>
      <c r="AG956" s="7"/>
    </row>
    <row r="957" spans="32:33" ht="14" x14ac:dyDescent="0.2">
      <c r="AF957" s="1"/>
      <c r="AG957" s="7"/>
    </row>
    <row r="958" spans="32:33" ht="14" x14ac:dyDescent="0.2">
      <c r="AF958" s="1"/>
      <c r="AG958" s="7"/>
    </row>
    <row r="959" spans="32:33" ht="14" x14ac:dyDescent="0.2">
      <c r="AF959" s="1"/>
      <c r="AG959" s="7"/>
    </row>
    <row r="960" spans="32:33" ht="14" x14ac:dyDescent="0.2">
      <c r="AF960" s="1"/>
      <c r="AG960" s="7"/>
    </row>
    <row r="961" spans="32:33" ht="14" x14ac:dyDescent="0.2">
      <c r="AF961" s="1"/>
      <c r="AG961" s="7"/>
    </row>
    <row r="962" spans="32:33" ht="14" x14ac:dyDescent="0.2">
      <c r="AF962" s="1"/>
      <c r="AG962" s="7"/>
    </row>
    <row r="963" spans="32:33" ht="14" x14ac:dyDescent="0.2">
      <c r="AF963" s="1"/>
      <c r="AG963" s="7"/>
    </row>
    <row r="964" spans="32:33" ht="14" x14ac:dyDescent="0.2">
      <c r="AF964" s="1"/>
      <c r="AG964" s="7"/>
    </row>
    <row r="965" spans="32:33" ht="14" x14ac:dyDescent="0.2">
      <c r="AF965" s="1"/>
      <c r="AG965" s="7"/>
    </row>
    <row r="966" spans="32:33" ht="14" x14ac:dyDescent="0.2">
      <c r="AF966" s="1"/>
      <c r="AG966" s="7"/>
    </row>
    <row r="967" spans="32:33" ht="14" x14ac:dyDescent="0.2">
      <c r="AF967" s="1"/>
      <c r="AG967" s="7"/>
    </row>
    <row r="968" spans="32:33" ht="14" x14ac:dyDescent="0.2">
      <c r="AF968" s="1"/>
      <c r="AG968" s="7"/>
    </row>
    <row r="969" spans="32:33" ht="14" x14ac:dyDescent="0.2">
      <c r="AF969" s="1"/>
      <c r="AG969" s="7"/>
    </row>
    <row r="970" spans="32:33" ht="14" x14ac:dyDescent="0.2">
      <c r="AF970" s="1"/>
      <c r="AG970" s="7"/>
    </row>
    <row r="971" spans="32:33" ht="14" x14ac:dyDescent="0.2">
      <c r="AF971" s="1"/>
      <c r="AG971" s="7"/>
    </row>
    <row r="972" spans="32:33" ht="14" x14ac:dyDescent="0.2">
      <c r="AF972" s="1"/>
      <c r="AG972" s="7"/>
    </row>
    <row r="973" spans="32:33" ht="14" x14ac:dyDescent="0.2">
      <c r="AF973" s="1"/>
      <c r="AG973" s="7"/>
    </row>
    <row r="974" spans="32:33" ht="14" x14ac:dyDescent="0.2">
      <c r="AF974" s="1"/>
      <c r="AG974" s="7"/>
    </row>
    <row r="975" spans="32:33" ht="14" x14ac:dyDescent="0.2">
      <c r="AF975" s="1"/>
      <c r="AG975" s="7"/>
    </row>
    <row r="976" spans="32:33" ht="14" x14ac:dyDescent="0.2">
      <c r="AF976" s="1"/>
      <c r="AG976" s="7"/>
    </row>
    <row r="977" spans="32:33" ht="14" x14ac:dyDescent="0.2">
      <c r="AF977" s="1"/>
      <c r="AG977" s="7"/>
    </row>
    <row r="978" spans="32:33" ht="14" x14ac:dyDescent="0.2">
      <c r="AF978" s="1"/>
      <c r="AG978" s="7"/>
    </row>
    <row r="979" spans="32:33" ht="14" x14ac:dyDescent="0.2">
      <c r="AF979" s="1"/>
      <c r="AG979" s="7"/>
    </row>
    <row r="980" spans="32:33" ht="14" x14ac:dyDescent="0.2">
      <c r="AF980" s="1"/>
      <c r="AG980" s="7"/>
    </row>
    <row r="981" spans="32:33" ht="14" x14ac:dyDescent="0.2">
      <c r="AF981" s="1"/>
      <c r="AG981" s="7"/>
    </row>
    <row r="982" spans="32:33" ht="14" x14ac:dyDescent="0.2">
      <c r="AF982" s="1"/>
      <c r="AG982" s="7"/>
    </row>
    <row r="983" spans="32:33" ht="14" x14ac:dyDescent="0.2">
      <c r="AF983" s="1"/>
      <c r="AG983" s="7"/>
    </row>
    <row r="984" spans="32:33" ht="14" x14ac:dyDescent="0.2">
      <c r="AF984" s="1"/>
      <c r="AG984" s="7"/>
    </row>
    <row r="985" spans="32:33" ht="14" x14ac:dyDescent="0.2">
      <c r="AF985" s="1"/>
      <c r="AG985" s="7"/>
    </row>
    <row r="986" spans="32:33" ht="14" x14ac:dyDescent="0.2">
      <c r="AF986" s="1"/>
      <c r="AG986" s="7"/>
    </row>
    <row r="987" spans="32:33" ht="14" x14ac:dyDescent="0.2">
      <c r="AF987" s="1"/>
      <c r="AG987" s="7"/>
    </row>
    <row r="988" spans="32:33" ht="14" x14ac:dyDescent="0.2">
      <c r="AF988" s="1"/>
      <c r="AG988" s="7"/>
    </row>
    <row r="989" spans="32:33" ht="14" x14ac:dyDescent="0.2">
      <c r="AF989" s="1"/>
      <c r="AG989" s="7"/>
    </row>
    <row r="990" spans="32:33" ht="14" x14ac:dyDescent="0.2">
      <c r="AF990" s="1"/>
      <c r="AG990" s="7"/>
    </row>
    <row r="991" spans="32:33" ht="14" x14ac:dyDescent="0.2">
      <c r="AF991" s="1"/>
      <c r="AG991" s="7"/>
    </row>
    <row r="992" spans="32:33" ht="14" x14ac:dyDescent="0.2">
      <c r="AF992" s="1"/>
      <c r="AG992" s="7"/>
    </row>
    <row r="993" spans="32:33" ht="14" x14ac:dyDescent="0.2">
      <c r="AF993" s="1"/>
      <c r="AG993" s="7"/>
    </row>
    <row r="994" spans="32:33" ht="14" x14ac:dyDescent="0.2">
      <c r="AF994" s="1"/>
      <c r="AG994" s="7"/>
    </row>
    <row r="995" spans="32:33" ht="14" x14ac:dyDescent="0.2">
      <c r="AF995" s="1"/>
      <c r="AG995" s="7"/>
    </row>
    <row r="996" spans="32:33" ht="14" x14ac:dyDescent="0.2">
      <c r="AF996" s="1"/>
      <c r="AG996" s="7"/>
    </row>
    <row r="997" spans="32:33" ht="14" x14ac:dyDescent="0.2">
      <c r="AF997" s="1"/>
      <c r="AG997" s="7"/>
    </row>
    <row r="998" spans="32:33" ht="14" x14ac:dyDescent="0.2">
      <c r="AF998" s="1"/>
      <c r="AG998" s="7"/>
    </row>
    <row r="999" spans="32:33" ht="14" x14ac:dyDescent="0.2">
      <c r="AF999" s="1"/>
      <c r="AG999" s="7"/>
    </row>
    <row r="1000" spans="32:33" ht="14" x14ac:dyDescent="0.2">
      <c r="AF1000" s="1"/>
      <c r="AG1000" s="7"/>
    </row>
    <row r="1001" spans="32:33" ht="14" x14ac:dyDescent="0.2">
      <c r="AF1001" s="1"/>
      <c r="AG1001" s="7"/>
    </row>
    <row r="1002" spans="32:33" ht="14" x14ac:dyDescent="0.2">
      <c r="AF1002" s="1"/>
      <c r="AG1002" s="7"/>
    </row>
    <row r="1003" spans="32:33" ht="14" x14ac:dyDescent="0.2">
      <c r="AF1003" s="1"/>
      <c r="AG1003" s="7"/>
    </row>
    <row r="1004" spans="32:33" ht="14" x14ac:dyDescent="0.2">
      <c r="AF1004" s="1"/>
      <c r="AG1004" s="7"/>
    </row>
    <row r="1005" spans="32:33" ht="14" x14ac:dyDescent="0.2">
      <c r="AF1005" s="1"/>
      <c r="AG1005" s="7"/>
    </row>
    <row r="1006" spans="32:33" ht="14" x14ac:dyDescent="0.2">
      <c r="AF1006" s="1"/>
      <c r="AG1006" s="7"/>
    </row>
    <row r="1007" spans="32:33" ht="14" x14ac:dyDescent="0.2">
      <c r="AF1007" s="1"/>
      <c r="AG1007" s="7"/>
    </row>
  </sheetData>
  <conditionalFormatting sqref="B43">
    <cfRule type="cellIs" dxfId="52" priority="3" operator="greaterThanOrEqual">
      <formula>0</formula>
    </cfRule>
    <cfRule type="cellIs" dxfId="51" priority="4" operator="lessThanOrEqual">
      <formula>0</formula>
    </cfRule>
  </conditionalFormatting>
  <conditionalFormatting sqref="B2:I2 K2:AD2 V4">
    <cfRule type="cellIs" dxfId="50" priority="7" operator="greaterThan">
      <formula>4200</formula>
    </cfRule>
  </conditionalFormatting>
  <conditionalFormatting sqref="B33:AF33 AI33:BF33">
    <cfRule type="cellIs" dxfId="49" priority="1" operator="greaterThanOrEqual">
      <formula>0</formula>
    </cfRule>
    <cfRule type="cellIs" dxfId="48" priority="2" operator="lessThanOrEqual">
      <formula>0</formula>
    </cfRule>
  </conditionalFormatting>
  <conditionalFormatting sqref="AG33">
    <cfRule type="cellIs" dxfId="47" priority="5" operator="greaterThanOrEqual">
      <formula>1</formula>
    </cfRule>
    <cfRule type="cellIs" dxfId="46" priority="6" operator="lessThan">
      <formul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outlinePr summaryBelow="0" summaryRight="0"/>
  </sheetPr>
  <dimension ref="A1:BG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9" width="9" customWidth="1"/>
  </cols>
  <sheetData>
    <row r="1" spans="1:59" ht="15.75" customHeight="1" x14ac:dyDescent="0.2">
      <c r="A1" s="8" t="s">
        <v>127</v>
      </c>
      <c r="B1" s="64">
        <v>45839</v>
      </c>
      <c r="C1" s="64">
        <v>45840</v>
      </c>
      <c r="D1" s="64">
        <v>45841</v>
      </c>
      <c r="E1" s="64">
        <v>45842</v>
      </c>
      <c r="F1" s="64">
        <v>45843</v>
      </c>
      <c r="G1" s="64">
        <v>45844</v>
      </c>
      <c r="H1" s="64">
        <v>45845</v>
      </c>
      <c r="I1" s="64">
        <v>45846</v>
      </c>
      <c r="J1" s="64">
        <v>45847</v>
      </c>
      <c r="K1" s="64">
        <v>45848</v>
      </c>
      <c r="L1" s="64">
        <v>45849</v>
      </c>
      <c r="M1" s="64">
        <v>45850</v>
      </c>
      <c r="N1" s="64">
        <v>45851</v>
      </c>
      <c r="O1" s="64">
        <v>45852</v>
      </c>
      <c r="P1" s="64">
        <v>45853</v>
      </c>
      <c r="Q1" s="64">
        <v>45854</v>
      </c>
      <c r="R1" s="64">
        <v>45855</v>
      </c>
      <c r="S1" s="64">
        <v>45856</v>
      </c>
      <c r="T1" s="64">
        <v>45857</v>
      </c>
      <c r="U1" s="64">
        <v>45858</v>
      </c>
      <c r="V1" s="64">
        <v>45859</v>
      </c>
      <c r="W1" s="64">
        <v>45860</v>
      </c>
      <c r="X1" s="64">
        <v>45861</v>
      </c>
      <c r="Y1" s="64">
        <v>45862</v>
      </c>
      <c r="Z1" s="64">
        <v>45863</v>
      </c>
      <c r="AA1" s="64">
        <v>45864</v>
      </c>
      <c r="AB1" s="64">
        <v>45865</v>
      </c>
      <c r="AC1" s="64">
        <v>45866</v>
      </c>
      <c r="AD1" s="64">
        <v>45867</v>
      </c>
      <c r="AE1" s="64">
        <v>45868</v>
      </c>
      <c r="AF1" s="64">
        <v>45869</v>
      </c>
      <c r="AG1" s="22" t="s">
        <v>0</v>
      </c>
      <c r="AH1" s="22" t="s">
        <v>153</v>
      </c>
      <c r="AI1" s="8" t="s">
        <v>161</v>
      </c>
      <c r="AJ1" s="65"/>
      <c r="AK1" s="65"/>
      <c r="AL1" s="65"/>
      <c r="AM1" s="65"/>
      <c r="AN1" s="65"/>
      <c r="AO1" s="65"/>
      <c r="AP1" s="65"/>
      <c r="AQ1" s="65"/>
      <c r="AR1" s="65"/>
      <c r="AS1" s="65"/>
      <c r="AT1" s="65"/>
      <c r="AU1" s="65"/>
      <c r="AV1" s="65"/>
      <c r="AW1" s="65"/>
      <c r="AX1" s="65"/>
      <c r="AY1" s="65"/>
      <c r="AZ1" s="65"/>
      <c r="BA1" s="65"/>
      <c r="BB1" s="65"/>
      <c r="BC1" s="65"/>
      <c r="BD1" s="65"/>
      <c r="BE1" s="65"/>
      <c r="BF1" s="65"/>
      <c r="BG1" s="65"/>
    </row>
    <row r="2" spans="1:59" ht="15.75" customHeight="1" x14ac:dyDescent="0.2">
      <c r="A2" s="4" t="s">
        <v>162</v>
      </c>
      <c r="B2" s="66">
        <v>1700</v>
      </c>
      <c r="C2" s="66">
        <v>1700</v>
      </c>
      <c r="D2" s="66">
        <v>1700</v>
      </c>
      <c r="E2" s="66">
        <v>1700</v>
      </c>
      <c r="F2" s="66">
        <v>1700</v>
      </c>
      <c r="G2" s="66">
        <v>1700</v>
      </c>
      <c r="H2" s="66">
        <v>1700</v>
      </c>
      <c r="I2" s="66">
        <v>1700</v>
      </c>
      <c r="J2" s="66">
        <v>1700</v>
      </c>
      <c r="K2" s="66">
        <v>1700</v>
      </c>
      <c r="L2" s="66">
        <v>1700</v>
      </c>
      <c r="M2" s="66">
        <v>1700</v>
      </c>
      <c r="N2" s="66">
        <v>1700</v>
      </c>
      <c r="O2" s="66">
        <v>1700</v>
      </c>
      <c r="P2" s="66">
        <v>1700</v>
      </c>
      <c r="Q2" s="66">
        <v>1700</v>
      </c>
      <c r="R2" s="66">
        <v>1700</v>
      </c>
      <c r="S2" s="66">
        <v>1700</v>
      </c>
      <c r="T2" s="66">
        <v>1700</v>
      </c>
      <c r="U2" s="66">
        <v>1700</v>
      </c>
      <c r="V2" s="66">
        <v>1700</v>
      </c>
      <c r="W2" s="66">
        <v>1700</v>
      </c>
      <c r="X2" s="66">
        <v>1700</v>
      </c>
      <c r="Y2" s="66">
        <v>1700</v>
      </c>
      <c r="Z2" s="66">
        <v>1700</v>
      </c>
      <c r="AA2" s="66">
        <v>1700</v>
      </c>
      <c r="AB2" s="66">
        <v>1700</v>
      </c>
      <c r="AC2" s="66">
        <v>1700</v>
      </c>
      <c r="AD2" s="66">
        <v>1700</v>
      </c>
      <c r="AE2" s="66">
        <v>1700</v>
      </c>
      <c r="AF2" s="66">
        <v>1700</v>
      </c>
      <c r="AG2" s="56">
        <f t="shared" ref="AG2:AG4" si="0">SUM(B2:AF2)</f>
        <v>52700</v>
      </c>
      <c r="AH2" s="67">
        <f t="shared" ref="AH2:AH4" si="1">IFERROR(AVERAGE(B2:AF2),0)</f>
        <v>1700</v>
      </c>
      <c r="AI2" s="68">
        <f t="shared" ref="AI2:AI4" si="2">(AH2/$AH$29)*100</f>
        <v>12.595662503166846</v>
      </c>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ht="15.75" customHeight="1" x14ac:dyDescent="0.2">
      <c r="A3" s="4" t="s">
        <v>163</v>
      </c>
      <c r="B3" s="59">
        <f t="shared" ref="B3:AF3" si="3">$B$39/$B$59</f>
        <v>3386.0967741935483</v>
      </c>
      <c r="C3" s="59">
        <f t="shared" si="3"/>
        <v>3386.0967741935483</v>
      </c>
      <c r="D3" s="59">
        <f t="shared" si="3"/>
        <v>3386.0967741935483</v>
      </c>
      <c r="E3" s="59">
        <f t="shared" si="3"/>
        <v>3386.0967741935483</v>
      </c>
      <c r="F3" s="59">
        <f t="shared" si="3"/>
        <v>3386.0967741935483</v>
      </c>
      <c r="G3" s="59">
        <f t="shared" si="3"/>
        <v>3386.0967741935483</v>
      </c>
      <c r="H3" s="59">
        <f t="shared" si="3"/>
        <v>3386.0967741935483</v>
      </c>
      <c r="I3" s="59">
        <f t="shared" si="3"/>
        <v>3386.0967741935483</v>
      </c>
      <c r="J3" s="59">
        <f t="shared" si="3"/>
        <v>3386.0967741935483</v>
      </c>
      <c r="K3" s="59">
        <f t="shared" si="3"/>
        <v>3386.0967741935483</v>
      </c>
      <c r="L3" s="59">
        <f t="shared" si="3"/>
        <v>3386.0967741935483</v>
      </c>
      <c r="M3" s="59">
        <f t="shared" si="3"/>
        <v>3386.0967741935483</v>
      </c>
      <c r="N3" s="59">
        <f t="shared" si="3"/>
        <v>3386.0967741935483</v>
      </c>
      <c r="O3" s="59">
        <f t="shared" si="3"/>
        <v>3386.0967741935483</v>
      </c>
      <c r="P3" s="59">
        <f t="shared" si="3"/>
        <v>3386.0967741935483</v>
      </c>
      <c r="Q3" s="59">
        <f t="shared" si="3"/>
        <v>3386.0967741935483</v>
      </c>
      <c r="R3" s="59">
        <f t="shared" si="3"/>
        <v>3386.0967741935483</v>
      </c>
      <c r="S3" s="59">
        <f t="shared" si="3"/>
        <v>3386.0967741935483</v>
      </c>
      <c r="T3" s="59">
        <f t="shared" si="3"/>
        <v>3386.0967741935483</v>
      </c>
      <c r="U3" s="59">
        <f t="shared" si="3"/>
        <v>3386.0967741935483</v>
      </c>
      <c r="V3" s="59">
        <f t="shared" si="3"/>
        <v>3386.0967741935483</v>
      </c>
      <c r="W3" s="59">
        <f t="shared" si="3"/>
        <v>3386.0967741935483</v>
      </c>
      <c r="X3" s="59">
        <f t="shared" si="3"/>
        <v>3386.0967741935483</v>
      </c>
      <c r="Y3" s="59">
        <f t="shared" si="3"/>
        <v>3386.0967741935483</v>
      </c>
      <c r="Z3" s="59">
        <f t="shared" si="3"/>
        <v>3386.0967741935483</v>
      </c>
      <c r="AA3" s="59">
        <f t="shared" si="3"/>
        <v>3386.0967741935483</v>
      </c>
      <c r="AB3" s="59">
        <f t="shared" si="3"/>
        <v>3386.0967741935483</v>
      </c>
      <c r="AC3" s="59">
        <f t="shared" si="3"/>
        <v>3386.0967741935483</v>
      </c>
      <c r="AD3" s="59">
        <f t="shared" si="3"/>
        <v>3386.0967741935483</v>
      </c>
      <c r="AE3" s="59">
        <f t="shared" si="3"/>
        <v>3386.0967741935483</v>
      </c>
      <c r="AF3" s="59">
        <f t="shared" si="3"/>
        <v>3386.0967741935483</v>
      </c>
      <c r="AG3" s="56">
        <f t="shared" si="0"/>
        <v>104968.99999999994</v>
      </c>
      <c r="AH3" s="67">
        <f t="shared" si="1"/>
        <v>3386.0967741935465</v>
      </c>
      <c r="AI3" s="68">
        <f t="shared" si="2"/>
        <v>25.088313041649336</v>
      </c>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ht="15.75" customHeight="1" x14ac:dyDescent="0.2">
      <c r="A4" s="4" t="s">
        <v>20</v>
      </c>
      <c r="B4" s="69">
        <f t="shared" ref="B4:AF4" si="4">$B$42/$B$59</f>
        <v>2757.5806451612902</v>
      </c>
      <c r="C4" s="69">
        <f t="shared" si="4"/>
        <v>2757.5806451612902</v>
      </c>
      <c r="D4" s="69">
        <f t="shared" si="4"/>
        <v>2757.5806451612902</v>
      </c>
      <c r="E4" s="69">
        <f t="shared" si="4"/>
        <v>2757.5806451612902</v>
      </c>
      <c r="F4" s="69">
        <f t="shared" si="4"/>
        <v>2757.5806451612902</v>
      </c>
      <c r="G4" s="69">
        <f t="shared" si="4"/>
        <v>2757.5806451612902</v>
      </c>
      <c r="H4" s="69">
        <f t="shared" si="4"/>
        <v>2757.5806451612902</v>
      </c>
      <c r="I4" s="69">
        <f t="shared" si="4"/>
        <v>2757.5806451612902</v>
      </c>
      <c r="J4" s="69">
        <f t="shared" si="4"/>
        <v>2757.5806451612902</v>
      </c>
      <c r="K4" s="69">
        <f t="shared" si="4"/>
        <v>2757.5806451612902</v>
      </c>
      <c r="L4" s="69">
        <f t="shared" si="4"/>
        <v>2757.5806451612902</v>
      </c>
      <c r="M4" s="69">
        <f t="shared" si="4"/>
        <v>2757.5806451612902</v>
      </c>
      <c r="N4" s="69">
        <f t="shared" si="4"/>
        <v>2757.5806451612902</v>
      </c>
      <c r="O4" s="69">
        <f t="shared" si="4"/>
        <v>2757.5806451612902</v>
      </c>
      <c r="P4" s="69">
        <f t="shared" si="4"/>
        <v>2757.5806451612902</v>
      </c>
      <c r="Q4" s="69">
        <f t="shared" si="4"/>
        <v>2757.5806451612902</v>
      </c>
      <c r="R4" s="69">
        <f t="shared" si="4"/>
        <v>2757.5806451612902</v>
      </c>
      <c r="S4" s="69">
        <f t="shared" si="4"/>
        <v>2757.5806451612902</v>
      </c>
      <c r="T4" s="69">
        <f t="shared" si="4"/>
        <v>2757.5806451612902</v>
      </c>
      <c r="U4" s="69">
        <f t="shared" si="4"/>
        <v>2757.5806451612902</v>
      </c>
      <c r="V4" s="69">
        <f t="shared" si="4"/>
        <v>2757.5806451612902</v>
      </c>
      <c r="W4" s="69">
        <f t="shared" si="4"/>
        <v>2757.5806451612902</v>
      </c>
      <c r="X4" s="69">
        <f t="shared" si="4"/>
        <v>2757.5806451612902</v>
      </c>
      <c r="Y4" s="69">
        <f t="shared" si="4"/>
        <v>2757.5806451612902</v>
      </c>
      <c r="Z4" s="69">
        <f t="shared" si="4"/>
        <v>2757.5806451612902</v>
      </c>
      <c r="AA4" s="69">
        <f t="shared" si="4"/>
        <v>2757.5806451612902</v>
      </c>
      <c r="AB4" s="69">
        <f t="shared" si="4"/>
        <v>2757.5806451612902</v>
      </c>
      <c r="AC4" s="69">
        <f t="shared" si="4"/>
        <v>2757.5806451612902</v>
      </c>
      <c r="AD4" s="69">
        <f t="shared" si="4"/>
        <v>2757.5806451612902</v>
      </c>
      <c r="AE4" s="69">
        <f t="shared" si="4"/>
        <v>2757.5806451612902</v>
      </c>
      <c r="AF4" s="69">
        <f t="shared" si="4"/>
        <v>2757.5806451612902</v>
      </c>
      <c r="AG4" s="56">
        <f t="shared" si="0"/>
        <v>85484.999999999971</v>
      </c>
      <c r="AH4" s="67">
        <f t="shared" si="1"/>
        <v>2757.5806451612893</v>
      </c>
      <c r="AI4" s="68">
        <f t="shared" si="2"/>
        <v>20.43150301865688</v>
      </c>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1"/>
      <c r="AH5" s="71"/>
      <c r="AI5" s="72"/>
      <c r="AJ5" s="14"/>
      <c r="AK5" s="14"/>
      <c r="AL5" s="14"/>
      <c r="AM5" s="14"/>
      <c r="AN5" s="14"/>
      <c r="AO5" s="14"/>
      <c r="AP5" s="14"/>
      <c r="AQ5" s="14"/>
      <c r="AR5" s="14"/>
      <c r="AS5" s="14"/>
      <c r="AT5" s="14"/>
      <c r="AU5" s="14"/>
      <c r="AV5" s="14"/>
      <c r="AW5" s="14"/>
      <c r="AX5" s="14"/>
      <c r="AY5" s="14"/>
      <c r="AZ5" s="14"/>
      <c r="BA5" s="14"/>
      <c r="BB5" s="14"/>
      <c r="BC5" s="14"/>
      <c r="BD5" s="14"/>
      <c r="BE5" s="14"/>
      <c r="BF5" s="14"/>
      <c r="BG5" s="14"/>
    </row>
    <row r="6" spans="1:59" ht="15.75" customHeight="1" x14ac:dyDescent="0.2">
      <c r="A6" s="4" t="s">
        <v>165</v>
      </c>
      <c r="B6" s="69">
        <v>1800</v>
      </c>
      <c r="C6" s="69">
        <v>1900</v>
      </c>
      <c r="D6" s="69">
        <v>1700</v>
      </c>
      <c r="E6" s="69">
        <v>3000</v>
      </c>
      <c r="F6" s="69">
        <v>3000</v>
      </c>
      <c r="G6" s="69">
        <v>5000</v>
      </c>
      <c r="H6" s="69">
        <v>2500</v>
      </c>
      <c r="I6" s="69">
        <v>2000</v>
      </c>
      <c r="J6" s="69">
        <v>2000</v>
      </c>
      <c r="K6" s="69">
        <v>3000</v>
      </c>
      <c r="L6" s="69">
        <v>2000</v>
      </c>
      <c r="M6" s="69">
        <v>3000</v>
      </c>
      <c r="N6" s="69">
        <v>3000</v>
      </c>
      <c r="O6" s="69">
        <v>2000</v>
      </c>
      <c r="P6" s="69">
        <v>1500</v>
      </c>
      <c r="Q6" s="69">
        <v>1000</v>
      </c>
      <c r="R6" s="69">
        <v>1500</v>
      </c>
      <c r="S6" s="69">
        <v>1500</v>
      </c>
      <c r="T6" s="69">
        <v>2000</v>
      </c>
      <c r="U6" s="69">
        <v>2500</v>
      </c>
      <c r="V6" s="69">
        <v>2000</v>
      </c>
      <c r="W6" s="69">
        <v>1000</v>
      </c>
      <c r="X6" s="69">
        <v>1500</v>
      </c>
      <c r="Y6" s="69">
        <v>1000</v>
      </c>
      <c r="Z6" s="69">
        <v>2500</v>
      </c>
      <c r="AA6" s="69">
        <v>5500</v>
      </c>
      <c r="AB6" s="69">
        <v>6500</v>
      </c>
      <c r="AC6" s="69">
        <v>0</v>
      </c>
      <c r="AD6" s="69">
        <v>5000</v>
      </c>
      <c r="AE6" s="69">
        <v>5000</v>
      </c>
      <c r="AF6" s="69">
        <v>4500</v>
      </c>
      <c r="AG6" s="56">
        <f t="shared" ref="AG6:AG8" si="5">SUM(B6:AF6)</f>
        <v>80400</v>
      </c>
      <c r="AH6" s="67">
        <f t="shared" ref="AH6:AH8" si="6">IFERROR(AVERAGE(B6:AF6),0)</f>
        <v>2593.5483870967741</v>
      </c>
      <c r="AI6" s="68">
        <f t="shared" ref="AI6:AI8" si="7">(AH6/$AH$29)*100</f>
        <v>19.216153040884524</v>
      </c>
      <c r="AJ6" s="14"/>
      <c r="AK6" s="14"/>
      <c r="AS6" s="14"/>
      <c r="AT6" s="14"/>
      <c r="AU6" s="14"/>
      <c r="AV6" s="14"/>
      <c r="AW6" s="14"/>
      <c r="AX6" s="14"/>
      <c r="AY6" s="14"/>
      <c r="AZ6" s="14"/>
      <c r="BA6" s="14"/>
      <c r="BB6" s="14"/>
      <c r="BC6" s="14"/>
      <c r="BD6" s="14"/>
      <c r="BE6" s="14"/>
      <c r="BF6" s="14"/>
      <c r="BG6" s="14"/>
    </row>
    <row r="7" spans="1:59" ht="15.75" customHeight="1" x14ac:dyDescent="0.2">
      <c r="A7" s="4" t="s">
        <v>166</v>
      </c>
      <c r="B7" s="69">
        <f t="shared" ref="B7:AF7" si="8">$B$51/$B$59</f>
        <v>145.16129032258064</v>
      </c>
      <c r="C7" s="69">
        <f t="shared" si="8"/>
        <v>145.16129032258064</v>
      </c>
      <c r="D7" s="69">
        <f t="shared" si="8"/>
        <v>145.16129032258064</v>
      </c>
      <c r="E7" s="69">
        <f t="shared" si="8"/>
        <v>145.16129032258064</v>
      </c>
      <c r="F7" s="69">
        <f t="shared" si="8"/>
        <v>145.16129032258064</v>
      </c>
      <c r="G7" s="69">
        <f t="shared" si="8"/>
        <v>145.16129032258064</v>
      </c>
      <c r="H7" s="69">
        <f t="shared" si="8"/>
        <v>145.16129032258064</v>
      </c>
      <c r="I7" s="69">
        <f t="shared" si="8"/>
        <v>145.16129032258064</v>
      </c>
      <c r="J7" s="69">
        <f t="shared" si="8"/>
        <v>145.16129032258064</v>
      </c>
      <c r="K7" s="69">
        <f t="shared" si="8"/>
        <v>145.16129032258064</v>
      </c>
      <c r="L7" s="69">
        <f t="shared" si="8"/>
        <v>145.16129032258064</v>
      </c>
      <c r="M7" s="69">
        <f t="shared" si="8"/>
        <v>145.16129032258064</v>
      </c>
      <c r="N7" s="69">
        <f t="shared" si="8"/>
        <v>145.16129032258064</v>
      </c>
      <c r="O7" s="69">
        <f t="shared" si="8"/>
        <v>145.16129032258064</v>
      </c>
      <c r="P7" s="69">
        <f t="shared" si="8"/>
        <v>145.16129032258064</v>
      </c>
      <c r="Q7" s="69">
        <f t="shared" si="8"/>
        <v>145.16129032258064</v>
      </c>
      <c r="R7" s="69">
        <f t="shared" si="8"/>
        <v>145.16129032258064</v>
      </c>
      <c r="S7" s="69">
        <f t="shared" si="8"/>
        <v>145.16129032258064</v>
      </c>
      <c r="T7" s="69">
        <f t="shared" si="8"/>
        <v>145.16129032258064</v>
      </c>
      <c r="U7" s="69">
        <f t="shared" si="8"/>
        <v>145.16129032258064</v>
      </c>
      <c r="V7" s="69">
        <f t="shared" si="8"/>
        <v>145.16129032258064</v>
      </c>
      <c r="W7" s="69">
        <f t="shared" si="8"/>
        <v>145.16129032258064</v>
      </c>
      <c r="X7" s="69">
        <f t="shared" si="8"/>
        <v>145.16129032258064</v>
      </c>
      <c r="Y7" s="69">
        <f t="shared" si="8"/>
        <v>145.16129032258064</v>
      </c>
      <c r="Z7" s="69">
        <f t="shared" si="8"/>
        <v>145.16129032258064</v>
      </c>
      <c r="AA7" s="69">
        <f t="shared" si="8"/>
        <v>145.16129032258064</v>
      </c>
      <c r="AB7" s="69">
        <f t="shared" si="8"/>
        <v>145.16129032258064</v>
      </c>
      <c r="AC7" s="69">
        <f t="shared" si="8"/>
        <v>145.16129032258064</v>
      </c>
      <c r="AD7" s="69">
        <f t="shared" si="8"/>
        <v>145.16129032258064</v>
      </c>
      <c r="AE7" s="69">
        <f t="shared" si="8"/>
        <v>145.16129032258064</v>
      </c>
      <c r="AF7" s="69">
        <f t="shared" si="8"/>
        <v>145.16129032258064</v>
      </c>
      <c r="AG7" s="56">
        <f t="shared" si="5"/>
        <v>4499.9999999999982</v>
      </c>
      <c r="AH7" s="67">
        <f t="shared" si="6"/>
        <v>145.16129032258058</v>
      </c>
      <c r="AI7" s="68">
        <f t="shared" si="7"/>
        <v>1.07553095378085</v>
      </c>
      <c r="AJ7" s="14"/>
      <c r="AK7" s="14"/>
      <c r="AS7" s="14"/>
      <c r="AT7" s="14"/>
      <c r="AU7" s="14"/>
      <c r="AV7" s="14"/>
      <c r="AW7" s="14"/>
      <c r="AX7" s="14"/>
      <c r="AY7" s="14"/>
      <c r="AZ7" s="14"/>
      <c r="BA7" s="14"/>
      <c r="BB7" s="14"/>
      <c r="BC7" s="14"/>
      <c r="BD7" s="14"/>
      <c r="BE7" s="14"/>
      <c r="BF7" s="14"/>
      <c r="BG7" s="14"/>
    </row>
    <row r="8" spans="1:59" ht="15.75" customHeight="1" x14ac:dyDescent="0.2">
      <c r="A8" s="4" t="s">
        <v>167</v>
      </c>
      <c r="B8" s="69">
        <f t="shared" ref="B8:AF8" si="9">$B$52/$B$59</f>
        <v>187.09677419354838</v>
      </c>
      <c r="C8" s="69">
        <f t="shared" si="9"/>
        <v>187.09677419354838</v>
      </c>
      <c r="D8" s="69">
        <f t="shared" si="9"/>
        <v>187.09677419354838</v>
      </c>
      <c r="E8" s="69">
        <f t="shared" si="9"/>
        <v>187.09677419354838</v>
      </c>
      <c r="F8" s="69">
        <f t="shared" si="9"/>
        <v>187.09677419354838</v>
      </c>
      <c r="G8" s="69">
        <f t="shared" si="9"/>
        <v>187.09677419354838</v>
      </c>
      <c r="H8" s="69">
        <f t="shared" si="9"/>
        <v>187.09677419354838</v>
      </c>
      <c r="I8" s="69">
        <f t="shared" si="9"/>
        <v>187.09677419354838</v>
      </c>
      <c r="J8" s="69">
        <f t="shared" si="9"/>
        <v>187.09677419354838</v>
      </c>
      <c r="K8" s="69">
        <f t="shared" si="9"/>
        <v>187.09677419354838</v>
      </c>
      <c r="L8" s="69">
        <f t="shared" si="9"/>
        <v>187.09677419354838</v>
      </c>
      <c r="M8" s="69">
        <f t="shared" si="9"/>
        <v>187.09677419354838</v>
      </c>
      <c r="N8" s="69">
        <f t="shared" si="9"/>
        <v>187.09677419354838</v>
      </c>
      <c r="O8" s="69">
        <f t="shared" si="9"/>
        <v>187.09677419354838</v>
      </c>
      <c r="P8" s="69">
        <f t="shared" si="9"/>
        <v>187.09677419354838</v>
      </c>
      <c r="Q8" s="69">
        <f t="shared" si="9"/>
        <v>187.09677419354838</v>
      </c>
      <c r="R8" s="69">
        <f t="shared" si="9"/>
        <v>187.09677419354838</v>
      </c>
      <c r="S8" s="69">
        <f t="shared" si="9"/>
        <v>187.09677419354838</v>
      </c>
      <c r="T8" s="69">
        <f t="shared" si="9"/>
        <v>187.09677419354838</v>
      </c>
      <c r="U8" s="69">
        <f t="shared" si="9"/>
        <v>187.09677419354838</v>
      </c>
      <c r="V8" s="69">
        <f t="shared" si="9"/>
        <v>187.09677419354838</v>
      </c>
      <c r="W8" s="69">
        <f t="shared" si="9"/>
        <v>187.09677419354838</v>
      </c>
      <c r="X8" s="69">
        <f t="shared" si="9"/>
        <v>187.09677419354838</v>
      </c>
      <c r="Y8" s="69">
        <f t="shared" si="9"/>
        <v>187.09677419354838</v>
      </c>
      <c r="Z8" s="69">
        <f t="shared" si="9"/>
        <v>187.09677419354838</v>
      </c>
      <c r="AA8" s="69">
        <f t="shared" si="9"/>
        <v>187.09677419354838</v>
      </c>
      <c r="AB8" s="69">
        <f t="shared" si="9"/>
        <v>187.09677419354838</v>
      </c>
      <c r="AC8" s="69">
        <f t="shared" si="9"/>
        <v>187.09677419354838</v>
      </c>
      <c r="AD8" s="69">
        <f t="shared" si="9"/>
        <v>187.09677419354838</v>
      </c>
      <c r="AE8" s="69">
        <f t="shared" si="9"/>
        <v>187.09677419354838</v>
      </c>
      <c r="AF8" s="69">
        <f t="shared" si="9"/>
        <v>187.09677419354838</v>
      </c>
      <c r="AG8" s="56">
        <f t="shared" si="5"/>
        <v>5799.9999999999982</v>
      </c>
      <c r="AH8" s="67">
        <f t="shared" si="6"/>
        <v>187.09677419354833</v>
      </c>
      <c r="AI8" s="68">
        <f t="shared" si="7"/>
        <v>1.3862398959842066</v>
      </c>
      <c r="AJ8" s="14"/>
      <c r="AK8" s="14"/>
      <c r="AN8" s="74"/>
      <c r="AS8" s="14"/>
      <c r="AT8" s="14"/>
      <c r="AU8" s="14"/>
      <c r="AV8" s="14"/>
      <c r="AW8" s="14"/>
      <c r="AX8" s="14"/>
      <c r="AY8" s="14"/>
      <c r="AZ8" s="14"/>
      <c r="BA8" s="14"/>
      <c r="BB8" s="14"/>
      <c r="BC8" s="14"/>
      <c r="BD8" s="14"/>
      <c r="BE8" s="14"/>
      <c r="BF8" s="14"/>
      <c r="BG8" s="14"/>
    </row>
    <row r="9" spans="1:59"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1"/>
      <c r="AH9" s="71"/>
      <c r="AI9" s="72"/>
      <c r="AJ9" s="14"/>
      <c r="AK9" s="14"/>
      <c r="AN9" s="74"/>
      <c r="AS9" s="14"/>
      <c r="AT9" s="14"/>
      <c r="AU9" s="14"/>
      <c r="AV9" s="14"/>
      <c r="AW9" s="14"/>
      <c r="AX9" s="14"/>
      <c r="AY9" s="14"/>
      <c r="AZ9" s="14"/>
      <c r="BA9" s="14"/>
      <c r="BB9" s="14"/>
      <c r="BC9" s="14"/>
      <c r="BD9" s="14"/>
      <c r="BE9" s="14"/>
      <c r="BF9" s="14"/>
      <c r="BG9" s="14"/>
    </row>
    <row r="10" spans="1:59" ht="15.75" customHeight="1" x14ac:dyDescent="0.2">
      <c r="A10" s="4" t="s">
        <v>169</v>
      </c>
      <c r="B10" s="69">
        <f>50+20+40+50+100+40</f>
        <v>300</v>
      </c>
      <c r="C10" s="69">
        <f>60+20+40+60+40+30+120+40+50</f>
        <v>460</v>
      </c>
      <c r="D10" s="69">
        <f>50+20+20+100+1450+30+50+50+120</f>
        <v>1890</v>
      </c>
      <c r="E10" s="69">
        <f>120+60+40+60+30+40+110+40</f>
        <v>500</v>
      </c>
      <c r="F10" s="69">
        <f>100+450+50+50+100+40+50</f>
        <v>840</v>
      </c>
      <c r="G10" s="69">
        <f>120+40+100+30+100+40+50+50+20+40+50</f>
        <v>640</v>
      </c>
      <c r="H10" s="69">
        <f>50+20+50+30+30+100+50+40+120</f>
        <v>490</v>
      </c>
      <c r="I10" s="69">
        <f>70+30+30+280+80+30+60+40+50+30</f>
        <v>700</v>
      </c>
      <c r="J10" s="69">
        <f>100+40+80+40+50+100+50+40+50</f>
        <v>550</v>
      </c>
      <c r="K10" s="69">
        <f>50+20+50+100+50+50+40+50</f>
        <v>410</v>
      </c>
      <c r="L10" s="69">
        <f>20+50+100+20+30+50</f>
        <v>270</v>
      </c>
      <c r="M10" s="69">
        <f>50+20+40+100+60+50+30+120</f>
        <v>470</v>
      </c>
      <c r="N10" s="69">
        <f>40+20+40+80+30+150+50+50+50</f>
        <v>510</v>
      </c>
      <c r="O10" s="69">
        <f>50+20+40+40+280+50+50+50+50</f>
        <v>630</v>
      </c>
      <c r="P10" s="69">
        <f>50+20+40+50+50+100</f>
        <v>310</v>
      </c>
      <c r="Q10" s="69">
        <f>50+10+40+60+50+280+50</f>
        <v>540</v>
      </c>
      <c r="R10" s="69">
        <f>40+10+50+60+40+50+100+20+30+50</f>
        <v>450</v>
      </c>
      <c r="S10" s="69">
        <f>40+40+160+40+100</f>
        <v>380</v>
      </c>
      <c r="T10" s="69">
        <f>30+10+50+30+50+100+50+40+50</f>
        <v>410</v>
      </c>
      <c r="U10" s="69">
        <f>40+20+60+30+40+50</f>
        <v>240</v>
      </c>
      <c r="V10" s="69">
        <f>40+20+50+50+70+40+100+20+20</f>
        <v>410</v>
      </c>
      <c r="W10" s="69">
        <f>40+20+300+1550+50+60+50+40+30+120</f>
        <v>2260</v>
      </c>
      <c r="X10" s="69">
        <f>40+20+50+100+40+50</f>
        <v>300</v>
      </c>
      <c r="Y10" s="69">
        <f>80+30+50+100+40+200+300+50+30+146+40+50+30</f>
        <v>1146</v>
      </c>
      <c r="Z10" s="69">
        <f>80+40+100+250+160+60+30+120+50</f>
        <v>890</v>
      </c>
      <c r="AA10" s="69">
        <f>60+40+120+60+50+150+60+100+50+50+220</f>
        <v>960</v>
      </c>
      <c r="AB10" s="69">
        <f>60+40+120+80+60+150+60+20+50+50</f>
        <v>690</v>
      </c>
      <c r="AC10" s="69">
        <f>60+40+120+40+165+70+100+50+50+30</f>
        <v>725</v>
      </c>
      <c r="AD10" s="69">
        <f>30+20+100+100+30+200+50+50</f>
        <v>580</v>
      </c>
      <c r="AE10" s="69">
        <f>80+40+120+50+120+70+100+80+30+140</f>
        <v>830</v>
      </c>
      <c r="AF10" s="69">
        <f>40+20+50+200+60+50+50+50+40+40+80+20</f>
        <v>700</v>
      </c>
      <c r="AG10" s="56">
        <f t="shared" ref="AG10:AG18" si="10">SUM(B10:AF10)</f>
        <v>20481</v>
      </c>
      <c r="AH10" s="67">
        <f t="shared" ref="AH10:AH18" si="11">IFERROR(AVERAGE(B10:AF10),0)</f>
        <v>660.67741935483866</v>
      </c>
      <c r="AI10" s="68">
        <f t="shared" ref="AI10:AI18" si="12">(AH10/$AH$29)*100</f>
        <v>4.8950998809745769</v>
      </c>
      <c r="AK10" s="14"/>
      <c r="AN10" s="74"/>
      <c r="AS10" s="14"/>
      <c r="AT10" s="14"/>
      <c r="AU10" s="14"/>
      <c r="AV10" s="14"/>
      <c r="AW10" s="14"/>
      <c r="AX10" s="14"/>
      <c r="AY10" s="14"/>
      <c r="AZ10" s="14"/>
      <c r="BA10" s="14"/>
      <c r="BB10" s="14"/>
      <c r="BC10" s="14"/>
      <c r="BD10" s="14"/>
      <c r="BE10" s="14"/>
      <c r="BF10" s="14"/>
      <c r="BG10" s="14"/>
    </row>
    <row r="11" spans="1:59" ht="15.75" customHeight="1" x14ac:dyDescent="0.2">
      <c r="A11" s="4" t="s">
        <v>170</v>
      </c>
      <c r="B11" s="69">
        <v>165</v>
      </c>
      <c r="C11" s="69">
        <v>165</v>
      </c>
      <c r="D11" s="69">
        <v>165</v>
      </c>
      <c r="E11" s="69">
        <v>385</v>
      </c>
      <c r="F11" s="69">
        <v>495</v>
      </c>
      <c r="G11" s="69">
        <v>550</v>
      </c>
      <c r="H11" s="69">
        <v>385</v>
      </c>
      <c r="I11" s="69">
        <v>440</v>
      </c>
      <c r="J11" s="69">
        <v>440</v>
      </c>
      <c r="K11" s="69">
        <v>385</v>
      </c>
      <c r="L11" s="69">
        <v>165</v>
      </c>
      <c r="M11" s="69">
        <v>165</v>
      </c>
      <c r="N11" s="69">
        <v>165</v>
      </c>
      <c r="O11" s="69">
        <v>165</v>
      </c>
      <c r="P11" s="69">
        <v>165</v>
      </c>
      <c r="Q11" s="69">
        <v>165</v>
      </c>
      <c r="R11" s="69">
        <v>165</v>
      </c>
      <c r="S11" s="69">
        <v>165</v>
      </c>
      <c r="T11" s="69">
        <v>165</v>
      </c>
      <c r="U11" s="69">
        <v>165</v>
      </c>
      <c r="V11" s="69">
        <v>165</v>
      </c>
      <c r="W11" s="69">
        <v>165</v>
      </c>
      <c r="X11" s="69">
        <v>165</v>
      </c>
      <c r="Y11" s="69">
        <v>165</v>
      </c>
      <c r="Z11" s="69">
        <v>545</v>
      </c>
      <c r="AA11" s="69">
        <v>605</v>
      </c>
      <c r="AB11" s="69">
        <v>895</v>
      </c>
      <c r="AC11" s="69">
        <v>600</v>
      </c>
      <c r="AD11" s="69">
        <v>275</v>
      </c>
      <c r="AE11" s="69">
        <v>650</v>
      </c>
      <c r="AF11" s="69">
        <v>600</v>
      </c>
      <c r="AG11" s="56">
        <f t="shared" si="10"/>
        <v>10055</v>
      </c>
      <c r="AH11" s="67">
        <f t="shared" si="11"/>
        <v>324.35483870967744</v>
      </c>
      <c r="AI11" s="68">
        <f t="shared" si="12"/>
        <v>2.4032141645036553</v>
      </c>
      <c r="AK11" s="14"/>
      <c r="AN11" s="74"/>
      <c r="AS11" s="14"/>
      <c r="AT11" s="14"/>
      <c r="AU11" s="14"/>
      <c r="AV11" s="14"/>
      <c r="AW11" s="14"/>
      <c r="AX11" s="14"/>
      <c r="AY11" s="14"/>
      <c r="AZ11" s="14"/>
      <c r="BA11" s="14"/>
      <c r="BB11" s="14"/>
      <c r="BC11" s="14"/>
      <c r="BD11" s="14"/>
      <c r="BE11" s="14"/>
      <c r="BF11" s="14"/>
      <c r="BG11" s="14"/>
    </row>
    <row r="12" spans="1:59" ht="15.75" customHeight="1" x14ac:dyDescent="0.2">
      <c r="A12" s="4" t="s">
        <v>171</v>
      </c>
      <c r="B12" s="69">
        <v>0</v>
      </c>
      <c r="C12" s="69">
        <v>65</v>
      </c>
      <c r="D12" s="69">
        <v>0</v>
      </c>
      <c r="E12" s="69">
        <v>65</v>
      </c>
      <c r="F12" s="69">
        <v>0</v>
      </c>
      <c r="G12" s="69">
        <v>65</v>
      </c>
      <c r="H12" s="69">
        <v>0</v>
      </c>
      <c r="I12" s="69">
        <v>65</v>
      </c>
      <c r="J12" s="69">
        <v>0</v>
      </c>
      <c r="K12" s="69">
        <v>0</v>
      </c>
      <c r="L12" s="69">
        <v>65</v>
      </c>
      <c r="M12" s="69">
        <v>0</v>
      </c>
      <c r="N12" s="69">
        <v>65</v>
      </c>
      <c r="O12" s="69">
        <v>0</v>
      </c>
      <c r="P12" s="69">
        <v>65</v>
      </c>
      <c r="Q12" s="69">
        <v>0</v>
      </c>
      <c r="R12" s="69">
        <v>65</v>
      </c>
      <c r="S12" s="69">
        <v>0</v>
      </c>
      <c r="T12" s="69">
        <v>65</v>
      </c>
      <c r="U12" s="69">
        <v>0</v>
      </c>
      <c r="V12" s="69">
        <v>65</v>
      </c>
      <c r="W12" s="69">
        <v>0</v>
      </c>
      <c r="X12" s="69">
        <v>65</v>
      </c>
      <c r="Y12" s="69">
        <v>0</v>
      </c>
      <c r="Z12" s="69">
        <v>65</v>
      </c>
      <c r="AA12" s="69">
        <v>0</v>
      </c>
      <c r="AB12" s="69">
        <v>65</v>
      </c>
      <c r="AC12" s="69">
        <v>0</v>
      </c>
      <c r="AD12" s="69">
        <v>65</v>
      </c>
      <c r="AE12" s="69">
        <v>0</v>
      </c>
      <c r="AF12" s="69">
        <v>65</v>
      </c>
      <c r="AG12" s="56">
        <f t="shared" si="10"/>
        <v>975</v>
      </c>
      <c r="AH12" s="67">
        <f t="shared" si="11"/>
        <v>31.451612903225808</v>
      </c>
      <c r="AI12" s="68">
        <f t="shared" si="12"/>
        <v>0.23303170665251757</v>
      </c>
      <c r="AK12" s="14"/>
      <c r="AN12" s="74"/>
      <c r="AS12" s="14"/>
      <c r="AT12" s="14"/>
      <c r="AU12" s="14"/>
      <c r="AV12" s="14"/>
      <c r="AW12" s="14"/>
      <c r="AX12" s="14"/>
      <c r="AY12" s="14"/>
      <c r="AZ12" s="14"/>
      <c r="BA12" s="14"/>
      <c r="BB12" s="14"/>
      <c r="BC12" s="14"/>
      <c r="BD12" s="14"/>
      <c r="BE12" s="14"/>
      <c r="BF12" s="14"/>
      <c r="BG12" s="14"/>
    </row>
    <row r="13" spans="1:59" ht="15.75" customHeight="1" x14ac:dyDescent="0.2">
      <c r="A13" s="4" t="s">
        <v>172</v>
      </c>
      <c r="B13" s="69">
        <v>370</v>
      </c>
      <c r="C13" s="69">
        <v>0</v>
      </c>
      <c r="D13" s="69">
        <v>0</v>
      </c>
      <c r="E13" s="69">
        <v>0</v>
      </c>
      <c r="F13" s="69">
        <v>370</v>
      </c>
      <c r="G13" s="69">
        <v>370</v>
      </c>
      <c r="H13" s="69">
        <v>370</v>
      </c>
      <c r="I13" s="69">
        <v>0</v>
      </c>
      <c r="J13" s="69">
        <v>370</v>
      </c>
      <c r="K13" s="69">
        <v>0</v>
      </c>
      <c r="L13" s="69">
        <v>370</v>
      </c>
      <c r="M13" s="69">
        <v>0</v>
      </c>
      <c r="N13" s="69">
        <v>370</v>
      </c>
      <c r="O13" s="69">
        <v>370</v>
      </c>
      <c r="P13" s="69">
        <v>370</v>
      </c>
      <c r="Q13" s="69">
        <v>0</v>
      </c>
      <c r="R13" s="69">
        <v>0</v>
      </c>
      <c r="S13" s="69">
        <v>0</v>
      </c>
      <c r="T13" s="69">
        <v>370</v>
      </c>
      <c r="U13" s="69">
        <v>0</v>
      </c>
      <c r="V13" s="69">
        <v>370</v>
      </c>
      <c r="W13" s="69">
        <v>0</v>
      </c>
      <c r="X13" s="69">
        <v>370</v>
      </c>
      <c r="Y13" s="69">
        <v>0</v>
      </c>
      <c r="Z13" s="69">
        <v>370</v>
      </c>
      <c r="AA13" s="69">
        <v>0</v>
      </c>
      <c r="AB13" s="69">
        <v>370</v>
      </c>
      <c r="AC13" s="69">
        <v>280</v>
      </c>
      <c r="AD13" s="69">
        <v>0</v>
      </c>
      <c r="AE13" s="69">
        <v>0</v>
      </c>
      <c r="AF13" s="69">
        <v>370</v>
      </c>
      <c r="AG13" s="56">
        <f t="shared" si="10"/>
        <v>5830</v>
      </c>
      <c r="AH13" s="67">
        <f t="shared" si="11"/>
        <v>188.06451612903226</v>
      </c>
      <c r="AI13" s="68">
        <f t="shared" si="12"/>
        <v>1.3934101023427461</v>
      </c>
      <c r="AK13" s="14"/>
      <c r="AN13" s="74"/>
      <c r="AS13" s="14"/>
      <c r="AT13" s="14"/>
      <c r="AU13" s="14"/>
      <c r="AV13" s="14"/>
      <c r="AW13" s="14"/>
      <c r="AX13" s="14"/>
      <c r="AY13" s="14"/>
      <c r="AZ13" s="14"/>
      <c r="BA13" s="14"/>
      <c r="BB13" s="14"/>
      <c r="BC13" s="14"/>
      <c r="BD13" s="14"/>
      <c r="BE13" s="14"/>
      <c r="BF13" s="14"/>
      <c r="BG13" s="14"/>
    </row>
    <row r="14" spans="1:59" ht="15.75" customHeight="1" x14ac:dyDescent="0.2">
      <c r="A14" s="4" t="s">
        <v>173</v>
      </c>
      <c r="B14" s="69">
        <v>80</v>
      </c>
      <c r="C14" s="69">
        <v>0</v>
      </c>
      <c r="D14" s="69">
        <v>0</v>
      </c>
      <c r="E14" s="69">
        <v>0</v>
      </c>
      <c r="F14" s="69">
        <v>0</v>
      </c>
      <c r="G14" s="69">
        <v>0</v>
      </c>
      <c r="H14" s="69">
        <v>180</v>
      </c>
      <c r="I14" s="69">
        <v>0</v>
      </c>
      <c r="J14" s="69">
        <v>120</v>
      </c>
      <c r="K14" s="69">
        <v>0</v>
      </c>
      <c r="L14" s="69">
        <v>0</v>
      </c>
      <c r="M14" s="69">
        <v>120</v>
      </c>
      <c r="N14" s="69">
        <v>196</v>
      </c>
      <c r="O14" s="69">
        <v>80</v>
      </c>
      <c r="P14" s="69">
        <v>80</v>
      </c>
      <c r="Q14" s="69">
        <v>0</v>
      </c>
      <c r="R14" s="69">
        <v>0</v>
      </c>
      <c r="S14" s="69">
        <v>50</v>
      </c>
      <c r="T14" s="69">
        <v>0</v>
      </c>
      <c r="U14" s="69">
        <v>135</v>
      </c>
      <c r="V14" s="69">
        <v>80</v>
      </c>
      <c r="W14" s="69">
        <v>0</v>
      </c>
      <c r="X14" s="69">
        <v>0</v>
      </c>
      <c r="Y14" s="69">
        <v>80</v>
      </c>
      <c r="Z14" s="69">
        <v>0</v>
      </c>
      <c r="AA14" s="69">
        <v>147</v>
      </c>
      <c r="AB14" s="69">
        <v>0</v>
      </c>
      <c r="AC14" s="69">
        <v>120</v>
      </c>
      <c r="AD14" s="69">
        <v>0</v>
      </c>
      <c r="AE14" s="69">
        <v>135</v>
      </c>
      <c r="AF14" s="69">
        <v>0</v>
      </c>
      <c r="AG14" s="56">
        <f t="shared" si="10"/>
        <v>1603</v>
      </c>
      <c r="AH14" s="67">
        <f t="shared" si="11"/>
        <v>51.70967741935484</v>
      </c>
      <c r="AI14" s="68">
        <f t="shared" si="12"/>
        <v>0.3831280264246007</v>
      </c>
      <c r="AJ14" s="14"/>
      <c r="AK14" s="14"/>
      <c r="AS14" s="14"/>
      <c r="AT14" s="14"/>
      <c r="AU14" s="14"/>
      <c r="AV14" s="14"/>
      <c r="AW14" s="14"/>
      <c r="AX14" s="14"/>
      <c r="AY14" s="14"/>
      <c r="AZ14" s="14"/>
      <c r="BA14" s="14"/>
      <c r="BB14" s="14"/>
      <c r="BC14" s="14"/>
      <c r="BD14" s="14"/>
      <c r="BE14" s="14"/>
      <c r="BF14" s="14"/>
      <c r="BG14" s="14"/>
    </row>
    <row r="15" spans="1:59" ht="15.75" customHeight="1" x14ac:dyDescent="0.2">
      <c r="A15" s="4" t="s">
        <v>174</v>
      </c>
      <c r="B15" s="69">
        <v>0</v>
      </c>
      <c r="C15" s="69">
        <v>150</v>
      </c>
      <c r="D15" s="69">
        <v>0</v>
      </c>
      <c r="E15" s="69">
        <v>0</v>
      </c>
      <c r="F15" s="69">
        <v>0</v>
      </c>
      <c r="G15" s="69">
        <v>0</v>
      </c>
      <c r="H15" s="69">
        <v>0</v>
      </c>
      <c r="I15" s="69">
        <v>0</v>
      </c>
      <c r="J15" s="69">
        <v>70</v>
      </c>
      <c r="K15" s="69">
        <v>0</v>
      </c>
      <c r="L15" s="69">
        <v>0</v>
      </c>
      <c r="M15" s="69">
        <v>0</v>
      </c>
      <c r="N15" s="69">
        <v>105</v>
      </c>
      <c r="O15" s="69">
        <v>0</v>
      </c>
      <c r="P15" s="69">
        <v>0</v>
      </c>
      <c r="Q15" s="69">
        <v>0</v>
      </c>
      <c r="R15" s="69">
        <v>0</v>
      </c>
      <c r="S15" s="69">
        <v>0</v>
      </c>
      <c r="T15" s="69">
        <v>70</v>
      </c>
      <c r="U15" s="69">
        <v>0</v>
      </c>
      <c r="V15" s="69">
        <v>0</v>
      </c>
      <c r="W15" s="69">
        <v>70</v>
      </c>
      <c r="X15" s="69">
        <v>0</v>
      </c>
      <c r="Y15" s="69">
        <v>0</v>
      </c>
      <c r="Z15" s="69">
        <v>0</v>
      </c>
      <c r="AA15" s="69">
        <v>105</v>
      </c>
      <c r="AB15" s="69">
        <v>105</v>
      </c>
      <c r="AC15" s="69">
        <v>70</v>
      </c>
      <c r="AD15" s="69">
        <v>0</v>
      </c>
      <c r="AE15" s="69">
        <v>70</v>
      </c>
      <c r="AF15" s="69">
        <v>0</v>
      </c>
      <c r="AG15" s="56">
        <f t="shared" si="10"/>
        <v>815</v>
      </c>
      <c r="AH15" s="67">
        <f t="shared" si="11"/>
        <v>26.29032258064516</v>
      </c>
      <c r="AI15" s="68">
        <f t="shared" si="12"/>
        <v>0.19479060607364287</v>
      </c>
      <c r="AJ15" s="14"/>
      <c r="AK15" s="14"/>
      <c r="AS15" s="14"/>
      <c r="AT15" s="14"/>
      <c r="AU15" s="14"/>
      <c r="AV15" s="14"/>
      <c r="AW15" s="14"/>
      <c r="AX15" s="14"/>
      <c r="AY15" s="14"/>
      <c r="AZ15" s="14"/>
      <c r="BA15" s="14"/>
      <c r="BB15" s="14"/>
      <c r="BC15" s="14"/>
      <c r="BD15" s="14"/>
      <c r="BE15" s="14"/>
      <c r="BF15" s="14"/>
      <c r="BG15" s="14"/>
    </row>
    <row r="16" spans="1:59" ht="15.75" customHeight="1" x14ac:dyDescent="0.2">
      <c r="A16" s="4" t="s">
        <v>175</v>
      </c>
      <c r="B16" s="69">
        <v>0</v>
      </c>
      <c r="C16" s="69">
        <v>190</v>
      </c>
      <c r="D16" s="69">
        <v>0</v>
      </c>
      <c r="E16" s="69">
        <v>190</v>
      </c>
      <c r="F16" s="69">
        <v>0</v>
      </c>
      <c r="G16" s="69">
        <v>190</v>
      </c>
      <c r="H16" s="69">
        <v>0</v>
      </c>
      <c r="I16" s="69">
        <v>200</v>
      </c>
      <c r="J16" s="69">
        <v>200</v>
      </c>
      <c r="K16" s="69">
        <v>0</v>
      </c>
      <c r="L16" s="69">
        <v>190</v>
      </c>
      <c r="M16" s="69">
        <v>0</v>
      </c>
      <c r="N16" s="69">
        <v>190</v>
      </c>
      <c r="O16" s="69">
        <v>0</v>
      </c>
      <c r="P16" s="69">
        <v>190</v>
      </c>
      <c r="Q16" s="69">
        <v>0</v>
      </c>
      <c r="R16" s="69">
        <v>0</v>
      </c>
      <c r="S16" s="69">
        <v>190</v>
      </c>
      <c r="T16" s="69">
        <v>0</v>
      </c>
      <c r="U16" s="69">
        <v>190</v>
      </c>
      <c r="V16" s="69">
        <v>180</v>
      </c>
      <c r="W16" s="69">
        <v>180</v>
      </c>
      <c r="X16" s="69">
        <v>0</v>
      </c>
      <c r="Y16" s="69">
        <v>180</v>
      </c>
      <c r="Z16" s="69">
        <v>0</v>
      </c>
      <c r="AA16" s="69">
        <v>180</v>
      </c>
      <c r="AB16" s="69">
        <v>0</v>
      </c>
      <c r="AC16" s="69">
        <v>180</v>
      </c>
      <c r="AD16" s="69">
        <v>0</v>
      </c>
      <c r="AE16" s="69">
        <v>180</v>
      </c>
      <c r="AF16" s="69">
        <v>0</v>
      </c>
      <c r="AG16" s="56">
        <f t="shared" si="10"/>
        <v>3000</v>
      </c>
      <c r="AH16" s="67">
        <f t="shared" si="11"/>
        <v>96.774193548387103</v>
      </c>
      <c r="AI16" s="68">
        <f t="shared" si="12"/>
        <v>0.71702063585390019</v>
      </c>
      <c r="AJ16" s="14"/>
      <c r="AK16" s="14"/>
      <c r="AS16" s="14"/>
      <c r="AT16" s="14"/>
      <c r="AU16" s="14"/>
      <c r="AV16" s="14"/>
      <c r="AW16" s="14"/>
      <c r="AX16" s="14"/>
      <c r="AY16" s="14"/>
      <c r="AZ16" s="14"/>
      <c r="BA16" s="14"/>
      <c r="BB16" s="14"/>
      <c r="BC16" s="14"/>
      <c r="BD16" s="14"/>
      <c r="BE16" s="14"/>
      <c r="BF16" s="14"/>
      <c r="BG16" s="14"/>
    </row>
    <row r="17" spans="1:59" ht="15.75" customHeight="1" x14ac:dyDescent="0.2">
      <c r="A17" s="4" t="s">
        <v>176</v>
      </c>
      <c r="B17" s="69">
        <v>0</v>
      </c>
      <c r="C17" s="69">
        <v>80</v>
      </c>
      <c r="D17" s="69">
        <v>0</v>
      </c>
      <c r="E17" s="69">
        <v>0</v>
      </c>
      <c r="F17" s="69">
        <v>65</v>
      </c>
      <c r="G17" s="69">
        <v>0</v>
      </c>
      <c r="H17" s="69">
        <v>65</v>
      </c>
      <c r="I17" s="69">
        <f>65+84</f>
        <v>149</v>
      </c>
      <c r="J17" s="69">
        <f>65</f>
        <v>65</v>
      </c>
      <c r="K17" s="69">
        <f>40+40</f>
        <v>80</v>
      </c>
      <c r="L17" s="69">
        <v>0</v>
      </c>
      <c r="M17" s="69">
        <v>0</v>
      </c>
      <c r="N17" s="69">
        <v>0</v>
      </c>
      <c r="O17" s="69">
        <v>84</v>
      </c>
      <c r="P17" s="69">
        <v>0</v>
      </c>
      <c r="Q17" s="69">
        <v>0</v>
      </c>
      <c r="R17" s="69">
        <v>0</v>
      </c>
      <c r="S17" s="69">
        <f>190+80</f>
        <v>270</v>
      </c>
      <c r="T17" s="69">
        <v>0</v>
      </c>
      <c r="U17" s="69">
        <f>89+56</f>
        <v>145</v>
      </c>
      <c r="V17" s="69">
        <v>65</v>
      </c>
      <c r="W17" s="69">
        <v>0</v>
      </c>
      <c r="X17" s="69">
        <v>0</v>
      </c>
      <c r="Y17" s="69">
        <f>84</f>
        <v>84</v>
      </c>
      <c r="Z17" s="69">
        <v>500</v>
      </c>
      <c r="AA17" s="69">
        <f>200+50+30</f>
        <v>280</v>
      </c>
      <c r="AB17" s="69">
        <v>0</v>
      </c>
      <c r="AC17" s="69">
        <f>130+85</f>
        <v>215</v>
      </c>
      <c r="AD17" s="69">
        <v>0</v>
      </c>
      <c r="AE17" s="69">
        <f>300+200+190</f>
        <v>690</v>
      </c>
      <c r="AF17" s="69">
        <f>80+85+80+390</f>
        <v>635</v>
      </c>
      <c r="AG17" s="56">
        <f t="shared" si="10"/>
        <v>3472</v>
      </c>
      <c r="AH17" s="67">
        <f t="shared" si="11"/>
        <v>112</v>
      </c>
      <c r="AI17" s="68">
        <f t="shared" si="12"/>
        <v>0.82983188256158058</v>
      </c>
      <c r="AJ17" s="14"/>
      <c r="AK17" s="14"/>
      <c r="AS17" s="14"/>
      <c r="AT17" s="14"/>
      <c r="AU17" s="14"/>
      <c r="AV17" s="14"/>
      <c r="AW17" s="14"/>
      <c r="AX17" s="14"/>
      <c r="AY17" s="14"/>
      <c r="AZ17" s="14"/>
      <c r="BA17" s="14"/>
      <c r="BB17" s="14"/>
      <c r="BC17" s="14"/>
      <c r="BD17" s="14"/>
      <c r="BE17" s="14"/>
      <c r="BF17" s="14"/>
      <c r="BG17" s="14"/>
    </row>
    <row r="18" spans="1:59" ht="15.75" customHeight="1" x14ac:dyDescent="0.2">
      <c r="A18" s="4" t="s">
        <v>177</v>
      </c>
      <c r="B18" s="69">
        <v>0</v>
      </c>
      <c r="C18" s="69">
        <v>0</v>
      </c>
      <c r="D18" s="69">
        <v>200</v>
      </c>
      <c r="E18" s="69">
        <v>0</v>
      </c>
      <c r="F18" s="69">
        <v>80</v>
      </c>
      <c r="G18" s="69">
        <v>0</v>
      </c>
      <c r="H18" s="69">
        <v>200</v>
      </c>
      <c r="I18" s="69">
        <v>0</v>
      </c>
      <c r="J18" s="69">
        <v>0</v>
      </c>
      <c r="K18" s="69">
        <v>80</v>
      </c>
      <c r="L18" s="69">
        <v>0</v>
      </c>
      <c r="M18" s="69">
        <v>180</v>
      </c>
      <c r="N18" s="69">
        <v>0</v>
      </c>
      <c r="O18" s="69">
        <v>0</v>
      </c>
      <c r="P18" s="69">
        <v>80</v>
      </c>
      <c r="Q18" s="69">
        <v>0</v>
      </c>
      <c r="R18" s="69">
        <v>0</v>
      </c>
      <c r="S18" s="69">
        <v>0</v>
      </c>
      <c r="T18" s="69">
        <v>0</v>
      </c>
      <c r="U18" s="69">
        <v>0</v>
      </c>
      <c r="V18" s="69">
        <v>70</v>
      </c>
      <c r="W18" s="69">
        <v>200</v>
      </c>
      <c r="X18" s="69">
        <v>0</v>
      </c>
      <c r="Y18" s="69">
        <v>0</v>
      </c>
      <c r="Z18" s="69">
        <v>60</v>
      </c>
      <c r="AA18" s="69">
        <v>270</v>
      </c>
      <c r="AB18" s="69">
        <v>0</v>
      </c>
      <c r="AC18" s="69">
        <v>0</v>
      </c>
      <c r="AD18" s="69">
        <v>60</v>
      </c>
      <c r="AE18" s="69">
        <v>200</v>
      </c>
      <c r="AF18" s="69">
        <v>80</v>
      </c>
      <c r="AG18" s="56">
        <f t="shared" si="10"/>
        <v>1760</v>
      </c>
      <c r="AH18" s="67">
        <f t="shared" si="11"/>
        <v>56.774193548387096</v>
      </c>
      <c r="AI18" s="68">
        <f t="shared" si="12"/>
        <v>0.42065210636762151</v>
      </c>
      <c r="AJ18" s="14"/>
      <c r="AK18" s="14"/>
      <c r="AO18" s="14"/>
      <c r="AP18" s="14"/>
      <c r="AQ18" s="14"/>
      <c r="AR18" s="14"/>
      <c r="AS18" s="14"/>
      <c r="AT18" s="14"/>
      <c r="AU18" s="14"/>
      <c r="AV18" s="14"/>
      <c r="AW18" s="14"/>
      <c r="AX18" s="14"/>
      <c r="AY18" s="14"/>
      <c r="AZ18" s="14"/>
      <c r="BA18" s="14"/>
      <c r="BB18" s="14"/>
      <c r="BC18" s="14"/>
      <c r="BD18" s="14"/>
      <c r="BE18" s="14"/>
      <c r="BF18" s="14"/>
      <c r="BG18" s="14"/>
    </row>
    <row r="19" spans="1:59"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1"/>
      <c r="AH19" s="71"/>
      <c r="AI19" s="72"/>
      <c r="AJ19" s="14"/>
      <c r="AK19" s="14"/>
      <c r="AO19" s="14"/>
      <c r="AP19" s="14"/>
      <c r="AQ19" s="14"/>
      <c r="AR19" s="14"/>
      <c r="AS19" s="14"/>
      <c r="AT19" s="14"/>
      <c r="AU19" s="14"/>
      <c r="AV19" s="14"/>
      <c r="AW19" s="14"/>
      <c r="AX19" s="14"/>
      <c r="AY19" s="14"/>
      <c r="AZ19" s="14"/>
      <c r="BA19" s="14"/>
      <c r="BB19" s="14"/>
      <c r="BC19" s="14"/>
      <c r="BD19" s="14"/>
      <c r="BE19" s="14"/>
      <c r="BF19" s="14"/>
      <c r="BG19" s="14"/>
    </row>
    <row r="20" spans="1:59" ht="15.75" customHeight="1" x14ac:dyDescent="0.2">
      <c r="A20" s="4" t="s">
        <v>179</v>
      </c>
      <c r="B20" s="69">
        <f t="shared" ref="B20:AF20" si="13">$B$53/$B$59</f>
        <v>629.0322580645161</v>
      </c>
      <c r="C20" s="69">
        <f t="shared" si="13"/>
        <v>629.0322580645161</v>
      </c>
      <c r="D20" s="69">
        <f t="shared" si="13"/>
        <v>629.0322580645161</v>
      </c>
      <c r="E20" s="69">
        <f t="shared" si="13"/>
        <v>629.0322580645161</v>
      </c>
      <c r="F20" s="69">
        <f t="shared" si="13"/>
        <v>629.0322580645161</v>
      </c>
      <c r="G20" s="69">
        <f t="shared" si="13"/>
        <v>629.0322580645161</v>
      </c>
      <c r="H20" s="69">
        <f t="shared" si="13"/>
        <v>629.0322580645161</v>
      </c>
      <c r="I20" s="69">
        <f t="shared" si="13"/>
        <v>629.0322580645161</v>
      </c>
      <c r="J20" s="69">
        <f t="shared" si="13"/>
        <v>629.0322580645161</v>
      </c>
      <c r="K20" s="69">
        <f t="shared" si="13"/>
        <v>629.0322580645161</v>
      </c>
      <c r="L20" s="69">
        <f t="shared" si="13"/>
        <v>629.0322580645161</v>
      </c>
      <c r="M20" s="69">
        <f t="shared" si="13"/>
        <v>629.0322580645161</v>
      </c>
      <c r="N20" s="69">
        <f t="shared" si="13"/>
        <v>629.0322580645161</v>
      </c>
      <c r="O20" s="69">
        <f t="shared" si="13"/>
        <v>629.0322580645161</v>
      </c>
      <c r="P20" s="69">
        <f t="shared" si="13"/>
        <v>629.0322580645161</v>
      </c>
      <c r="Q20" s="69">
        <f t="shared" si="13"/>
        <v>629.0322580645161</v>
      </c>
      <c r="R20" s="69">
        <f t="shared" si="13"/>
        <v>629.0322580645161</v>
      </c>
      <c r="S20" s="69">
        <f t="shared" si="13"/>
        <v>629.0322580645161</v>
      </c>
      <c r="T20" s="69">
        <f t="shared" si="13"/>
        <v>629.0322580645161</v>
      </c>
      <c r="U20" s="69">
        <f t="shared" si="13"/>
        <v>629.0322580645161</v>
      </c>
      <c r="V20" s="69">
        <f t="shared" si="13"/>
        <v>629.0322580645161</v>
      </c>
      <c r="W20" s="69">
        <f t="shared" si="13"/>
        <v>629.0322580645161</v>
      </c>
      <c r="X20" s="69">
        <f t="shared" si="13"/>
        <v>629.0322580645161</v>
      </c>
      <c r="Y20" s="69">
        <f t="shared" si="13"/>
        <v>629.0322580645161</v>
      </c>
      <c r="Z20" s="69">
        <f t="shared" si="13"/>
        <v>629.0322580645161</v>
      </c>
      <c r="AA20" s="69">
        <f t="shared" si="13"/>
        <v>629.0322580645161</v>
      </c>
      <c r="AB20" s="69">
        <f t="shared" si="13"/>
        <v>629.0322580645161</v>
      </c>
      <c r="AC20" s="69">
        <f t="shared" si="13"/>
        <v>629.0322580645161</v>
      </c>
      <c r="AD20" s="69">
        <f t="shared" si="13"/>
        <v>629.0322580645161</v>
      </c>
      <c r="AE20" s="69">
        <f t="shared" si="13"/>
        <v>629.0322580645161</v>
      </c>
      <c r="AF20" s="69">
        <f t="shared" si="13"/>
        <v>629.0322580645161</v>
      </c>
      <c r="AG20" s="56">
        <f t="shared" ref="AG20:AG22" si="14">SUM(B20:AF20)</f>
        <v>19499.999999999985</v>
      </c>
      <c r="AH20" s="67">
        <f t="shared" ref="AH20:AH22" si="15">IFERROR(AVERAGE(B20:AF20),0)</f>
        <v>629.03225806451564</v>
      </c>
      <c r="AI20" s="68">
        <f t="shared" ref="AI20:AI22" si="16">(AH20/$AH$29)*100</f>
        <v>4.6606341330503476</v>
      </c>
      <c r="AJ20" s="14"/>
      <c r="AK20" s="14"/>
      <c r="AO20" s="14"/>
      <c r="AP20" s="14"/>
      <c r="AQ20" s="14"/>
      <c r="AR20" s="14"/>
      <c r="AS20" s="14"/>
      <c r="AT20" s="14"/>
      <c r="AU20" s="14"/>
      <c r="AV20" s="14"/>
      <c r="AW20" s="14"/>
      <c r="AX20" s="14"/>
      <c r="AY20" s="14"/>
      <c r="AZ20" s="14"/>
      <c r="BA20" s="14"/>
      <c r="BB20" s="14"/>
      <c r="BC20" s="14"/>
      <c r="BD20" s="14"/>
      <c r="BE20" s="14"/>
      <c r="BF20" s="14"/>
      <c r="BG20" s="14"/>
    </row>
    <row r="21" spans="1:59" ht="15.75" customHeight="1" x14ac:dyDescent="0.2">
      <c r="A21" s="4" t="s">
        <v>180</v>
      </c>
      <c r="B21" s="69">
        <f t="shared" ref="B21:AF21" si="17">$B$54/$B$59</f>
        <v>120.96774193548387</v>
      </c>
      <c r="C21" s="69">
        <f t="shared" si="17"/>
        <v>120.96774193548387</v>
      </c>
      <c r="D21" s="69">
        <f t="shared" si="17"/>
        <v>120.96774193548387</v>
      </c>
      <c r="E21" s="69">
        <f t="shared" si="17"/>
        <v>120.96774193548387</v>
      </c>
      <c r="F21" s="69">
        <f t="shared" si="17"/>
        <v>120.96774193548387</v>
      </c>
      <c r="G21" s="69">
        <f t="shared" si="17"/>
        <v>120.96774193548387</v>
      </c>
      <c r="H21" s="69">
        <f t="shared" si="17"/>
        <v>120.96774193548387</v>
      </c>
      <c r="I21" s="69">
        <f t="shared" si="17"/>
        <v>120.96774193548387</v>
      </c>
      <c r="J21" s="69">
        <f t="shared" si="17"/>
        <v>120.96774193548387</v>
      </c>
      <c r="K21" s="69">
        <f t="shared" si="17"/>
        <v>120.96774193548387</v>
      </c>
      <c r="L21" s="69">
        <f t="shared" si="17"/>
        <v>120.96774193548387</v>
      </c>
      <c r="M21" s="69">
        <f t="shared" si="17"/>
        <v>120.96774193548387</v>
      </c>
      <c r="N21" s="69">
        <f t="shared" si="17"/>
        <v>120.96774193548387</v>
      </c>
      <c r="O21" s="69">
        <f t="shared" si="17"/>
        <v>120.96774193548387</v>
      </c>
      <c r="P21" s="69">
        <f t="shared" si="17"/>
        <v>120.96774193548387</v>
      </c>
      <c r="Q21" s="69">
        <f t="shared" si="17"/>
        <v>120.96774193548387</v>
      </c>
      <c r="R21" s="69">
        <f t="shared" si="17"/>
        <v>120.96774193548387</v>
      </c>
      <c r="S21" s="69">
        <f t="shared" si="17"/>
        <v>120.96774193548387</v>
      </c>
      <c r="T21" s="69">
        <f t="shared" si="17"/>
        <v>120.96774193548387</v>
      </c>
      <c r="U21" s="69">
        <f t="shared" si="17"/>
        <v>120.96774193548387</v>
      </c>
      <c r="V21" s="69">
        <f t="shared" si="17"/>
        <v>120.96774193548387</v>
      </c>
      <c r="W21" s="69">
        <f t="shared" si="17"/>
        <v>120.96774193548387</v>
      </c>
      <c r="X21" s="69">
        <f t="shared" si="17"/>
        <v>120.96774193548387</v>
      </c>
      <c r="Y21" s="69">
        <f t="shared" si="17"/>
        <v>120.96774193548387</v>
      </c>
      <c r="Z21" s="69">
        <f t="shared" si="17"/>
        <v>120.96774193548387</v>
      </c>
      <c r="AA21" s="69">
        <f t="shared" si="17"/>
        <v>120.96774193548387</v>
      </c>
      <c r="AB21" s="69">
        <f t="shared" si="17"/>
        <v>120.96774193548387</v>
      </c>
      <c r="AC21" s="69">
        <f t="shared" si="17"/>
        <v>120.96774193548387</v>
      </c>
      <c r="AD21" s="69">
        <f t="shared" si="17"/>
        <v>120.96774193548387</v>
      </c>
      <c r="AE21" s="69">
        <f t="shared" si="17"/>
        <v>120.96774193548387</v>
      </c>
      <c r="AF21" s="69">
        <f t="shared" si="17"/>
        <v>120.96774193548387</v>
      </c>
      <c r="AG21" s="56">
        <f t="shared" si="14"/>
        <v>3750.0000000000005</v>
      </c>
      <c r="AH21" s="67">
        <f t="shared" si="15"/>
        <v>120.96774193548389</v>
      </c>
      <c r="AI21" s="68">
        <f t="shared" si="16"/>
        <v>0.89627579481737529</v>
      </c>
      <c r="AJ21" s="14"/>
      <c r="AK21" s="14"/>
      <c r="AO21" s="14"/>
      <c r="AP21" s="14"/>
      <c r="AQ21" s="14"/>
      <c r="AR21" s="14"/>
      <c r="AS21" s="14"/>
      <c r="AT21" s="14"/>
      <c r="AU21" s="14"/>
      <c r="AV21" s="14"/>
      <c r="AW21" s="14"/>
      <c r="AX21" s="14"/>
      <c r="AY21" s="14"/>
      <c r="AZ21" s="14"/>
      <c r="BA21" s="14"/>
      <c r="BB21" s="14"/>
      <c r="BC21" s="14"/>
      <c r="BD21" s="14"/>
      <c r="BE21" s="14"/>
      <c r="BF21" s="14"/>
      <c r="BG21" s="14"/>
    </row>
    <row r="22" spans="1:59" ht="15.75" customHeight="1" x14ac:dyDescent="0.2">
      <c r="A22" s="4" t="s">
        <v>181</v>
      </c>
      <c r="B22" s="69">
        <f t="shared" ref="B22:AF22" si="18">$B$55/$B$59</f>
        <v>62.903225806451616</v>
      </c>
      <c r="C22" s="69">
        <f t="shared" si="18"/>
        <v>62.903225806451616</v>
      </c>
      <c r="D22" s="69">
        <f t="shared" si="18"/>
        <v>62.903225806451616</v>
      </c>
      <c r="E22" s="69">
        <f t="shared" si="18"/>
        <v>62.903225806451616</v>
      </c>
      <c r="F22" s="69">
        <f t="shared" si="18"/>
        <v>62.903225806451616</v>
      </c>
      <c r="G22" s="69">
        <f t="shared" si="18"/>
        <v>62.903225806451616</v>
      </c>
      <c r="H22" s="69">
        <f t="shared" si="18"/>
        <v>62.903225806451616</v>
      </c>
      <c r="I22" s="69">
        <f t="shared" si="18"/>
        <v>62.903225806451616</v>
      </c>
      <c r="J22" s="69">
        <f t="shared" si="18"/>
        <v>62.903225806451616</v>
      </c>
      <c r="K22" s="69">
        <f t="shared" si="18"/>
        <v>62.903225806451616</v>
      </c>
      <c r="L22" s="69">
        <f t="shared" si="18"/>
        <v>62.903225806451616</v>
      </c>
      <c r="M22" s="69">
        <f t="shared" si="18"/>
        <v>62.903225806451616</v>
      </c>
      <c r="N22" s="69">
        <f t="shared" si="18"/>
        <v>62.903225806451616</v>
      </c>
      <c r="O22" s="69">
        <f t="shared" si="18"/>
        <v>62.903225806451616</v>
      </c>
      <c r="P22" s="69">
        <f t="shared" si="18"/>
        <v>62.903225806451616</v>
      </c>
      <c r="Q22" s="69">
        <f t="shared" si="18"/>
        <v>62.903225806451616</v>
      </c>
      <c r="R22" s="69">
        <f t="shared" si="18"/>
        <v>62.903225806451616</v>
      </c>
      <c r="S22" s="69">
        <f t="shared" si="18"/>
        <v>62.903225806451616</v>
      </c>
      <c r="T22" s="69">
        <f t="shared" si="18"/>
        <v>62.903225806451616</v>
      </c>
      <c r="U22" s="69">
        <f t="shared" si="18"/>
        <v>62.903225806451616</v>
      </c>
      <c r="V22" s="69">
        <f t="shared" si="18"/>
        <v>62.903225806451616</v>
      </c>
      <c r="W22" s="69">
        <f t="shared" si="18"/>
        <v>62.903225806451616</v>
      </c>
      <c r="X22" s="69">
        <f t="shared" si="18"/>
        <v>62.903225806451616</v>
      </c>
      <c r="Y22" s="69">
        <f t="shared" si="18"/>
        <v>62.903225806451616</v>
      </c>
      <c r="Z22" s="69">
        <f t="shared" si="18"/>
        <v>62.903225806451616</v>
      </c>
      <c r="AA22" s="69">
        <f t="shared" si="18"/>
        <v>62.903225806451616</v>
      </c>
      <c r="AB22" s="69">
        <f t="shared" si="18"/>
        <v>62.903225806451616</v>
      </c>
      <c r="AC22" s="69">
        <f t="shared" si="18"/>
        <v>62.903225806451616</v>
      </c>
      <c r="AD22" s="69">
        <f t="shared" si="18"/>
        <v>62.903225806451616</v>
      </c>
      <c r="AE22" s="69">
        <f t="shared" si="18"/>
        <v>62.903225806451616</v>
      </c>
      <c r="AF22" s="69">
        <f t="shared" si="18"/>
        <v>62.903225806451616</v>
      </c>
      <c r="AG22" s="56">
        <f t="shared" si="14"/>
        <v>1950.0000000000009</v>
      </c>
      <c r="AH22" s="67">
        <f t="shared" si="15"/>
        <v>62.903225806451644</v>
      </c>
      <c r="AI22" s="68">
        <f t="shared" si="16"/>
        <v>0.46606341330503542</v>
      </c>
      <c r="AJ22" s="14"/>
      <c r="AK22" s="14"/>
      <c r="AO22" s="14"/>
      <c r="AP22" s="14"/>
      <c r="AQ22" s="14"/>
      <c r="AR22" s="14"/>
      <c r="AS22" s="14"/>
      <c r="AT22" s="14"/>
      <c r="AU22" s="14"/>
      <c r="AV22" s="14"/>
      <c r="AW22" s="14"/>
      <c r="AX22" s="14"/>
      <c r="AY22" s="14"/>
      <c r="AZ22" s="14"/>
      <c r="BA22" s="14"/>
      <c r="BB22" s="14"/>
      <c r="BC22" s="14"/>
      <c r="BD22" s="14"/>
      <c r="BE22" s="14"/>
      <c r="BF22" s="14"/>
      <c r="BG22" s="14"/>
    </row>
    <row r="23" spans="1:59"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1"/>
      <c r="AH23" s="71"/>
      <c r="AI23" s="72"/>
      <c r="AJ23" s="14"/>
      <c r="AK23" s="14"/>
      <c r="AO23" s="14"/>
      <c r="AP23" s="14"/>
      <c r="AQ23" s="14"/>
      <c r="AR23" s="14"/>
      <c r="AS23" s="14"/>
      <c r="AT23" s="14"/>
      <c r="AU23" s="14"/>
      <c r="AV23" s="14"/>
      <c r="AW23" s="14"/>
      <c r="AX23" s="14"/>
      <c r="AY23" s="14"/>
      <c r="AZ23" s="14"/>
      <c r="BA23" s="14"/>
      <c r="BB23" s="14"/>
      <c r="BC23" s="14"/>
      <c r="BD23" s="14"/>
      <c r="BE23" s="14"/>
      <c r="BF23" s="14"/>
      <c r="BG23" s="14"/>
    </row>
    <row r="24" spans="1:59" ht="15.75" customHeight="1" x14ac:dyDescent="0.2">
      <c r="A24" s="4" t="s">
        <v>183</v>
      </c>
      <c r="B24" s="69">
        <v>0</v>
      </c>
      <c r="C24" s="69">
        <v>0</v>
      </c>
      <c r="D24" s="69">
        <v>420</v>
      </c>
      <c r="E24" s="69">
        <v>0</v>
      </c>
      <c r="F24" s="69">
        <v>0</v>
      </c>
      <c r="G24" s="69">
        <v>1010</v>
      </c>
      <c r="H24" s="69">
        <v>0</v>
      </c>
      <c r="I24" s="69">
        <v>0</v>
      </c>
      <c r="J24" s="69">
        <v>0</v>
      </c>
      <c r="K24" s="69">
        <v>0</v>
      </c>
      <c r="L24" s="69">
        <v>0</v>
      </c>
      <c r="M24" s="69">
        <v>0</v>
      </c>
      <c r="N24" s="69">
        <v>0</v>
      </c>
      <c r="O24" s="69">
        <v>0</v>
      </c>
      <c r="P24" s="69">
        <v>0</v>
      </c>
      <c r="Q24" s="69">
        <v>0</v>
      </c>
      <c r="R24" s="69">
        <v>190</v>
      </c>
      <c r="S24" s="69">
        <v>0</v>
      </c>
      <c r="T24" s="69">
        <v>0</v>
      </c>
      <c r="U24" s="69">
        <v>0</v>
      </c>
      <c r="V24" s="69">
        <v>0</v>
      </c>
      <c r="W24" s="69">
        <v>0</v>
      </c>
      <c r="X24" s="69">
        <v>0</v>
      </c>
      <c r="Y24" s="69">
        <v>0</v>
      </c>
      <c r="Z24" s="69">
        <v>0</v>
      </c>
      <c r="AA24" s="69">
        <v>1230</v>
      </c>
      <c r="AB24" s="69">
        <v>0</v>
      </c>
      <c r="AC24" s="69">
        <v>0</v>
      </c>
      <c r="AD24" s="69">
        <v>0</v>
      </c>
      <c r="AE24" s="69">
        <v>0</v>
      </c>
      <c r="AF24" s="69">
        <v>0</v>
      </c>
      <c r="AG24" s="56">
        <f t="shared" ref="AG24:AG28" si="19">SUM(B24:AF24)</f>
        <v>2850</v>
      </c>
      <c r="AH24" s="67">
        <f t="shared" ref="AH24:AH28" si="20">IFERROR(AVERAGE(B24:AF24),0)</f>
        <v>91.935483870967744</v>
      </c>
      <c r="AI24" s="68">
        <f t="shared" ref="AI24:AI28" si="21">(AH24/$AH$29)*100</f>
        <v>0.68116960406120519</v>
      </c>
      <c r="AJ24" s="14"/>
      <c r="AK24" s="14"/>
      <c r="AO24" s="14"/>
      <c r="AP24" s="14"/>
      <c r="AQ24" s="14"/>
      <c r="AR24" s="14"/>
      <c r="AS24" s="14"/>
      <c r="AT24" s="14"/>
      <c r="AU24" s="14"/>
      <c r="AV24" s="14"/>
      <c r="AW24" s="14"/>
      <c r="AX24" s="14"/>
      <c r="AY24" s="14"/>
      <c r="AZ24" s="14"/>
      <c r="BA24" s="14"/>
      <c r="BB24" s="14"/>
      <c r="BC24" s="14"/>
      <c r="BD24" s="14"/>
      <c r="BE24" s="14"/>
      <c r="BF24" s="14"/>
      <c r="BG24" s="14"/>
    </row>
    <row r="25" spans="1:59" ht="15.75" customHeight="1" x14ac:dyDescent="0.2">
      <c r="A25" s="4" t="s">
        <v>184</v>
      </c>
      <c r="B25" s="69">
        <v>0</v>
      </c>
      <c r="C25" s="69">
        <v>0</v>
      </c>
      <c r="D25" s="69">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69">
        <v>0</v>
      </c>
      <c r="AG25" s="56">
        <f t="shared" si="19"/>
        <v>0</v>
      </c>
      <c r="AH25" s="67">
        <f t="shared" si="20"/>
        <v>0</v>
      </c>
      <c r="AI25" s="68">
        <f t="shared" si="21"/>
        <v>0</v>
      </c>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row>
    <row r="26" spans="1:59" ht="15.75" customHeight="1" x14ac:dyDescent="0.2">
      <c r="A26" s="4" t="s">
        <v>185</v>
      </c>
      <c r="B26" s="69">
        <v>200</v>
      </c>
      <c r="C26" s="69">
        <f>310+90</f>
        <v>400</v>
      </c>
      <c r="D26" s="69">
        <v>50</v>
      </c>
      <c r="E26" s="69">
        <v>0</v>
      </c>
      <c r="F26" s="69">
        <v>200</v>
      </c>
      <c r="G26" s="69">
        <v>0</v>
      </c>
      <c r="H26" s="69">
        <v>200</v>
      </c>
      <c r="I26" s="69">
        <v>0</v>
      </c>
      <c r="J26" s="69">
        <v>1350</v>
      </c>
      <c r="K26" s="69">
        <v>63</v>
      </c>
      <c r="L26" s="69">
        <v>0</v>
      </c>
      <c r="M26" s="69">
        <v>0</v>
      </c>
      <c r="N26" s="69">
        <v>280</v>
      </c>
      <c r="O26" s="69">
        <v>2350</v>
      </c>
      <c r="P26" s="69">
        <v>0</v>
      </c>
      <c r="Q26" s="69">
        <v>100</v>
      </c>
      <c r="R26" s="69">
        <v>0</v>
      </c>
      <c r="S26" s="69">
        <v>0</v>
      </c>
      <c r="T26" s="69">
        <v>0</v>
      </c>
      <c r="U26" s="69">
        <v>0</v>
      </c>
      <c r="V26" s="69">
        <v>280</v>
      </c>
      <c r="W26" s="69">
        <v>0</v>
      </c>
      <c r="X26" s="69">
        <v>0</v>
      </c>
      <c r="Y26" s="69">
        <v>0</v>
      </c>
      <c r="Z26" s="69">
        <v>0</v>
      </c>
      <c r="AA26" s="69">
        <v>0</v>
      </c>
      <c r="AB26" s="69">
        <v>0</v>
      </c>
      <c r="AC26" s="69">
        <v>250</v>
      </c>
      <c r="AD26" s="69">
        <v>0</v>
      </c>
      <c r="AE26" s="69">
        <v>0</v>
      </c>
      <c r="AF26" s="69">
        <v>280</v>
      </c>
      <c r="AG26" s="56">
        <f t="shared" si="19"/>
        <v>6003</v>
      </c>
      <c r="AH26" s="67">
        <f t="shared" si="20"/>
        <v>193.64516129032259</v>
      </c>
      <c r="AI26" s="68">
        <f t="shared" si="21"/>
        <v>1.4347582923436544</v>
      </c>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row>
    <row r="27" spans="1:59" ht="15.75" customHeight="1" x14ac:dyDescent="0.2">
      <c r="A27" s="4" t="s">
        <v>186</v>
      </c>
      <c r="B27" s="69">
        <v>0</v>
      </c>
      <c r="C27" s="69">
        <v>0</v>
      </c>
      <c r="D27" s="69">
        <v>0</v>
      </c>
      <c r="E27" s="69">
        <v>0</v>
      </c>
      <c r="F27" s="69">
        <v>0</v>
      </c>
      <c r="G27" s="69">
        <v>0</v>
      </c>
      <c r="H27" s="69">
        <v>0</v>
      </c>
      <c r="I27" s="69">
        <v>0</v>
      </c>
      <c r="J27" s="69">
        <v>0</v>
      </c>
      <c r="K27" s="69">
        <v>0</v>
      </c>
      <c r="L27" s="69">
        <v>0</v>
      </c>
      <c r="M27" s="69">
        <v>100</v>
      </c>
      <c r="N27" s="69">
        <v>0</v>
      </c>
      <c r="O27" s="69">
        <v>0</v>
      </c>
      <c r="P27" s="69">
        <v>0</v>
      </c>
      <c r="Q27" s="69">
        <v>0</v>
      </c>
      <c r="R27" s="69">
        <v>0</v>
      </c>
      <c r="S27" s="69">
        <v>0</v>
      </c>
      <c r="T27" s="69">
        <v>0</v>
      </c>
      <c r="U27" s="69">
        <v>0</v>
      </c>
      <c r="V27" s="69">
        <v>0</v>
      </c>
      <c r="W27" s="69">
        <v>0</v>
      </c>
      <c r="X27" s="69">
        <v>0</v>
      </c>
      <c r="Y27" s="69">
        <v>0</v>
      </c>
      <c r="Z27" s="69">
        <v>0</v>
      </c>
      <c r="AA27" s="69">
        <v>0</v>
      </c>
      <c r="AB27" s="69">
        <v>0</v>
      </c>
      <c r="AC27" s="69">
        <v>0</v>
      </c>
      <c r="AD27" s="69">
        <v>0</v>
      </c>
      <c r="AE27" s="69">
        <v>0</v>
      </c>
      <c r="AF27" s="69">
        <v>2400</v>
      </c>
      <c r="AG27" s="56">
        <f t="shared" si="19"/>
        <v>2500</v>
      </c>
      <c r="AH27" s="67">
        <f t="shared" si="20"/>
        <v>80.645161290322577</v>
      </c>
      <c r="AI27" s="68">
        <f t="shared" si="21"/>
        <v>0.59751719654491686</v>
      </c>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row>
    <row r="28" spans="1:59"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69">
        <v>0</v>
      </c>
      <c r="AG28" s="56">
        <f t="shared" si="19"/>
        <v>0</v>
      </c>
      <c r="AH28" s="67">
        <f t="shared" si="20"/>
        <v>0</v>
      </c>
      <c r="AI28" s="68">
        <f t="shared" si="21"/>
        <v>0</v>
      </c>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row>
    <row r="29" spans="1:59" ht="15.75" customHeight="1" x14ac:dyDescent="0.2">
      <c r="A29" s="10" t="s">
        <v>0</v>
      </c>
      <c r="B29" s="76">
        <f t="shared" ref="B29:AG29" si="22">SUM(B2:B28)</f>
        <v>11903.838709677419</v>
      </c>
      <c r="C29" s="76">
        <f t="shared" si="22"/>
        <v>12398.838709677419</v>
      </c>
      <c r="D29" s="76">
        <f t="shared" si="22"/>
        <v>13413.838709677419</v>
      </c>
      <c r="E29" s="76">
        <f t="shared" si="22"/>
        <v>13128.838709677419</v>
      </c>
      <c r="F29" s="76">
        <f t="shared" si="22"/>
        <v>14038.838709677419</v>
      </c>
      <c r="G29" s="76">
        <f t="shared" si="22"/>
        <v>16813.838709677417</v>
      </c>
      <c r="H29" s="76">
        <f t="shared" si="22"/>
        <v>13378.838709677419</v>
      </c>
      <c r="I29" s="76">
        <f t="shared" si="22"/>
        <v>12542.838709677419</v>
      </c>
      <c r="J29" s="76">
        <f t="shared" si="22"/>
        <v>14153.838709677419</v>
      </c>
      <c r="K29" s="76">
        <f t="shared" si="22"/>
        <v>13006.838709677419</v>
      </c>
      <c r="L29" s="76">
        <f t="shared" si="22"/>
        <v>12048.838709677419</v>
      </c>
      <c r="M29" s="76">
        <f t="shared" si="22"/>
        <v>13023.838709677419</v>
      </c>
      <c r="N29" s="76">
        <f t="shared" si="22"/>
        <v>13869.838709677419</v>
      </c>
      <c r="O29" s="76">
        <f t="shared" si="22"/>
        <v>14667.838709677419</v>
      </c>
      <c r="P29" s="76">
        <f t="shared" si="22"/>
        <v>11748.838709677419</v>
      </c>
      <c r="Q29" s="76">
        <f t="shared" si="22"/>
        <v>10793.838709677419</v>
      </c>
      <c r="R29" s="76">
        <f t="shared" si="22"/>
        <v>11358.838709677419</v>
      </c>
      <c r="S29" s="76">
        <f t="shared" si="22"/>
        <v>11543.838709677419</v>
      </c>
      <c r="T29" s="76">
        <f t="shared" si="22"/>
        <v>12068.838709677419</v>
      </c>
      <c r="U29" s="76">
        <f t="shared" si="22"/>
        <v>12363.838709677419</v>
      </c>
      <c r="V29" s="76">
        <f t="shared" si="22"/>
        <v>12673.838709677419</v>
      </c>
      <c r="W29" s="76">
        <f t="shared" si="22"/>
        <v>12863.838709677419</v>
      </c>
      <c r="X29" s="76">
        <f t="shared" si="22"/>
        <v>11388.838709677419</v>
      </c>
      <c r="Y29" s="76">
        <f t="shared" si="22"/>
        <v>11643.838709677419</v>
      </c>
      <c r="Z29" s="76">
        <f t="shared" si="22"/>
        <v>13918.838709677419</v>
      </c>
      <c r="AA29" s="76">
        <f t="shared" si="22"/>
        <v>18265.83870967742</v>
      </c>
      <c r="AB29" s="76">
        <f t="shared" si="22"/>
        <v>17613.83870967742</v>
      </c>
      <c r="AC29" s="76">
        <f t="shared" si="22"/>
        <v>11428.838709677419</v>
      </c>
      <c r="AD29" s="76">
        <f t="shared" si="22"/>
        <v>14968.838709677419</v>
      </c>
      <c r="AE29" s="76">
        <f t="shared" si="22"/>
        <v>16743.83870967742</v>
      </c>
      <c r="AF29" s="76">
        <f t="shared" si="22"/>
        <v>18618.838709677417</v>
      </c>
      <c r="AG29" s="76">
        <f t="shared" si="22"/>
        <v>418397.99999999988</v>
      </c>
      <c r="AH29" s="28">
        <f>AVERAGE(B29:AF29)</f>
        <v>13496.709677419349</v>
      </c>
      <c r="AI29" s="77">
        <f>(AH29/$AH$29)*100</f>
        <v>100</v>
      </c>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row>
    <row r="30" spans="1:59" ht="15.75" customHeight="1" x14ac:dyDescent="0.2">
      <c r="A30" s="4" t="s">
        <v>188</v>
      </c>
      <c r="B30" s="69">
        <v>6510</v>
      </c>
      <c r="C30" s="69">
        <v>3495</v>
      </c>
      <c r="D30" s="69">
        <v>4525</v>
      </c>
      <c r="E30" s="69">
        <v>4635</v>
      </c>
      <c r="F30" s="69">
        <v>8510</v>
      </c>
      <c r="G30" s="69">
        <v>5195</v>
      </c>
      <c r="H30" s="69">
        <v>4660</v>
      </c>
      <c r="I30" s="69">
        <v>6645</v>
      </c>
      <c r="J30" s="69">
        <v>5010</v>
      </c>
      <c r="K30" s="69">
        <v>2180</v>
      </c>
      <c r="L30" s="69">
        <v>5000</v>
      </c>
      <c r="M30" s="69">
        <v>7770</v>
      </c>
      <c r="N30" s="69">
        <v>4840</v>
      </c>
      <c r="O30" s="69">
        <v>2225</v>
      </c>
      <c r="P30" s="69">
        <v>3175</v>
      </c>
      <c r="Q30" s="69">
        <v>6245</v>
      </c>
      <c r="R30" s="69">
        <v>3425</v>
      </c>
      <c r="S30" s="69">
        <v>5970</v>
      </c>
      <c r="T30" s="69">
        <v>5680</v>
      </c>
      <c r="U30" s="69">
        <v>4785</v>
      </c>
      <c r="V30" s="69">
        <v>2300</v>
      </c>
      <c r="W30" s="69">
        <v>1805</v>
      </c>
      <c r="X30" s="69">
        <v>6535</v>
      </c>
      <c r="Y30" s="69">
        <v>2735</v>
      </c>
      <c r="Z30" s="69">
        <v>7620</v>
      </c>
      <c r="AA30" s="69">
        <v>1965</v>
      </c>
      <c r="AB30" s="69">
        <v>6580</v>
      </c>
      <c r="AC30" s="69">
        <v>540</v>
      </c>
      <c r="AD30" s="69">
        <v>2590</v>
      </c>
      <c r="AE30" s="69">
        <v>2680</v>
      </c>
      <c r="AF30" s="69">
        <v>1575</v>
      </c>
      <c r="AG30" s="56">
        <f t="shared" ref="AG30:AG32" si="23">SUM(B30:AF30)</f>
        <v>137405</v>
      </c>
      <c r="AH30" s="67">
        <f t="shared" ref="AH30:AH32" si="24">IFERROR(AVERAGE(B30:AF30),0)</f>
        <v>4432.4193548387093</v>
      </c>
      <c r="AI30" s="68">
        <f t="shared" ref="AI30:AI32" si="25">IFERROR((AH30/$AH$32)*100,0)</f>
        <v>49.561572783246341</v>
      </c>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row>
    <row r="31" spans="1:59" ht="15.75" customHeight="1" x14ac:dyDescent="0.2">
      <c r="A31" s="4" t="s">
        <v>189</v>
      </c>
      <c r="B31" s="78">
        <f t="shared" ref="B31:AF31" si="26">B32-B30</f>
        <v>2785</v>
      </c>
      <c r="C31" s="78">
        <f t="shared" si="26"/>
        <v>3785</v>
      </c>
      <c r="D31" s="78">
        <f t="shared" si="26"/>
        <v>4650</v>
      </c>
      <c r="E31" s="78">
        <f t="shared" si="26"/>
        <v>3835</v>
      </c>
      <c r="F31" s="78">
        <f t="shared" si="26"/>
        <v>2540</v>
      </c>
      <c r="G31" s="78">
        <f t="shared" si="26"/>
        <v>6900</v>
      </c>
      <c r="H31" s="78">
        <f t="shared" si="26"/>
        <v>1840</v>
      </c>
      <c r="I31" s="78">
        <f t="shared" si="26"/>
        <v>3800</v>
      </c>
      <c r="J31" s="78">
        <f t="shared" si="26"/>
        <v>5570</v>
      </c>
      <c r="K31" s="78">
        <f t="shared" si="26"/>
        <v>4076</v>
      </c>
      <c r="L31" s="78">
        <f t="shared" si="26"/>
        <v>4535</v>
      </c>
      <c r="M31" s="78">
        <f t="shared" si="26"/>
        <v>8535</v>
      </c>
      <c r="N31" s="78">
        <f t="shared" si="26"/>
        <v>8245</v>
      </c>
      <c r="O31" s="78">
        <f t="shared" si="26"/>
        <v>4200</v>
      </c>
      <c r="P31" s="78">
        <f t="shared" si="26"/>
        <v>2170</v>
      </c>
      <c r="Q31" s="78">
        <f t="shared" si="26"/>
        <v>1525</v>
      </c>
      <c r="R31" s="78">
        <f t="shared" si="26"/>
        <v>3055</v>
      </c>
      <c r="S31" s="78">
        <f t="shared" si="26"/>
        <v>4545</v>
      </c>
      <c r="T31" s="78">
        <f t="shared" si="26"/>
        <v>3400</v>
      </c>
      <c r="U31" s="78">
        <f t="shared" si="26"/>
        <v>5025</v>
      </c>
      <c r="V31" s="78">
        <f t="shared" si="26"/>
        <v>4900</v>
      </c>
      <c r="W31" s="78">
        <f t="shared" si="26"/>
        <v>2250</v>
      </c>
      <c r="X31" s="78">
        <f t="shared" si="26"/>
        <v>4475</v>
      </c>
      <c r="Y31" s="78">
        <f t="shared" si="26"/>
        <v>2300</v>
      </c>
      <c r="Z31" s="78">
        <f t="shared" si="26"/>
        <v>3985</v>
      </c>
      <c r="AA31" s="78">
        <f t="shared" si="26"/>
        <v>9105</v>
      </c>
      <c r="AB31" s="78">
        <f t="shared" si="26"/>
        <v>8055</v>
      </c>
      <c r="AC31" s="78">
        <f t="shared" si="26"/>
        <v>2915</v>
      </c>
      <c r="AD31" s="78">
        <f t="shared" si="26"/>
        <v>5425</v>
      </c>
      <c r="AE31" s="78">
        <f t="shared" si="26"/>
        <v>6070</v>
      </c>
      <c r="AF31" s="78">
        <f t="shared" si="26"/>
        <v>5340</v>
      </c>
      <c r="AG31" s="56">
        <f t="shared" si="23"/>
        <v>139836</v>
      </c>
      <c r="AH31" s="67">
        <f t="shared" si="24"/>
        <v>4510.8387096774195</v>
      </c>
      <c r="AI31" s="68">
        <f t="shared" si="25"/>
        <v>50.438427216753659</v>
      </c>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row>
    <row r="32" spans="1:59" ht="15.75" customHeight="1" x14ac:dyDescent="0.2">
      <c r="A32" s="4" t="s">
        <v>190</v>
      </c>
      <c r="B32" s="69">
        <v>9295</v>
      </c>
      <c r="C32" s="69">
        <v>7280</v>
      </c>
      <c r="D32" s="69">
        <v>9175</v>
      </c>
      <c r="E32" s="69">
        <v>8470</v>
      </c>
      <c r="F32" s="69">
        <v>11050</v>
      </c>
      <c r="G32" s="69">
        <v>12095</v>
      </c>
      <c r="H32" s="69">
        <v>6500</v>
      </c>
      <c r="I32" s="69">
        <v>10445</v>
      </c>
      <c r="J32" s="69">
        <v>10580</v>
      </c>
      <c r="K32" s="69">
        <v>6256</v>
      </c>
      <c r="L32" s="69">
        <v>9535</v>
      </c>
      <c r="M32" s="69">
        <v>16305</v>
      </c>
      <c r="N32" s="69">
        <v>13085</v>
      </c>
      <c r="O32" s="69">
        <v>6425</v>
      </c>
      <c r="P32" s="69">
        <v>5345</v>
      </c>
      <c r="Q32" s="69">
        <v>7770</v>
      </c>
      <c r="R32" s="69">
        <v>6480</v>
      </c>
      <c r="S32" s="69">
        <v>10515</v>
      </c>
      <c r="T32" s="69">
        <v>9080</v>
      </c>
      <c r="U32" s="69">
        <v>9810</v>
      </c>
      <c r="V32" s="69">
        <v>7200</v>
      </c>
      <c r="W32" s="69">
        <v>4055</v>
      </c>
      <c r="X32" s="69">
        <v>11010</v>
      </c>
      <c r="Y32" s="69">
        <v>5035</v>
      </c>
      <c r="Z32" s="69">
        <v>11605</v>
      </c>
      <c r="AA32" s="69">
        <v>11070</v>
      </c>
      <c r="AB32" s="69">
        <v>14635</v>
      </c>
      <c r="AC32" s="69">
        <v>3455</v>
      </c>
      <c r="AD32" s="69">
        <v>8015</v>
      </c>
      <c r="AE32" s="69">
        <v>8750</v>
      </c>
      <c r="AF32" s="69">
        <v>6915</v>
      </c>
      <c r="AG32" s="56">
        <f t="shared" si="23"/>
        <v>277241</v>
      </c>
      <c r="AH32" s="67">
        <f t="shared" si="24"/>
        <v>8943.2580645161288</v>
      </c>
      <c r="AI32" s="68">
        <f t="shared" si="25"/>
        <v>100</v>
      </c>
      <c r="AJ32" s="75"/>
      <c r="AK32" s="75"/>
      <c r="AL32" s="75"/>
      <c r="AM32" s="75"/>
      <c r="AN32" s="75"/>
      <c r="AO32" s="14"/>
      <c r="AP32" s="14"/>
      <c r="AQ32" s="14"/>
      <c r="AR32" s="14"/>
      <c r="AS32" s="75"/>
      <c r="AT32" s="75"/>
      <c r="AU32" s="75"/>
      <c r="AV32" s="14"/>
      <c r="AW32" s="14"/>
      <c r="AX32" s="14"/>
      <c r="AY32" s="14"/>
      <c r="AZ32" s="14"/>
      <c r="BA32" s="14"/>
      <c r="BB32" s="14"/>
      <c r="BC32" s="14"/>
      <c r="BD32" s="14"/>
      <c r="BE32" s="14"/>
      <c r="BF32" s="14"/>
      <c r="BG32" s="14"/>
    </row>
    <row r="33" spans="1:44" ht="15.75" customHeight="1" x14ac:dyDescent="0.2">
      <c r="A33" s="4" t="s">
        <v>191</v>
      </c>
      <c r="B33" s="69">
        <f t="shared" ref="B33:AF33" si="27">B32-B29</f>
        <v>-2608.8387096774186</v>
      </c>
      <c r="C33" s="69">
        <f t="shared" si="27"/>
        <v>-5118.8387096774186</v>
      </c>
      <c r="D33" s="69">
        <f t="shared" si="27"/>
        <v>-4238.8387096774186</v>
      </c>
      <c r="E33" s="69">
        <f t="shared" si="27"/>
        <v>-4658.8387096774186</v>
      </c>
      <c r="F33" s="69">
        <f t="shared" si="27"/>
        <v>-2988.8387096774186</v>
      </c>
      <c r="G33" s="69">
        <f t="shared" si="27"/>
        <v>-4718.8387096774168</v>
      </c>
      <c r="H33" s="69">
        <f t="shared" si="27"/>
        <v>-6878.8387096774186</v>
      </c>
      <c r="I33" s="69">
        <f t="shared" si="27"/>
        <v>-2097.8387096774186</v>
      </c>
      <c r="J33" s="69">
        <f t="shared" si="27"/>
        <v>-3573.8387096774186</v>
      </c>
      <c r="K33" s="69">
        <f t="shared" si="27"/>
        <v>-6750.8387096774186</v>
      </c>
      <c r="L33" s="69">
        <f t="shared" si="27"/>
        <v>-2513.8387096774186</v>
      </c>
      <c r="M33" s="69">
        <f t="shared" si="27"/>
        <v>3281.1612903225814</v>
      </c>
      <c r="N33" s="69">
        <f t="shared" si="27"/>
        <v>-784.83870967741859</v>
      </c>
      <c r="O33" s="69">
        <f t="shared" si="27"/>
        <v>-8242.8387096774186</v>
      </c>
      <c r="P33" s="69">
        <f t="shared" si="27"/>
        <v>-6403.8387096774186</v>
      </c>
      <c r="Q33" s="69">
        <f t="shared" si="27"/>
        <v>-3023.8387096774186</v>
      </c>
      <c r="R33" s="69">
        <f t="shared" si="27"/>
        <v>-4878.8387096774186</v>
      </c>
      <c r="S33" s="69">
        <f t="shared" si="27"/>
        <v>-1028.8387096774186</v>
      </c>
      <c r="T33" s="69">
        <f t="shared" si="27"/>
        <v>-2988.8387096774186</v>
      </c>
      <c r="U33" s="69">
        <f t="shared" si="27"/>
        <v>-2553.8387096774186</v>
      </c>
      <c r="V33" s="59">
        <f t="shared" si="27"/>
        <v>-5473.8387096774186</v>
      </c>
      <c r="W33" s="59">
        <f t="shared" si="27"/>
        <v>-8808.8387096774186</v>
      </c>
      <c r="X33" s="59">
        <f t="shared" si="27"/>
        <v>-378.83870967741859</v>
      </c>
      <c r="Y33" s="59">
        <f t="shared" si="27"/>
        <v>-6608.8387096774186</v>
      </c>
      <c r="Z33" s="59">
        <f t="shared" si="27"/>
        <v>-2313.8387096774186</v>
      </c>
      <c r="AA33" s="59">
        <f t="shared" si="27"/>
        <v>-7195.8387096774204</v>
      </c>
      <c r="AB33" s="59">
        <f t="shared" si="27"/>
        <v>-2978.8387096774204</v>
      </c>
      <c r="AC33" s="59">
        <f t="shared" si="27"/>
        <v>-7973.8387096774186</v>
      </c>
      <c r="AD33" s="59">
        <f t="shared" si="27"/>
        <v>-6953.8387096774186</v>
      </c>
      <c r="AE33" s="59">
        <f t="shared" si="27"/>
        <v>-7993.8387096774204</v>
      </c>
      <c r="AF33" s="59">
        <f t="shared" si="27"/>
        <v>-11703.838709677417</v>
      </c>
      <c r="AG33" s="81">
        <f>SUM(B33:AF33)+B40+B41</f>
        <v>-4380.0000000000291</v>
      </c>
      <c r="AH33" s="5">
        <f>AVERAGE(B33:AF33,B40,B41)</f>
        <v>-132.7272727272736</v>
      </c>
      <c r="AI33" s="68"/>
      <c r="AO33" s="14"/>
      <c r="AP33" s="14"/>
      <c r="AQ33" s="14"/>
      <c r="AR33" s="14"/>
    </row>
    <row r="34" spans="1:44"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7"/>
      <c r="AH34" s="7"/>
      <c r="AO34" s="14"/>
      <c r="AP34" s="14"/>
      <c r="AQ34" s="14"/>
      <c r="AR34" s="14"/>
    </row>
    <row r="35" spans="1:44" ht="15.75" customHeight="1" x14ac:dyDescent="0.2">
      <c r="A35" s="4" t="s">
        <v>13</v>
      </c>
      <c r="B35" s="59">
        <f t="shared" ref="B35:B38" si="28">SUM(B29:AF29)</f>
        <v>418397.99999999983</v>
      </c>
      <c r="C35" s="6"/>
      <c r="D35" s="6"/>
      <c r="E35" s="6"/>
      <c r="F35" s="6"/>
      <c r="G35" s="6"/>
      <c r="H35" s="6"/>
      <c r="I35" s="6"/>
      <c r="J35" s="6" t="s">
        <v>232</v>
      </c>
      <c r="K35" s="6"/>
      <c r="L35" s="6"/>
      <c r="M35" s="14" t="s">
        <v>233</v>
      </c>
      <c r="N35" s="6"/>
      <c r="O35" s="6"/>
      <c r="P35" s="6"/>
      <c r="Q35" s="6"/>
      <c r="R35" s="6"/>
      <c r="S35" s="6"/>
      <c r="T35" s="6"/>
      <c r="U35" s="6" t="s">
        <v>234</v>
      </c>
      <c r="V35" s="6"/>
      <c r="W35" s="6"/>
      <c r="X35" s="6"/>
      <c r="Y35" s="6"/>
      <c r="Z35" s="6" t="s">
        <v>198</v>
      </c>
      <c r="AA35" s="6"/>
      <c r="AB35" s="6"/>
      <c r="AC35" s="6" t="s">
        <v>235</v>
      </c>
      <c r="AD35" s="6"/>
      <c r="AE35" s="6"/>
      <c r="AF35" s="6"/>
      <c r="AG35" s="7"/>
      <c r="AH35" s="7"/>
      <c r="AO35" s="14"/>
      <c r="AP35" s="14"/>
      <c r="AQ35" s="14"/>
      <c r="AR35" s="14"/>
    </row>
    <row r="36" spans="1:44" ht="15.75" customHeight="1" x14ac:dyDescent="0.2">
      <c r="A36" s="4" t="s">
        <v>14</v>
      </c>
      <c r="B36" s="59">
        <f t="shared" si="28"/>
        <v>137405</v>
      </c>
      <c r="C36" s="6"/>
      <c r="M36" s="6"/>
      <c r="N36" s="6"/>
      <c r="O36" s="6"/>
      <c r="P36" s="6"/>
      <c r="Q36" s="6"/>
      <c r="R36" s="6"/>
      <c r="S36" s="6"/>
      <c r="T36" s="6"/>
      <c r="U36" s="6"/>
      <c r="V36" s="6"/>
      <c r="W36" s="6"/>
      <c r="X36" s="6"/>
      <c r="Y36" s="6"/>
      <c r="Z36" s="6"/>
      <c r="AA36" s="6"/>
      <c r="AB36" s="6"/>
      <c r="AC36" s="6"/>
      <c r="AD36" s="6"/>
      <c r="AE36" s="6"/>
      <c r="AF36" s="6" t="s">
        <v>236</v>
      </c>
      <c r="AG36" s="7"/>
      <c r="AH36" s="7"/>
      <c r="AO36" s="14"/>
      <c r="AP36" s="14"/>
      <c r="AQ36" s="14"/>
      <c r="AR36" s="14"/>
    </row>
    <row r="37" spans="1:44" ht="15.75" customHeight="1" x14ac:dyDescent="0.2">
      <c r="A37" s="4" t="s">
        <v>15</v>
      </c>
      <c r="B37" s="59">
        <f t="shared" si="28"/>
        <v>139836</v>
      </c>
      <c r="C37" s="6"/>
      <c r="M37" s="6"/>
      <c r="N37" s="6"/>
      <c r="O37" s="6"/>
      <c r="P37" s="6"/>
      <c r="Q37" s="6"/>
      <c r="R37" s="6"/>
      <c r="S37" s="6"/>
      <c r="T37" s="6"/>
      <c r="U37" s="6"/>
      <c r="V37" s="6"/>
      <c r="W37" s="6"/>
      <c r="X37" s="6"/>
      <c r="Y37" s="6"/>
      <c r="Z37" s="6"/>
      <c r="AA37" s="6"/>
      <c r="AB37" s="6"/>
      <c r="AC37" s="6"/>
      <c r="AD37" s="6"/>
      <c r="AE37" s="6"/>
      <c r="AF37" s="6"/>
      <c r="AG37" s="7"/>
      <c r="AH37" s="7"/>
      <c r="AO37" s="14"/>
      <c r="AP37" s="14"/>
      <c r="AQ37" s="14"/>
      <c r="AR37" s="14"/>
    </row>
    <row r="38" spans="1:44" ht="15.75" customHeight="1" x14ac:dyDescent="0.2">
      <c r="A38" s="4" t="s">
        <v>16</v>
      </c>
      <c r="B38" s="59">
        <f t="shared" si="28"/>
        <v>277241</v>
      </c>
      <c r="C38" s="6"/>
      <c r="V38" s="6"/>
      <c r="W38" s="6"/>
      <c r="X38" s="6"/>
      <c r="Y38" s="6"/>
      <c r="AA38" s="6"/>
      <c r="AB38" s="6"/>
      <c r="AC38" s="6"/>
      <c r="AD38" s="6"/>
      <c r="AE38" s="6"/>
      <c r="AF38" s="6"/>
      <c r="AG38" s="7"/>
      <c r="AH38" s="7"/>
      <c r="AO38" s="14"/>
      <c r="AP38" s="14"/>
      <c r="AQ38" s="14"/>
      <c r="AR38" s="14"/>
    </row>
    <row r="39" spans="1:44" ht="15.75" customHeight="1" x14ac:dyDescent="0.2">
      <c r="A39" s="4" t="s">
        <v>17</v>
      </c>
      <c r="B39" s="80">
        <f>Expenses!K20</f>
        <v>104969</v>
      </c>
      <c r="C39" s="6"/>
      <c r="O39" s="6"/>
      <c r="P39" s="6"/>
      <c r="Q39" s="6"/>
      <c r="R39" s="6"/>
      <c r="S39" s="6"/>
      <c r="T39" s="6"/>
      <c r="U39" s="6"/>
      <c r="V39" s="6"/>
      <c r="W39" s="6"/>
      <c r="X39" s="6"/>
      <c r="Y39" s="6"/>
      <c r="Z39" s="6"/>
      <c r="AA39" s="6"/>
      <c r="AB39" s="6"/>
      <c r="AC39" s="6"/>
      <c r="AD39" s="6"/>
      <c r="AE39" s="6"/>
      <c r="AF39" s="6"/>
      <c r="AG39" s="7"/>
      <c r="AH39" s="7"/>
      <c r="AO39" s="14"/>
      <c r="AP39" s="14"/>
      <c r="AQ39" s="14"/>
      <c r="AR39" s="14"/>
    </row>
    <row r="40" spans="1:44" ht="15.75" customHeight="1" x14ac:dyDescent="0.2">
      <c r="A40" s="4" t="s">
        <v>18</v>
      </c>
      <c r="B40" s="59">
        <f>17293+27486+5518+24193+45103</f>
        <v>119593</v>
      </c>
      <c r="C40" s="6"/>
      <c r="M40" s="6"/>
      <c r="N40" s="6"/>
      <c r="O40" s="6"/>
      <c r="P40" s="6"/>
      <c r="Q40" s="6"/>
      <c r="R40" s="6"/>
      <c r="S40" s="6"/>
      <c r="T40" s="6"/>
      <c r="U40" s="6"/>
      <c r="V40" s="6"/>
      <c r="W40" s="6"/>
      <c r="X40" s="6"/>
      <c r="Y40" s="6"/>
      <c r="Z40" s="6"/>
      <c r="AA40" s="6"/>
      <c r="AB40" s="6"/>
      <c r="AC40" s="6"/>
      <c r="AD40" s="6"/>
      <c r="AE40" s="6"/>
      <c r="AF40" s="6"/>
      <c r="AG40" s="7"/>
      <c r="AH40" s="7"/>
      <c r="AO40" s="14"/>
      <c r="AP40" s="14"/>
      <c r="AQ40" s="14"/>
      <c r="AR40" s="14"/>
    </row>
    <row r="41" spans="1:44" ht="15.75" customHeight="1" x14ac:dyDescent="0.2">
      <c r="A41" s="4" t="s">
        <v>19</v>
      </c>
      <c r="B41" s="59">
        <f>3208+3333+4436+3308+2899</f>
        <v>17184</v>
      </c>
      <c r="C41" s="6"/>
      <c r="M41" s="6"/>
      <c r="N41" s="6"/>
      <c r="O41" s="6"/>
      <c r="P41" s="6"/>
      <c r="Q41" s="6"/>
      <c r="R41" s="6"/>
      <c r="S41" s="6"/>
      <c r="T41" s="6"/>
      <c r="U41" s="6"/>
      <c r="V41" s="6"/>
      <c r="W41" s="6"/>
      <c r="X41" s="6"/>
      <c r="Y41" s="6"/>
      <c r="Z41" s="6"/>
      <c r="AA41" s="6"/>
      <c r="AB41" s="6"/>
      <c r="AC41" s="6"/>
      <c r="AD41" s="6"/>
      <c r="AE41" s="6"/>
      <c r="AF41" s="6"/>
      <c r="AG41" s="7"/>
      <c r="AH41" s="7"/>
      <c r="AO41" s="14"/>
      <c r="AP41" s="14"/>
      <c r="AQ41" s="14"/>
      <c r="AR41" s="14"/>
    </row>
    <row r="42" spans="1:44" ht="15.75" customHeight="1" x14ac:dyDescent="0.2">
      <c r="A42" s="4" t="s">
        <v>20</v>
      </c>
      <c r="B42" s="59">
        <f>Stock!AG72</f>
        <v>85485</v>
      </c>
      <c r="C42" s="6"/>
      <c r="M42" s="6"/>
      <c r="N42" s="6"/>
      <c r="O42" s="6"/>
      <c r="P42" s="6"/>
      <c r="Q42" s="6"/>
      <c r="R42" s="6"/>
      <c r="S42" s="6"/>
      <c r="T42" s="6"/>
      <c r="U42" s="6"/>
      <c r="V42" s="6"/>
      <c r="W42" s="6"/>
      <c r="X42" s="6"/>
      <c r="Y42" s="6"/>
      <c r="Z42" s="6"/>
      <c r="AA42" s="6"/>
      <c r="AB42" s="6"/>
      <c r="AC42" s="6"/>
      <c r="AD42" s="6"/>
      <c r="AE42" s="6"/>
      <c r="AF42" s="6"/>
      <c r="AG42" s="7"/>
      <c r="AH42" s="7"/>
      <c r="AO42" s="14"/>
      <c r="AP42" s="14"/>
      <c r="AQ42" s="14"/>
      <c r="AR42" s="14"/>
    </row>
    <row r="43" spans="1:44" ht="15.75" customHeight="1" x14ac:dyDescent="0.2">
      <c r="A43" s="4" t="s">
        <v>21</v>
      </c>
      <c r="B43" s="59">
        <f>B38-B35+B40+B41</f>
        <v>-4379.9999999998254</v>
      </c>
      <c r="C43" s="6"/>
      <c r="M43" s="6"/>
      <c r="N43" s="6"/>
      <c r="O43" s="6"/>
      <c r="P43" s="6"/>
      <c r="Q43" s="6"/>
      <c r="R43" s="6"/>
      <c r="S43" s="6"/>
      <c r="T43" s="6"/>
      <c r="U43" s="6"/>
      <c r="V43" s="6"/>
      <c r="W43" s="6"/>
      <c r="X43" s="6"/>
      <c r="Y43" s="6"/>
      <c r="Z43" s="6"/>
      <c r="AA43" s="6"/>
      <c r="AB43" s="6"/>
      <c r="AC43" s="6"/>
      <c r="AD43" s="6"/>
      <c r="AE43" s="6"/>
      <c r="AF43" s="6"/>
      <c r="AG43" s="7"/>
      <c r="AH43" s="7"/>
      <c r="AO43" s="14"/>
      <c r="AP43" s="14"/>
      <c r="AQ43" s="14"/>
      <c r="AR43" s="14"/>
    </row>
    <row r="44" spans="1:44" ht="15.75" customHeight="1" x14ac:dyDescent="0.2">
      <c r="B44" s="6"/>
      <c r="C44" s="6"/>
      <c r="M44" s="6"/>
      <c r="N44" s="6"/>
      <c r="O44" s="6"/>
      <c r="P44" s="6"/>
      <c r="Q44" s="6"/>
      <c r="R44" s="6"/>
      <c r="S44" s="6"/>
      <c r="T44" s="6"/>
      <c r="U44" s="6"/>
      <c r="V44" s="6"/>
      <c r="W44" s="6"/>
      <c r="X44" s="6"/>
      <c r="Y44" s="6"/>
      <c r="Z44" s="6"/>
      <c r="AA44" s="6"/>
      <c r="AB44" s="6"/>
      <c r="AC44" s="6"/>
      <c r="AD44" s="6"/>
      <c r="AE44" s="6"/>
      <c r="AF44" s="6"/>
      <c r="AG44" s="7"/>
      <c r="AH44" s="7"/>
      <c r="AO44" s="14"/>
      <c r="AP44" s="14"/>
      <c r="AQ44" s="14"/>
      <c r="AR44" s="14"/>
    </row>
    <row r="45" spans="1:44" ht="15.75" customHeight="1" x14ac:dyDescent="0.2">
      <c r="A45" s="4" t="s">
        <v>201</v>
      </c>
      <c r="B45" s="59">
        <v>0</v>
      </c>
      <c r="C45" s="59">
        <v>1100</v>
      </c>
      <c r="D45" s="59">
        <v>1100</v>
      </c>
      <c r="E45" s="59">
        <v>1100</v>
      </c>
      <c r="F45" s="59">
        <v>1100</v>
      </c>
      <c r="G45" s="59">
        <v>600</v>
      </c>
      <c r="H45" s="59">
        <v>0</v>
      </c>
      <c r="I45" s="59">
        <v>0</v>
      </c>
      <c r="J45" s="59">
        <v>0</v>
      </c>
      <c r="K45" s="59">
        <v>0</v>
      </c>
      <c r="L45" s="59">
        <v>600</v>
      </c>
      <c r="M45" s="59">
        <v>600</v>
      </c>
      <c r="N45" s="59">
        <v>600</v>
      </c>
      <c r="O45" s="59">
        <v>600</v>
      </c>
      <c r="P45" s="59">
        <v>600</v>
      </c>
      <c r="Q45" s="59">
        <v>600</v>
      </c>
      <c r="R45" s="59">
        <v>600</v>
      </c>
      <c r="S45" s="59">
        <v>600</v>
      </c>
      <c r="T45" s="59">
        <v>600</v>
      </c>
      <c r="U45" s="59">
        <v>600</v>
      </c>
      <c r="V45" s="59">
        <v>600</v>
      </c>
      <c r="W45" s="59">
        <v>600</v>
      </c>
      <c r="X45" s="59">
        <v>600</v>
      </c>
      <c r="Y45" s="59">
        <v>600</v>
      </c>
      <c r="Z45" s="59">
        <v>600</v>
      </c>
      <c r="AA45" s="59">
        <v>600</v>
      </c>
      <c r="AB45" s="59">
        <v>400</v>
      </c>
      <c r="AC45" s="59">
        <v>0</v>
      </c>
      <c r="AD45" s="59">
        <v>0</v>
      </c>
      <c r="AE45" s="59">
        <v>0</v>
      </c>
      <c r="AF45" s="59">
        <f>1700+2400</f>
        <v>4100</v>
      </c>
      <c r="AG45" s="56">
        <f t="shared" ref="AG45:AG47" si="29">SUM(B45:AE45)</f>
        <v>15000</v>
      </c>
      <c r="AH45" s="7"/>
      <c r="AO45" s="14"/>
      <c r="AP45" s="14"/>
      <c r="AQ45" s="14"/>
      <c r="AR45" s="14"/>
    </row>
    <row r="46" spans="1:44" ht="15.75" customHeight="1" x14ac:dyDescent="0.2">
      <c r="A46" s="4" t="s">
        <v>202</v>
      </c>
      <c r="B46" s="59">
        <v>10000</v>
      </c>
      <c r="C46" s="59">
        <v>1000</v>
      </c>
      <c r="D46" s="59">
        <v>0</v>
      </c>
      <c r="E46" s="59">
        <v>0</v>
      </c>
      <c r="F46" s="59">
        <v>-2250</v>
      </c>
      <c r="G46" s="59">
        <v>-15000</v>
      </c>
      <c r="H46" s="59">
        <v>-830</v>
      </c>
      <c r="I46" s="59">
        <v>1400</v>
      </c>
      <c r="J46" s="59">
        <f>1960+1350</f>
        <v>3310</v>
      </c>
      <c r="K46" s="59">
        <v>0</v>
      </c>
      <c r="L46" s="59">
        <v>1100</v>
      </c>
      <c r="M46" s="59">
        <f>1000-2500</f>
        <v>-1500</v>
      </c>
      <c r="N46" s="59">
        <f>2800-1240</f>
        <v>1560</v>
      </c>
      <c r="O46" s="59">
        <f>-1240+2000</f>
        <v>760</v>
      </c>
      <c r="P46" s="59">
        <v>0</v>
      </c>
      <c r="Q46" s="59">
        <v>0</v>
      </c>
      <c r="R46" s="59">
        <v>0</v>
      </c>
      <c r="S46" s="59">
        <v>-1240</v>
      </c>
      <c r="T46" s="59">
        <v>0</v>
      </c>
      <c r="U46" s="59">
        <v>-1000</v>
      </c>
      <c r="V46" s="59">
        <v>0</v>
      </c>
      <c r="W46" s="59">
        <v>2488</v>
      </c>
      <c r="X46" s="59">
        <v>490</v>
      </c>
      <c r="Y46" s="59">
        <v>230</v>
      </c>
      <c r="Z46" s="59">
        <v>1800</v>
      </c>
      <c r="AA46" s="59">
        <v>2000</v>
      </c>
      <c r="AB46" s="59">
        <f>2700-1260</f>
        <v>1440</v>
      </c>
      <c r="AC46" s="59">
        <f>3800-1250</f>
        <v>2550</v>
      </c>
      <c r="AD46" s="59">
        <v>1000</v>
      </c>
      <c r="AE46" s="59">
        <f>3500-1270</f>
        <v>2230</v>
      </c>
      <c r="AF46" s="59">
        <v>2500</v>
      </c>
      <c r="AG46" s="56">
        <f t="shared" si="29"/>
        <v>11538</v>
      </c>
      <c r="AH46" s="7"/>
      <c r="AO46" s="14"/>
      <c r="AP46" s="14"/>
      <c r="AQ46" s="14"/>
      <c r="AR46" s="14"/>
    </row>
    <row r="47" spans="1:44" ht="15.75" customHeight="1" x14ac:dyDescent="0.2">
      <c r="A47" s="4" t="s">
        <v>203</v>
      </c>
      <c r="B47" s="59">
        <f t="shared" ref="B47:AF47" si="30">B4+B3+B7+B8+(SUM(B20:B22))+B45+B46</f>
        <v>17288.83870967742</v>
      </c>
      <c r="C47" s="59">
        <f t="shared" si="30"/>
        <v>9388.8387096774204</v>
      </c>
      <c r="D47" s="59">
        <f t="shared" si="30"/>
        <v>8388.8387096774204</v>
      </c>
      <c r="E47" s="59">
        <f t="shared" si="30"/>
        <v>8388.8387096774204</v>
      </c>
      <c r="F47" s="59">
        <f t="shared" si="30"/>
        <v>6138.8387096774204</v>
      </c>
      <c r="G47" s="59">
        <f t="shared" si="30"/>
        <v>-7111.1612903225805</v>
      </c>
      <c r="H47" s="59">
        <f t="shared" si="30"/>
        <v>6458.8387096774195</v>
      </c>
      <c r="I47" s="59">
        <f t="shared" si="30"/>
        <v>8688.8387096774204</v>
      </c>
      <c r="J47" s="59">
        <f t="shared" si="30"/>
        <v>10598.83870967742</v>
      </c>
      <c r="K47" s="59">
        <f t="shared" si="30"/>
        <v>7288.8387096774195</v>
      </c>
      <c r="L47" s="59">
        <f t="shared" si="30"/>
        <v>8988.8387096774204</v>
      </c>
      <c r="M47" s="59">
        <f t="shared" si="30"/>
        <v>6388.8387096774195</v>
      </c>
      <c r="N47" s="59">
        <f t="shared" si="30"/>
        <v>9448.8387096774204</v>
      </c>
      <c r="O47" s="59">
        <f t="shared" si="30"/>
        <v>8648.8387096774204</v>
      </c>
      <c r="P47" s="59">
        <f t="shared" si="30"/>
        <v>7888.8387096774195</v>
      </c>
      <c r="Q47" s="59">
        <f t="shared" si="30"/>
        <v>7888.8387096774195</v>
      </c>
      <c r="R47" s="59">
        <f t="shared" si="30"/>
        <v>7888.8387096774195</v>
      </c>
      <c r="S47" s="59">
        <f t="shared" si="30"/>
        <v>6648.8387096774195</v>
      </c>
      <c r="T47" s="59">
        <f t="shared" si="30"/>
        <v>7888.8387096774195</v>
      </c>
      <c r="U47" s="59">
        <f t="shared" si="30"/>
        <v>6888.8387096774195</v>
      </c>
      <c r="V47" s="59">
        <f t="shared" si="30"/>
        <v>7888.8387096774195</v>
      </c>
      <c r="W47" s="59">
        <f t="shared" si="30"/>
        <v>10376.83870967742</v>
      </c>
      <c r="X47" s="59">
        <f t="shared" si="30"/>
        <v>8378.8387096774204</v>
      </c>
      <c r="Y47" s="59">
        <f t="shared" si="30"/>
        <v>8118.8387096774195</v>
      </c>
      <c r="Z47" s="59">
        <f t="shared" si="30"/>
        <v>9688.8387096774204</v>
      </c>
      <c r="AA47" s="59">
        <f t="shared" si="30"/>
        <v>9888.8387096774204</v>
      </c>
      <c r="AB47" s="59">
        <f t="shared" si="30"/>
        <v>9128.8387096774204</v>
      </c>
      <c r="AC47" s="59">
        <f t="shared" si="30"/>
        <v>9838.8387096774204</v>
      </c>
      <c r="AD47" s="59">
        <f t="shared" si="30"/>
        <v>8288.8387096774204</v>
      </c>
      <c r="AE47" s="59">
        <f t="shared" si="30"/>
        <v>9518.8387096774204</v>
      </c>
      <c r="AF47" s="59">
        <f t="shared" si="30"/>
        <v>13888.83870967742</v>
      </c>
      <c r="AG47" s="67">
        <f t="shared" si="29"/>
        <v>245203.16129032269</v>
      </c>
      <c r="AH47" s="7"/>
      <c r="AO47" s="14"/>
      <c r="AP47" s="14"/>
      <c r="AQ47" s="14"/>
      <c r="AR47" s="14"/>
    </row>
    <row r="48" spans="1:44" ht="15.75" customHeight="1" x14ac:dyDescent="0.2">
      <c r="A48" s="4" t="s">
        <v>204</v>
      </c>
      <c r="B48" s="59">
        <f>B31-B29+B47+28954</f>
        <v>37124</v>
      </c>
      <c r="C48" s="59">
        <f t="shared" ref="C48:AF48" si="31">B48+C31-C29+C47</f>
        <v>37899</v>
      </c>
      <c r="D48" s="59">
        <f t="shared" si="31"/>
        <v>37524</v>
      </c>
      <c r="E48" s="59">
        <f t="shared" si="31"/>
        <v>36619</v>
      </c>
      <c r="F48" s="59">
        <f t="shared" si="31"/>
        <v>31259.000000000004</v>
      </c>
      <c r="G48" s="59">
        <f t="shared" si="31"/>
        <v>14234.000000000004</v>
      </c>
      <c r="H48" s="59">
        <f t="shared" si="31"/>
        <v>9154.0000000000036</v>
      </c>
      <c r="I48" s="59">
        <f t="shared" si="31"/>
        <v>9100.0000000000055</v>
      </c>
      <c r="J48" s="59">
        <f t="shared" si="31"/>
        <v>11115.000000000007</v>
      </c>
      <c r="K48" s="59">
        <f t="shared" si="31"/>
        <v>9473.0000000000073</v>
      </c>
      <c r="L48" s="59">
        <f t="shared" si="31"/>
        <v>10948.000000000009</v>
      </c>
      <c r="M48" s="59">
        <f t="shared" si="31"/>
        <v>12848.000000000007</v>
      </c>
      <c r="N48" s="59">
        <f t="shared" si="31"/>
        <v>16672.000000000007</v>
      </c>
      <c r="O48" s="59">
        <f t="shared" si="31"/>
        <v>14853.000000000009</v>
      </c>
      <c r="P48" s="59">
        <f t="shared" si="31"/>
        <v>13163.000000000007</v>
      </c>
      <c r="Q48" s="59">
        <f t="shared" si="31"/>
        <v>11783.000000000007</v>
      </c>
      <c r="R48" s="59">
        <f t="shared" si="31"/>
        <v>11368.000000000007</v>
      </c>
      <c r="S48" s="59">
        <f t="shared" si="31"/>
        <v>11018.000000000007</v>
      </c>
      <c r="T48" s="59">
        <f t="shared" si="31"/>
        <v>10238.000000000007</v>
      </c>
      <c r="U48" s="59">
        <f t="shared" si="31"/>
        <v>9788.0000000000073</v>
      </c>
      <c r="V48" s="59">
        <f t="shared" si="31"/>
        <v>9903.0000000000073</v>
      </c>
      <c r="W48" s="59">
        <f t="shared" si="31"/>
        <v>9666.0000000000091</v>
      </c>
      <c r="X48" s="59">
        <f t="shared" si="31"/>
        <v>11131.000000000011</v>
      </c>
      <c r="Y48" s="59">
        <f t="shared" si="31"/>
        <v>9906.0000000000109</v>
      </c>
      <c r="Z48" s="59">
        <f t="shared" si="31"/>
        <v>9661.0000000000127</v>
      </c>
      <c r="AA48" s="59">
        <f t="shared" si="31"/>
        <v>10389.000000000015</v>
      </c>
      <c r="AB48" s="59">
        <f t="shared" si="31"/>
        <v>9959.0000000000146</v>
      </c>
      <c r="AC48" s="59">
        <f t="shared" si="31"/>
        <v>11284.000000000016</v>
      </c>
      <c r="AD48" s="59">
        <f t="shared" si="31"/>
        <v>10029.000000000016</v>
      </c>
      <c r="AE48" s="59">
        <f t="shared" si="31"/>
        <v>8874.0000000000164</v>
      </c>
      <c r="AF48" s="59">
        <f t="shared" si="31"/>
        <v>9484.00000000002</v>
      </c>
      <c r="AG48" s="7"/>
      <c r="AH48" s="7"/>
      <c r="AO48" s="14"/>
      <c r="AP48" s="14"/>
      <c r="AQ48" s="14"/>
      <c r="AR48" s="14"/>
    </row>
    <row r="49" spans="1:44"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7"/>
      <c r="AH49" s="7"/>
      <c r="AO49" s="14"/>
      <c r="AP49" s="14"/>
      <c r="AQ49" s="14"/>
      <c r="AR49" s="14"/>
    </row>
    <row r="50" spans="1:44" ht="15.75" customHeight="1" x14ac:dyDescent="0.2">
      <c r="F50" s="14" t="s">
        <v>237</v>
      </c>
      <c r="G50" s="14" t="s">
        <v>238</v>
      </c>
      <c r="H50" s="14" t="s">
        <v>239</v>
      </c>
      <c r="AG50" s="1"/>
      <c r="AH50" s="7"/>
      <c r="AO50" s="14"/>
      <c r="AP50" s="14"/>
      <c r="AQ50" s="14"/>
      <c r="AR50" s="14"/>
    </row>
    <row r="51" spans="1:44" ht="15.75" customHeight="1" x14ac:dyDescent="0.2">
      <c r="A51" s="4" t="s">
        <v>166</v>
      </c>
      <c r="B51" s="14">
        <f>2250+2250</f>
        <v>4500</v>
      </c>
      <c r="AG51" s="1"/>
      <c r="AH51" s="7"/>
      <c r="AO51" s="14"/>
      <c r="AP51" s="14"/>
      <c r="AQ51" s="14"/>
      <c r="AR51" s="14"/>
    </row>
    <row r="52" spans="1:44" ht="15.75" customHeight="1" x14ac:dyDescent="0.2">
      <c r="A52" s="4" t="s">
        <v>205</v>
      </c>
      <c r="B52" s="14">
        <f>4000+1800</f>
        <v>5800</v>
      </c>
      <c r="AG52" s="1"/>
      <c r="AH52" s="7"/>
      <c r="AO52" s="14"/>
      <c r="AP52" s="14"/>
      <c r="AQ52" s="14"/>
      <c r="AR52" s="14"/>
    </row>
    <row r="53" spans="1:44" ht="15.75" customHeight="1" x14ac:dyDescent="0.2">
      <c r="A53" s="4" t="s">
        <v>179</v>
      </c>
      <c r="B53" s="14">
        <f>11000+8500</f>
        <v>19500</v>
      </c>
      <c r="I53" s="14" t="s">
        <v>206</v>
      </c>
      <c r="AG53" s="1"/>
      <c r="AH53" s="7"/>
      <c r="AO53" s="14"/>
      <c r="AP53" s="14"/>
      <c r="AQ53" s="14"/>
      <c r="AR53" s="14"/>
    </row>
    <row r="54" spans="1:44" ht="15.75" customHeight="1" x14ac:dyDescent="0.2">
      <c r="A54" s="4" t="s">
        <v>180</v>
      </c>
      <c r="B54" s="14">
        <f>2500*1.5</f>
        <v>3750</v>
      </c>
      <c r="AG54" s="1"/>
      <c r="AH54" s="7"/>
      <c r="AO54" s="14"/>
      <c r="AP54" s="14"/>
      <c r="AQ54" s="14"/>
      <c r="AR54" s="14"/>
    </row>
    <row r="55" spans="1:44" ht="15.75" customHeight="1" x14ac:dyDescent="0.2">
      <c r="A55" s="4" t="s">
        <v>181</v>
      </c>
      <c r="B55" s="14">
        <v>1950</v>
      </c>
      <c r="AG55" s="1"/>
      <c r="AH55" s="7"/>
      <c r="AO55" s="14"/>
      <c r="AP55" s="14"/>
      <c r="AQ55" s="14"/>
      <c r="AR55" s="14"/>
    </row>
    <row r="56" spans="1:44" ht="15.75" customHeight="1" x14ac:dyDescent="0.2">
      <c r="B56" s="83">
        <f>SUM(B51:B55)</f>
        <v>35500</v>
      </c>
      <c r="J56" s="84" t="s">
        <v>207</v>
      </c>
      <c r="K56" s="4"/>
      <c r="L56" s="36">
        <f>H32</f>
        <v>6500</v>
      </c>
      <c r="M56" s="59">
        <f>O32</f>
        <v>6425</v>
      </c>
      <c r="N56" s="59">
        <f>V32</f>
        <v>7200</v>
      </c>
      <c r="O56" s="59">
        <f>AC32</f>
        <v>3455</v>
      </c>
      <c r="P56" s="84">
        <f t="shared" ref="P56:P62" si="32">AVERAGEIF(K56:O56,"&lt;&gt;0")</f>
        <v>5895</v>
      </c>
      <c r="R56" s="6"/>
      <c r="AG56" s="1"/>
      <c r="AH56" s="7"/>
      <c r="AO56" s="14"/>
      <c r="AP56" s="14"/>
      <c r="AQ56" s="14"/>
      <c r="AR56" s="14"/>
    </row>
    <row r="57" spans="1:44" ht="15.75" customHeight="1" x14ac:dyDescent="0.2">
      <c r="J57" s="84" t="s">
        <v>208</v>
      </c>
      <c r="K57" s="59">
        <f>B32</f>
        <v>9295</v>
      </c>
      <c r="L57" s="36">
        <f>I32</f>
        <v>10445</v>
      </c>
      <c r="M57" s="59">
        <f>P32</f>
        <v>5345</v>
      </c>
      <c r="N57" s="59">
        <f>W32</f>
        <v>4055</v>
      </c>
      <c r="O57" s="59">
        <f>AD32</f>
        <v>8015</v>
      </c>
      <c r="P57" s="84">
        <f t="shared" si="32"/>
        <v>7431</v>
      </c>
      <c r="AG57" s="1"/>
      <c r="AH57" s="7"/>
      <c r="AO57" s="14"/>
      <c r="AP57" s="14"/>
      <c r="AQ57" s="14"/>
      <c r="AR57" s="14"/>
    </row>
    <row r="58" spans="1:44" ht="15.75" customHeight="1" x14ac:dyDescent="0.2">
      <c r="J58" s="84" t="s">
        <v>209</v>
      </c>
      <c r="K58" s="59">
        <f>C32</f>
        <v>7280</v>
      </c>
      <c r="L58" s="59">
        <f>J32</f>
        <v>10580</v>
      </c>
      <c r="M58" s="59">
        <f>Q32</f>
        <v>7770</v>
      </c>
      <c r="N58" s="59">
        <f>X32</f>
        <v>11010</v>
      </c>
      <c r="O58" s="59">
        <f>AE32</f>
        <v>8750</v>
      </c>
      <c r="P58" s="84">
        <f t="shared" si="32"/>
        <v>9078</v>
      </c>
      <c r="AG58" s="1"/>
      <c r="AH58" s="7"/>
      <c r="AO58" s="14"/>
      <c r="AP58" s="14"/>
      <c r="AQ58" s="14"/>
      <c r="AR58" s="14"/>
    </row>
    <row r="59" spans="1:44" ht="15.75" customHeight="1" x14ac:dyDescent="0.2">
      <c r="A59" s="14" t="s">
        <v>210</v>
      </c>
      <c r="B59" s="14">
        <v>31</v>
      </c>
      <c r="J59" s="84" t="s">
        <v>211</v>
      </c>
      <c r="K59" s="59">
        <f>D32</f>
        <v>9175</v>
      </c>
      <c r="L59" s="59">
        <f>K32</f>
        <v>6256</v>
      </c>
      <c r="M59" s="59">
        <f>R32</f>
        <v>6480</v>
      </c>
      <c r="N59" s="59">
        <f>Y32</f>
        <v>5035</v>
      </c>
      <c r="O59" s="59">
        <f>AF32</f>
        <v>6915</v>
      </c>
      <c r="P59" s="84">
        <f t="shared" si="32"/>
        <v>6772.2</v>
      </c>
      <c r="AG59" s="1"/>
      <c r="AH59" s="7"/>
      <c r="AO59" s="14"/>
      <c r="AP59" s="14"/>
      <c r="AQ59" s="14"/>
      <c r="AR59" s="14"/>
    </row>
    <row r="60" spans="1:44" ht="15.75" customHeight="1" x14ac:dyDescent="0.2">
      <c r="J60" s="84" t="s">
        <v>212</v>
      </c>
      <c r="K60" s="59">
        <f>E32</f>
        <v>8470</v>
      </c>
      <c r="L60" s="59">
        <f>L32</f>
        <v>9535</v>
      </c>
      <c r="M60" s="59">
        <f>S32</f>
        <v>10515</v>
      </c>
      <c r="N60" s="59">
        <f>Z32</f>
        <v>11605</v>
      </c>
      <c r="O60" s="4"/>
      <c r="P60" s="84">
        <f t="shared" si="32"/>
        <v>10031.25</v>
      </c>
      <c r="AG60" s="1"/>
      <c r="AH60" s="7"/>
      <c r="AO60" s="14"/>
      <c r="AP60" s="14"/>
      <c r="AQ60" s="14"/>
      <c r="AR60" s="14"/>
    </row>
    <row r="61" spans="1:44" ht="15.75" customHeight="1" x14ac:dyDescent="0.2">
      <c r="J61" s="84" t="s">
        <v>213</v>
      </c>
      <c r="K61" s="36">
        <f>F32</f>
        <v>11050</v>
      </c>
      <c r="L61" s="59">
        <f>M32</f>
        <v>16305</v>
      </c>
      <c r="M61" s="59">
        <f>T32</f>
        <v>9080</v>
      </c>
      <c r="N61" s="59">
        <f>AA32</f>
        <v>11070</v>
      </c>
      <c r="O61" s="4"/>
      <c r="P61" s="84">
        <f t="shared" si="32"/>
        <v>11876.25</v>
      </c>
      <c r="AG61" s="1"/>
      <c r="AH61" s="7"/>
      <c r="AO61" s="14"/>
      <c r="AP61" s="14"/>
      <c r="AQ61" s="14"/>
      <c r="AR61" s="14"/>
    </row>
    <row r="62" spans="1:44" ht="15.75" customHeight="1" x14ac:dyDescent="0.2">
      <c r="J62" s="84" t="s">
        <v>214</v>
      </c>
      <c r="K62" s="36">
        <f>G32</f>
        <v>12095</v>
      </c>
      <c r="L62" s="59">
        <f>N32</f>
        <v>13085</v>
      </c>
      <c r="M62" s="59">
        <f>U32</f>
        <v>9810</v>
      </c>
      <c r="N62" s="59">
        <f>AB32</f>
        <v>14635</v>
      </c>
      <c r="O62" s="4"/>
      <c r="P62" s="84">
        <f t="shared" si="32"/>
        <v>12406.25</v>
      </c>
      <c r="AG62" s="1"/>
      <c r="AH62" s="7"/>
      <c r="AO62" s="14"/>
      <c r="AP62" s="14"/>
      <c r="AQ62" s="14"/>
      <c r="AR62" s="14"/>
    </row>
    <row r="63" spans="1:44" ht="15.75" customHeight="1" x14ac:dyDescent="0.2">
      <c r="Q63" s="14" t="s">
        <v>127</v>
      </c>
      <c r="AG63" s="1"/>
      <c r="AH63" s="7"/>
      <c r="AO63" s="14"/>
      <c r="AP63" s="14"/>
      <c r="AQ63" s="14"/>
      <c r="AR63" s="14"/>
    </row>
    <row r="64" spans="1:44" ht="15.75" customHeight="1" x14ac:dyDescent="0.2">
      <c r="AG64" s="1"/>
      <c r="AH64" s="7"/>
      <c r="AO64" s="14"/>
      <c r="AP64" s="14"/>
      <c r="AQ64" s="14"/>
      <c r="AR64" s="14"/>
    </row>
    <row r="65" spans="25:44" ht="14" x14ac:dyDescent="0.2">
      <c r="AG65" s="1"/>
      <c r="AH65" s="7"/>
      <c r="AO65" s="14"/>
      <c r="AP65" s="14"/>
      <c r="AQ65" s="14"/>
      <c r="AR65" s="14"/>
    </row>
    <row r="66" spans="25:44" ht="14" x14ac:dyDescent="0.2">
      <c r="Y66" s="14" t="s">
        <v>206</v>
      </c>
      <c r="AG66" s="1"/>
      <c r="AH66" s="7"/>
      <c r="AO66" s="14"/>
      <c r="AP66" s="14"/>
      <c r="AQ66" s="14"/>
      <c r="AR66" s="14"/>
    </row>
    <row r="67" spans="25:44" ht="14" x14ac:dyDescent="0.2">
      <c r="AG67" s="1"/>
      <c r="AH67" s="7"/>
      <c r="AO67" s="14"/>
      <c r="AP67" s="14"/>
      <c r="AQ67" s="14"/>
      <c r="AR67" s="14"/>
    </row>
    <row r="68" spans="25:44" ht="14" x14ac:dyDescent="0.2">
      <c r="AG68" s="1"/>
      <c r="AH68" s="7"/>
      <c r="AO68" s="14"/>
      <c r="AP68" s="14"/>
      <c r="AQ68" s="14"/>
      <c r="AR68" s="14"/>
    </row>
    <row r="69" spans="25:44" ht="14" x14ac:dyDescent="0.2">
      <c r="AG69" s="1"/>
      <c r="AH69" s="7"/>
      <c r="AO69" s="14"/>
      <c r="AP69" s="14"/>
      <c r="AQ69" s="14"/>
      <c r="AR69" s="14"/>
    </row>
    <row r="70" spans="25:44" ht="14" x14ac:dyDescent="0.2">
      <c r="AG70" s="1"/>
      <c r="AH70" s="7"/>
      <c r="AO70" s="14"/>
      <c r="AP70" s="14"/>
      <c r="AQ70" s="14"/>
      <c r="AR70" s="14"/>
    </row>
    <row r="71" spans="25:44" ht="14" x14ac:dyDescent="0.2">
      <c r="AG71" s="1"/>
      <c r="AH71" s="7"/>
      <c r="AO71" s="14"/>
      <c r="AP71" s="14"/>
      <c r="AQ71" s="14"/>
      <c r="AR71" s="14"/>
    </row>
    <row r="72" spans="25:44" ht="14" x14ac:dyDescent="0.2">
      <c r="AG72" s="1"/>
      <c r="AH72" s="7"/>
      <c r="AO72" s="14"/>
      <c r="AP72" s="14"/>
      <c r="AQ72" s="14"/>
      <c r="AR72" s="14"/>
    </row>
    <row r="73" spans="25:44" ht="14" x14ac:dyDescent="0.2">
      <c r="AG73" s="1"/>
      <c r="AH73" s="7"/>
      <c r="AO73" s="14"/>
      <c r="AP73" s="14"/>
      <c r="AQ73" s="14"/>
      <c r="AR73" s="14"/>
    </row>
    <row r="74" spans="25:44" ht="14" x14ac:dyDescent="0.2">
      <c r="AG74" s="1"/>
      <c r="AH74" s="7"/>
      <c r="AO74" s="14"/>
      <c r="AP74" s="14"/>
      <c r="AQ74" s="14"/>
      <c r="AR74" s="14"/>
    </row>
    <row r="75" spans="25:44" ht="14" x14ac:dyDescent="0.2">
      <c r="AG75" s="1"/>
      <c r="AH75" s="7"/>
      <c r="AO75" s="14"/>
      <c r="AP75" s="14"/>
      <c r="AQ75" s="14"/>
      <c r="AR75" s="14"/>
    </row>
    <row r="76" spans="25:44" ht="14" x14ac:dyDescent="0.2">
      <c r="AG76" s="1"/>
      <c r="AH76" s="7"/>
      <c r="AO76" s="14"/>
      <c r="AP76" s="14"/>
      <c r="AQ76" s="14"/>
      <c r="AR76" s="14"/>
    </row>
    <row r="77" spans="25:44" ht="14" x14ac:dyDescent="0.2">
      <c r="AG77" s="1"/>
      <c r="AH77" s="7"/>
      <c r="AO77" s="14"/>
      <c r="AP77" s="14"/>
      <c r="AQ77" s="14"/>
      <c r="AR77" s="14"/>
    </row>
    <row r="78" spans="25:44" ht="14" x14ac:dyDescent="0.2">
      <c r="AG78" s="1"/>
      <c r="AH78" s="7"/>
      <c r="AO78" s="14"/>
      <c r="AP78" s="14"/>
      <c r="AQ78" s="14"/>
      <c r="AR78" s="14"/>
    </row>
    <row r="79" spans="25:44" ht="14" x14ac:dyDescent="0.2">
      <c r="AG79" s="1"/>
      <c r="AH79" s="7"/>
      <c r="AO79" s="14"/>
      <c r="AP79" s="14"/>
      <c r="AQ79" s="14"/>
      <c r="AR79" s="14"/>
    </row>
    <row r="80" spans="25:44" ht="14" x14ac:dyDescent="0.2">
      <c r="AG80" s="1"/>
      <c r="AH80" s="7"/>
      <c r="AO80" s="14"/>
      <c r="AP80" s="14"/>
      <c r="AQ80" s="14"/>
      <c r="AR80" s="14"/>
    </row>
    <row r="81" spans="33:44" ht="14" x14ac:dyDescent="0.2">
      <c r="AG81" s="1"/>
      <c r="AH81" s="7"/>
      <c r="AO81" s="14"/>
      <c r="AP81" s="14"/>
      <c r="AQ81" s="14"/>
      <c r="AR81" s="14"/>
    </row>
    <row r="82" spans="33:44" ht="14" x14ac:dyDescent="0.2">
      <c r="AG82" s="1"/>
      <c r="AH82" s="7"/>
      <c r="AO82" s="14"/>
      <c r="AP82" s="14"/>
      <c r="AQ82" s="14"/>
      <c r="AR82" s="14"/>
    </row>
    <row r="83" spans="33:44" ht="14" x14ac:dyDescent="0.2">
      <c r="AG83" s="1"/>
      <c r="AH83" s="7"/>
      <c r="AO83" s="14"/>
      <c r="AP83" s="14"/>
      <c r="AQ83" s="14"/>
      <c r="AR83" s="14"/>
    </row>
    <row r="84" spans="33:44" ht="14" x14ac:dyDescent="0.2">
      <c r="AG84" s="1"/>
      <c r="AH84" s="7"/>
      <c r="AO84" s="14"/>
      <c r="AP84" s="14"/>
      <c r="AQ84" s="14"/>
      <c r="AR84" s="14"/>
    </row>
    <row r="85" spans="33:44" ht="14" x14ac:dyDescent="0.2">
      <c r="AG85" s="1"/>
      <c r="AH85" s="7"/>
      <c r="AO85" s="14"/>
      <c r="AP85" s="14"/>
      <c r="AQ85" s="14"/>
      <c r="AR85" s="14"/>
    </row>
    <row r="86" spans="33:44" ht="14" x14ac:dyDescent="0.2">
      <c r="AG86" s="1"/>
      <c r="AH86" s="7"/>
    </row>
    <row r="87" spans="33:44" ht="14" x14ac:dyDescent="0.2">
      <c r="AG87" s="1"/>
      <c r="AH87" s="7"/>
    </row>
    <row r="88" spans="33:44" ht="14" x14ac:dyDescent="0.2">
      <c r="AG88" s="1"/>
      <c r="AH88" s="7"/>
    </row>
    <row r="89" spans="33:44" ht="14" x14ac:dyDescent="0.2">
      <c r="AG89" s="1"/>
      <c r="AH89" s="7"/>
    </row>
    <row r="90" spans="33:44" ht="14" x14ac:dyDescent="0.2">
      <c r="AG90" s="1"/>
      <c r="AH90" s="7"/>
    </row>
    <row r="91" spans="33:44" ht="14" x14ac:dyDescent="0.2">
      <c r="AG91" s="1"/>
      <c r="AH91" s="7"/>
    </row>
    <row r="92" spans="33:44" ht="14" x14ac:dyDescent="0.2">
      <c r="AG92" s="1"/>
      <c r="AH92" s="7"/>
    </row>
    <row r="93" spans="33:44" ht="14" x14ac:dyDescent="0.2">
      <c r="AG93" s="1"/>
      <c r="AH93" s="7"/>
    </row>
    <row r="94" spans="33:44" ht="14" x14ac:dyDescent="0.2">
      <c r="AG94" s="1"/>
      <c r="AH94" s="7"/>
    </row>
    <row r="95" spans="33:44" ht="14" x14ac:dyDescent="0.2">
      <c r="AG95" s="1"/>
      <c r="AH95" s="7"/>
    </row>
    <row r="96" spans="33:44" ht="14" x14ac:dyDescent="0.2">
      <c r="AG96" s="1"/>
      <c r="AH96" s="7"/>
    </row>
    <row r="97" spans="33:34" ht="14" x14ac:dyDescent="0.2">
      <c r="AG97" s="1"/>
      <c r="AH97" s="7"/>
    </row>
    <row r="98" spans="33:34" ht="14" x14ac:dyDescent="0.2">
      <c r="AG98" s="1"/>
      <c r="AH98" s="7"/>
    </row>
    <row r="99" spans="33:34" ht="14" x14ac:dyDescent="0.2">
      <c r="AG99" s="1"/>
      <c r="AH99" s="7"/>
    </row>
    <row r="100" spans="33:34" ht="14" x14ac:dyDescent="0.2">
      <c r="AG100" s="1"/>
      <c r="AH100" s="7"/>
    </row>
    <row r="101" spans="33:34" ht="14" x14ac:dyDescent="0.2">
      <c r="AG101" s="1"/>
      <c r="AH101" s="7"/>
    </row>
    <row r="102" spans="33:34" ht="14" x14ac:dyDescent="0.2">
      <c r="AG102" s="1"/>
      <c r="AH102" s="7"/>
    </row>
    <row r="103" spans="33:34" ht="14" x14ac:dyDescent="0.2">
      <c r="AG103" s="1"/>
      <c r="AH103" s="7"/>
    </row>
    <row r="104" spans="33:34" ht="14" x14ac:dyDescent="0.2">
      <c r="AG104" s="1"/>
      <c r="AH104" s="7"/>
    </row>
    <row r="105" spans="33:34" ht="14" x14ac:dyDescent="0.2">
      <c r="AG105" s="1"/>
      <c r="AH105" s="7"/>
    </row>
    <row r="106" spans="33:34" ht="14" x14ac:dyDescent="0.2">
      <c r="AG106" s="1"/>
      <c r="AH106" s="7"/>
    </row>
    <row r="107" spans="33:34" ht="14" x14ac:dyDescent="0.2">
      <c r="AG107" s="1"/>
      <c r="AH107" s="7"/>
    </row>
    <row r="108" spans="33:34" ht="14" x14ac:dyDescent="0.2">
      <c r="AG108" s="1"/>
      <c r="AH108" s="7"/>
    </row>
    <row r="109" spans="33:34" ht="14" x14ac:dyDescent="0.2">
      <c r="AG109" s="1"/>
      <c r="AH109" s="7"/>
    </row>
    <row r="110" spans="33:34" ht="14" x14ac:dyDescent="0.2">
      <c r="AG110" s="1"/>
      <c r="AH110" s="7"/>
    </row>
    <row r="111" spans="33:34" ht="14" x14ac:dyDescent="0.2">
      <c r="AG111" s="1"/>
      <c r="AH111" s="7"/>
    </row>
    <row r="112" spans="33:34" ht="14" x14ac:dyDescent="0.2">
      <c r="AG112" s="1"/>
      <c r="AH112" s="7"/>
    </row>
    <row r="113" spans="33:34" ht="14" x14ac:dyDescent="0.2">
      <c r="AG113" s="1"/>
      <c r="AH113" s="7"/>
    </row>
    <row r="114" spans="33:34" ht="14" x14ac:dyDescent="0.2">
      <c r="AG114" s="1"/>
      <c r="AH114" s="7"/>
    </row>
    <row r="115" spans="33:34" ht="14" x14ac:dyDescent="0.2">
      <c r="AG115" s="1"/>
      <c r="AH115" s="7"/>
    </row>
    <row r="116" spans="33:34" ht="14" x14ac:dyDescent="0.2">
      <c r="AG116" s="1"/>
      <c r="AH116" s="7"/>
    </row>
    <row r="117" spans="33:34" ht="14" x14ac:dyDescent="0.2">
      <c r="AG117" s="1"/>
      <c r="AH117" s="7"/>
    </row>
    <row r="118" spans="33:34" ht="14" x14ac:dyDescent="0.2">
      <c r="AG118" s="1"/>
      <c r="AH118" s="7"/>
    </row>
    <row r="119" spans="33:34" ht="14" x14ac:dyDescent="0.2">
      <c r="AG119" s="1"/>
      <c r="AH119" s="7"/>
    </row>
    <row r="120" spans="33:34" ht="14" x14ac:dyDescent="0.2">
      <c r="AG120" s="1"/>
      <c r="AH120" s="7"/>
    </row>
    <row r="121" spans="33:34" ht="14" x14ac:dyDescent="0.2">
      <c r="AG121" s="1"/>
      <c r="AH121" s="7"/>
    </row>
    <row r="122" spans="33:34" ht="14" x14ac:dyDescent="0.2">
      <c r="AG122" s="1"/>
      <c r="AH122" s="7"/>
    </row>
    <row r="123" spans="33:34" ht="14" x14ac:dyDescent="0.2">
      <c r="AG123" s="1"/>
      <c r="AH123" s="7"/>
    </row>
    <row r="124" spans="33:34" ht="14" x14ac:dyDescent="0.2">
      <c r="AG124" s="1"/>
      <c r="AH124" s="7"/>
    </row>
    <row r="125" spans="33:34" ht="14" x14ac:dyDescent="0.2">
      <c r="AG125" s="1"/>
      <c r="AH125" s="7"/>
    </row>
    <row r="126" spans="33:34" ht="14" x14ac:dyDescent="0.2">
      <c r="AG126" s="1"/>
      <c r="AH126" s="7"/>
    </row>
    <row r="127" spans="33:34" ht="14" x14ac:dyDescent="0.2">
      <c r="AG127" s="1"/>
      <c r="AH127" s="7"/>
    </row>
    <row r="128" spans="33:34" ht="14" x14ac:dyDescent="0.2">
      <c r="AG128" s="1"/>
      <c r="AH128" s="7"/>
    </row>
    <row r="129" spans="33:34" ht="14" x14ac:dyDescent="0.2">
      <c r="AG129" s="1"/>
      <c r="AH129" s="7"/>
    </row>
    <row r="130" spans="33:34" ht="14" x14ac:dyDescent="0.2">
      <c r="AG130" s="1"/>
      <c r="AH130" s="7"/>
    </row>
    <row r="131" spans="33:34" ht="14" x14ac:dyDescent="0.2">
      <c r="AG131" s="1"/>
      <c r="AH131" s="7"/>
    </row>
    <row r="132" spans="33:34" ht="14" x14ac:dyDescent="0.2">
      <c r="AG132" s="1"/>
      <c r="AH132" s="7"/>
    </row>
    <row r="133" spans="33:34" ht="14" x14ac:dyDescent="0.2">
      <c r="AG133" s="1"/>
      <c r="AH133" s="7"/>
    </row>
    <row r="134" spans="33:34" ht="14" x14ac:dyDescent="0.2">
      <c r="AG134" s="1"/>
      <c r="AH134" s="7"/>
    </row>
    <row r="135" spans="33:34" ht="14" x14ac:dyDescent="0.2">
      <c r="AG135" s="1"/>
      <c r="AH135" s="7"/>
    </row>
    <row r="136" spans="33:34" ht="14" x14ac:dyDescent="0.2">
      <c r="AG136" s="1"/>
      <c r="AH136" s="7"/>
    </row>
    <row r="137" spans="33:34" ht="14" x14ac:dyDescent="0.2">
      <c r="AG137" s="1"/>
      <c r="AH137" s="7"/>
    </row>
    <row r="138" spans="33:34" ht="14" x14ac:dyDescent="0.2">
      <c r="AG138" s="1"/>
      <c r="AH138" s="7"/>
    </row>
    <row r="139" spans="33:34" ht="14" x14ac:dyDescent="0.2">
      <c r="AG139" s="1"/>
      <c r="AH139" s="7"/>
    </row>
    <row r="140" spans="33:34" ht="14" x14ac:dyDescent="0.2">
      <c r="AG140" s="1"/>
      <c r="AH140" s="7"/>
    </row>
    <row r="141" spans="33:34" ht="14" x14ac:dyDescent="0.2">
      <c r="AG141" s="1"/>
      <c r="AH141" s="7"/>
    </row>
    <row r="142" spans="33:34" ht="14" x14ac:dyDescent="0.2">
      <c r="AG142" s="1"/>
      <c r="AH142" s="7"/>
    </row>
    <row r="143" spans="33:34" ht="14" x14ac:dyDescent="0.2">
      <c r="AG143" s="1"/>
      <c r="AH143" s="7"/>
    </row>
    <row r="144" spans="33:34" ht="14" x14ac:dyDescent="0.2">
      <c r="AG144" s="1"/>
      <c r="AH144" s="7"/>
    </row>
    <row r="145" spans="33:34" ht="14" x14ac:dyDescent="0.2">
      <c r="AG145" s="1"/>
      <c r="AH145" s="7"/>
    </row>
    <row r="146" spans="33:34" ht="14" x14ac:dyDescent="0.2">
      <c r="AG146" s="1"/>
      <c r="AH146" s="7"/>
    </row>
    <row r="147" spans="33:34" ht="14" x14ac:dyDescent="0.2">
      <c r="AG147" s="1"/>
      <c r="AH147" s="7"/>
    </row>
    <row r="148" spans="33:34" ht="14" x14ac:dyDescent="0.2">
      <c r="AG148" s="1"/>
      <c r="AH148" s="7"/>
    </row>
    <row r="149" spans="33:34" ht="14" x14ac:dyDescent="0.2">
      <c r="AG149" s="1"/>
      <c r="AH149" s="7"/>
    </row>
    <row r="150" spans="33:34" ht="14" x14ac:dyDescent="0.2">
      <c r="AG150" s="1"/>
      <c r="AH150" s="7"/>
    </row>
    <row r="151" spans="33:34" ht="14" x14ac:dyDescent="0.2">
      <c r="AG151" s="1"/>
      <c r="AH151" s="7"/>
    </row>
    <row r="152" spans="33:34" ht="14" x14ac:dyDescent="0.2">
      <c r="AG152" s="1"/>
      <c r="AH152" s="7"/>
    </row>
    <row r="153" spans="33:34" ht="14" x14ac:dyDescent="0.2">
      <c r="AG153" s="1"/>
      <c r="AH153" s="7"/>
    </row>
    <row r="154" spans="33:34" ht="14" x14ac:dyDescent="0.2">
      <c r="AG154" s="1"/>
      <c r="AH154" s="7"/>
    </row>
    <row r="155" spans="33:34" ht="14" x14ac:dyDescent="0.2">
      <c r="AG155" s="1"/>
      <c r="AH155" s="7"/>
    </row>
    <row r="156" spans="33:34" ht="14" x14ac:dyDescent="0.2">
      <c r="AG156" s="1"/>
      <c r="AH156" s="7"/>
    </row>
    <row r="157" spans="33:34" ht="14" x14ac:dyDescent="0.2">
      <c r="AG157" s="1"/>
      <c r="AH157" s="7"/>
    </row>
    <row r="158" spans="33:34" ht="14" x14ac:dyDescent="0.2">
      <c r="AG158" s="1"/>
      <c r="AH158" s="7"/>
    </row>
    <row r="159" spans="33:34" ht="14" x14ac:dyDescent="0.2">
      <c r="AG159" s="1"/>
      <c r="AH159" s="7"/>
    </row>
    <row r="160" spans="33:34" ht="14" x14ac:dyDescent="0.2">
      <c r="AG160" s="1"/>
      <c r="AH160" s="7"/>
    </row>
    <row r="161" spans="33:34" ht="14" x14ac:dyDescent="0.2">
      <c r="AG161" s="1"/>
      <c r="AH161" s="7"/>
    </row>
    <row r="162" spans="33:34" ht="14" x14ac:dyDescent="0.2">
      <c r="AG162" s="1"/>
      <c r="AH162" s="7"/>
    </row>
    <row r="163" spans="33:34" ht="14" x14ac:dyDescent="0.2">
      <c r="AG163" s="1"/>
      <c r="AH163" s="7"/>
    </row>
    <row r="164" spans="33:34" ht="14" x14ac:dyDescent="0.2">
      <c r="AG164" s="1"/>
      <c r="AH164" s="7"/>
    </row>
    <row r="165" spans="33:34" ht="14" x14ac:dyDescent="0.2">
      <c r="AG165" s="1"/>
      <c r="AH165" s="7"/>
    </row>
    <row r="166" spans="33:34" ht="14" x14ac:dyDescent="0.2">
      <c r="AG166" s="1"/>
      <c r="AH166" s="7"/>
    </row>
    <row r="167" spans="33:34" ht="14" x14ac:dyDescent="0.2">
      <c r="AG167" s="1"/>
      <c r="AH167" s="7"/>
    </row>
    <row r="168" spans="33:34" ht="14" x14ac:dyDescent="0.2">
      <c r="AG168" s="1"/>
      <c r="AH168" s="7"/>
    </row>
    <row r="169" spans="33:34" ht="14" x14ac:dyDescent="0.2">
      <c r="AG169" s="1"/>
      <c r="AH169" s="7"/>
    </row>
    <row r="170" spans="33:34" ht="14" x14ac:dyDescent="0.2">
      <c r="AG170" s="1"/>
      <c r="AH170" s="7"/>
    </row>
    <row r="171" spans="33:34" ht="14" x14ac:dyDescent="0.2">
      <c r="AG171" s="1"/>
      <c r="AH171" s="7"/>
    </row>
    <row r="172" spans="33:34" ht="14" x14ac:dyDescent="0.2">
      <c r="AG172" s="1"/>
      <c r="AH172" s="7"/>
    </row>
    <row r="173" spans="33:34" ht="14" x14ac:dyDescent="0.2">
      <c r="AG173" s="1"/>
      <c r="AH173" s="7"/>
    </row>
    <row r="174" spans="33:34" ht="14" x14ac:dyDescent="0.2">
      <c r="AG174" s="1"/>
      <c r="AH174" s="7"/>
    </row>
    <row r="175" spans="33:34" ht="14" x14ac:dyDescent="0.2">
      <c r="AG175" s="1"/>
      <c r="AH175" s="7"/>
    </row>
    <row r="176" spans="33:34" ht="14" x14ac:dyDescent="0.2">
      <c r="AG176" s="1"/>
      <c r="AH176" s="7"/>
    </row>
    <row r="177" spans="33:34" ht="14" x14ac:dyDescent="0.2">
      <c r="AG177" s="1"/>
      <c r="AH177" s="7"/>
    </row>
    <row r="178" spans="33:34" ht="14" x14ac:dyDescent="0.2">
      <c r="AG178" s="1"/>
      <c r="AH178" s="7"/>
    </row>
    <row r="179" spans="33:34" ht="14" x14ac:dyDescent="0.2">
      <c r="AG179" s="1"/>
      <c r="AH179" s="7"/>
    </row>
    <row r="180" spans="33:34" ht="14" x14ac:dyDescent="0.2">
      <c r="AG180" s="1"/>
      <c r="AH180" s="7"/>
    </row>
    <row r="181" spans="33:34" ht="14" x14ac:dyDescent="0.2">
      <c r="AG181" s="1"/>
      <c r="AH181" s="7"/>
    </row>
    <row r="182" spans="33:34" ht="14" x14ac:dyDescent="0.2">
      <c r="AG182" s="1"/>
      <c r="AH182" s="7"/>
    </row>
    <row r="183" spans="33:34" ht="14" x14ac:dyDescent="0.2">
      <c r="AG183" s="1"/>
      <c r="AH183" s="7"/>
    </row>
    <row r="184" spans="33:34" ht="14" x14ac:dyDescent="0.2">
      <c r="AG184" s="1"/>
      <c r="AH184" s="7"/>
    </row>
    <row r="185" spans="33:34" ht="14" x14ac:dyDescent="0.2">
      <c r="AG185" s="1"/>
      <c r="AH185" s="7"/>
    </row>
    <row r="186" spans="33:34" ht="14" x14ac:dyDescent="0.2">
      <c r="AG186" s="1"/>
      <c r="AH186" s="7"/>
    </row>
    <row r="187" spans="33:34" ht="14" x14ac:dyDescent="0.2">
      <c r="AG187" s="1"/>
      <c r="AH187" s="7"/>
    </row>
    <row r="188" spans="33:34" ht="14" x14ac:dyDescent="0.2">
      <c r="AG188" s="1"/>
      <c r="AH188" s="7"/>
    </row>
    <row r="189" spans="33:34" ht="14" x14ac:dyDescent="0.2">
      <c r="AG189" s="1"/>
      <c r="AH189" s="7"/>
    </row>
    <row r="190" spans="33:34" ht="14" x14ac:dyDescent="0.2">
      <c r="AG190" s="1"/>
      <c r="AH190" s="7"/>
    </row>
    <row r="191" spans="33:34" ht="14" x14ac:dyDescent="0.2">
      <c r="AG191" s="1"/>
      <c r="AH191" s="7"/>
    </row>
    <row r="192" spans="33:34" ht="14" x14ac:dyDescent="0.2">
      <c r="AG192" s="1"/>
      <c r="AH192" s="7"/>
    </row>
    <row r="193" spans="33:34" ht="14" x14ac:dyDescent="0.2">
      <c r="AG193" s="1"/>
      <c r="AH193" s="7"/>
    </row>
    <row r="194" spans="33:34" ht="14" x14ac:dyDescent="0.2">
      <c r="AG194" s="1"/>
      <c r="AH194" s="7"/>
    </row>
    <row r="195" spans="33:34" ht="14" x14ac:dyDescent="0.2">
      <c r="AG195" s="1"/>
      <c r="AH195" s="7"/>
    </row>
    <row r="196" spans="33:34" ht="14" x14ac:dyDescent="0.2">
      <c r="AG196" s="1"/>
      <c r="AH196" s="7"/>
    </row>
    <row r="197" spans="33:34" ht="14" x14ac:dyDescent="0.2">
      <c r="AG197" s="1"/>
      <c r="AH197" s="7"/>
    </row>
    <row r="198" spans="33:34" ht="14" x14ac:dyDescent="0.2">
      <c r="AG198" s="1"/>
      <c r="AH198" s="7"/>
    </row>
    <row r="199" spans="33:34" ht="14" x14ac:dyDescent="0.2">
      <c r="AG199" s="1"/>
      <c r="AH199" s="7"/>
    </row>
    <row r="200" spans="33:34" ht="14" x14ac:dyDescent="0.2">
      <c r="AG200" s="1"/>
      <c r="AH200" s="7"/>
    </row>
    <row r="201" spans="33:34" ht="14" x14ac:dyDescent="0.2">
      <c r="AG201" s="1"/>
      <c r="AH201" s="7"/>
    </row>
    <row r="202" spans="33:34" ht="14" x14ac:dyDescent="0.2">
      <c r="AG202" s="1"/>
      <c r="AH202" s="7"/>
    </row>
    <row r="203" spans="33:34" ht="14" x14ac:dyDescent="0.2">
      <c r="AG203" s="1"/>
      <c r="AH203" s="7"/>
    </row>
    <row r="204" spans="33:34" ht="14" x14ac:dyDescent="0.2">
      <c r="AG204" s="1"/>
      <c r="AH204" s="7"/>
    </row>
    <row r="205" spans="33:34" ht="14" x14ac:dyDescent="0.2">
      <c r="AG205" s="1"/>
      <c r="AH205" s="7"/>
    </row>
    <row r="206" spans="33:34" ht="14" x14ac:dyDescent="0.2">
      <c r="AG206" s="1"/>
      <c r="AH206" s="7"/>
    </row>
    <row r="207" spans="33:34" ht="14" x14ac:dyDescent="0.2">
      <c r="AG207" s="1"/>
      <c r="AH207" s="7"/>
    </row>
    <row r="208" spans="33:34" ht="14" x14ac:dyDescent="0.2">
      <c r="AG208" s="1"/>
      <c r="AH208" s="7"/>
    </row>
    <row r="209" spans="33:34" ht="14" x14ac:dyDescent="0.2">
      <c r="AG209" s="1"/>
      <c r="AH209" s="7"/>
    </row>
    <row r="210" spans="33:34" ht="14" x14ac:dyDescent="0.2">
      <c r="AG210" s="1"/>
      <c r="AH210" s="7"/>
    </row>
    <row r="211" spans="33:34" ht="14" x14ac:dyDescent="0.2">
      <c r="AG211" s="1"/>
      <c r="AH211" s="7"/>
    </row>
    <row r="212" spans="33:34" ht="14" x14ac:dyDescent="0.2">
      <c r="AG212" s="1"/>
      <c r="AH212" s="7"/>
    </row>
    <row r="213" spans="33:34" ht="14" x14ac:dyDescent="0.2">
      <c r="AG213" s="1"/>
      <c r="AH213" s="7"/>
    </row>
    <row r="214" spans="33:34" ht="14" x14ac:dyDescent="0.2">
      <c r="AG214" s="1"/>
      <c r="AH214" s="7"/>
    </row>
    <row r="215" spans="33:34" ht="14" x14ac:dyDescent="0.2">
      <c r="AG215" s="1"/>
      <c r="AH215" s="7"/>
    </row>
    <row r="216" spans="33:34" ht="14" x14ac:dyDescent="0.2">
      <c r="AG216" s="1"/>
      <c r="AH216" s="7"/>
    </row>
    <row r="217" spans="33:34" ht="14" x14ac:dyDescent="0.2">
      <c r="AG217" s="1"/>
      <c r="AH217" s="7"/>
    </row>
    <row r="218" spans="33:34" ht="14" x14ac:dyDescent="0.2">
      <c r="AG218" s="1"/>
      <c r="AH218" s="7"/>
    </row>
    <row r="219" spans="33:34" ht="14" x14ac:dyDescent="0.2">
      <c r="AG219" s="1"/>
      <c r="AH219" s="7"/>
    </row>
    <row r="220" spans="33:34" ht="14" x14ac:dyDescent="0.2">
      <c r="AG220" s="1"/>
      <c r="AH220" s="7"/>
    </row>
    <row r="221" spans="33:34" ht="14" x14ac:dyDescent="0.2">
      <c r="AG221" s="1"/>
      <c r="AH221" s="7"/>
    </row>
    <row r="222" spans="33:34" ht="14" x14ac:dyDescent="0.2">
      <c r="AG222" s="1"/>
      <c r="AH222" s="7"/>
    </row>
    <row r="223" spans="33:34" ht="14" x14ac:dyDescent="0.2">
      <c r="AG223" s="1"/>
      <c r="AH223" s="7"/>
    </row>
    <row r="224" spans="33:34" ht="14" x14ac:dyDescent="0.2">
      <c r="AG224" s="1"/>
      <c r="AH224" s="7"/>
    </row>
    <row r="225" spans="33:34" ht="14" x14ac:dyDescent="0.2">
      <c r="AG225" s="1"/>
      <c r="AH225" s="7"/>
    </row>
    <row r="226" spans="33:34" ht="14" x14ac:dyDescent="0.2">
      <c r="AG226" s="1"/>
      <c r="AH226" s="7"/>
    </row>
    <row r="227" spans="33:34" ht="14" x14ac:dyDescent="0.2">
      <c r="AG227" s="1"/>
      <c r="AH227" s="7"/>
    </row>
    <row r="228" spans="33:34" ht="14" x14ac:dyDescent="0.2">
      <c r="AG228" s="1"/>
      <c r="AH228" s="7"/>
    </row>
    <row r="229" spans="33:34" ht="14" x14ac:dyDescent="0.2">
      <c r="AG229" s="1"/>
      <c r="AH229" s="7"/>
    </row>
    <row r="230" spans="33:34" ht="14" x14ac:dyDescent="0.2">
      <c r="AG230" s="1"/>
      <c r="AH230" s="7"/>
    </row>
    <row r="231" spans="33:34" ht="14" x14ac:dyDescent="0.2">
      <c r="AG231" s="1"/>
      <c r="AH231" s="7"/>
    </row>
    <row r="232" spans="33:34" ht="14" x14ac:dyDescent="0.2">
      <c r="AG232" s="1"/>
      <c r="AH232" s="7"/>
    </row>
    <row r="233" spans="33:34" ht="14" x14ac:dyDescent="0.2">
      <c r="AG233" s="1"/>
      <c r="AH233" s="7"/>
    </row>
    <row r="234" spans="33:34" ht="14" x14ac:dyDescent="0.2">
      <c r="AG234" s="1"/>
      <c r="AH234" s="7"/>
    </row>
    <row r="235" spans="33:34" ht="14" x14ac:dyDescent="0.2">
      <c r="AG235" s="1"/>
      <c r="AH235" s="7"/>
    </row>
    <row r="236" spans="33:34" ht="14" x14ac:dyDescent="0.2">
      <c r="AG236" s="1"/>
      <c r="AH236" s="7"/>
    </row>
    <row r="237" spans="33:34" ht="14" x14ac:dyDescent="0.2">
      <c r="AG237" s="1"/>
      <c r="AH237" s="7"/>
    </row>
    <row r="238" spans="33:34" ht="14" x14ac:dyDescent="0.2">
      <c r="AG238" s="1"/>
      <c r="AH238" s="7"/>
    </row>
    <row r="239" spans="33:34" ht="14" x14ac:dyDescent="0.2">
      <c r="AG239" s="1"/>
      <c r="AH239" s="7"/>
    </row>
    <row r="240" spans="33:34" ht="14" x14ac:dyDescent="0.2">
      <c r="AG240" s="1"/>
      <c r="AH240" s="7"/>
    </row>
    <row r="241" spans="33:34" ht="14" x14ac:dyDescent="0.2">
      <c r="AG241" s="1"/>
      <c r="AH241" s="7"/>
    </row>
    <row r="242" spans="33:34" ht="14" x14ac:dyDescent="0.2">
      <c r="AG242" s="1"/>
      <c r="AH242" s="7"/>
    </row>
    <row r="243" spans="33:34" ht="14" x14ac:dyDescent="0.2">
      <c r="AG243" s="1"/>
      <c r="AH243" s="7"/>
    </row>
    <row r="244" spans="33:34" ht="14" x14ac:dyDescent="0.2">
      <c r="AG244" s="1"/>
      <c r="AH244" s="7"/>
    </row>
    <row r="245" spans="33:34" ht="14" x14ac:dyDescent="0.2">
      <c r="AG245" s="1"/>
      <c r="AH245" s="7"/>
    </row>
    <row r="246" spans="33:34" ht="14" x14ac:dyDescent="0.2">
      <c r="AG246" s="1"/>
      <c r="AH246" s="7"/>
    </row>
    <row r="247" spans="33:34" ht="14" x14ac:dyDescent="0.2">
      <c r="AG247" s="1"/>
      <c r="AH247" s="7"/>
    </row>
    <row r="248" spans="33:34" ht="14" x14ac:dyDescent="0.2">
      <c r="AG248" s="1"/>
      <c r="AH248" s="7"/>
    </row>
    <row r="249" spans="33:34" ht="14" x14ac:dyDescent="0.2">
      <c r="AG249" s="1"/>
      <c r="AH249" s="7"/>
    </row>
    <row r="250" spans="33:34" ht="14" x14ac:dyDescent="0.2">
      <c r="AG250" s="1"/>
      <c r="AH250" s="7"/>
    </row>
    <row r="251" spans="33:34" ht="14" x14ac:dyDescent="0.2">
      <c r="AG251" s="1"/>
      <c r="AH251" s="7"/>
    </row>
    <row r="252" spans="33:34" ht="14" x14ac:dyDescent="0.2">
      <c r="AG252" s="1"/>
      <c r="AH252" s="7"/>
    </row>
    <row r="253" spans="33:34" ht="14" x14ac:dyDescent="0.2">
      <c r="AG253" s="1"/>
      <c r="AH253" s="7"/>
    </row>
    <row r="254" spans="33:34" ht="14" x14ac:dyDescent="0.2">
      <c r="AG254" s="1"/>
      <c r="AH254" s="7"/>
    </row>
    <row r="255" spans="33:34" ht="14" x14ac:dyDescent="0.2">
      <c r="AG255" s="1"/>
      <c r="AH255" s="7"/>
    </row>
    <row r="256" spans="33:34" ht="14" x14ac:dyDescent="0.2">
      <c r="AG256" s="1"/>
      <c r="AH256" s="7"/>
    </row>
    <row r="257" spans="33:34" ht="14" x14ac:dyDescent="0.2">
      <c r="AG257" s="1"/>
      <c r="AH257" s="7"/>
    </row>
    <row r="258" spans="33:34" ht="14" x14ac:dyDescent="0.2">
      <c r="AG258" s="1"/>
      <c r="AH258" s="7"/>
    </row>
    <row r="259" spans="33:34" ht="14" x14ac:dyDescent="0.2">
      <c r="AG259" s="1"/>
      <c r="AH259" s="7"/>
    </row>
    <row r="260" spans="33:34" ht="14" x14ac:dyDescent="0.2">
      <c r="AG260" s="1"/>
      <c r="AH260" s="7"/>
    </row>
    <row r="261" spans="33:34" ht="14" x14ac:dyDescent="0.2">
      <c r="AG261" s="1"/>
      <c r="AH261" s="7"/>
    </row>
    <row r="262" spans="33:34" ht="14" x14ac:dyDescent="0.2">
      <c r="AG262" s="1"/>
      <c r="AH262" s="7"/>
    </row>
    <row r="263" spans="33:34" ht="14" x14ac:dyDescent="0.2">
      <c r="AG263" s="1"/>
      <c r="AH263" s="7"/>
    </row>
    <row r="264" spans="33:34" ht="14" x14ac:dyDescent="0.2">
      <c r="AG264" s="1"/>
      <c r="AH264" s="7"/>
    </row>
    <row r="265" spans="33:34" ht="14" x14ac:dyDescent="0.2">
      <c r="AG265" s="1"/>
      <c r="AH265" s="7"/>
    </row>
    <row r="266" spans="33:34" ht="14" x14ac:dyDescent="0.2">
      <c r="AG266" s="1"/>
      <c r="AH266" s="7"/>
    </row>
    <row r="267" spans="33:34" ht="14" x14ac:dyDescent="0.2">
      <c r="AG267" s="1"/>
      <c r="AH267" s="7"/>
    </row>
    <row r="268" spans="33:34" ht="14" x14ac:dyDescent="0.2">
      <c r="AG268" s="1"/>
      <c r="AH268" s="7"/>
    </row>
    <row r="269" spans="33:34" ht="14" x14ac:dyDescent="0.2">
      <c r="AG269" s="1"/>
      <c r="AH269" s="7"/>
    </row>
    <row r="270" spans="33:34" ht="14" x14ac:dyDescent="0.2">
      <c r="AG270" s="1"/>
      <c r="AH270" s="7"/>
    </row>
    <row r="271" spans="33:34" ht="14" x14ac:dyDescent="0.2">
      <c r="AG271" s="1"/>
      <c r="AH271" s="7"/>
    </row>
    <row r="272" spans="33:34" ht="14" x14ac:dyDescent="0.2">
      <c r="AG272" s="1"/>
      <c r="AH272" s="7"/>
    </row>
    <row r="273" spans="33:34" ht="14" x14ac:dyDescent="0.2">
      <c r="AG273" s="1"/>
      <c r="AH273" s="7"/>
    </row>
    <row r="274" spans="33:34" ht="14" x14ac:dyDescent="0.2">
      <c r="AG274" s="1"/>
      <c r="AH274" s="7"/>
    </row>
    <row r="275" spans="33:34" ht="14" x14ac:dyDescent="0.2">
      <c r="AG275" s="1"/>
      <c r="AH275" s="7"/>
    </row>
    <row r="276" spans="33:34" ht="14" x14ac:dyDescent="0.2">
      <c r="AG276" s="1"/>
      <c r="AH276" s="7"/>
    </row>
    <row r="277" spans="33:34" ht="14" x14ac:dyDescent="0.2">
      <c r="AG277" s="1"/>
      <c r="AH277" s="7"/>
    </row>
    <row r="278" spans="33:34" ht="14" x14ac:dyDescent="0.2">
      <c r="AG278" s="1"/>
      <c r="AH278" s="7"/>
    </row>
    <row r="279" spans="33:34" ht="14" x14ac:dyDescent="0.2">
      <c r="AG279" s="1"/>
      <c r="AH279" s="7"/>
    </row>
    <row r="280" spans="33:34" ht="14" x14ac:dyDescent="0.2">
      <c r="AG280" s="1"/>
      <c r="AH280" s="7"/>
    </row>
    <row r="281" spans="33:34" ht="14" x14ac:dyDescent="0.2">
      <c r="AG281" s="1"/>
      <c r="AH281" s="7"/>
    </row>
    <row r="282" spans="33:34" ht="14" x14ac:dyDescent="0.2">
      <c r="AG282" s="1"/>
      <c r="AH282" s="7"/>
    </row>
    <row r="283" spans="33:34" ht="14" x14ac:dyDescent="0.2">
      <c r="AG283" s="1"/>
      <c r="AH283" s="7"/>
    </row>
    <row r="284" spans="33:34" ht="14" x14ac:dyDescent="0.2">
      <c r="AG284" s="1"/>
      <c r="AH284" s="7"/>
    </row>
    <row r="285" spans="33:34" ht="14" x14ac:dyDescent="0.2">
      <c r="AG285" s="1"/>
      <c r="AH285" s="7"/>
    </row>
    <row r="286" spans="33:34" ht="14" x14ac:dyDescent="0.2">
      <c r="AG286" s="1"/>
      <c r="AH286" s="7"/>
    </row>
    <row r="287" spans="33:34" ht="14" x14ac:dyDescent="0.2">
      <c r="AG287" s="1"/>
      <c r="AH287" s="7"/>
    </row>
    <row r="288" spans="33:34" ht="14" x14ac:dyDescent="0.2">
      <c r="AG288" s="1"/>
      <c r="AH288" s="7"/>
    </row>
    <row r="289" spans="33:34" ht="14" x14ac:dyDescent="0.2">
      <c r="AG289" s="1"/>
      <c r="AH289" s="7"/>
    </row>
    <row r="290" spans="33:34" ht="14" x14ac:dyDescent="0.2">
      <c r="AG290" s="1"/>
      <c r="AH290" s="7"/>
    </row>
    <row r="291" spans="33:34" ht="14" x14ac:dyDescent="0.2">
      <c r="AG291" s="1"/>
      <c r="AH291" s="7"/>
    </row>
    <row r="292" spans="33:34" ht="14" x14ac:dyDescent="0.2">
      <c r="AG292" s="1"/>
      <c r="AH292" s="7"/>
    </row>
    <row r="293" spans="33:34" ht="14" x14ac:dyDescent="0.2">
      <c r="AG293" s="1"/>
      <c r="AH293" s="7"/>
    </row>
    <row r="294" spans="33:34" ht="14" x14ac:dyDescent="0.2">
      <c r="AG294" s="1"/>
      <c r="AH294" s="7"/>
    </row>
    <row r="295" spans="33:34" ht="14" x14ac:dyDescent="0.2">
      <c r="AG295" s="1"/>
      <c r="AH295" s="7"/>
    </row>
    <row r="296" spans="33:34" ht="14" x14ac:dyDescent="0.2">
      <c r="AG296" s="1"/>
      <c r="AH296" s="7"/>
    </row>
    <row r="297" spans="33:34" ht="14" x14ac:dyDescent="0.2">
      <c r="AG297" s="1"/>
      <c r="AH297" s="7"/>
    </row>
    <row r="298" spans="33:34" ht="14" x14ac:dyDescent="0.2">
      <c r="AG298" s="1"/>
      <c r="AH298" s="7"/>
    </row>
    <row r="299" spans="33:34" ht="14" x14ac:dyDescent="0.2">
      <c r="AG299" s="1"/>
      <c r="AH299" s="7"/>
    </row>
    <row r="300" spans="33:34" ht="14" x14ac:dyDescent="0.2">
      <c r="AG300" s="1"/>
      <c r="AH300" s="7"/>
    </row>
    <row r="301" spans="33:34" ht="14" x14ac:dyDescent="0.2">
      <c r="AG301" s="1"/>
      <c r="AH301" s="7"/>
    </row>
    <row r="302" spans="33:34" ht="14" x14ac:dyDescent="0.2">
      <c r="AG302" s="1"/>
      <c r="AH302" s="7"/>
    </row>
    <row r="303" spans="33:34" ht="14" x14ac:dyDescent="0.2">
      <c r="AG303" s="1"/>
      <c r="AH303" s="7"/>
    </row>
    <row r="304" spans="33:34" ht="14" x14ac:dyDescent="0.2">
      <c r="AG304" s="1"/>
      <c r="AH304" s="7"/>
    </row>
    <row r="305" spans="33:34" ht="14" x14ac:dyDescent="0.2">
      <c r="AG305" s="1"/>
      <c r="AH305" s="7"/>
    </row>
    <row r="306" spans="33:34" ht="14" x14ac:dyDescent="0.2">
      <c r="AG306" s="1"/>
      <c r="AH306" s="7"/>
    </row>
    <row r="307" spans="33:34" ht="14" x14ac:dyDescent="0.2">
      <c r="AG307" s="1"/>
      <c r="AH307" s="7"/>
    </row>
    <row r="308" spans="33:34" ht="14" x14ac:dyDescent="0.2">
      <c r="AG308" s="1"/>
      <c r="AH308" s="7"/>
    </row>
    <row r="309" spans="33:34" ht="14" x14ac:dyDescent="0.2">
      <c r="AG309" s="1"/>
      <c r="AH309" s="7"/>
    </row>
    <row r="310" spans="33:34" ht="14" x14ac:dyDescent="0.2">
      <c r="AG310" s="1"/>
      <c r="AH310" s="7"/>
    </row>
    <row r="311" spans="33:34" ht="14" x14ac:dyDescent="0.2">
      <c r="AG311" s="1"/>
      <c r="AH311" s="7"/>
    </row>
    <row r="312" spans="33:34" ht="14" x14ac:dyDescent="0.2">
      <c r="AG312" s="1"/>
      <c r="AH312" s="7"/>
    </row>
    <row r="313" spans="33:34" ht="14" x14ac:dyDescent="0.2">
      <c r="AG313" s="1"/>
      <c r="AH313" s="7"/>
    </row>
    <row r="314" spans="33:34" ht="14" x14ac:dyDescent="0.2">
      <c r="AG314" s="1"/>
      <c r="AH314" s="7"/>
    </row>
    <row r="315" spans="33:34" ht="14" x14ac:dyDescent="0.2">
      <c r="AG315" s="1"/>
      <c r="AH315" s="7"/>
    </row>
    <row r="316" spans="33:34" ht="14" x14ac:dyDescent="0.2">
      <c r="AG316" s="1"/>
      <c r="AH316" s="7"/>
    </row>
    <row r="317" spans="33:34" ht="14" x14ac:dyDescent="0.2">
      <c r="AG317" s="1"/>
      <c r="AH317" s="7"/>
    </row>
    <row r="318" spans="33:34" ht="14" x14ac:dyDescent="0.2">
      <c r="AG318" s="1"/>
      <c r="AH318" s="7"/>
    </row>
    <row r="319" spans="33:34" ht="14" x14ac:dyDescent="0.2">
      <c r="AG319" s="1"/>
      <c r="AH319" s="7"/>
    </row>
    <row r="320" spans="33:34" ht="14" x14ac:dyDescent="0.2">
      <c r="AG320" s="1"/>
      <c r="AH320" s="7"/>
    </row>
    <row r="321" spans="33:34" ht="14" x14ac:dyDescent="0.2">
      <c r="AG321" s="1"/>
      <c r="AH321" s="7"/>
    </row>
    <row r="322" spans="33:34" ht="14" x14ac:dyDescent="0.2">
      <c r="AG322" s="1"/>
      <c r="AH322" s="7"/>
    </row>
    <row r="323" spans="33:34" ht="14" x14ac:dyDescent="0.2">
      <c r="AG323" s="1"/>
      <c r="AH323" s="7"/>
    </row>
    <row r="324" spans="33:34" ht="14" x14ac:dyDescent="0.2">
      <c r="AG324" s="1"/>
      <c r="AH324" s="7"/>
    </row>
    <row r="325" spans="33:34" ht="14" x14ac:dyDescent="0.2">
      <c r="AG325" s="1"/>
      <c r="AH325" s="7"/>
    </row>
    <row r="326" spans="33:34" ht="14" x14ac:dyDescent="0.2">
      <c r="AG326" s="1"/>
      <c r="AH326" s="7"/>
    </row>
    <row r="327" spans="33:34" ht="14" x14ac:dyDescent="0.2">
      <c r="AG327" s="1"/>
      <c r="AH327" s="7"/>
    </row>
    <row r="328" spans="33:34" ht="14" x14ac:dyDescent="0.2">
      <c r="AG328" s="1"/>
      <c r="AH328" s="7"/>
    </row>
    <row r="329" spans="33:34" ht="14" x14ac:dyDescent="0.2">
      <c r="AG329" s="1"/>
      <c r="AH329" s="7"/>
    </row>
    <row r="330" spans="33:34" ht="14" x14ac:dyDescent="0.2">
      <c r="AG330" s="1"/>
      <c r="AH330" s="7"/>
    </row>
    <row r="331" spans="33:34" ht="14" x14ac:dyDescent="0.2">
      <c r="AG331" s="1"/>
      <c r="AH331" s="7"/>
    </row>
    <row r="332" spans="33:34" ht="14" x14ac:dyDescent="0.2">
      <c r="AG332" s="1"/>
      <c r="AH332" s="7"/>
    </row>
    <row r="333" spans="33:34" ht="14" x14ac:dyDescent="0.2">
      <c r="AG333" s="1"/>
      <c r="AH333" s="7"/>
    </row>
    <row r="334" spans="33:34" ht="14" x14ac:dyDescent="0.2">
      <c r="AG334" s="1"/>
      <c r="AH334" s="7"/>
    </row>
    <row r="335" spans="33:34" ht="14" x14ac:dyDescent="0.2">
      <c r="AG335" s="1"/>
      <c r="AH335" s="7"/>
    </row>
    <row r="336" spans="33:34" ht="14" x14ac:dyDescent="0.2">
      <c r="AG336" s="1"/>
      <c r="AH336" s="7"/>
    </row>
    <row r="337" spans="33:34" ht="14" x14ac:dyDescent="0.2">
      <c r="AG337" s="1"/>
      <c r="AH337" s="7"/>
    </row>
    <row r="338" spans="33:34" ht="14" x14ac:dyDescent="0.2">
      <c r="AG338" s="1"/>
      <c r="AH338" s="7"/>
    </row>
    <row r="339" spans="33:34" ht="14" x14ac:dyDescent="0.2">
      <c r="AG339" s="1"/>
      <c r="AH339" s="7"/>
    </row>
    <row r="340" spans="33:34" ht="14" x14ac:dyDescent="0.2">
      <c r="AG340" s="1"/>
      <c r="AH340" s="7"/>
    </row>
    <row r="341" spans="33:34" ht="14" x14ac:dyDescent="0.2">
      <c r="AG341" s="1"/>
      <c r="AH341" s="7"/>
    </row>
    <row r="342" spans="33:34" ht="14" x14ac:dyDescent="0.2">
      <c r="AG342" s="1"/>
      <c r="AH342" s="7"/>
    </row>
    <row r="343" spans="33:34" ht="14" x14ac:dyDescent="0.2">
      <c r="AG343" s="1"/>
      <c r="AH343" s="7"/>
    </row>
    <row r="344" spans="33:34" ht="14" x14ac:dyDescent="0.2">
      <c r="AG344" s="1"/>
      <c r="AH344" s="7"/>
    </row>
    <row r="345" spans="33:34" ht="14" x14ac:dyDescent="0.2">
      <c r="AG345" s="1"/>
      <c r="AH345" s="7"/>
    </row>
    <row r="346" spans="33:34" ht="14" x14ac:dyDescent="0.2">
      <c r="AG346" s="1"/>
      <c r="AH346" s="7"/>
    </row>
    <row r="347" spans="33:34" ht="14" x14ac:dyDescent="0.2">
      <c r="AG347" s="1"/>
      <c r="AH347" s="7"/>
    </row>
    <row r="348" spans="33:34" ht="14" x14ac:dyDescent="0.2">
      <c r="AG348" s="1"/>
      <c r="AH348" s="7"/>
    </row>
    <row r="349" spans="33:34" ht="14" x14ac:dyDescent="0.2">
      <c r="AG349" s="1"/>
      <c r="AH349" s="7"/>
    </row>
    <row r="350" spans="33:34" ht="14" x14ac:dyDescent="0.2">
      <c r="AG350" s="1"/>
      <c r="AH350" s="7"/>
    </row>
    <row r="351" spans="33:34" ht="14" x14ac:dyDescent="0.2">
      <c r="AG351" s="1"/>
      <c r="AH351" s="7"/>
    </row>
    <row r="352" spans="33:34" ht="14" x14ac:dyDescent="0.2">
      <c r="AG352" s="1"/>
      <c r="AH352" s="7"/>
    </row>
    <row r="353" spans="33:34" ht="14" x14ac:dyDescent="0.2">
      <c r="AG353" s="1"/>
      <c r="AH353" s="7"/>
    </row>
    <row r="354" spans="33:34" ht="14" x14ac:dyDescent="0.2">
      <c r="AG354" s="1"/>
      <c r="AH354" s="7"/>
    </row>
    <row r="355" spans="33:34" ht="14" x14ac:dyDescent="0.2">
      <c r="AG355" s="1"/>
      <c r="AH355" s="7"/>
    </row>
    <row r="356" spans="33:34" ht="14" x14ac:dyDescent="0.2">
      <c r="AG356" s="1"/>
      <c r="AH356" s="7"/>
    </row>
    <row r="357" spans="33:34" ht="14" x14ac:dyDescent="0.2">
      <c r="AG357" s="1"/>
      <c r="AH357" s="7"/>
    </row>
    <row r="358" spans="33:34" ht="14" x14ac:dyDescent="0.2">
      <c r="AG358" s="1"/>
      <c r="AH358" s="7"/>
    </row>
    <row r="359" spans="33:34" ht="14" x14ac:dyDescent="0.2">
      <c r="AG359" s="1"/>
      <c r="AH359" s="7"/>
    </row>
    <row r="360" spans="33:34" ht="14" x14ac:dyDescent="0.2">
      <c r="AG360" s="1"/>
      <c r="AH360" s="7"/>
    </row>
    <row r="361" spans="33:34" ht="14" x14ac:dyDescent="0.2">
      <c r="AG361" s="1"/>
      <c r="AH361" s="7"/>
    </row>
    <row r="362" spans="33:34" ht="14" x14ac:dyDescent="0.2">
      <c r="AG362" s="1"/>
      <c r="AH362" s="7"/>
    </row>
    <row r="363" spans="33:34" ht="14" x14ac:dyDescent="0.2">
      <c r="AG363" s="1"/>
      <c r="AH363" s="7"/>
    </row>
    <row r="364" spans="33:34" ht="14" x14ac:dyDescent="0.2">
      <c r="AG364" s="1"/>
      <c r="AH364" s="7"/>
    </row>
    <row r="365" spans="33:34" ht="14" x14ac:dyDescent="0.2">
      <c r="AG365" s="1"/>
      <c r="AH365" s="7"/>
    </row>
    <row r="366" spans="33:34" ht="14" x14ac:dyDescent="0.2">
      <c r="AG366" s="1"/>
      <c r="AH366" s="7"/>
    </row>
    <row r="367" spans="33:34" ht="14" x14ac:dyDescent="0.2">
      <c r="AG367" s="1"/>
      <c r="AH367" s="7"/>
    </row>
    <row r="368" spans="33:34" ht="14" x14ac:dyDescent="0.2">
      <c r="AG368" s="1"/>
      <c r="AH368" s="7"/>
    </row>
    <row r="369" spans="33:34" ht="14" x14ac:dyDescent="0.2">
      <c r="AG369" s="1"/>
      <c r="AH369" s="7"/>
    </row>
    <row r="370" spans="33:34" ht="14" x14ac:dyDescent="0.2">
      <c r="AG370" s="1"/>
      <c r="AH370" s="7"/>
    </row>
    <row r="371" spans="33:34" ht="14" x14ac:dyDescent="0.2">
      <c r="AG371" s="1"/>
      <c r="AH371" s="7"/>
    </row>
    <row r="372" spans="33:34" ht="14" x14ac:dyDescent="0.2">
      <c r="AG372" s="1"/>
      <c r="AH372" s="7"/>
    </row>
    <row r="373" spans="33:34" ht="14" x14ac:dyDescent="0.2">
      <c r="AG373" s="1"/>
      <c r="AH373" s="7"/>
    </row>
    <row r="374" spans="33:34" ht="14" x14ac:dyDescent="0.2">
      <c r="AG374" s="1"/>
      <c r="AH374" s="7"/>
    </row>
    <row r="375" spans="33:34" ht="14" x14ac:dyDescent="0.2">
      <c r="AG375" s="1"/>
      <c r="AH375" s="7"/>
    </row>
    <row r="376" spans="33:34" ht="14" x14ac:dyDescent="0.2">
      <c r="AG376" s="1"/>
      <c r="AH376" s="7"/>
    </row>
    <row r="377" spans="33:34" ht="14" x14ac:dyDescent="0.2">
      <c r="AG377" s="1"/>
      <c r="AH377" s="7"/>
    </row>
    <row r="378" spans="33:34" ht="14" x14ac:dyDescent="0.2">
      <c r="AG378" s="1"/>
      <c r="AH378" s="7"/>
    </row>
    <row r="379" spans="33:34" ht="14" x14ac:dyDescent="0.2">
      <c r="AG379" s="1"/>
      <c r="AH379" s="7"/>
    </row>
    <row r="380" spans="33:34" ht="14" x14ac:dyDescent="0.2">
      <c r="AG380" s="1"/>
      <c r="AH380" s="7"/>
    </row>
    <row r="381" spans="33:34" ht="14" x14ac:dyDescent="0.2">
      <c r="AG381" s="1"/>
      <c r="AH381" s="7"/>
    </row>
    <row r="382" spans="33:34" ht="14" x14ac:dyDescent="0.2">
      <c r="AG382" s="1"/>
      <c r="AH382" s="7"/>
    </row>
    <row r="383" spans="33:34" ht="14" x14ac:dyDescent="0.2">
      <c r="AG383" s="1"/>
      <c r="AH383" s="7"/>
    </row>
    <row r="384" spans="33:34" ht="14" x14ac:dyDescent="0.2">
      <c r="AG384" s="1"/>
      <c r="AH384" s="7"/>
    </row>
    <row r="385" spans="33:34" ht="14" x14ac:dyDescent="0.2">
      <c r="AG385" s="1"/>
      <c r="AH385" s="7"/>
    </row>
    <row r="386" spans="33:34" ht="14" x14ac:dyDescent="0.2">
      <c r="AG386" s="1"/>
      <c r="AH386" s="7"/>
    </row>
    <row r="387" spans="33:34" ht="14" x14ac:dyDescent="0.2">
      <c r="AG387" s="1"/>
      <c r="AH387" s="7"/>
    </row>
    <row r="388" spans="33:34" ht="14" x14ac:dyDescent="0.2">
      <c r="AG388" s="1"/>
      <c r="AH388" s="7"/>
    </row>
    <row r="389" spans="33:34" ht="14" x14ac:dyDescent="0.2">
      <c r="AG389" s="1"/>
      <c r="AH389" s="7"/>
    </row>
    <row r="390" spans="33:34" ht="14" x14ac:dyDescent="0.2">
      <c r="AG390" s="1"/>
      <c r="AH390" s="7"/>
    </row>
    <row r="391" spans="33:34" ht="14" x14ac:dyDescent="0.2">
      <c r="AG391" s="1"/>
      <c r="AH391" s="7"/>
    </row>
    <row r="392" spans="33:34" ht="14" x14ac:dyDescent="0.2">
      <c r="AG392" s="1"/>
      <c r="AH392" s="7"/>
    </row>
    <row r="393" spans="33:34" ht="14" x14ac:dyDescent="0.2">
      <c r="AG393" s="1"/>
      <c r="AH393" s="7"/>
    </row>
    <row r="394" spans="33:34" ht="14" x14ac:dyDescent="0.2">
      <c r="AG394" s="1"/>
      <c r="AH394" s="7"/>
    </row>
    <row r="395" spans="33:34" ht="14" x14ac:dyDescent="0.2">
      <c r="AG395" s="1"/>
      <c r="AH395" s="7"/>
    </row>
    <row r="396" spans="33:34" ht="14" x14ac:dyDescent="0.2">
      <c r="AG396" s="1"/>
      <c r="AH396" s="7"/>
    </row>
    <row r="397" spans="33:34" ht="14" x14ac:dyDescent="0.2">
      <c r="AG397" s="1"/>
      <c r="AH397" s="7"/>
    </row>
    <row r="398" spans="33:34" ht="14" x14ac:dyDescent="0.2">
      <c r="AG398" s="1"/>
      <c r="AH398" s="7"/>
    </row>
    <row r="399" spans="33:34" ht="14" x14ac:dyDescent="0.2">
      <c r="AG399" s="1"/>
      <c r="AH399" s="7"/>
    </row>
    <row r="400" spans="33:34" ht="14" x14ac:dyDescent="0.2">
      <c r="AG400" s="1"/>
      <c r="AH400" s="7"/>
    </row>
    <row r="401" spans="33:34" ht="14" x14ac:dyDescent="0.2">
      <c r="AG401" s="1"/>
      <c r="AH401" s="7"/>
    </row>
    <row r="402" spans="33:34" ht="14" x14ac:dyDescent="0.2">
      <c r="AG402" s="1"/>
      <c r="AH402" s="7"/>
    </row>
    <row r="403" spans="33:34" ht="14" x14ac:dyDescent="0.2">
      <c r="AG403" s="1"/>
      <c r="AH403" s="7"/>
    </row>
    <row r="404" spans="33:34" ht="14" x14ac:dyDescent="0.2">
      <c r="AG404" s="1"/>
      <c r="AH404" s="7"/>
    </row>
    <row r="405" spans="33:34" ht="14" x14ac:dyDescent="0.2">
      <c r="AG405" s="1"/>
      <c r="AH405" s="7"/>
    </row>
    <row r="406" spans="33:34" ht="14" x14ac:dyDescent="0.2">
      <c r="AG406" s="1"/>
      <c r="AH406" s="7"/>
    </row>
    <row r="407" spans="33:34" ht="14" x14ac:dyDescent="0.2">
      <c r="AG407" s="1"/>
      <c r="AH407" s="7"/>
    </row>
    <row r="408" spans="33:34" ht="14" x14ac:dyDescent="0.2">
      <c r="AG408" s="1"/>
      <c r="AH408" s="7"/>
    </row>
    <row r="409" spans="33:34" ht="14" x14ac:dyDescent="0.2">
      <c r="AG409" s="1"/>
      <c r="AH409" s="7"/>
    </row>
    <row r="410" spans="33:34" ht="14" x14ac:dyDescent="0.2">
      <c r="AG410" s="1"/>
      <c r="AH410" s="7"/>
    </row>
    <row r="411" spans="33:34" ht="14" x14ac:dyDescent="0.2">
      <c r="AG411" s="1"/>
      <c r="AH411" s="7"/>
    </row>
    <row r="412" spans="33:34" ht="14" x14ac:dyDescent="0.2">
      <c r="AG412" s="1"/>
      <c r="AH412" s="7"/>
    </row>
    <row r="413" spans="33:34" ht="14" x14ac:dyDescent="0.2">
      <c r="AG413" s="1"/>
      <c r="AH413" s="7"/>
    </row>
    <row r="414" spans="33:34" ht="14" x14ac:dyDescent="0.2">
      <c r="AG414" s="1"/>
      <c r="AH414" s="7"/>
    </row>
    <row r="415" spans="33:34" ht="14" x14ac:dyDescent="0.2">
      <c r="AG415" s="1"/>
      <c r="AH415" s="7"/>
    </row>
    <row r="416" spans="33:34" ht="14" x14ac:dyDescent="0.2">
      <c r="AG416" s="1"/>
      <c r="AH416" s="7"/>
    </row>
    <row r="417" spans="33:34" ht="14" x14ac:dyDescent="0.2">
      <c r="AG417" s="1"/>
      <c r="AH417" s="7"/>
    </row>
    <row r="418" spans="33:34" ht="14" x14ac:dyDescent="0.2">
      <c r="AG418" s="1"/>
      <c r="AH418" s="7"/>
    </row>
    <row r="419" spans="33:34" ht="14" x14ac:dyDescent="0.2">
      <c r="AG419" s="1"/>
      <c r="AH419" s="7"/>
    </row>
    <row r="420" spans="33:34" ht="14" x14ac:dyDescent="0.2">
      <c r="AG420" s="1"/>
      <c r="AH420" s="7"/>
    </row>
    <row r="421" spans="33:34" ht="14" x14ac:dyDescent="0.2">
      <c r="AG421" s="1"/>
      <c r="AH421" s="7"/>
    </row>
    <row r="422" spans="33:34" ht="14" x14ac:dyDescent="0.2">
      <c r="AG422" s="1"/>
      <c r="AH422" s="7"/>
    </row>
    <row r="423" spans="33:34" ht="14" x14ac:dyDescent="0.2">
      <c r="AG423" s="1"/>
      <c r="AH423" s="7"/>
    </row>
    <row r="424" spans="33:34" ht="14" x14ac:dyDescent="0.2">
      <c r="AG424" s="1"/>
      <c r="AH424" s="7"/>
    </row>
    <row r="425" spans="33:34" ht="14" x14ac:dyDescent="0.2">
      <c r="AG425" s="1"/>
      <c r="AH425" s="7"/>
    </row>
    <row r="426" spans="33:34" ht="14" x14ac:dyDescent="0.2">
      <c r="AG426" s="1"/>
      <c r="AH426" s="7"/>
    </row>
    <row r="427" spans="33:34" ht="14" x14ac:dyDescent="0.2">
      <c r="AG427" s="1"/>
      <c r="AH427" s="7"/>
    </row>
    <row r="428" spans="33:34" ht="14" x14ac:dyDescent="0.2">
      <c r="AG428" s="1"/>
      <c r="AH428" s="7"/>
    </row>
    <row r="429" spans="33:34" ht="14" x14ac:dyDescent="0.2">
      <c r="AG429" s="1"/>
      <c r="AH429" s="7"/>
    </row>
    <row r="430" spans="33:34" ht="14" x14ac:dyDescent="0.2">
      <c r="AG430" s="1"/>
      <c r="AH430" s="7"/>
    </row>
    <row r="431" spans="33:34" ht="14" x14ac:dyDescent="0.2">
      <c r="AG431" s="1"/>
      <c r="AH431" s="7"/>
    </row>
    <row r="432" spans="33:34" ht="14" x14ac:dyDescent="0.2">
      <c r="AG432" s="1"/>
      <c r="AH432" s="7"/>
    </row>
    <row r="433" spans="33:34" ht="14" x14ac:dyDescent="0.2">
      <c r="AG433" s="1"/>
      <c r="AH433" s="7"/>
    </row>
    <row r="434" spans="33:34" ht="14" x14ac:dyDescent="0.2">
      <c r="AG434" s="1"/>
      <c r="AH434" s="7"/>
    </row>
    <row r="435" spans="33:34" ht="14" x14ac:dyDescent="0.2">
      <c r="AG435" s="1"/>
      <c r="AH435" s="7"/>
    </row>
    <row r="436" spans="33:34" ht="14" x14ac:dyDescent="0.2">
      <c r="AG436" s="1"/>
      <c r="AH436" s="7"/>
    </row>
    <row r="437" spans="33:34" ht="14" x14ac:dyDescent="0.2">
      <c r="AG437" s="1"/>
      <c r="AH437" s="7"/>
    </row>
    <row r="438" spans="33:34" ht="14" x14ac:dyDescent="0.2">
      <c r="AG438" s="1"/>
      <c r="AH438" s="7"/>
    </row>
    <row r="439" spans="33:34" ht="14" x14ac:dyDescent="0.2">
      <c r="AG439" s="1"/>
      <c r="AH439" s="7"/>
    </row>
    <row r="440" spans="33:34" ht="14" x14ac:dyDescent="0.2">
      <c r="AG440" s="1"/>
      <c r="AH440" s="7"/>
    </row>
    <row r="441" spans="33:34" ht="14" x14ac:dyDescent="0.2">
      <c r="AG441" s="1"/>
      <c r="AH441" s="7"/>
    </row>
    <row r="442" spans="33:34" ht="14" x14ac:dyDescent="0.2">
      <c r="AG442" s="1"/>
      <c r="AH442" s="7"/>
    </row>
    <row r="443" spans="33:34" ht="14" x14ac:dyDescent="0.2">
      <c r="AG443" s="1"/>
      <c r="AH443" s="7"/>
    </row>
    <row r="444" spans="33:34" ht="14" x14ac:dyDescent="0.2">
      <c r="AG444" s="1"/>
      <c r="AH444" s="7"/>
    </row>
    <row r="445" spans="33:34" ht="14" x14ac:dyDescent="0.2">
      <c r="AG445" s="1"/>
      <c r="AH445" s="7"/>
    </row>
    <row r="446" spans="33:34" ht="14" x14ac:dyDescent="0.2">
      <c r="AG446" s="1"/>
      <c r="AH446" s="7"/>
    </row>
    <row r="447" spans="33:34" ht="14" x14ac:dyDescent="0.2">
      <c r="AG447" s="1"/>
      <c r="AH447" s="7"/>
    </row>
    <row r="448" spans="33:34" ht="14" x14ac:dyDescent="0.2">
      <c r="AG448" s="1"/>
      <c r="AH448" s="7"/>
    </row>
    <row r="449" spans="33:34" ht="14" x14ac:dyDescent="0.2">
      <c r="AG449" s="1"/>
      <c r="AH449" s="7"/>
    </row>
    <row r="450" spans="33:34" ht="14" x14ac:dyDescent="0.2">
      <c r="AG450" s="1"/>
      <c r="AH450" s="7"/>
    </row>
    <row r="451" spans="33:34" ht="14" x14ac:dyDescent="0.2">
      <c r="AG451" s="1"/>
      <c r="AH451" s="7"/>
    </row>
    <row r="452" spans="33:34" ht="14" x14ac:dyDescent="0.2">
      <c r="AG452" s="1"/>
      <c r="AH452" s="7"/>
    </row>
    <row r="453" spans="33:34" ht="14" x14ac:dyDescent="0.2">
      <c r="AG453" s="1"/>
      <c r="AH453" s="7"/>
    </row>
    <row r="454" spans="33:34" ht="14" x14ac:dyDescent="0.2">
      <c r="AG454" s="1"/>
      <c r="AH454" s="7"/>
    </row>
    <row r="455" spans="33:34" ht="14" x14ac:dyDescent="0.2">
      <c r="AG455" s="1"/>
      <c r="AH455" s="7"/>
    </row>
    <row r="456" spans="33:34" ht="14" x14ac:dyDescent="0.2">
      <c r="AG456" s="1"/>
      <c r="AH456" s="7"/>
    </row>
    <row r="457" spans="33:34" ht="14" x14ac:dyDescent="0.2">
      <c r="AG457" s="1"/>
      <c r="AH457" s="7"/>
    </row>
    <row r="458" spans="33:34" ht="14" x14ac:dyDescent="0.2">
      <c r="AG458" s="1"/>
      <c r="AH458" s="7"/>
    </row>
    <row r="459" spans="33:34" ht="14" x14ac:dyDescent="0.2">
      <c r="AG459" s="1"/>
      <c r="AH459" s="7"/>
    </row>
    <row r="460" spans="33:34" ht="14" x14ac:dyDescent="0.2">
      <c r="AG460" s="1"/>
      <c r="AH460" s="7"/>
    </row>
    <row r="461" spans="33:34" ht="14" x14ac:dyDescent="0.2">
      <c r="AG461" s="1"/>
      <c r="AH461" s="7"/>
    </row>
    <row r="462" spans="33:34" ht="14" x14ac:dyDescent="0.2">
      <c r="AG462" s="1"/>
      <c r="AH462" s="7"/>
    </row>
    <row r="463" spans="33:34" ht="14" x14ac:dyDescent="0.2">
      <c r="AG463" s="1"/>
      <c r="AH463" s="7"/>
    </row>
    <row r="464" spans="33:34" ht="14" x14ac:dyDescent="0.2">
      <c r="AG464" s="1"/>
      <c r="AH464" s="7"/>
    </row>
    <row r="465" spans="33:34" ht="14" x14ac:dyDescent="0.2">
      <c r="AG465" s="1"/>
      <c r="AH465" s="7"/>
    </row>
    <row r="466" spans="33:34" ht="14" x14ac:dyDescent="0.2">
      <c r="AG466" s="1"/>
      <c r="AH466" s="7"/>
    </row>
    <row r="467" spans="33:34" ht="14" x14ac:dyDescent="0.2">
      <c r="AG467" s="1"/>
      <c r="AH467" s="7"/>
    </row>
    <row r="468" spans="33:34" ht="14" x14ac:dyDescent="0.2">
      <c r="AG468" s="1"/>
      <c r="AH468" s="7"/>
    </row>
    <row r="469" spans="33:34" ht="14" x14ac:dyDescent="0.2">
      <c r="AG469" s="1"/>
      <c r="AH469" s="7"/>
    </row>
    <row r="470" spans="33:34" ht="14" x14ac:dyDescent="0.2">
      <c r="AG470" s="1"/>
      <c r="AH470" s="7"/>
    </row>
    <row r="471" spans="33:34" ht="14" x14ac:dyDescent="0.2">
      <c r="AG471" s="1"/>
      <c r="AH471" s="7"/>
    </row>
    <row r="472" spans="33:34" ht="14" x14ac:dyDescent="0.2">
      <c r="AG472" s="1"/>
      <c r="AH472" s="7"/>
    </row>
    <row r="473" spans="33:34" ht="14" x14ac:dyDescent="0.2">
      <c r="AG473" s="1"/>
      <c r="AH473" s="7"/>
    </row>
    <row r="474" spans="33:34" ht="14" x14ac:dyDescent="0.2">
      <c r="AG474" s="1"/>
      <c r="AH474" s="7"/>
    </row>
    <row r="475" spans="33:34" ht="14" x14ac:dyDescent="0.2">
      <c r="AG475" s="1"/>
      <c r="AH475" s="7"/>
    </row>
    <row r="476" spans="33:34" ht="14" x14ac:dyDescent="0.2">
      <c r="AG476" s="1"/>
      <c r="AH476" s="7"/>
    </row>
    <row r="477" spans="33:34" ht="14" x14ac:dyDescent="0.2">
      <c r="AG477" s="1"/>
      <c r="AH477" s="7"/>
    </row>
    <row r="478" spans="33:34" ht="14" x14ac:dyDescent="0.2">
      <c r="AG478" s="1"/>
      <c r="AH478" s="7"/>
    </row>
    <row r="479" spans="33:34" ht="14" x14ac:dyDescent="0.2">
      <c r="AG479" s="1"/>
      <c r="AH479" s="7"/>
    </row>
    <row r="480" spans="33:34" ht="14" x14ac:dyDescent="0.2">
      <c r="AG480" s="1"/>
      <c r="AH480" s="7"/>
    </row>
    <row r="481" spans="33:34" ht="14" x14ac:dyDescent="0.2">
      <c r="AG481" s="1"/>
      <c r="AH481" s="7"/>
    </row>
    <row r="482" spans="33:34" ht="14" x14ac:dyDescent="0.2">
      <c r="AG482" s="1"/>
      <c r="AH482" s="7"/>
    </row>
    <row r="483" spans="33:34" ht="14" x14ac:dyDescent="0.2">
      <c r="AG483" s="1"/>
      <c r="AH483" s="7"/>
    </row>
    <row r="484" spans="33:34" ht="14" x14ac:dyDescent="0.2">
      <c r="AG484" s="1"/>
      <c r="AH484" s="7"/>
    </row>
    <row r="485" spans="33:34" ht="14" x14ac:dyDescent="0.2">
      <c r="AG485" s="1"/>
      <c r="AH485" s="7"/>
    </row>
    <row r="486" spans="33:34" ht="14" x14ac:dyDescent="0.2">
      <c r="AG486" s="1"/>
      <c r="AH486" s="7"/>
    </row>
    <row r="487" spans="33:34" ht="14" x14ac:dyDescent="0.2">
      <c r="AG487" s="1"/>
      <c r="AH487" s="7"/>
    </row>
    <row r="488" spans="33:34" ht="14" x14ac:dyDescent="0.2">
      <c r="AG488" s="1"/>
      <c r="AH488" s="7"/>
    </row>
    <row r="489" spans="33:34" ht="14" x14ac:dyDescent="0.2">
      <c r="AG489" s="1"/>
      <c r="AH489" s="7"/>
    </row>
    <row r="490" spans="33:34" ht="14" x14ac:dyDescent="0.2">
      <c r="AG490" s="1"/>
      <c r="AH490" s="7"/>
    </row>
    <row r="491" spans="33:34" ht="14" x14ac:dyDescent="0.2">
      <c r="AG491" s="1"/>
      <c r="AH491" s="7"/>
    </row>
    <row r="492" spans="33:34" ht="14" x14ac:dyDescent="0.2">
      <c r="AG492" s="1"/>
      <c r="AH492" s="7"/>
    </row>
    <row r="493" spans="33:34" ht="14" x14ac:dyDescent="0.2">
      <c r="AG493" s="1"/>
      <c r="AH493" s="7"/>
    </row>
    <row r="494" spans="33:34" ht="14" x14ac:dyDescent="0.2">
      <c r="AG494" s="1"/>
      <c r="AH494" s="7"/>
    </row>
    <row r="495" spans="33:34" ht="14" x14ac:dyDescent="0.2">
      <c r="AG495" s="1"/>
      <c r="AH495" s="7"/>
    </row>
    <row r="496" spans="33:34" ht="14" x14ac:dyDescent="0.2">
      <c r="AG496" s="1"/>
      <c r="AH496" s="7"/>
    </row>
    <row r="497" spans="33:34" ht="14" x14ac:dyDescent="0.2">
      <c r="AG497" s="1"/>
      <c r="AH497" s="7"/>
    </row>
    <row r="498" spans="33:34" ht="14" x14ac:dyDescent="0.2">
      <c r="AG498" s="1"/>
      <c r="AH498" s="7"/>
    </row>
    <row r="499" spans="33:34" ht="14" x14ac:dyDescent="0.2">
      <c r="AG499" s="1"/>
      <c r="AH499" s="7"/>
    </row>
    <row r="500" spans="33:34" ht="14" x14ac:dyDescent="0.2">
      <c r="AG500" s="1"/>
      <c r="AH500" s="7"/>
    </row>
    <row r="501" spans="33:34" ht="14" x14ac:dyDescent="0.2">
      <c r="AG501" s="1"/>
      <c r="AH501" s="7"/>
    </row>
    <row r="502" spans="33:34" ht="14" x14ac:dyDescent="0.2">
      <c r="AG502" s="1"/>
      <c r="AH502" s="7"/>
    </row>
    <row r="503" spans="33:34" ht="14" x14ac:dyDescent="0.2">
      <c r="AG503" s="1"/>
      <c r="AH503" s="7"/>
    </row>
    <row r="504" spans="33:34" ht="14" x14ac:dyDescent="0.2">
      <c r="AG504" s="1"/>
      <c r="AH504" s="7"/>
    </row>
    <row r="505" spans="33:34" ht="14" x14ac:dyDescent="0.2">
      <c r="AG505" s="1"/>
      <c r="AH505" s="7"/>
    </row>
    <row r="506" spans="33:34" ht="14" x14ac:dyDescent="0.2">
      <c r="AG506" s="1"/>
      <c r="AH506" s="7"/>
    </row>
    <row r="507" spans="33:34" ht="14" x14ac:dyDescent="0.2">
      <c r="AG507" s="1"/>
      <c r="AH507" s="7"/>
    </row>
    <row r="508" spans="33:34" ht="14" x14ac:dyDescent="0.2">
      <c r="AG508" s="1"/>
      <c r="AH508" s="7"/>
    </row>
    <row r="509" spans="33:34" ht="14" x14ac:dyDescent="0.2">
      <c r="AG509" s="1"/>
      <c r="AH509" s="7"/>
    </row>
    <row r="510" spans="33:34" ht="14" x14ac:dyDescent="0.2">
      <c r="AG510" s="1"/>
      <c r="AH510" s="7"/>
    </row>
    <row r="511" spans="33:34" ht="14" x14ac:dyDescent="0.2">
      <c r="AG511" s="1"/>
      <c r="AH511" s="7"/>
    </row>
    <row r="512" spans="33:34" ht="14" x14ac:dyDescent="0.2">
      <c r="AG512" s="1"/>
      <c r="AH512" s="7"/>
    </row>
    <row r="513" spans="33:34" ht="14" x14ac:dyDescent="0.2">
      <c r="AG513" s="1"/>
      <c r="AH513" s="7"/>
    </row>
    <row r="514" spans="33:34" ht="14" x14ac:dyDescent="0.2">
      <c r="AG514" s="1"/>
      <c r="AH514" s="7"/>
    </row>
    <row r="515" spans="33:34" ht="14" x14ac:dyDescent="0.2">
      <c r="AG515" s="1"/>
      <c r="AH515" s="7"/>
    </row>
    <row r="516" spans="33:34" ht="14" x14ac:dyDescent="0.2">
      <c r="AG516" s="1"/>
      <c r="AH516" s="7"/>
    </row>
    <row r="517" spans="33:34" ht="14" x14ac:dyDescent="0.2">
      <c r="AG517" s="1"/>
      <c r="AH517" s="7"/>
    </row>
    <row r="518" spans="33:34" ht="14" x14ac:dyDescent="0.2">
      <c r="AG518" s="1"/>
      <c r="AH518" s="7"/>
    </row>
    <row r="519" spans="33:34" ht="14" x14ac:dyDescent="0.2">
      <c r="AG519" s="1"/>
      <c r="AH519" s="7"/>
    </row>
    <row r="520" spans="33:34" ht="14" x14ac:dyDescent="0.2">
      <c r="AG520" s="1"/>
      <c r="AH520" s="7"/>
    </row>
    <row r="521" spans="33:34" ht="14" x14ac:dyDescent="0.2">
      <c r="AG521" s="1"/>
      <c r="AH521" s="7"/>
    </row>
    <row r="522" spans="33:34" ht="14" x14ac:dyDescent="0.2">
      <c r="AG522" s="1"/>
      <c r="AH522" s="7"/>
    </row>
    <row r="523" spans="33:34" ht="14" x14ac:dyDescent="0.2">
      <c r="AG523" s="1"/>
      <c r="AH523" s="7"/>
    </row>
    <row r="524" spans="33:34" ht="14" x14ac:dyDescent="0.2">
      <c r="AG524" s="1"/>
      <c r="AH524" s="7"/>
    </row>
    <row r="525" spans="33:34" ht="14" x14ac:dyDescent="0.2">
      <c r="AG525" s="1"/>
      <c r="AH525" s="7"/>
    </row>
    <row r="526" spans="33:34" ht="14" x14ac:dyDescent="0.2">
      <c r="AG526" s="1"/>
      <c r="AH526" s="7"/>
    </row>
    <row r="527" spans="33:34" ht="14" x14ac:dyDescent="0.2">
      <c r="AG527" s="1"/>
      <c r="AH527" s="7"/>
    </row>
    <row r="528" spans="33:34" ht="14" x14ac:dyDescent="0.2">
      <c r="AG528" s="1"/>
      <c r="AH528" s="7"/>
    </row>
    <row r="529" spans="33:34" ht="14" x14ac:dyDescent="0.2">
      <c r="AG529" s="1"/>
      <c r="AH529" s="7"/>
    </row>
    <row r="530" spans="33:34" ht="14" x14ac:dyDescent="0.2">
      <c r="AG530" s="1"/>
      <c r="AH530" s="7"/>
    </row>
    <row r="531" spans="33:34" ht="14" x14ac:dyDescent="0.2">
      <c r="AG531" s="1"/>
      <c r="AH531" s="7"/>
    </row>
    <row r="532" spans="33:34" ht="14" x14ac:dyDescent="0.2">
      <c r="AG532" s="1"/>
      <c r="AH532" s="7"/>
    </row>
    <row r="533" spans="33:34" ht="14" x14ac:dyDescent="0.2">
      <c r="AG533" s="1"/>
      <c r="AH533" s="7"/>
    </row>
    <row r="534" spans="33:34" ht="14" x14ac:dyDescent="0.2">
      <c r="AG534" s="1"/>
      <c r="AH534" s="7"/>
    </row>
    <row r="535" spans="33:34" ht="14" x14ac:dyDescent="0.2">
      <c r="AG535" s="1"/>
      <c r="AH535" s="7"/>
    </row>
    <row r="536" spans="33:34" ht="14" x14ac:dyDescent="0.2">
      <c r="AG536" s="1"/>
      <c r="AH536" s="7"/>
    </row>
    <row r="537" spans="33:34" ht="14" x14ac:dyDescent="0.2">
      <c r="AG537" s="1"/>
      <c r="AH537" s="7"/>
    </row>
    <row r="538" spans="33:34" ht="14" x14ac:dyDescent="0.2">
      <c r="AG538" s="1"/>
      <c r="AH538" s="7"/>
    </row>
    <row r="539" spans="33:34" ht="14" x14ac:dyDescent="0.2">
      <c r="AG539" s="1"/>
      <c r="AH539" s="7"/>
    </row>
    <row r="540" spans="33:34" ht="14" x14ac:dyDescent="0.2">
      <c r="AG540" s="1"/>
      <c r="AH540" s="7"/>
    </row>
    <row r="541" spans="33:34" ht="14" x14ac:dyDescent="0.2">
      <c r="AG541" s="1"/>
      <c r="AH541" s="7"/>
    </row>
    <row r="542" spans="33:34" ht="14" x14ac:dyDescent="0.2">
      <c r="AG542" s="1"/>
      <c r="AH542" s="7"/>
    </row>
    <row r="543" spans="33:34" ht="14" x14ac:dyDescent="0.2">
      <c r="AG543" s="1"/>
      <c r="AH543" s="7"/>
    </row>
    <row r="544" spans="33:34" ht="14" x14ac:dyDescent="0.2">
      <c r="AG544" s="1"/>
      <c r="AH544" s="7"/>
    </row>
    <row r="545" spans="33:34" ht="14" x14ac:dyDescent="0.2">
      <c r="AG545" s="1"/>
      <c r="AH545" s="7"/>
    </row>
    <row r="546" spans="33:34" ht="14" x14ac:dyDescent="0.2">
      <c r="AG546" s="1"/>
      <c r="AH546" s="7"/>
    </row>
    <row r="547" spans="33:34" ht="14" x14ac:dyDescent="0.2">
      <c r="AG547" s="1"/>
      <c r="AH547" s="7"/>
    </row>
    <row r="548" spans="33:34" ht="14" x14ac:dyDescent="0.2">
      <c r="AG548" s="1"/>
      <c r="AH548" s="7"/>
    </row>
    <row r="549" spans="33:34" ht="14" x14ac:dyDescent="0.2">
      <c r="AG549" s="1"/>
      <c r="AH549" s="7"/>
    </row>
    <row r="550" spans="33:34" ht="14" x14ac:dyDescent="0.2">
      <c r="AG550" s="1"/>
      <c r="AH550" s="7"/>
    </row>
    <row r="551" spans="33:34" ht="14" x14ac:dyDescent="0.2">
      <c r="AG551" s="1"/>
      <c r="AH551" s="7"/>
    </row>
    <row r="552" spans="33:34" ht="14" x14ac:dyDescent="0.2">
      <c r="AG552" s="1"/>
      <c r="AH552" s="7"/>
    </row>
    <row r="553" spans="33:34" ht="14" x14ac:dyDescent="0.2">
      <c r="AG553" s="1"/>
      <c r="AH553" s="7"/>
    </row>
    <row r="554" spans="33:34" ht="14" x14ac:dyDescent="0.2">
      <c r="AG554" s="1"/>
      <c r="AH554" s="7"/>
    </row>
    <row r="555" spans="33:34" ht="14" x14ac:dyDescent="0.2">
      <c r="AG555" s="1"/>
      <c r="AH555" s="7"/>
    </row>
    <row r="556" spans="33:34" ht="14" x14ac:dyDescent="0.2">
      <c r="AG556" s="1"/>
      <c r="AH556" s="7"/>
    </row>
    <row r="557" spans="33:34" ht="14" x14ac:dyDescent="0.2">
      <c r="AG557" s="1"/>
      <c r="AH557" s="7"/>
    </row>
    <row r="558" spans="33:34" ht="14" x14ac:dyDescent="0.2">
      <c r="AG558" s="1"/>
      <c r="AH558" s="7"/>
    </row>
    <row r="559" spans="33:34" ht="14" x14ac:dyDescent="0.2">
      <c r="AG559" s="1"/>
      <c r="AH559" s="7"/>
    </row>
    <row r="560" spans="33:34" ht="14" x14ac:dyDescent="0.2">
      <c r="AG560" s="1"/>
      <c r="AH560" s="7"/>
    </row>
    <row r="561" spans="33:34" ht="14" x14ac:dyDescent="0.2">
      <c r="AG561" s="1"/>
      <c r="AH561" s="7"/>
    </row>
    <row r="562" spans="33:34" ht="14" x14ac:dyDescent="0.2">
      <c r="AG562" s="1"/>
      <c r="AH562" s="7"/>
    </row>
    <row r="563" spans="33:34" ht="14" x14ac:dyDescent="0.2">
      <c r="AG563" s="1"/>
      <c r="AH563" s="7"/>
    </row>
    <row r="564" spans="33:34" ht="14" x14ac:dyDescent="0.2">
      <c r="AG564" s="1"/>
      <c r="AH564" s="7"/>
    </row>
    <row r="565" spans="33:34" ht="14" x14ac:dyDescent="0.2">
      <c r="AG565" s="1"/>
      <c r="AH565" s="7"/>
    </row>
    <row r="566" spans="33:34" ht="14" x14ac:dyDescent="0.2">
      <c r="AG566" s="1"/>
      <c r="AH566" s="7"/>
    </row>
    <row r="567" spans="33:34" ht="14" x14ac:dyDescent="0.2">
      <c r="AG567" s="1"/>
      <c r="AH567" s="7"/>
    </row>
    <row r="568" spans="33:34" ht="14" x14ac:dyDescent="0.2">
      <c r="AG568" s="1"/>
      <c r="AH568" s="7"/>
    </row>
    <row r="569" spans="33:34" ht="14" x14ac:dyDescent="0.2">
      <c r="AG569" s="1"/>
      <c r="AH569" s="7"/>
    </row>
    <row r="570" spans="33:34" ht="14" x14ac:dyDescent="0.2">
      <c r="AG570" s="1"/>
      <c r="AH570" s="7"/>
    </row>
    <row r="571" spans="33:34" ht="14" x14ac:dyDescent="0.2">
      <c r="AG571" s="1"/>
      <c r="AH571" s="7"/>
    </row>
    <row r="572" spans="33:34" ht="14" x14ac:dyDescent="0.2">
      <c r="AG572" s="1"/>
      <c r="AH572" s="7"/>
    </row>
    <row r="573" spans="33:34" ht="14" x14ac:dyDescent="0.2">
      <c r="AG573" s="1"/>
      <c r="AH573" s="7"/>
    </row>
    <row r="574" spans="33:34" ht="14" x14ac:dyDescent="0.2">
      <c r="AG574" s="1"/>
      <c r="AH574" s="7"/>
    </row>
    <row r="575" spans="33:34" ht="14" x14ac:dyDescent="0.2">
      <c r="AG575" s="1"/>
      <c r="AH575" s="7"/>
    </row>
    <row r="576" spans="33:34" ht="14" x14ac:dyDescent="0.2">
      <c r="AG576" s="1"/>
      <c r="AH576" s="7"/>
    </row>
    <row r="577" spans="33:34" ht="14" x14ac:dyDescent="0.2">
      <c r="AG577" s="1"/>
      <c r="AH577" s="7"/>
    </row>
    <row r="578" spans="33:34" ht="14" x14ac:dyDescent="0.2">
      <c r="AG578" s="1"/>
      <c r="AH578" s="7"/>
    </row>
    <row r="579" spans="33:34" ht="14" x14ac:dyDescent="0.2">
      <c r="AG579" s="1"/>
      <c r="AH579" s="7"/>
    </row>
    <row r="580" spans="33:34" ht="14" x14ac:dyDescent="0.2">
      <c r="AG580" s="1"/>
      <c r="AH580" s="7"/>
    </row>
    <row r="581" spans="33:34" ht="14" x14ac:dyDescent="0.2">
      <c r="AG581" s="1"/>
      <c r="AH581" s="7"/>
    </row>
    <row r="582" spans="33:34" ht="14" x14ac:dyDescent="0.2">
      <c r="AG582" s="1"/>
      <c r="AH582" s="7"/>
    </row>
    <row r="583" spans="33:34" ht="14" x14ac:dyDescent="0.2">
      <c r="AG583" s="1"/>
      <c r="AH583" s="7"/>
    </row>
    <row r="584" spans="33:34" ht="14" x14ac:dyDescent="0.2">
      <c r="AG584" s="1"/>
      <c r="AH584" s="7"/>
    </row>
    <row r="585" spans="33:34" ht="14" x14ac:dyDescent="0.2">
      <c r="AG585" s="1"/>
      <c r="AH585" s="7"/>
    </row>
    <row r="586" spans="33:34" ht="14" x14ac:dyDescent="0.2">
      <c r="AG586" s="1"/>
      <c r="AH586" s="7"/>
    </row>
    <row r="587" spans="33:34" ht="14" x14ac:dyDescent="0.2">
      <c r="AG587" s="1"/>
      <c r="AH587" s="7"/>
    </row>
    <row r="588" spans="33:34" ht="14" x14ac:dyDescent="0.2">
      <c r="AG588" s="1"/>
      <c r="AH588" s="7"/>
    </row>
    <row r="589" spans="33:34" ht="14" x14ac:dyDescent="0.2">
      <c r="AG589" s="1"/>
      <c r="AH589" s="7"/>
    </row>
    <row r="590" spans="33:34" ht="14" x14ac:dyDescent="0.2">
      <c r="AG590" s="1"/>
      <c r="AH590" s="7"/>
    </row>
    <row r="591" spans="33:34" ht="14" x14ac:dyDescent="0.2">
      <c r="AG591" s="1"/>
      <c r="AH591" s="7"/>
    </row>
    <row r="592" spans="33:34" ht="14" x14ac:dyDescent="0.2">
      <c r="AG592" s="1"/>
      <c r="AH592" s="7"/>
    </row>
    <row r="593" spans="33:34" ht="14" x14ac:dyDescent="0.2">
      <c r="AG593" s="1"/>
      <c r="AH593" s="7"/>
    </row>
    <row r="594" spans="33:34" ht="14" x14ac:dyDescent="0.2">
      <c r="AG594" s="1"/>
      <c r="AH594" s="7"/>
    </row>
    <row r="595" spans="33:34" ht="14" x14ac:dyDescent="0.2">
      <c r="AG595" s="1"/>
      <c r="AH595" s="7"/>
    </row>
    <row r="596" spans="33:34" ht="14" x14ac:dyDescent="0.2">
      <c r="AG596" s="1"/>
      <c r="AH596" s="7"/>
    </row>
    <row r="597" spans="33:34" ht="14" x14ac:dyDescent="0.2">
      <c r="AG597" s="1"/>
      <c r="AH597" s="7"/>
    </row>
    <row r="598" spans="33:34" ht="14" x14ac:dyDescent="0.2">
      <c r="AG598" s="1"/>
      <c r="AH598" s="7"/>
    </row>
    <row r="599" spans="33:34" ht="14" x14ac:dyDescent="0.2">
      <c r="AG599" s="1"/>
      <c r="AH599" s="7"/>
    </row>
    <row r="600" spans="33:34" ht="14" x14ac:dyDescent="0.2">
      <c r="AG600" s="1"/>
      <c r="AH600" s="7"/>
    </row>
    <row r="601" spans="33:34" ht="14" x14ac:dyDescent="0.2">
      <c r="AG601" s="1"/>
      <c r="AH601" s="7"/>
    </row>
    <row r="602" spans="33:34" ht="14" x14ac:dyDescent="0.2">
      <c r="AG602" s="1"/>
      <c r="AH602" s="7"/>
    </row>
    <row r="603" spans="33:34" ht="14" x14ac:dyDescent="0.2">
      <c r="AG603" s="1"/>
      <c r="AH603" s="7"/>
    </row>
    <row r="604" spans="33:34" ht="14" x14ac:dyDescent="0.2">
      <c r="AG604" s="1"/>
      <c r="AH604" s="7"/>
    </row>
    <row r="605" spans="33:34" ht="14" x14ac:dyDescent="0.2">
      <c r="AG605" s="1"/>
      <c r="AH605" s="7"/>
    </row>
    <row r="606" spans="33:34" ht="14" x14ac:dyDescent="0.2">
      <c r="AG606" s="1"/>
      <c r="AH606" s="7"/>
    </row>
    <row r="607" spans="33:34" ht="14" x14ac:dyDescent="0.2">
      <c r="AG607" s="1"/>
      <c r="AH607" s="7"/>
    </row>
    <row r="608" spans="33:34" ht="14" x14ac:dyDescent="0.2">
      <c r="AG608" s="1"/>
      <c r="AH608" s="7"/>
    </row>
    <row r="609" spans="33:34" ht="14" x14ac:dyDescent="0.2">
      <c r="AG609" s="1"/>
      <c r="AH609" s="7"/>
    </row>
    <row r="610" spans="33:34" ht="14" x14ac:dyDescent="0.2">
      <c r="AG610" s="1"/>
      <c r="AH610" s="7"/>
    </row>
    <row r="611" spans="33:34" ht="14" x14ac:dyDescent="0.2">
      <c r="AG611" s="1"/>
      <c r="AH611" s="7"/>
    </row>
    <row r="612" spans="33:34" ht="14" x14ac:dyDescent="0.2">
      <c r="AG612" s="1"/>
      <c r="AH612" s="7"/>
    </row>
    <row r="613" spans="33:34" ht="14" x14ac:dyDescent="0.2">
      <c r="AG613" s="1"/>
      <c r="AH613" s="7"/>
    </row>
    <row r="614" spans="33:34" ht="14" x14ac:dyDescent="0.2">
      <c r="AG614" s="1"/>
      <c r="AH614" s="7"/>
    </row>
    <row r="615" spans="33:34" ht="14" x14ac:dyDescent="0.2">
      <c r="AG615" s="1"/>
      <c r="AH615" s="7"/>
    </row>
    <row r="616" spans="33:34" ht="14" x14ac:dyDescent="0.2">
      <c r="AG616" s="1"/>
      <c r="AH616" s="7"/>
    </row>
    <row r="617" spans="33:34" ht="14" x14ac:dyDescent="0.2">
      <c r="AG617" s="1"/>
      <c r="AH617" s="7"/>
    </row>
    <row r="618" spans="33:34" ht="14" x14ac:dyDescent="0.2">
      <c r="AG618" s="1"/>
      <c r="AH618" s="7"/>
    </row>
    <row r="619" spans="33:34" ht="14" x14ac:dyDescent="0.2">
      <c r="AG619" s="1"/>
      <c r="AH619" s="7"/>
    </row>
    <row r="620" spans="33:34" ht="14" x14ac:dyDescent="0.2">
      <c r="AG620" s="1"/>
      <c r="AH620" s="7"/>
    </row>
    <row r="621" spans="33:34" ht="14" x14ac:dyDescent="0.2">
      <c r="AG621" s="1"/>
      <c r="AH621" s="7"/>
    </row>
    <row r="622" spans="33:34" ht="14" x14ac:dyDescent="0.2">
      <c r="AG622" s="1"/>
      <c r="AH622" s="7"/>
    </row>
    <row r="623" spans="33:34" ht="14" x14ac:dyDescent="0.2">
      <c r="AG623" s="1"/>
      <c r="AH623" s="7"/>
    </row>
    <row r="624" spans="33:34" ht="14" x14ac:dyDescent="0.2">
      <c r="AG624" s="1"/>
      <c r="AH624" s="7"/>
    </row>
    <row r="625" spans="33:34" ht="14" x14ac:dyDescent="0.2">
      <c r="AG625" s="1"/>
      <c r="AH625" s="7"/>
    </row>
    <row r="626" spans="33:34" ht="14" x14ac:dyDescent="0.2">
      <c r="AG626" s="1"/>
      <c r="AH626" s="7"/>
    </row>
    <row r="627" spans="33:34" ht="14" x14ac:dyDescent="0.2">
      <c r="AG627" s="1"/>
      <c r="AH627" s="7"/>
    </row>
    <row r="628" spans="33:34" ht="14" x14ac:dyDescent="0.2">
      <c r="AG628" s="1"/>
      <c r="AH628" s="7"/>
    </row>
    <row r="629" spans="33:34" ht="14" x14ac:dyDescent="0.2">
      <c r="AG629" s="1"/>
      <c r="AH629" s="7"/>
    </row>
    <row r="630" spans="33:34" ht="14" x14ac:dyDescent="0.2">
      <c r="AG630" s="1"/>
      <c r="AH630" s="7"/>
    </row>
    <row r="631" spans="33:34" ht="14" x14ac:dyDescent="0.2">
      <c r="AG631" s="1"/>
      <c r="AH631" s="7"/>
    </row>
    <row r="632" spans="33:34" ht="14" x14ac:dyDescent="0.2">
      <c r="AG632" s="1"/>
      <c r="AH632" s="7"/>
    </row>
    <row r="633" spans="33:34" ht="14" x14ac:dyDescent="0.2">
      <c r="AG633" s="1"/>
      <c r="AH633" s="7"/>
    </row>
    <row r="634" spans="33:34" ht="14" x14ac:dyDescent="0.2">
      <c r="AG634" s="1"/>
      <c r="AH634" s="7"/>
    </row>
    <row r="635" spans="33:34" ht="14" x14ac:dyDescent="0.2">
      <c r="AG635" s="1"/>
      <c r="AH635" s="7"/>
    </row>
    <row r="636" spans="33:34" ht="14" x14ac:dyDescent="0.2">
      <c r="AG636" s="1"/>
      <c r="AH636" s="7"/>
    </row>
    <row r="637" spans="33:34" ht="14" x14ac:dyDescent="0.2">
      <c r="AG637" s="1"/>
      <c r="AH637" s="7"/>
    </row>
    <row r="638" spans="33:34" ht="14" x14ac:dyDescent="0.2">
      <c r="AG638" s="1"/>
      <c r="AH638" s="7"/>
    </row>
    <row r="639" spans="33:34" ht="14" x14ac:dyDescent="0.2">
      <c r="AG639" s="1"/>
      <c r="AH639" s="7"/>
    </row>
    <row r="640" spans="33:34" ht="14" x14ac:dyDescent="0.2">
      <c r="AG640" s="1"/>
      <c r="AH640" s="7"/>
    </row>
    <row r="641" spans="33:34" ht="14" x14ac:dyDescent="0.2">
      <c r="AG641" s="1"/>
      <c r="AH641" s="7"/>
    </row>
    <row r="642" spans="33:34" ht="14" x14ac:dyDescent="0.2">
      <c r="AG642" s="1"/>
      <c r="AH642" s="7"/>
    </row>
    <row r="643" spans="33:34" ht="14" x14ac:dyDescent="0.2">
      <c r="AG643" s="1"/>
      <c r="AH643" s="7"/>
    </row>
    <row r="644" spans="33:34" ht="14" x14ac:dyDescent="0.2">
      <c r="AG644" s="1"/>
      <c r="AH644" s="7"/>
    </row>
    <row r="645" spans="33:34" ht="14" x14ac:dyDescent="0.2">
      <c r="AG645" s="1"/>
      <c r="AH645" s="7"/>
    </row>
    <row r="646" spans="33:34" ht="14" x14ac:dyDescent="0.2">
      <c r="AG646" s="1"/>
      <c r="AH646" s="7"/>
    </row>
    <row r="647" spans="33:34" ht="14" x14ac:dyDescent="0.2">
      <c r="AG647" s="1"/>
      <c r="AH647" s="7"/>
    </row>
    <row r="648" spans="33:34" ht="14" x14ac:dyDescent="0.2">
      <c r="AG648" s="1"/>
      <c r="AH648" s="7"/>
    </row>
    <row r="649" spans="33:34" ht="14" x14ac:dyDescent="0.2">
      <c r="AG649" s="1"/>
      <c r="AH649" s="7"/>
    </row>
    <row r="650" spans="33:34" ht="14" x14ac:dyDescent="0.2">
      <c r="AG650" s="1"/>
      <c r="AH650" s="7"/>
    </row>
    <row r="651" spans="33:34" ht="14" x14ac:dyDescent="0.2">
      <c r="AG651" s="1"/>
      <c r="AH651" s="7"/>
    </row>
    <row r="652" spans="33:34" ht="14" x14ac:dyDescent="0.2">
      <c r="AG652" s="1"/>
      <c r="AH652" s="7"/>
    </row>
    <row r="653" spans="33:34" ht="14" x14ac:dyDescent="0.2">
      <c r="AG653" s="1"/>
      <c r="AH653" s="7"/>
    </row>
    <row r="654" spans="33:34" ht="14" x14ac:dyDescent="0.2">
      <c r="AG654" s="1"/>
      <c r="AH654" s="7"/>
    </row>
    <row r="655" spans="33:34" ht="14" x14ac:dyDescent="0.2">
      <c r="AG655" s="1"/>
      <c r="AH655" s="7"/>
    </row>
    <row r="656" spans="33:34" ht="14" x14ac:dyDescent="0.2">
      <c r="AG656" s="1"/>
      <c r="AH656" s="7"/>
    </row>
    <row r="657" spans="33:34" ht="14" x14ac:dyDescent="0.2">
      <c r="AG657" s="1"/>
      <c r="AH657" s="7"/>
    </row>
    <row r="658" spans="33:34" ht="14" x14ac:dyDescent="0.2">
      <c r="AG658" s="1"/>
      <c r="AH658" s="7"/>
    </row>
    <row r="659" spans="33:34" ht="14" x14ac:dyDescent="0.2">
      <c r="AG659" s="1"/>
      <c r="AH659" s="7"/>
    </row>
    <row r="660" spans="33:34" ht="14" x14ac:dyDescent="0.2">
      <c r="AG660" s="1"/>
      <c r="AH660" s="7"/>
    </row>
    <row r="661" spans="33:34" ht="14" x14ac:dyDescent="0.2">
      <c r="AG661" s="1"/>
      <c r="AH661" s="7"/>
    </row>
    <row r="662" spans="33:34" ht="14" x14ac:dyDescent="0.2">
      <c r="AG662" s="1"/>
      <c r="AH662" s="7"/>
    </row>
    <row r="663" spans="33:34" ht="14" x14ac:dyDescent="0.2">
      <c r="AG663" s="1"/>
      <c r="AH663" s="7"/>
    </row>
    <row r="664" spans="33:34" ht="14" x14ac:dyDescent="0.2">
      <c r="AG664" s="1"/>
      <c r="AH664" s="7"/>
    </row>
    <row r="665" spans="33:34" ht="14" x14ac:dyDescent="0.2">
      <c r="AG665" s="1"/>
      <c r="AH665" s="7"/>
    </row>
    <row r="666" spans="33:34" ht="14" x14ac:dyDescent="0.2">
      <c r="AG666" s="1"/>
      <c r="AH666" s="7"/>
    </row>
    <row r="667" spans="33:34" ht="14" x14ac:dyDescent="0.2">
      <c r="AG667" s="1"/>
      <c r="AH667" s="7"/>
    </row>
    <row r="668" spans="33:34" ht="14" x14ac:dyDescent="0.2">
      <c r="AG668" s="1"/>
      <c r="AH668" s="7"/>
    </row>
    <row r="669" spans="33:34" ht="14" x14ac:dyDescent="0.2">
      <c r="AG669" s="1"/>
      <c r="AH669" s="7"/>
    </row>
    <row r="670" spans="33:34" ht="14" x14ac:dyDescent="0.2">
      <c r="AG670" s="1"/>
      <c r="AH670" s="7"/>
    </row>
    <row r="671" spans="33:34" ht="14" x14ac:dyDescent="0.2">
      <c r="AG671" s="1"/>
      <c r="AH671" s="7"/>
    </row>
    <row r="672" spans="33:34" ht="14" x14ac:dyDescent="0.2">
      <c r="AG672" s="1"/>
      <c r="AH672" s="7"/>
    </row>
    <row r="673" spans="33:34" ht="14" x14ac:dyDescent="0.2">
      <c r="AG673" s="1"/>
      <c r="AH673" s="7"/>
    </row>
    <row r="674" spans="33:34" ht="14" x14ac:dyDescent="0.2">
      <c r="AG674" s="1"/>
      <c r="AH674" s="7"/>
    </row>
    <row r="675" spans="33:34" ht="14" x14ac:dyDescent="0.2">
      <c r="AG675" s="1"/>
      <c r="AH675" s="7"/>
    </row>
    <row r="676" spans="33:34" ht="14" x14ac:dyDescent="0.2">
      <c r="AG676" s="1"/>
      <c r="AH676" s="7"/>
    </row>
    <row r="677" spans="33:34" ht="14" x14ac:dyDescent="0.2">
      <c r="AG677" s="1"/>
      <c r="AH677" s="7"/>
    </row>
    <row r="678" spans="33:34" ht="14" x14ac:dyDescent="0.2">
      <c r="AG678" s="1"/>
      <c r="AH678" s="7"/>
    </row>
    <row r="679" spans="33:34" ht="14" x14ac:dyDescent="0.2">
      <c r="AG679" s="1"/>
      <c r="AH679" s="7"/>
    </row>
    <row r="680" spans="33:34" ht="14" x14ac:dyDescent="0.2">
      <c r="AG680" s="1"/>
      <c r="AH680" s="7"/>
    </row>
    <row r="681" spans="33:34" ht="14" x14ac:dyDescent="0.2">
      <c r="AG681" s="1"/>
      <c r="AH681" s="7"/>
    </row>
    <row r="682" spans="33:34" ht="14" x14ac:dyDescent="0.2">
      <c r="AG682" s="1"/>
      <c r="AH682" s="7"/>
    </row>
    <row r="683" spans="33:34" ht="14" x14ac:dyDescent="0.2">
      <c r="AG683" s="1"/>
      <c r="AH683" s="7"/>
    </row>
    <row r="684" spans="33:34" ht="14" x14ac:dyDescent="0.2">
      <c r="AG684" s="1"/>
      <c r="AH684" s="7"/>
    </row>
    <row r="685" spans="33:34" ht="14" x14ac:dyDescent="0.2">
      <c r="AG685" s="1"/>
      <c r="AH685" s="7"/>
    </row>
    <row r="686" spans="33:34" ht="14" x14ac:dyDescent="0.2">
      <c r="AG686" s="1"/>
      <c r="AH686" s="7"/>
    </row>
    <row r="687" spans="33:34" ht="14" x14ac:dyDescent="0.2">
      <c r="AG687" s="1"/>
      <c r="AH687" s="7"/>
    </row>
    <row r="688" spans="33:34" ht="14" x14ac:dyDescent="0.2">
      <c r="AG688" s="1"/>
      <c r="AH688" s="7"/>
    </row>
    <row r="689" spans="33:34" ht="14" x14ac:dyDescent="0.2">
      <c r="AG689" s="1"/>
      <c r="AH689" s="7"/>
    </row>
    <row r="690" spans="33:34" ht="14" x14ac:dyDescent="0.2">
      <c r="AG690" s="1"/>
      <c r="AH690" s="7"/>
    </row>
    <row r="691" spans="33:34" ht="14" x14ac:dyDescent="0.2">
      <c r="AG691" s="1"/>
      <c r="AH691" s="7"/>
    </row>
    <row r="692" spans="33:34" ht="14" x14ac:dyDescent="0.2">
      <c r="AG692" s="1"/>
      <c r="AH692" s="7"/>
    </row>
    <row r="693" spans="33:34" ht="14" x14ac:dyDescent="0.2">
      <c r="AG693" s="1"/>
      <c r="AH693" s="7"/>
    </row>
    <row r="694" spans="33:34" ht="14" x14ac:dyDescent="0.2">
      <c r="AG694" s="1"/>
      <c r="AH694" s="7"/>
    </row>
    <row r="695" spans="33:34" ht="14" x14ac:dyDescent="0.2">
      <c r="AG695" s="1"/>
      <c r="AH695" s="7"/>
    </row>
    <row r="696" spans="33:34" ht="14" x14ac:dyDescent="0.2">
      <c r="AG696" s="1"/>
      <c r="AH696" s="7"/>
    </row>
    <row r="697" spans="33:34" ht="14" x14ac:dyDescent="0.2">
      <c r="AG697" s="1"/>
      <c r="AH697" s="7"/>
    </row>
    <row r="698" spans="33:34" ht="14" x14ac:dyDescent="0.2">
      <c r="AG698" s="1"/>
      <c r="AH698" s="7"/>
    </row>
    <row r="699" spans="33:34" ht="14" x14ac:dyDescent="0.2">
      <c r="AG699" s="1"/>
      <c r="AH699" s="7"/>
    </row>
    <row r="700" spans="33:34" ht="14" x14ac:dyDescent="0.2">
      <c r="AG700" s="1"/>
      <c r="AH700" s="7"/>
    </row>
    <row r="701" spans="33:34" ht="14" x14ac:dyDescent="0.2">
      <c r="AG701" s="1"/>
      <c r="AH701" s="7"/>
    </row>
    <row r="702" spans="33:34" ht="14" x14ac:dyDescent="0.2">
      <c r="AG702" s="1"/>
      <c r="AH702" s="7"/>
    </row>
    <row r="703" spans="33:34" ht="14" x14ac:dyDescent="0.2">
      <c r="AG703" s="1"/>
      <c r="AH703" s="7"/>
    </row>
    <row r="704" spans="33:34" ht="14" x14ac:dyDescent="0.2">
      <c r="AG704" s="1"/>
      <c r="AH704" s="7"/>
    </row>
    <row r="705" spans="33:34" ht="14" x14ac:dyDescent="0.2">
      <c r="AG705" s="1"/>
      <c r="AH705" s="7"/>
    </row>
    <row r="706" spans="33:34" ht="14" x14ac:dyDescent="0.2">
      <c r="AG706" s="1"/>
      <c r="AH706" s="7"/>
    </row>
    <row r="707" spans="33:34" ht="14" x14ac:dyDescent="0.2">
      <c r="AG707" s="1"/>
      <c r="AH707" s="7"/>
    </row>
    <row r="708" spans="33:34" ht="14" x14ac:dyDescent="0.2">
      <c r="AG708" s="1"/>
      <c r="AH708" s="7"/>
    </row>
    <row r="709" spans="33:34" ht="14" x14ac:dyDescent="0.2">
      <c r="AG709" s="1"/>
      <c r="AH709" s="7"/>
    </row>
    <row r="710" spans="33:34" ht="14" x14ac:dyDescent="0.2">
      <c r="AG710" s="1"/>
      <c r="AH710" s="7"/>
    </row>
    <row r="711" spans="33:34" ht="14" x14ac:dyDescent="0.2">
      <c r="AG711" s="1"/>
      <c r="AH711" s="7"/>
    </row>
    <row r="712" spans="33:34" ht="14" x14ac:dyDescent="0.2">
      <c r="AG712" s="1"/>
      <c r="AH712" s="7"/>
    </row>
    <row r="713" spans="33:34" ht="14" x14ac:dyDescent="0.2">
      <c r="AG713" s="1"/>
      <c r="AH713" s="7"/>
    </row>
    <row r="714" spans="33:34" ht="14" x14ac:dyDescent="0.2">
      <c r="AG714" s="1"/>
      <c r="AH714" s="7"/>
    </row>
    <row r="715" spans="33:34" ht="14" x14ac:dyDescent="0.2">
      <c r="AG715" s="1"/>
      <c r="AH715" s="7"/>
    </row>
    <row r="716" spans="33:34" ht="14" x14ac:dyDescent="0.2">
      <c r="AG716" s="1"/>
      <c r="AH716" s="7"/>
    </row>
    <row r="717" spans="33:34" ht="14" x14ac:dyDescent="0.2">
      <c r="AG717" s="1"/>
      <c r="AH717" s="7"/>
    </row>
    <row r="718" spans="33:34" ht="14" x14ac:dyDescent="0.2">
      <c r="AG718" s="1"/>
      <c r="AH718" s="7"/>
    </row>
    <row r="719" spans="33:34" ht="14" x14ac:dyDescent="0.2">
      <c r="AG719" s="1"/>
      <c r="AH719" s="7"/>
    </row>
    <row r="720" spans="33:34" ht="14" x14ac:dyDescent="0.2">
      <c r="AG720" s="1"/>
      <c r="AH720" s="7"/>
    </row>
    <row r="721" spans="33:34" ht="14" x14ac:dyDescent="0.2">
      <c r="AG721" s="1"/>
      <c r="AH721" s="7"/>
    </row>
    <row r="722" spans="33:34" ht="14" x14ac:dyDescent="0.2">
      <c r="AG722" s="1"/>
      <c r="AH722" s="7"/>
    </row>
    <row r="723" spans="33:34" ht="14" x14ac:dyDescent="0.2">
      <c r="AG723" s="1"/>
      <c r="AH723" s="7"/>
    </row>
    <row r="724" spans="33:34" ht="14" x14ac:dyDescent="0.2">
      <c r="AG724" s="1"/>
      <c r="AH724" s="7"/>
    </row>
    <row r="725" spans="33:34" ht="14" x14ac:dyDescent="0.2">
      <c r="AG725" s="1"/>
      <c r="AH725" s="7"/>
    </row>
    <row r="726" spans="33:34" ht="14" x14ac:dyDescent="0.2">
      <c r="AG726" s="1"/>
      <c r="AH726" s="7"/>
    </row>
    <row r="727" spans="33:34" ht="14" x14ac:dyDescent="0.2">
      <c r="AG727" s="1"/>
      <c r="AH727" s="7"/>
    </row>
    <row r="728" spans="33:34" ht="14" x14ac:dyDescent="0.2">
      <c r="AG728" s="1"/>
      <c r="AH728" s="7"/>
    </row>
    <row r="729" spans="33:34" ht="14" x14ac:dyDescent="0.2">
      <c r="AG729" s="1"/>
      <c r="AH729" s="7"/>
    </row>
    <row r="730" spans="33:34" ht="14" x14ac:dyDescent="0.2">
      <c r="AG730" s="1"/>
      <c r="AH730" s="7"/>
    </row>
    <row r="731" spans="33:34" ht="14" x14ac:dyDescent="0.2">
      <c r="AG731" s="1"/>
      <c r="AH731" s="7"/>
    </row>
    <row r="732" spans="33:34" ht="14" x14ac:dyDescent="0.2">
      <c r="AG732" s="1"/>
      <c r="AH732" s="7"/>
    </row>
    <row r="733" spans="33:34" ht="14" x14ac:dyDescent="0.2">
      <c r="AG733" s="1"/>
      <c r="AH733" s="7"/>
    </row>
    <row r="734" spans="33:34" ht="14" x14ac:dyDescent="0.2">
      <c r="AG734" s="1"/>
      <c r="AH734" s="7"/>
    </row>
    <row r="735" spans="33:34" ht="14" x14ac:dyDescent="0.2">
      <c r="AG735" s="1"/>
      <c r="AH735" s="7"/>
    </row>
    <row r="736" spans="33:34" ht="14" x14ac:dyDescent="0.2">
      <c r="AG736" s="1"/>
      <c r="AH736" s="7"/>
    </row>
    <row r="737" spans="33:34" ht="14" x14ac:dyDescent="0.2">
      <c r="AG737" s="1"/>
      <c r="AH737" s="7"/>
    </row>
    <row r="738" spans="33:34" ht="14" x14ac:dyDescent="0.2">
      <c r="AG738" s="1"/>
      <c r="AH738" s="7"/>
    </row>
    <row r="739" spans="33:34" ht="14" x14ac:dyDescent="0.2">
      <c r="AG739" s="1"/>
      <c r="AH739" s="7"/>
    </row>
    <row r="740" spans="33:34" ht="14" x14ac:dyDescent="0.2">
      <c r="AG740" s="1"/>
      <c r="AH740" s="7"/>
    </row>
    <row r="741" spans="33:34" ht="14" x14ac:dyDescent="0.2">
      <c r="AG741" s="1"/>
      <c r="AH741" s="7"/>
    </row>
    <row r="742" spans="33:34" ht="14" x14ac:dyDescent="0.2">
      <c r="AG742" s="1"/>
      <c r="AH742" s="7"/>
    </row>
    <row r="743" spans="33:34" ht="14" x14ac:dyDescent="0.2">
      <c r="AG743" s="1"/>
      <c r="AH743" s="7"/>
    </row>
    <row r="744" spans="33:34" ht="14" x14ac:dyDescent="0.2">
      <c r="AG744" s="1"/>
      <c r="AH744" s="7"/>
    </row>
    <row r="745" spans="33:34" ht="14" x14ac:dyDescent="0.2">
      <c r="AG745" s="1"/>
      <c r="AH745" s="7"/>
    </row>
    <row r="746" spans="33:34" ht="14" x14ac:dyDescent="0.2">
      <c r="AG746" s="1"/>
      <c r="AH746" s="7"/>
    </row>
    <row r="747" spans="33:34" ht="14" x14ac:dyDescent="0.2">
      <c r="AG747" s="1"/>
      <c r="AH747" s="7"/>
    </row>
    <row r="748" spans="33:34" ht="14" x14ac:dyDescent="0.2">
      <c r="AG748" s="1"/>
      <c r="AH748" s="7"/>
    </row>
    <row r="749" spans="33:34" ht="14" x14ac:dyDescent="0.2">
      <c r="AG749" s="1"/>
      <c r="AH749" s="7"/>
    </row>
    <row r="750" spans="33:34" ht="14" x14ac:dyDescent="0.2">
      <c r="AG750" s="1"/>
      <c r="AH750" s="7"/>
    </row>
    <row r="751" spans="33:34" ht="14" x14ac:dyDescent="0.2">
      <c r="AG751" s="1"/>
      <c r="AH751" s="7"/>
    </row>
    <row r="752" spans="33:34" ht="14" x14ac:dyDescent="0.2">
      <c r="AG752" s="1"/>
      <c r="AH752" s="7"/>
    </row>
    <row r="753" spans="33:34" ht="14" x14ac:dyDescent="0.2">
      <c r="AG753" s="1"/>
      <c r="AH753" s="7"/>
    </row>
    <row r="754" spans="33:34" ht="14" x14ac:dyDescent="0.2">
      <c r="AG754" s="1"/>
      <c r="AH754" s="7"/>
    </row>
    <row r="755" spans="33:34" ht="14" x14ac:dyDescent="0.2">
      <c r="AG755" s="1"/>
      <c r="AH755" s="7"/>
    </row>
    <row r="756" spans="33:34" ht="14" x14ac:dyDescent="0.2">
      <c r="AG756" s="1"/>
      <c r="AH756" s="7"/>
    </row>
    <row r="757" spans="33:34" ht="14" x14ac:dyDescent="0.2">
      <c r="AG757" s="1"/>
      <c r="AH757" s="7"/>
    </row>
    <row r="758" spans="33:34" ht="14" x14ac:dyDescent="0.2">
      <c r="AG758" s="1"/>
      <c r="AH758" s="7"/>
    </row>
    <row r="759" spans="33:34" ht="14" x14ac:dyDescent="0.2">
      <c r="AG759" s="1"/>
      <c r="AH759" s="7"/>
    </row>
    <row r="760" spans="33:34" ht="14" x14ac:dyDescent="0.2">
      <c r="AG760" s="1"/>
      <c r="AH760" s="7"/>
    </row>
    <row r="761" spans="33:34" ht="14" x14ac:dyDescent="0.2">
      <c r="AG761" s="1"/>
      <c r="AH761" s="7"/>
    </row>
    <row r="762" spans="33:34" ht="14" x14ac:dyDescent="0.2">
      <c r="AG762" s="1"/>
      <c r="AH762" s="7"/>
    </row>
    <row r="763" spans="33:34" ht="14" x14ac:dyDescent="0.2">
      <c r="AG763" s="1"/>
      <c r="AH763" s="7"/>
    </row>
    <row r="764" spans="33:34" ht="14" x14ac:dyDescent="0.2">
      <c r="AG764" s="1"/>
      <c r="AH764" s="7"/>
    </row>
    <row r="765" spans="33:34" ht="14" x14ac:dyDescent="0.2">
      <c r="AG765" s="1"/>
      <c r="AH765" s="7"/>
    </row>
    <row r="766" spans="33:34" ht="14" x14ac:dyDescent="0.2">
      <c r="AG766" s="1"/>
      <c r="AH766" s="7"/>
    </row>
    <row r="767" spans="33:34" ht="14" x14ac:dyDescent="0.2">
      <c r="AG767" s="1"/>
      <c r="AH767" s="7"/>
    </row>
    <row r="768" spans="33:34" ht="14" x14ac:dyDescent="0.2">
      <c r="AG768" s="1"/>
      <c r="AH768" s="7"/>
    </row>
    <row r="769" spans="33:34" ht="14" x14ac:dyDescent="0.2">
      <c r="AG769" s="1"/>
      <c r="AH769" s="7"/>
    </row>
    <row r="770" spans="33:34" ht="14" x14ac:dyDescent="0.2">
      <c r="AG770" s="1"/>
      <c r="AH770" s="7"/>
    </row>
    <row r="771" spans="33:34" ht="14" x14ac:dyDescent="0.2">
      <c r="AG771" s="1"/>
      <c r="AH771" s="7"/>
    </row>
    <row r="772" spans="33:34" ht="14" x14ac:dyDescent="0.2">
      <c r="AG772" s="1"/>
      <c r="AH772" s="7"/>
    </row>
    <row r="773" spans="33:34" ht="14" x14ac:dyDescent="0.2">
      <c r="AG773" s="1"/>
      <c r="AH773" s="7"/>
    </row>
    <row r="774" spans="33:34" ht="14" x14ac:dyDescent="0.2">
      <c r="AG774" s="1"/>
      <c r="AH774" s="7"/>
    </row>
    <row r="775" spans="33:34" ht="14" x14ac:dyDescent="0.2">
      <c r="AG775" s="1"/>
      <c r="AH775" s="7"/>
    </row>
    <row r="776" spans="33:34" ht="14" x14ac:dyDescent="0.2">
      <c r="AG776" s="1"/>
      <c r="AH776" s="7"/>
    </row>
    <row r="777" spans="33:34" ht="14" x14ac:dyDescent="0.2">
      <c r="AG777" s="1"/>
      <c r="AH777" s="7"/>
    </row>
    <row r="778" spans="33:34" ht="14" x14ac:dyDescent="0.2">
      <c r="AG778" s="1"/>
      <c r="AH778" s="7"/>
    </row>
    <row r="779" spans="33:34" ht="14" x14ac:dyDescent="0.2">
      <c r="AG779" s="1"/>
      <c r="AH779" s="7"/>
    </row>
    <row r="780" spans="33:34" ht="14" x14ac:dyDescent="0.2">
      <c r="AG780" s="1"/>
      <c r="AH780" s="7"/>
    </row>
    <row r="781" spans="33:34" ht="14" x14ac:dyDescent="0.2">
      <c r="AG781" s="1"/>
      <c r="AH781" s="7"/>
    </row>
    <row r="782" spans="33:34" ht="14" x14ac:dyDescent="0.2">
      <c r="AG782" s="1"/>
      <c r="AH782" s="7"/>
    </row>
    <row r="783" spans="33:34" ht="14" x14ac:dyDescent="0.2">
      <c r="AG783" s="1"/>
      <c r="AH783" s="7"/>
    </row>
    <row r="784" spans="33:34" ht="14" x14ac:dyDescent="0.2">
      <c r="AG784" s="1"/>
      <c r="AH784" s="7"/>
    </row>
    <row r="785" spans="33:34" ht="14" x14ac:dyDescent="0.2">
      <c r="AG785" s="1"/>
      <c r="AH785" s="7"/>
    </row>
    <row r="786" spans="33:34" ht="14" x14ac:dyDescent="0.2">
      <c r="AG786" s="1"/>
      <c r="AH786" s="7"/>
    </row>
    <row r="787" spans="33:34" ht="14" x14ac:dyDescent="0.2">
      <c r="AG787" s="1"/>
      <c r="AH787" s="7"/>
    </row>
    <row r="788" spans="33:34" ht="14" x14ac:dyDescent="0.2">
      <c r="AG788" s="1"/>
      <c r="AH788" s="7"/>
    </row>
    <row r="789" spans="33:34" ht="14" x14ac:dyDescent="0.2">
      <c r="AG789" s="1"/>
      <c r="AH789" s="7"/>
    </row>
    <row r="790" spans="33:34" ht="14" x14ac:dyDescent="0.2">
      <c r="AG790" s="1"/>
      <c r="AH790" s="7"/>
    </row>
    <row r="791" spans="33:34" ht="14" x14ac:dyDescent="0.2">
      <c r="AG791" s="1"/>
      <c r="AH791" s="7"/>
    </row>
    <row r="792" spans="33:34" ht="14" x14ac:dyDescent="0.2">
      <c r="AG792" s="1"/>
      <c r="AH792" s="7"/>
    </row>
    <row r="793" spans="33:34" ht="14" x14ac:dyDescent="0.2">
      <c r="AG793" s="1"/>
      <c r="AH793" s="7"/>
    </row>
    <row r="794" spans="33:34" ht="14" x14ac:dyDescent="0.2">
      <c r="AG794" s="1"/>
      <c r="AH794" s="7"/>
    </row>
    <row r="795" spans="33:34" ht="14" x14ac:dyDescent="0.2">
      <c r="AG795" s="1"/>
      <c r="AH795" s="7"/>
    </row>
    <row r="796" spans="33:34" ht="14" x14ac:dyDescent="0.2">
      <c r="AG796" s="1"/>
      <c r="AH796" s="7"/>
    </row>
    <row r="797" spans="33:34" ht="14" x14ac:dyDescent="0.2">
      <c r="AG797" s="1"/>
      <c r="AH797" s="7"/>
    </row>
    <row r="798" spans="33:34" ht="14" x14ac:dyDescent="0.2">
      <c r="AG798" s="1"/>
      <c r="AH798" s="7"/>
    </row>
    <row r="799" spans="33:34" ht="14" x14ac:dyDescent="0.2">
      <c r="AG799" s="1"/>
      <c r="AH799" s="7"/>
    </row>
    <row r="800" spans="33:34" ht="14" x14ac:dyDescent="0.2">
      <c r="AG800" s="1"/>
      <c r="AH800" s="7"/>
    </row>
    <row r="801" spans="33:34" ht="14" x14ac:dyDescent="0.2">
      <c r="AG801" s="1"/>
      <c r="AH801" s="7"/>
    </row>
    <row r="802" spans="33:34" ht="14" x14ac:dyDescent="0.2">
      <c r="AG802" s="1"/>
      <c r="AH802" s="7"/>
    </row>
    <row r="803" spans="33:34" ht="14" x14ac:dyDescent="0.2">
      <c r="AG803" s="1"/>
      <c r="AH803" s="7"/>
    </row>
    <row r="804" spans="33:34" ht="14" x14ac:dyDescent="0.2">
      <c r="AG804" s="1"/>
      <c r="AH804" s="7"/>
    </row>
    <row r="805" spans="33:34" ht="14" x14ac:dyDescent="0.2">
      <c r="AG805" s="1"/>
      <c r="AH805" s="7"/>
    </row>
    <row r="806" spans="33:34" ht="14" x14ac:dyDescent="0.2">
      <c r="AG806" s="1"/>
      <c r="AH806" s="7"/>
    </row>
    <row r="807" spans="33:34" ht="14" x14ac:dyDescent="0.2">
      <c r="AG807" s="1"/>
      <c r="AH807" s="7"/>
    </row>
    <row r="808" spans="33:34" ht="14" x14ac:dyDescent="0.2">
      <c r="AG808" s="1"/>
      <c r="AH808" s="7"/>
    </row>
    <row r="809" spans="33:34" ht="14" x14ac:dyDescent="0.2">
      <c r="AG809" s="1"/>
      <c r="AH809" s="7"/>
    </row>
    <row r="810" spans="33:34" ht="14" x14ac:dyDescent="0.2">
      <c r="AG810" s="1"/>
      <c r="AH810" s="7"/>
    </row>
    <row r="811" spans="33:34" ht="14" x14ac:dyDescent="0.2">
      <c r="AG811" s="1"/>
      <c r="AH811" s="7"/>
    </row>
    <row r="812" spans="33:34" ht="14" x14ac:dyDescent="0.2">
      <c r="AG812" s="1"/>
      <c r="AH812" s="7"/>
    </row>
    <row r="813" spans="33:34" ht="14" x14ac:dyDescent="0.2">
      <c r="AG813" s="1"/>
      <c r="AH813" s="7"/>
    </row>
    <row r="814" spans="33:34" ht="14" x14ac:dyDescent="0.2">
      <c r="AG814" s="1"/>
      <c r="AH814" s="7"/>
    </row>
    <row r="815" spans="33:34" ht="14" x14ac:dyDescent="0.2">
      <c r="AG815" s="1"/>
      <c r="AH815" s="7"/>
    </row>
    <row r="816" spans="33:34" ht="14" x14ac:dyDescent="0.2">
      <c r="AG816" s="1"/>
      <c r="AH816" s="7"/>
    </row>
    <row r="817" spans="33:34" ht="14" x14ac:dyDescent="0.2">
      <c r="AG817" s="1"/>
      <c r="AH817" s="7"/>
    </row>
    <row r="818" spans="33:34" ht="14" x14ac:dyDescent="0.2">
      <c r="AG818" s="1"/>
      <c r="AH818" s="7"/>
    </row>
    <row r="819" spans="33:34" ht="14" x14ac:dyDescent="0.2">
      <c r="AG819" s="1"/>
      <c r="AH819" s="7"/>
    </row>
    <row r="820" spans="33:34" ht="14" x14ac:dyDescent="0.2">
      <c r="AG820" s="1"/>
      <c r="AH820" s="7"/>
    </row>
    <row r="821" spans="33:34" ht="14" x14ac:dyDescent="0.2">
      <c r="AG821" s="1"/>
      <c r="AH821" s="7"/>
    </row>
    <row r="822" spans="33:34" ht="14" x14ac:dyDescent="0.2">
      <c r="AG822" s="1"/>
      <c r="AH822" s="7"/>
    </row>
    <row r="823" spans="33:34" ht="14" x14ac:dyDescent="0.2">
      <c r="AG823" s="1"/>
      <c r="AH823" s="7"/>
    </row>
    <row r="824" spans="33:34" ht="14" x14ac:dyDescent="0.2">
      <c r="AG824" s="1"/>
      <c r="AH824" s="7"/>
    </row>
    <row r="825" spans="33:34" ht="14" x14ac:dyDescent="0.2">
      <c r="AG825" s="1"/>
      <c r="AH825" s="7"/>
    </row>
    <row r="826" spans="33:34" ht="14" x14ac:dyDescent="0.2">
      <c r="AG826" s="1"/>
      <c r="AH826" s="7"/>
    </row>
    <row r="827" spans="33:34" ht="14" x14ac:dyDescent="0.2">
      <c r="AG827" s="1"/>
      <c r="AH827" s="7"/>
    </row>
    <row r="828" spans="33:34" ht="14" x14ac:dyDescent="0.2">
      <c r="AG828" s="1"/>
      <c r="AH828" s="7"/>
    </row>
    <row r="829" spans="33:34" ht="14" x14ac:dyDescent="0.2">
      <c r="AG829" s="1"/>
      <c r="AH829" s="7"/>
    </row>
    <row r="830" spans="33:34" ht="14" x14ac:dyDescent="0.2">
      <c r="AG830" s="1"/>
      <c r="AH830" s="7"/>
    </row>
    <row r="831" spans="33:34" ht="14" x14ac:dyDescent="0.2">
      <c r="AG831" s="1"/>
      <c r="AH831" s="7"/>
    </row>
    <row r="832" spans="33:34" ht="14" x14ac:dyDescent="0.2">
      <c r="AG832" s="1"/>
      <c r="AH832" s="7"/>
    </row>
    <row r="833" spans="33:34" ht="14" x14ac:dyDescent="0.2">
      <c r="AG833" s="1"/>
      <c r="AH833" s="7"/>
    </row>
    <row r="834" spans="33:34" ht="14" x14ac:dyDescent="0.2">
      <c r="AG834" s="1"/>
      <c r="AH834" s="7"/>
    </row>
    <row r="835" spans="33:34" ht="14" x14ac:dyDescent="0.2">
      <c r="AG835" s="1"/>
      <c r="AH835" s="7"/>
    </row>
    <row r="836" spans="33:34" ht="14" x14ac:dyDescent="0.2">
      <c r="AG836" s="1"/>
      <c r="AH836" s="7"/>
    </row>
    <row r="837" spans="33:34" ht="14" x14ac:dyDescent="0.2">
      <c r="AG837" s="1"/>
      <c r="AH837" s="7"/>
    </row>
    <row r="838" spans="33:34" ht="14" x14ac:dyDescent="0.2">
      <c r="AG838" s="1"/>
      <c r="AH838" s="7"/>
    </row>
    <row r="839" spans="33:34" ht="14" x14ac:dyDescent="0.2">
      <c r="AG839" s="1"/>
      <c r="AH839" s="7"/>
    </row>
    <row r="840" spans="33:34" ht="14" x14ac:dyDescent="0.2">
      <c r="AG840" s="1"/>
      <c r="AH840" s="7"/>
    </row>
    <row r="841" spans="33:34" ht="14" x14ac:dyDescent="0.2">
      <c r="AG841" s="1"/>
      <c r="AH841" s="7"/>
    </row>
    <row r="842" spans="33:34" ht="14" x14ac:dyDescent="0.2">
      <c r="AG842" s="1"/>
      <c r="AH842" s="7"/>
    </row>
    <row r="843" spans="33:34" ht="14" x14ac:dyDescent="0.2">
      <c r="AG843" s="1"/>
      <c r="AH843" s="7"/>
    </row>
    <row r="844" spans="33:34" ht="14" x14ac:dyDescent="0.2">
      <c r="AG844" s="1"/>
      <c r="AH844" s="7"/>
    </row>
    <row r="845" spans="33:34" ht="14" x14ac:dyDescent="0.2">
      <c r="AG845" s="1"/>
      <c r="AH845" s="7"/>
    </row>
    <row r="846" spans="33:34" ht="14" x14ac:dyDescent="0.2">
      <c r="AG846" s="1"/>
      <c r="AH846" s="7"/>
    </row>
    <row r="847" spans="33:34" ht="14" x14ac:dyDescent="0.2">
      <c r="AG847" s="1"/>
      <c r="AH847" s="7"/>
    </row>
    <row r="848" spans="33:34" ht="14" x14ac:dyDescent="0.2">
      <c r="AG848" s="1"/>
      <c r="AH848" s="7"/>
    </row>
    <row r="849" spans="33:34" ht="14" x14ac:dyDescent="0.2">
      <c r="AG849" s="1"/>
      <c r="AH849" s="7"/>
    </row>
    <row r="850" spans="33:34" ht="14" x14ac:dyDescent="0.2">
      <c r="AG850" s="1"/>
      <c r="AH850" s="7"/>
    </row>
    <row r="851" spans="33:34" ht="14" x14ac:dyDescent="0.2">
      <c r="AG851" s="1"/>
      <c r="AH851" s="7"/>
    </row>
    <row r="852" spans="33:34" ht="14" x14ac:dyDescent="0.2">
      <c r="AG852" s="1"/>
      <c r="AH852" s="7"/>
    </row>
    <row r="853" spans="33:34" ht="14" x14ac:dyDescent="0.2">
      <c r="AG853" s="1"/>
      <c r="AH853" s="7"/>
    </row>
    <row r="854" spans="33:34" ht="14" x14ac:dyDescent="0.2">
      <c r="AG854" s="1"/>
      <c r="AH854" s="7"/>
    </row>
    <row r="855" spans="33:34" ht="14" x14ac:dyDescent="0.2">
      <c r="AG855" s="1"/>
      <c r="AH855" s="7"/>
    </row>
    <row r="856" spans="33:34" ht="14" x14ac:dyDescent="0.2">
      <c r="AG856" s="1"/>
      <c r="AH856" s="7"/>
    </row>
    <row r="857" spans="33:34" ht="14" x14ac:dyDescent="0.2">
      <c r="AG857" s="1"/>
      <c r="AH857" s="7"/>
    </row>
    <row r="858" spans="33:34" ht="14" x14ac:dyDescent="0.2">
      <c r="AG858" s="1"/>
      <c r="AH858" s="7"/>
    </row>
    <row r="859" spans="33:34" ht="14" x14ac:dyDescent="0.2">
      <c r="AG859" s="1"/>
      <c r="AH859" s="7"/>
    </row>
    <row r="860" spans="33:34" ht="14" x14ac:dyDescent="0.2">
      <c r="AG860" s="1"/>
      <c r="AH860" s="7"/>
    </row>
    <row r="861" spans="33:34" ht="14" x14ac:dyDescent="0.2">
      <c r="AG861" s="1"/>
      <c r="AH861" s="7"/>
    </row>
    <row r="862" spans="33:34" ht="14" x14ac:dyDescent="0.2">
      <c r="AG862" s="1"/>
      <c r="AH862" s="7"/>
    </row>
    <row r="863" spans="33:34" ht="14" x14ac:dyDescent="0.2">
      <c r="AG863" s="1"/>
      <c r="AH863" s="7"/>
    </row>
    <row r="864" spans="33:34" ht="14" x14ac:dyDescent="0.2">
      <c r="AG864" s="1"/>
      <c r="AH864" s="7"/>
    </row>
    <row r="865" spans="33:34" ht="14" x14ac:dyDescent="0.2">
      <c r="AG865" s="1"/>
      <c r="AH865" s="7"/>
    </row>
    <row r="866" spans="33:34" ht="14" x14ac:dyDescent="0.2">
      <c r="AG866" s="1"/>
      <c r="AH866" s="7"/>
    </row>
    <row r="867" spans="33:34" ht="14" x14ac:dyDescent="0.2">
      <c r="AG867" s="1"/>
      <c r="AH867" s="7"/>
    </row>
    <row r="868" spans="33:34" ht="14" x14ac:dyDescent="0.2">
      <c r="AG868" s="1"/>
      <c r="AH868" s="7"/>
    </row>
    <row r="869" spans="33:34" ht="14" x14ac:dyDescent="0.2">
      <c r="AG869" s="1"/>
      <c r="AH869" s="7"/>
    </row>
    <row r="870" spans="33:34" ht="14" x14ac:dyDescent="0.2">
      <c r="AG870" s="1"/>
      <c r="AH870" s="7"/>
    </row>
    <row r="871" spans="33:34" ht="14" x14ac:dyDescent="0.2">
      <c r="AG871" s="1"/>
      <c r="AH871" s="7"/>
    </row>
    <row r="872" spans="33:34" ht="14" x14ac:dyDescent="0.2">
      <c r="AG872" s="1"/>
      <c r="AH872" s="7"/>
    </row>
    <row r="873" spans="33:34" ht="14" x14ac:dyDescent="0.2">
      <c r="AG873" s="1"/>
      <c r="AH873" s="7"/>
    </row>
    <row r="874" spans="33:34" ht="14" x14ac:dyDescent="0.2">
      <c r="AG874" s="1"/>
      <c r="AH874" s="7"/>
    </row>
    <row r="875" spans="33:34" ht="14" x14ac:dyDescent="0.2">
      <c r="AG875" s="1"/>
      <c r="AH875" s="7"/>
    </row>
    <row r="876" spans="33:34" ht="14" x14ac:dyDescent="0.2">
      <c r="AG876" s="1"/>
      <c r="AH876" s="7"/>
    </row>
    <row r="877" spans="33:34" ht="14" x14ac:dyDescent="0.2">
      <c r="AG877" s="1"/>
      <c r="AH877" s="7"/>
    </row>
    <row r="878" spans="33:34" ht="14" x14ac:dyDescent="0.2">
      <c r="AG878" s="1"/>
      <c r="AH878" s="7"/>
    </row>
    <row r="879" spans="33:34" ht="14" x14ac:dyDescent="0.2">
      <c r="AG879" s="1"/>
      <c r="AH879" s="7"/>
    </row>
    <row r="880" spans="33:34" ht="14" x14ac:dyDescent="0.2">
      <c r="AG880" s="1"/>
      <c r="AH880" s="7"/>
    </row>
    <row r="881" spans="33:34" ht="14" x14ac:dyDescent="0.2">
      <c r="AG881" s="1"/>
      <c r="AH881" s="7"/>
    </row>
    <row r="882" spans="33:34" ht="14" x14ac:dyDescent="0.2">
      <c r="AG882" s="1"/>
      <c r="AH882" s="7"/>
    </row>
    <row r="883" spans="33:34" ht="14" x14ac:dyDescent="0.2">
      <c r="AG883" s="1"/>
      <c r="AH883" s="7"/>
    </row>
    <row r="884" spans="33:34" ht="14" x14ac:dyDescent="0.2">
      <c r="AG884" s="1"/>
      <c r="AH884" s="7"/>
    </row>
    <row r="885" spans="33:34" ht="14" x14ac:dyDescent="0.2">
      <c r="AG885" s="1"/>
      <c r="AH885" s="7"/>
    </row>
    <row r="886" spans="33:34" ht="14" x14ac:dyDescent="0.2">
      <c r="AG886" s="1"/>
      <c r="AH886" s="7"/>
    </row>
    <row r="887" spans="33:34" ht="14" x14ac:dyDescent="0.2">
      <c r="AG887" s="1"/>
      <c r="AH887" s="7"/>
    </row>
    <row r="888" spans="33:34" ht="14" x14ac:dyDescent="0.2">
      <c r="AG888" s="1"/>
      <c r="AH888" s="7"/>
    </row>
    <row r="889" spans="33:34" ht="14" x14ac:dyDescent="0.2">
      <c r="AG889" s="1"/>
      <c r="AH889" s="7"/>
    </row>
    <row r="890" spans="33:34" ht="14" x14ac:dyDescent="0.2">
      <c r="AG890" s="1"/>
      <c r="AH890" s="7"/>
    </row>
    <row r="891" spans="33:34" ht="14" x14ac:dyDescent="0.2">
      <c r="AG891" s="1"/>
      <c r="AH891" s="7"/>
    </row>
    <row r="892" spans="33:34" ht="14" x14ac:dyDescent="0.2">
      <c r="AG892" s="1"/>
      <c r="AH892" s="7"/>
    </row>
    <row r="893" spans="33:34" ht="14" x14ac:dyDescent="0.2">
      <c r="AG893" s="1"/>
      <c r="AH893" s="7"/>
    </row>
    <row r="894" spans="33:34" ht="14" x14ac:dyDescent="0.2">
      <c r="AG894" s="1"/>
      <c r="AH894" s="7"/>
    </row>
    <row r="895" spans="33:34" ht="14" x14ac:dyDescent="0.2">
      <c r="AG895" s="1"/>
      <c r="AH895" s="7"/>
    </row>
    <row r="896" spans="33:34" ht="14" x14ac:dyDescent="0.2">
      <c r="AG896" s="1"/>
      <c r="AH896" s="7"/>
    </row>
    <row r="897" spans="33:34" ht="14" x14ac:dyDescent="0.2">
      <c r="AG897" s="1"/>
      <c r="AH897" s="7"/>
    </row>
    <row r="898" spans="33:34" ht="14" x14ac:dyDescent="0.2">
      <c r="AG898" s="1"/>
      <c r="AH898" s="7"/>
    </row>
    <row r="899" spans="33:34" ht="14" x14ac:dyDescent="0.2">
      <c r="AG899" s="1"/>
      <c r="AH899" s="7"/>
    </row>
    <row r="900" spans="33:34" ht="14" x14ac:dyDescent="0.2">
      <c r="AG900" s="1"/>
      <c r="AH900" s="7"/>
    </row>
    <row r="901" spans="33:34" ht="14" x14ac:dyDescent="0.2">
      <c r="AG901" s="1"/>
      <c r="AH901" s="7"/>
    </row>
    <row r="902" spans="33:34" ht="14" x14ac:dyDescent="0.2">
      <c r="AG902" s="1"/>
      <c r="AH902" s="7"/>
    </row>
    <row r="903" spans="33:34" ht="14" x14ac:dyDescent="0.2">
      <c r="AG903" s="1"/>
      <c r="AH903" s="7"/>
    </row>
    <row r="904" spans="33:34" ht="14" x14ac:dyDescent="0.2">
      <c r="AG904" s="1"/>
      <c r="AH904" s="7"/>
    </row>
    <row r="905" spans="33:34" ht="14" x14ac:dyDescent="0.2">
      <c r="AG905" s="1"/>
      <c r="AH905" s="7"/>
    </row>
    <row r="906" spans="33:34" ht="14" x14ac:dyDescent="0.2">
      <c r="AG906" s="1"/>
      <c r="AH906" s="7"/>
    </row>
    <row r="907" spans="33:34" ht="14" x14ac:dyDescent="0.2">
      <c r="AG907" s="1"/>
      <c r="AH907" s="7"/>
    </row>
    <row r="908" spans="33:34" ht="14" x14ac:dyDescent="0.2">
      <c r="AG908" s="1"/>
      <c r="AH908" s="7"/>
    </row>
    <row r="909" spans="33:34" ht="14" x14ac:dyDescent="0.2">
      <c r="AG909" s="1"/>
      <c r="AH909" s="7"/>
    </row>
    <row r="910" spans="33:34" ht="14" x14ac:dyDescent="0.2">
      <c r="AG910" s="1"/>
      <c r="AH910" s="7"/>
    </row>
    <row r="911" spans="33:34" ht="14" x14ac:dyDescent="0.2">
      <c r="AG911" s="1"/>
      <c r="AH911" s="7"/>
    </row>
    <row r="912" spans="33:34" ht="14" x14ac:dyDescent="0.2">
      <c r="AG912" s="1"/>
      <c r="AH912" s="7"/>
    </row>
    <row r="913" spans="33:34" ht="14" x14ac:dyDescent="0.2">
      <c r="AG913" s="1"/>
      <c r="AH913" s="7"/>
    </row>
    <row r="914" spans="33:34" ht="14" x14ac:dyDescent="0.2">
      <c r="AG914" s="1"/>
      <c r="AH914" s="7"/>
    </row>
    <row r="915" spans="33:34" ht="14" x14ac:dyDescent="0.2">
      <c r="AG915" s="1"/>
      <c r="AH915" s="7"/>
    </row>
    <row r="916" spans="33:34" ht="14" x14ac:dyDescent="0.2">
      <c r="AG916" s="1"/>
      <c r="AH916" s="7"/>
    </row>
    <row r="917" spans="33:34" ht="14" x14ac:dyDescent="0.2">
      <c r="AG917" s="1"/>
      <c r="AH917" s="7"/>
    </row>
    <row r="918" spans="33:34" ht="14" x14ac:dyDescent="0.2">
      <c r="AG918" s="1"/>
      <c r="AH918" s="7"/>
    </row>
    <row r="919" spans="33:34" ht="14" x14ac:dyDescent="0.2">
      <c r="AG919" s="1"/>
      <c r="AH919" s="7"/>
    </row>
    <row r="920" spans="33:34" ht="14" x14ac:dyDescent="0.2">
      <c r="AG920" s="1"/>
      <c r="AH920" s="7"/>
    </row>
    <row r="921" spans="33:34" ht="14" x14ac:dyDescent="0.2">
      <c r="AG921" s="1"/>
      <c r="AH921" s="7"/>
    </row>
    <row r="922" spans="33:34" ht="14" x14ac:dyDescent="0.2">
      <c r="AG922" s="1"/>
      <c r="AH922" s="7"/>
    </row>
    <row r="923" spans="33:34" ht="14" x14ac:dyDescent="0.2">
      <c r="AG923" s="1"/>
      <c r="AH923" s="7"/>
    </row>
    <row r="924" spans="33:34" ht="14" x14ac:dyDescent="0.2">
      <c r="AG924" s="1"/>
      <c r="AH924" s="7"/>
    </row>
    <row r="925" spans="33:34" ht="14" x14ac:dyDescent="0.2">
      <c r="AG925" s="1"/>
      <c r="AH925" s="7"/>
    </row>
    <row r="926" spans="33:34" ht="14" x14ac:dyDescent="0.2">
      <c r="AG926" s="1"/>
      <c r="AH926" s="7"/>
    </row>
    <row r="927" spans="33:34" ht="14" x14ac:dyDescent="0.2">
      <c r="AG927" s="1"/>
      <c r="AH927" s="7"/>
    </row>
    <row r="928" spans="33:34" ht="14" x14ac:dyDescent="0.2">
      <c r="AG928" s="1"/>
      <c r="AH928" s="7"/>
    </row>
    <row r="929" spans="33:34" ht="14" x14ac:dyDescent="0.2">
      <c r="AG929" s="1"/>
      <c r="AH929" s="7"/>
    </row>
    <row r="930" spans="33:34" ht="14" x14ac:dyDescent="0.2">
      <c r="AG930" s="1"/>
      <c r="AH930" s="7"/>
    </row>
    <row r="931" spans="33:34" ht="14" x14ac:dyDescent="0.2">
      <c r="AG931" s="1"/>
      <c r="AH931" s="7"/>
    </row>
    <row r="932" spans="33:34" ht="14" x14ac:dyDescent="0.2">
      <c r="AG932" s="1"/>
      <c r="AH932" s="7"/>
    </row>
    <row r="933" spans="33:34" ht="14" x14ac:dyDescent="0.2">
      <c r="AG933" s="1"/>
      <c r="AH933" s="7"/>
    </row>
    <row r="934" spans="33:34" ht="14" x14ac:dyDescent="0.2">
      <c r="AG934" s="1"/>
      <c r="AH934" s="7"/>
    </row>
    <row r="935" spans="33:34" ht="14" x14ac:dyDescent="0.2">
      <c r="AG935" s="1"/>
      <c r="AH935" s="7"/>
    </row>
    <row r="936" spans="33:34" ht="14" x14ac:dyDescent="0.2">
      <c r="AG936" s="1"/>
      <c r="AH936" s="7"/>
    </row>
    <row r="937" spans="33:34" ht="14" x14ac:dyDescent="0.2">
      <c r="AG937" s="1"/>
      <c r="AH937" s="7"/>
    </row>
    <row r="938" spans="33:34" ht="14" x14ac:dyDescent="0.2">
      <c r="AG938" s="1"/>
      <c r="AH938" s="7"/>
    </row>
    <row r="939" spans="33:34" ht="14" x14ac:dyDescent="0.2">
      <c r="AG939" s="1"/>
      <c r="AH939" s="7"/>
    </row>
    <row r="940" spans="33:34" ht="14" x14ac:dyDescent="0.2">
      <c r="AG940" s="1"/>
      <c r="AH940" s="7"/>
    </row>
    <row r="941" spans="33:34" ht="14" x14ac:dyDescent="0.2">
      <c r="AG941" s="1"/>
      <c r="AH941" s="7"/>
    </row>
    <row r="942" spans="33:34" ht="14" x14ac:dyDescent="0.2">
      <c r="AG942" s="1"/>
      <c r="AH942" s="7"/>
    </row>
    <row r="943" spans="33:34" ht="14" x14ac:dyDescent="0.2">
      <c r="AG943" s="1"/>
      <c r="AH943" s="7"/>
    </row>
    <row r="944" spans="33:34" ht="14" x14ac:dyDescent="0.2">
      <c r="AG944" s="1"/>
      <c r="AH944" s="7"/>
    </row>
    <row r="945" spans="33:34" ht="14" x14ac:dyDescent="0.2">
      <c r="AG945" s="1"/>
      <c r="AH945" s="7"/>
    </row>
    <row r="946" spans="33:34" ht="14" x14ac:dyDescent="0.2">
      <c r="AG946" s="1"/>
      <c r="AH946" s="7"/>
    </row>
    <row r="947" spans="33:34" ht="14" x14ac:dyDescent="0.2">
      <c r="AG947" s="1"/>
      <c r="AH947" s="7"/>
    </row>
    <row r="948" spans="33:34" ht="14" x14ac:dyDescent="0.2">
      <c r="AG948" s="1"/>
      <c r="AH948" s="7"/>
    </row>
    <row r="949" spans="33:34" ht="14" x14ac:dyDescent="0.2">
      <c r="AG949" s="1"/>
      <c r="AH949" s="7"/>
    </row>
    <row r="950" spans="33:34" ht="14" x14ac:dyDescent="0.2">
      <c r="AG950" s="1"/>
      <c r="AH950" s="7"/>
    </row>
    <row r="951" spans="33:34" ht="14" x14ac:dyDescent="0.2">
      <c r="AG951" s="1"/>
      <c r="AH951" s="7"/>
    </row>
    <row r="952" spans="33:34" ht="14" x14ac:dyDescent="0.2">
      <c r="AG952" s="1"/>
      <c r="AH952" s="7"/>
    </row>
    <row r="953" spans="33:34" ht="14" x14ac:dyDescent="0.2">
      <c r="AG953" s="1"/>
      <c r="AH953" s="7"/>
    </row>
    <row r="954" spans="33:34" ht="14" x14ac:dyDescent="0.2">
      <c r="AG954" s="1"/>
      <c r="AH954" s="7"/>
    </row>
    <row r="955" spans="33:34" ht="14" x14ac:dyDescent="0.2">
      <c r="AG955" s="1"/>
      <c r="AH955" s="7"/>
    </row>
    <row r="956" spans="33:34" ht="14" x14ac:dyDescent="0.2">
      <c r="AG956" s="1"/>
      <c r="AH956" s="7"/>
    </row>
    <row r="957" spans="33:34" ht="14" x14ac:dyDescent="0.2">
      <c r="AG957" s="1"/>
      <c r="AH957" s="7"/>
    </row>
    <row r="958" spans="33:34" ht="14" x14ac:dyDescent="0.2">
      <c r="AG958" s="1"/>
      <c r="AH958" s="7"/>
    </row>
    <row r="959" spans="33:34" ht="14" x14ac:dyDescent="0.2">
      <c r="AG959" s="1"/>
      <c r="AH959" s="7"/>
    </row>
    <row r="960" spans="33:34" ht="14" x14ac:dyDescent="0.2">
      <c r="AG960" s="1"/>
      <c r="AH960" s="7"/>
    </row>
    <row r="961" spans="33:34" ht="14" x14ac:dyDescent="0.2">
      <c r="AG961" s="1"/>
      <c r="AH961" s="7"/>
    </row>
    <row r="962" spans="33:34" ht="14" x14ac:dyDescent="0.2">
      <c r="AG962" s="1"/>
      <c r="AH962" s="7"/>
    </row>
    <row r="963" spans="33:34" ht="14" x14ac:dyDescent="0.2">
      <c r="AG963" s="1"/>
      <c r="AH963" s="7"/>
    </row>
    <row r="964" spans="33:34" ht="14" x14ac:dyDescent="0.2">
      <c r="AG964" s="1"/>
      <c r="AH964" s="7"/>
    </row>
    <row r="965" spans="33:34" ht="14" x14ac:dyDescent="0.2">
      <c r="AG965" s="1"/>
      <c r="AH965" s="7"/>
    </row>
    <row r="966" spans="33:34" ht="14" x14ac:dyDescent="0.2">
      <c r="AG966" s="1"/>
      <c r="AH966" s="7"/>
    </row>
    <row r="967" spans="33:34" ht="14" x14ac:dyDescent="0.2">
      <c r="AG967" s="1"/>
      <c r="AH967" s="7"/>
    </row>
    <row r="968" spans="33:34" ht="14" x14ac:dyDescent="0.2">
      <c r="AG968" s="1"/>
      <c r="AH968" s="7"/>
    </row>
    <row r="969" spans="33:34" ht="14" x14ac:dyDescent="0.2">
      <c r="AG969" s="1"/>
      <c r="AH969" s="7"/>
    </row>
    <row r="970" spans="33:34" ht="14" x14ac:dyDescent="0.2">
      <c r="AG970" s="1"/>
      <c r="AH970" s="7"/>
    </row>
    <row r="971" spans="33:34" ht="14" x14ac:dyDescent="0.2">
      <c r="AG971" s="1"/>
      <c r="AH971" s="7"/>
    </row>
    <row r="972" spans="33:34" ht="14" x14ac:dyDescent="0.2">
      <c r="AG972" s="1"/>
      <c r="AH972" s="7"/>
    </row>
    <row r="973" spans="33:34" ht="14" x14ac:dyDescent="0.2">
      <c r="AG973" s="1"/>
      <c r="AH973" s="7"/>
    </row>
    <row r="974" spans="33:34" ht="14" x14ac:dyDescent="0.2">
      <c r="AG974" s="1"/>
      <c r="AH974" s="7"/>
    </row>
    <row r="975" spans="33:34" ht="14" x14ac:dyDescent="0.2">
      <c r="AG975" s="1"/>
      <c r="AH975" s="7"/>
    </row>
    <row r="976" spans="33:34" ht="14" x14ac:dyDescent="0.2">
      <c r="AG976" s="1"/>
      <c r="AH976" s="7"/>
    </row>
    <row r="977" spans="33:34" ht="14" x14ac:dyDescent="0.2">
      <c r="AG977" s="1"/>
      <c r="AH977" s="7"/>
    </row>
    <row r="978" spans="33:34" ht="14" x14ac:dyDescent="0.2">
      <c r="AG978" s="1"/>
      <c r="AH978" s="7"/>
    </row>
    <row r="979" spans="33:34" ht="14" x14ac:dyDescent="0.2">
      <c r="AG979" s="1"/>
      <c r="AH979" s="7"/>
    </row>
    <row r="980" spans="33:34" ht="14" x14ac:dyDescent="0.2">
      <c r="AG980" s="1"/>
      <c r="AH980" s="7"/>
    </row>
    <row r="981" spans="33:34" ht="14" x14ac:dyDescent="0.2">
      <c r="AG981" s="1"/>
      <c r="AH981" s="7"/>
    </row>
    <row r="982" spans="33:34" ht="14" x14ac:dyDescent="0.2">
      <c r="AG982" s="1"/>
      <c r="AH982" s="7"/>
    </row>
    <row r="983" spans="33:34" ht="14" x14ac:dyDescent="0.2">
      <c r="AG983" s="1"/>
      <c r="AH983" s="7"/>
    </row>
    <row r="984" spans="33:34" ht="14" x14ac:dyDescent="0.2">
      <c r="AG984" s="1"/>
      <c r="AH984" s="7"/>
    </row>
    <row r="985" spans="33:34" ht="14" x14ac:dyDescent="0.2">
      <c r="AG985" s="1"/>
      <c r="AH985" s="7"/>
    </row>
    <row r="986" spans="33:34" ht="14" x14ac:dyDescent="0.2">
      <c r="AG986" s="1"/>
      <c r="AH986" s="7"/>
    </row>
    <row r="987" spans="33:34" ht="14" x14ac:dyDescent="0.2">
      <c r="AG987" s="1"/>
      <c r="AH987" s="7"/>
    </row>
    <row r="988" spans="33:34" ht="14" x14ac:dyDescent="0.2">
      <c r="AG988" s="1"/>
      <c r="AH988" s="7"/>
    </row>
    <row r="989" spans="33:34" ht="14" x14ac:dyDescent="0.2">
      <c r="AG989" s="1"/>
      <c r="AH989" s="7"/>
    </row>
    <row r="990" spans="33:34" ht="14" x14ac:dyDescent="0.2">
      <c r="AG990" s="1"/>
      <c r="AH990" s="7"/>
    </row>
    <row r="991" spans="33:34" ht="14" x14ac:dyDescent="0.2">
      <c r="AG991" s="1"/>
      <c r="AH991" s="7"/>
    </row>
    <row r="992" spans="33:34" ht="14" x14ac:dyDescent="0.2">
      <c r="AG992" s="1"/>
      <c r="AH992" s="7"/>
    </row>
    <row r="993" spans="33:34" ht="14" x14ac:dyDescent="0.2">
      <c r="AG993" s="1"/>
      <c r="AH993" s="7"/>
    </row>
    <row r="994" spans="33:34" ht="14" x14ac:dyDescent="0.2">
      <c r="AG994" s="1"/>
      <c r="AH994" s="7"/>
    </row>
    <row r="995" spans="33:34" ht="14" x14ac:dyDescent="0.2">
      <c r="AG995" s="1"/>
      <c r="AH995" s="7"/>
    </row>
    <row r="996" spans="33:34" ht="14" x14ac:dyDescent="0.2">
      <c r="AG996" s="1"/>
      <c r="AH996" s="7"/>
    </row>
    <row r="997" spans="33:34" ht="14" x14ac:dyDescent="0.2">
      <c r="AG997" s="1"/>
      <c r="AH997" s="7"/>
    </row>
    <row r="998" spans="33:34" ht="14" x14ac:dyDescent="0.2">
      <c r="AG998" s="1"/>
      <c r="AH998" s="7"/>
    </row>
    <row r="999" spans="33:34" ht="14" x14ac:dyDescent="0.2">
      <c r="AG999" s="1"/>
      <c r="AH999" s="7"/>
    </row>
    <row r="1000" spans="33:34" ht="14" x14ac:dyDescent="0.2">
      <c r="AG1000" s="1"/>
      <c r="AH1000" s="7"/>
    </row>
    <row r="1001" spans="33:34" ht="14" x14ac:dyDescent="0.2">
      <c r="AG1001" s="1"/>
      <c r="AH1001" s="7"/>
    </row>
    <row r="1002" spans="33:34" ht="14" x14ac:dyDescent="0.2">
      <c r="AG1002" s="1"/>
      <c r="AH1002" s="7"/>
    </row>
    <row r="1003" spans="33:34" ht="14" x14ac:dyDescent="0.2">
      <c r="AG1003" s="1"/>
      <c r="AH1003" s="7"/>
    </row>
    <row r="1004" spans="33:34" ht="14" x14ac:dyDescent="0.2">
      <c r="AG1004" s="1"/>
      <c r="AH1004" s="7"/>
    </row>
    <row r="1005" spans="33:34" ht="14" x14ac:dyDescent="0.2">
      <c r="AG1005" s="1"/>
      <c r="AH1005" s="7"/>
    </row>
    <row r="1006" spans="33:34" ht="14" x14ac:dyDescent="0.2">
      <c r="AG1006" s="1"/>
      <c r="AH1006" s="7"/>
    </row>
    <row r="1007" spans="33:34" ht="14" x14ac:dyDescent="0.2">
      <c r="AG1007" s="1"/>
      <c r="AH1007" s="7"/>
    </row>
  </sheetData>
  <conditionalFormatting sqref="B43">
    <cfRule type="cellIs" dxfId="45" priority="3" operator="greaterThanOrEqual">
      <formula>0</formula>
    </cfRule>
    <cfRule type="cellIs" dxfId="44" priority="4" operator="lessThanOrEqual">
      <formula>0</formula>
    </cfRule>
  </conditionalFormatting>
  <conditionalFormatting sqref="B2:AF2 V4">
    <cfRule type="cellIs" dxfId="43" priority="7" operator="greaterThan">
      <formula>4200</formula>
    </cfRule>
  </conditionalFormatting>
  <conditionalFormatting sqref="B33:AG33 AJ33:AN33 AS33:BG33">
    <cfRule type="cellIs" dxfId="42" priority="1" operator="greaterThanOrEqual">
      <formula>0</formula>
    </cfRule>
    <cfRule type="cellIs" dxfId="41" priority="2" operator="lessThanOrEqual">
      <formula>0</formula>
    </cfRule>
  </conditionalFormatting>
  <conditionalFormatting sqref="AH33">
    <cfRule type="cellIs" dxfId="40" priority="5" operator="greaterThanOrEqual">
      <formula>1</formula>
    </cfRule>
    <cfRule type="cellIs" dxfId="39" priority="6" operator="lessThan">
      <formula>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outlinePr summaryBelow="0" summaryRight="0"/>
  </sheetPr>
  <dimension ref="A1:BC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5" width="9" customWidth="1"/>
  </cols>
  <sheetData>
    <row r="1" spans="1:55" ht="15.75" customHeight="1" x14ac:dyDescent="0.2">
      <c r="A1" s="8" t="s">
        <v>127</v>
      </c>
      <c r="B1" s="64">
        <v>45870</v>
      </c>
      <c r="C1" s="64">
        <v>45871</v>
      </c>
      <c r="D1" s="64">
        <v>45872</v>
      </c>
      <c r="E1" s="64">
        <v>45873</v>
      </c>
      <c r="F1" s="64">
        <v>45874</v>
      </c>
      <c r="G1" s="64">
        <v>45875</v>
      </c>
      <c r="H1" s="64">
        <v>45876</v>
      </c>
      <c r="I1" s="64">
        <v>45877</v>
      </c>
      <c r="J1" s="64">
        <v>45878</v>
      </c>
      <c r="K1" s="64">
        <v>45879</v>
      </c>
      <c r="L1" s="64">
        <v>45880</v>
      </c>
      <c r="M1" s="64">
        <v>45881</v>
      </c>
      <c r="N1" s="64">
        <v>45882</v>
      </c>
      <c r="O1" s="64">
        <v>45883</v>
      </c>
      <c r="P1" s="64">
        <v>45884</v>
      </c>
      <c r="Q1" s="85">
        <v>45885</v>
      </c>
      <c r="R1" s="64">
        <v>45886</v>
      </c>
      <c r="S1" s="64">
        <v>45887</v>
      </c>
      <c r="T1" s="64">
        <v>45888</v>
      </c>
      <c r="U1" s="64">
        <v>45889</v>
      </c>
      <c r="V1" s="64">
        <v>45890</v>
      </c>
      <c r="W1" s="64">
        <v>45891</v>
      </c>
      <c r="X1" s="64">
        <v>45892</v>
      </c>
      <c r="Y1" s="64">
        <v>45893</v>
      </c>
      <c r="Z1" s="64">
        <v>45894</v>
      </c>
      <c r="AA1" s="64">
        <v>45895</v>
      </c>
      <c r="AB1" s="85">
        <v>45896</v>
      </c>
      <c r="AC1" s="64">
        <v>45897</v>
      </c>
      <c r="AD1" s="64">
        <v>45898</v>
      </c>
      <c r="AE1" s="64">
        <v>45899</v>
      </c>
      <c r="AF1" s="64">
        <v>45900</v>
      </c>
      <c r="AG1" s="22" t="s">
        <v>0</v>
      </c>
      <c r="AH1" s="22" t="s">
        <v>153</v>
      </c>
      <c r="AI1" s="8" t="s">
        <v>161</v>
      </c>
      <c r="AJ1" s="65"/>
      <c r="AK1" s="65"/>
      <c r="AL1" s="65"/>
      <c r="AM1" s="65"/>
      <c r="AN1" s="65"/>
      <c r="AO1" s="65"/>
      <c r="AP1" s="65"/>
      <c r="AQ1" s="65"/>
      <c r="AR1" s="65"/>
      <c r="AS1" s="65"/>
      <c r="AT1" s="65"/>
      <c r="AU1" s="65"/>
      <c r="AV1" s="65"/>
      <c r="AW1" s="65"/>
      <c r="AX1" s="65"/>
      <c r="AY1" s="65"/>
      <c r="AZ1" s="65"/>
      <c r="BA1" s="65"/>
      <c r="BB1" s="65"/>
      <c r="BC1" s="65"/>
    </row>
    <row r="2" spans="1:55" ht="15.75" customHeight="1" x14ac:dyDescent="0.2">
      <c r="A2" s="4" t="s">
        <v>162</v>
      </c>
      <c r="B2" s="66">
        <v>2700</v>
      </c>
      <c r="C2" s="66">
        <v>2700</v>
      </c>
      <c r="D2" s="66">
        <v>2700</v>
      </c>
      <c r="E2" s="66">
        <v>1000</v>
      </c>
      <c r="F2" s="66">
        <v>2700</v>
      </c>
      <c r="G2" s="66">
        <v>2700</v>
      </c>
      <c r="H2" s="66">
        <v>2700</v>
      </c>
      <c r="I2" s="66">
        <v>2700</v>
      </c>
      <c r="J2" s="66">
        <v>2700</v>
      </c>
      <c r="K2" s="66">
        <v>2700</v>
      </c>
      <c r="L2" s="66">
        <v>2700</v>
      </c>
      <c r="M2" s="66">
        <v>2700</v>
      </c>
      <c r="N2" s="66">
        <v>2700</v>
      </c>
      <c r="O2" s="66">
        <v>2700</v>
      </c>
      <c r="P2" s="66">
        <v>2700</v>
      </c>
      <c r="Q2" s="69">
        <v>0</v>
      </c>
      <c r="R2" s="66">
        <v>2700</v>
      </c>
      <c r="S2" s="66">
        <v>2700</v>
      </c>
      <c r="T2" s="66">
        <v>2700</v>
      </c>
      <c r="U2" s="66">
        <v>2700</v>
      </c>
      <c r="V2" s="66">
        <v>2700</v>
      </c>
      <c r="W2" s="66">
        <v>2700</v>
      </c>
      <c r="X2" s="66">
        <v>2700</v>
      </c>
      <c r="Y2" s="66">
        <v>2700</v>
      </c>
      <c r="Z2" s="66">
        <v>2700</v>
      </c>
      <c r="AA2" s="66">
        <v>1700</v>
      </c>
      <c r="AB2" s="69">
        <v>0</v>
      </c>
      <c r="AC2" s="66">
        <v>1700</v>
      </c>
      <c r="AD2" s="66">
        <v>1700</v>
      </c>
      <c r="AE2" s="66">
        <v>1700</v>
      </c>
      <c r="AF2" s="66">
        <v>1700</v>
      </c>
      <c r="AG2" s="56">
        <f t="shared" ref="AG2:AG4" si="0">SUM(B2:AF2)</f>
        <v>71600</v>
      </c>
      <c r="AH2" s="67">
        <f t="shared" ref="AH2:AH4" si="1">IFERROR(AVERAGE(B2:AF2),0)</f>
        <v>2309.6774193548385</v>
      </c>
      <c r="AI2" s="68">
        <f t="shared" ref="AI2:AI4" si="2">(AH2/$AH$29)*100</f>
        <v>13.443005225123391</v>
      </c>
      <c r="AJ2" s="14"/>
      <c r="AK2" s="14"/>
      <c r="AL2" s="14"/>
      <c r="AM2" s="14"/>
      <c r="AN2" s="14"/>
      <c r="AO2" s="14"/>
      <c r="AP2" s="14"/>
      <c r="AQ2" s="14"/>
      <c r="AR2" s="14"/>
      <c r="AS2" s="14"/>
      <c r="AT2" s="14"/>
      <c r="AU2" s="14"/>
      <c r="AV2" s="14"/>
      <c r="AW2" s="14"/>
      <c r="AX2" s="14"/>
      <c r="AY2" s="14"/>
      <c r="AZ2" s="14"/>
      <c r="BA2" s="14"/>
      <c r="BB2" s="14"/>
      <c r="BC2" s="14"/>
    </row>
    <row r="3" spans="1:55" ht="15.75" customHeight="1" x14ac:dyDescent="0.2">
      <c r="A3" s="4" t="s">
        <v>163</v>
      </c>
      <c r="B3" s="59">
        <f t="shared" ref="B3:P3" si="3">$B$39/$B$59</f>
        <v>3642.0344827586205</v>
      </c>
      <c r="C3" s="59">
        <f t="shared" si="3"/>
        <v>3642.0344827586205</v>
      </c>
      <c r="D3" s="59">
        <f t="shared" si="3"/>
        <v>3642.0344827586205</v>
      </c>
      <c r="E3" s="59">
        <f t="shared" si="3"/>
        <v>3642.0344827586205</v>
      </c>
      <c r="F3" s="59">
        <f t="shared" si="3"/>
        <v>3642.0344827586205</v>
      </c>
      <c r="G3" s="59">
        <f t="shared" si="3"/>
        <v>3642.0344827586205</v>
      </c>
      <c r="H3" s="59">
        <f t="shared" si="3"/>
        <v>3642.0344827586205</v>
      </c>
      <c r="I3" s="59">
        <f t="shared" si="3"/>
        <v>3642.0344827586205</v>
      </c>
      <c r="J3" s="59">
        <f t="shared" si="3"/>
        <v>3642.0344827586205</v>
      </c>
      <c r="K3" s="59">
        <f t="shared" si="3"/>
        <v>3642.0344827586205</v>
      </c>
      <c r="L3" s="59">
        <f t="shared" si="3"/>
        <v>3642.0344827586205</v>
      </c>
      <c r="M3" s="59">
        <f t="shared" si="3"/>
        <v>3642.0344827586205</v>
      </c>
      <c r="N3" s="59">
        <f t="shared" si="3"/>
        <v>3642.0344827586205</v>
      </c>
      <c r="O3" s="59">
        <f t="shared" si="3"/>
        <v>3642.0344827586205</v>
      </c>
      <c r="P3" s="59">
        <f t="shared" si="3"/>
        <v>3642.0344827586205</v>
      </c>
      <c r="Q3" s="69">
        <v>0</v>
      </c>
      <c r="R3" s="59">
        <f t="shared" ref="R3:AA3" si="4">$B$39/$B$59</f>
        <v>3642.0344827586205</v>
      </c>
      <c r="S3" s="59">
        <f t="shared" si="4"/>
        <v>3642.0344827586205</v>
      </c>
      <c r="T3" s="59">
        <f t="shared" si="4"/>
        <v>3642.0344827586205</v>
      </c>
      <c r="U3" s="59">
        <f t="shared" si="4"/>
        <v>3642.0344827586205</v>
      </c>
      <c r="V3" s="59">
        <f t="shared" si="4"/>
        <v>3642.0344827586205</v>
      </c>
      <c r="W3" s="59">
        <f t="shared" si="4"/>
        <v>3642.0344827586205</v>
      </c>
      <c r="X3" s="59">
        <f t="shared" si="4"/>
        <v>3642.0344827586205</v>
      </c>
      <c r="Y3" s="59">
        <f t="shared" si="4"/>
        <v>3642.0344827586205</v>
      </c>
      <c r="Z3" s="59">
        <f t="shared" si="4"/>
        <v>3642.0344827586205</v>
      </c>
      <c r="AA3" s="59">
        <f t="shared" si="4"/>
        <v>3642.0344827586205</v>
      </c>
      <c r="AB3" s="69">
        <v>0</v>
      </c>
      <c r="AC3" s="59">
        <f t="shared" ref="AC3:AF3" si="5">$B$39/$B$59</f>
        <v>3642.0344827586205</v>
      </c>
      <c r="AD3" s="59">
        <f t="shared" si="5"/>
        <v>3642.0344827586205</v>
      </c>
      <c r="AE3" s="59">
        <f t="shared" si="5"/>
        <v>3642.0344827586205</v>
      </c>
      <c r="AF3" s="59">
        <f t="shared" si="5"/>
        <v>3642.0344827586205</v>
      </c>
      <c r="AG3" s="56">
        <f t="shared" si="0"/>
        <v>105619.00000000004</v>
      </c>
      <c r="AH3" s="67">
        <f t="shared" si="1"/>
        <v>3407.0645161290336</v>
      </c>
      <c r="AI3" s="68">
        <f t="shared" si="2"/>
        <v>19.83012247028363</v>
      </c>
      <c r="AJ3" s="14"/>
      <c r="AK3" s="14"/>
      <c r="AL3" s="14"/>
      <c r="AM3" s="14"/>
      <c r="AN3" s="14"/>
      <c r="AO3" s="14"/>
      <c r="AP3" s="14"/>
      <c r="AQ3" s="14"/>
      <c r="AR3" s="14"/>
      <c r="AS3" s="14"/>
      <c r="AT3" s="14"/>
      <c r="AU3" s="14"/>
      <c r="AV3" s="14"/>
      <c r="AW3" s="14"/>
      <c r="AX3" s="14"/>
      <c r="AY3" s="14"/>
      <c r="AZ3" s="14"/>
      <c r="BA3" s="14"/>
      <c r="BB3" s="14"/>
      <c r="BC3" s="14"/>
    </row>
    <row r="4" spans="1:55" ht="15.75" customHeight="1" x14ac:dyDescent="0.2">
      <c r="A4" s="4" t="s">
        <v>20</v>
      </c>
      <c r="B4" s="69">
        <f t="shared" ref="B4:P4" si="6">$B$42/$B$59</f>
        <v>4381</v>
      </c>
      <c r="C4" s="69">
        <f t="shared" si="6"/>
        <v>4381</v>
      </c>
      <c r="D4" s="69">
        <f t="shared" si="6"/>
        <v>4381</v>
      </c>
      <c r="E4" s="69">
        <f t="shared" si="6"/>
        <v>4381</v>
      </c>
      <c r="F4" s="69">
        <f t="shared" si="6"/>
        <v>4381</v>
      </c>
      <c r="G4" s="69">
        <f t="shared" si="6"/>
        <v>4381</v>
      </c>
      <c r="H4" s="69">
        <f t="shared" si="6"/>
        <v>4381</v>
      </c>
      <c r="I4" s="69">
        <f t="shared" si="6"/>
        <v>4381</v>
      </c>
      <c r="J4" s="69">
        <f t="shared" si="6"/>
        <v>4381</v>
      </c>
      <c r="K4" s="69">
        <f t="shared" si="6"/>
        <v>4381</v>
      </c>
      <c r="L4" s="69">
        <f t="shared" si="6"/>
        <v>4381</v>
      </c>
      <c r="M4" s="69">
        <f t="shared" si="6"/>
        <v>4381</v>
      </c>
      <c r="N4" s="69">
        <f t="shared" si="6"/>
        <v>4381</v>
      </c>
      <c r="O4" s="69">
        <f t="shared" si="6"/>
        <v>4381</v>
      </c>
      <c r="P4" s="69">
        <f t="shared" si="6"/>
        <v>4381</v>
      </c>
      <c r="Q4" s="69">
        <v>0</v>
      </c>
      <c r="R4" s="69">
        <f t="shared" ref="R4:AA4" si="7">$B$42/$B$59</f>
        <v>4381</v>
      </c>
      <c r="S4" s="69">
        <f t="shared" si="7"/>
        <v>4381</v>
      </c>
      <c r="T4" s="69">
        <f t="shared" si="7"/>
        <v>4381</v>
      </c>
      <c r="U4" s="69">
        <f t="shared" si="7"/>
        <v>4381</v>
      </c>
      <c r="V4" s="69">
        <f t="shared" si="7"/>
        <v>4381</v>
      </c>
      <c r="W4" s="69">
        <f t="shared" si="7"/>
        <v>4381</v>
      </c>
      <c r="X4" s="69">
        <f t="shared" si="7"/>
        <v>4381</v>
      </c>
      <c r="Y4" s="69">
        <f t="shared" si="7"/>
        <v>4381</v>
      </c>
      <c r="Z4" s="69">
        <f t="shared" si="7"/>
        <v>4381</v>
      </c>
      <c r="AA4" s="69">
        <f t="shared" si="7"/>
        <v>4381</v>
      </c>
      <c r="AB4" s="69">
        <v>0</v>
      </c>
      <c r="AC4" s="69">
        <f t="shared" ref="AC4:AF4" si="8">$B$42/$B$59</f>
        <v>4381</v>
      </c>
      <c r="AD4" s="69">
        <f t="shared" si="8"/>
        <v>4381</v>
      </c>
      <c r="AE4" s="69">
        <f t="shared" si="8"/>
        <v>4381</v>
      </c>
      <c r="AF4" s="69">
        <f t="shared" si="8"/>
        <v>4381</v>
      </c>
      <c r="AG4" s="56">
        <f t="shared" si="0"/>
        <v>127049</v>
      </c>
      <c r="AH4" s="67">
        <f t="shared" si="1"/>
        <v>4098.3548387096771</v>
      </c>
      <c r="AI4" s="68">
        <f t="shared" si="2"/>
        <v>23.853636464339409</v>
      </c>
      <c r="AJ4" s="14"/>
      <c r="AK4" s="14"/>
      <c r="AL4" s="14"/>
      <c r="AM4" s="14"/>
      <c r="AN4" s="14"/>
      <c r="AO4" s="14"/>
      <c r="AP4" s="14"/>
      <c r="AQ4" s="14"/>
      <c r="AR4" s="14"/>
      <c r="AS4" s="14"/>
      <c r="AT4" s="14"/>
      <c r="AU4" s="14"/>
      <c r="AV4" s="14"/>
      <c r="AW4" s="14"/>
      <c r="AX4" s="14"/>
      <c r="AY4" s="14"/>
      <c r="AZ4" s="14"/>
      <c r="BA4" s="14"/>
      <c r="BB4" s="14"/>
      <c r="BC4" s="14"/>
    </row>
    <row r="5" spans="1:55"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1"/>
      <c r="AH5" s="71"/>
      <c r="AI5" s="72"/>
      <c r="AJ5" s="14"/>
      <c r="AK5" s="14"/>
      <c r="AL5" s="14"/>
      <c r="AM5" s="14"/>
      <c r="AN5" s="14"/>
      <c r="AO5" s="14"/>
      <c r="AP5" s="14"/>
      <c r="AQ5" s="14"/>
      <c r="AR5" s="14"/>
      <c r="AS5" s="14"/>
      <c r="AT5" s="14"/>
      <c r="AU5" s="14"/>
      <c r="AV5" s="14"/>
      <c r="AW5" s="14"/>
      <c r="AX5" s="14"/>
      <c r="AY5" s="14"/>
      <c r="AZ5" s="14"/>
      <c r="BA5" s="14"/>
      <c r="BB5" s="14"/>
      <c r="BC5" s="14"/>
    </row>
    <row r="6" spans="1:55" ht="15.75" customHeight="1" x14ac:dyDescent="0.2">
      <c r="A6" s="4" t="s">
        <v>165</v>
      </c>
      <c r="B6" s="69">
        <v>8000</v>
      </c>
      <c r="C6" s="69">
        <v>12000</v>
      </c>
      <c r="D6" s="69">
        <v>10000</v>
      </c>
      <c r="E6" s="69">
        <v>8000</v>
      </c>
      <c r="F6" s="69">
        <v>8000</v>
      </c>
      <c r="G6" s="69">
        <v>2000</v>
      </c>
      <c r="H6" s="69">
        <v>10000</v>
      </c>
      <c r="I6" s="69">
        <v>2500</v>
      </c>
      <c r="J6" s="69">
        <v>2000</v>
      </c>
      <c r="K6" s="69">
        <v>3000</v>
      </c>
      <c r="L6" s="69">
        <v>2500</v>
      </c>
      <c r="M6" s="69">
        <v>2000</v>
      </c>
      <c r="N6" s="69">
        <v>2000</v>
      </c>
      <c r="O6" s="69">
        <v>2000</v>
      </c>
      <c r="P6" s="69">
        <v>3000</v>
      </c>
      <c r="Q6" s="69">
        <v>0</v>
      </c>
      <c r="R6" s="69">
        <v>2500</v>
      </c>
      <c r="S6" s="69">
        <v>2000</v>
      </c>
      <c r="T6" s="69">
        <v>2000</v>
      </c>
      <c r="U6" s="69">
        <v>2000</v>
      </c>
      <c r="V6" s="69">
        <v>2000</v>
      </c>
      <c r="W6" s="69">
        <v>2000</v>
      </c>
      <c r="X6" s="69">
        <v>5000</v>
      </c>
      <c r="Y6" s="69">
        <v>6500</v>
      </c>
      <c r="Z6" s="69">
        <v>5000</v>
      </c>
      <c r="AA6" s="69">
        <v>2500</v>
      </c>
      <c r="AB6" s="69">
        <v>0</v>
      </c>
      <c r="AC6" s="69">
        <v>2500</v>
      </c>
      <c r="AD6" s="69">
        <v>0</v>
      </c>
      <c r="AE6" s="69">
        <v>3000</v>
      </c>
      <c r="AF6" s="69">
        <v>3000</v>
      </c>
      <c r="AG6" s="56">
        <f t="shared" ref="AG6:AG8" si="9">SUM(B6:AF6)</f>
        <v>117000</v>
      </c>
      <c r="AH6" s="67">
        <f t="shared" ref="AH6:AH8" si="10">IFERROR(AVERAGE(B6:AF6),0)</f>
        <v>3774.1935483870966</v>
      </c>
      <c r="AI6" s="68">
        <f t="shared" ref="AI6:AI8" si="11">(AH6/$AH$29)*100</f>
        <v>21.96692194608152</v>
      </c>
      <c r="AJ6" s="14"/>
      <c r="AO6" s="14"/>
      <c r="AP6" s="14"/>
      <c r="AQ6" s="14"/>
      <c r="AR6" s="14"/>
      <c r="AS6" s="14"/>
      <c r="AT6" s="14"/>
      <c r="AU6" s="14"/>
      <c r="AV6" s="14"/>
      <c r="AW6" s="14"/>
      <c r="AX6" s="14"/>
      <c r="AY6" s="14"/>
      <c r="AZ6" s="14"/>
      <c r="BA6" s="14"/>
      <c r="BB6" s="14"/>
      <c r="BC6" s="14"/>
    </row>
    <row r="7" spans="1:55" ht="15.75" customHeight="1" x14ac:dyDescent="0.2">
      <c r="A7" s="4" t="s">
        <v>166</v>
      </c>
      <c r="B7" s="69">
        <f t="shared" ref="B7:P7" si="12">$B$51/$B$59</f>
        <v>77.58620689655173</v>
      </c>
      <c r="C7" s="69">
        <f t="shared" si="12"/>
        <v>77.58620689655173</v>
      </c>
      <c r="D7" s="69">
        <f t="shared" si="12"/>
        <v>77.58620689655173</v>
      </c>
      <c r="E7" s="69">
        <f t="shared" si="12"/>
        <v>77.58620689655173</v>
      </c>
      <c r="F7" s="69">
        <f t="shared" si="12"/>
        <v>77.58620689655173</v>
      </c>
      <c r="G7" s="69">
        <f t="shared" si="12"/>
        <v>77.58620689655173</v>
      </c>
      <c r="H7" s="69">
        <f t="shared" si="12"/>
        <v>77.58620689655173</v>
      </c>
      <c r="I7" s="69">
        <f t="shared" si="12"/>
        <v>77.58620689655173</v>
      </c>
      <c r="J7" s="69">
        <f t="shared" si="12"/>
        <v>77.58620689655173</v>
      </c>
      <c r="K7" s="69">
        <f t="shared" si="12"/>
        <v>77.58620689655173</v>
      </c>
      <c r="L7" s="69">
        <f t="shared" si="12"/>
        <v>77.58620689655173</v>
      </c>
      <c r="M7" s="69">
        <f t="shared" si="12"/>
        <v>77.58620689655173</v>
      </c>
      <c r="N7" s="69">
        <f t="shared" si="12"/>
        <v>77.58620689655173</v>
      </c>
      <c r="O7" s="69">
        <f t="shared" si="12"/>
        <v>77.58620689655173</v>
      </c>
      <c r="P7" s="69">
        <f t="shared" si="12"/>
        <v>77.58620689655173</v>
      </c>
      <c r="Q7" s="69">
        <v>0</v>
      </c>
      <c r="R7" s="69">
        <f t="shared" ref="R7:AA7" si="13">$B$51/$B$59</f>
        <v>77.58620689655173</v>
      </c>
      <c r="S7" s="69">
        <f t="shared" si="13"/>
        <v>77.58620689655173</v>
      </c>
      <c r="T7" s="69">
        <f t="shared" si="13"/>
        <v>77.58620689655173</v>
      </c>
      <c r="U7" s="69">
        <f t="shared" si="13"/>
        <v>77.58620689655173</v>
      </c>
      <c r="V7" s="69">
        <f t="shared" si="13"/>
        <v>77.58620689655173</v>
      </c>
      <c r="W7" s="69">
        <f t="shared" si="13"/>
        <v>77.58620689655173</v>
      </c>
      <c r="X7" s="69">
        <f t="shared" si="13"/>
        <v>77.58620689655173</v>
      </c>
      <c r="Y7" s="69">
        <f t="shared" si="13"/>
        <v>77.58620689655173</v>
      </c>
      <c r="Z7" s="69">
        <f t="shared" si="13"/>
        <v>77.58620689655173</v>
      </c>
      <c r="AA7" s="69">
        <f t="shared" si="13"/>
        <v>77.58620689655173</v>
      </c>
      <c r="AB7" s="69">
        <v>0</v>
      </c>
      <c r="AC7" s="69">
        <f t="shared" ref="AC7:AF7" si="14">$B$51/$B$59</f>
        <v>77.58620689655173</v>
      </c>
      <c r="AD7" s="69">
        <f t="shared" si="14"/>
        <v>77.58620689655173</v>
      </c>
      <c r="AE7" s="69">
        <f t="shared" si="14"/>
        <v>77.58620689655173</v>
      </c>
      <c r="AF7" s="69">
        <f t="shared" si="14"/>
        <v>77.58620689655173</v>
      </c>
      <c r="AG7" s="56">
        <f t="shared" si="9"/>
        <v>2249.9999999999986</v>
      </c>
      <c r="AH7" s="67">
        <f t="shared" si="10"/>
        <v>72.580645161290278</v>
      </c>
      <c r="AI7" s="68">
        <f t="shared" si="11"/>
        <v>0.42244080665541361</v>
      </c>
      <c r="AJ7" s="14"/>
      <c r="AO7" s="14"/>
      <c r="AP7" s="14"/>
      <c r="AQ7" s="14"/>
      <c r="AR7" s="14"/>
      <c r="AS7" s="14"/>
      <c r="AT7" s="14"/>
      <c r="AU7" s="14"/>
      <c r="AV7" s="14"/>
      <c r="AW7" s="14"/>
      <c r="AX7" s="14"/>
      <c r="AY7" s="14"/>
      <c r="AZ7" s="14"/>
      <c r="BA7" s="14"/>
      <c r="BB7" s="14"/>
      <c r="BC7" s="14"/>
    </row>
    <row r="8" spans="1:55" ht="15.75" customHeight="1" x14ac:dyDescent="0.2">
      <c r="A8" s="4" t="s">
        <v>167</v>
      </c>
      <c r="B8" s="69">
        <f t="shared" ref="B8:P8" si="15">$B$52/$B$59</f>
        <v>241.37931034482759</v>
      </c>
      <c r="C8" s="69">
        <f t="shared" si="15"/>
        <v>241.37931034482759</v>
      </c>
      <c r="D8" s="69">
        <f t="shared" si="15"/>
        <v>241.37931034482759</v>
      </c>
      <c r="E8" s="69">
        <f t="shared" si="15"/>
        <v>241.37931034482759</v>
      </c>
      <c r="F8" s="69">
        <f t="shared" si="15"/>
        <v>241.37931034482759</v>
      </c>
      <c r="G8" s="69">
        <f t="shared" si="15"/>
        <v>241.37931034482759</v>
      </c>
      <c r="H8" s="69">
        <f t="shared" si="15"/>
        <v>241.37931034482759</v>
      </c>
      <c r="I8" s="69">
        <f t="shared" si="15"/>
        <v>241.37931034482759</v>
      </c>
      <c r="J8" s="69">
        <f t="shared" si="15"/>
        <v>241.37931034482759</v>
      </c>
      <c r="K8" s="69">
        <f t="shared" si="15"/>
        <v>241.37931034482759</v>
      </c>
      <c r="L8" s="69">
        <f t="shared" si="15"/>
        <v>241.37931034482759</v>
      </c>
      <c r="M8" s="69">
        <f t="shared" si="15"/>
        <v>241.37931034482759</v>
      </c>
      <c r="N8" s="69">
        <f t="shared" si="15"/>
        <v>241.37931034482759</v>
      </c>
      <c r="O8" s="69">
        <f t="shared" si="15"/>
        <v>241.37931034482759</v>
      </c>
      <c r="P8" s="69">
        <f t="shared" si="15"/>
        <v>241.37931034482759</v>
      </c>
      <c r="Q8" s="69">
        <v>0</v>
      </c>
      <c r="R8" s="69">
        <f t="shared" ref="R8:AA8" si="16">$B$52/$B$59</f>
        <v>241.37931034482759</v>
      </c>
      <c r="S8" s="69">
        <f t="shared" si="16"/>
        <v>241.37931034482759</v>
      </c>
      <c r="T8" s="69">
        <f t="shared" si="16"/>
        <v>241.37931034482759</v>
      </c>
      <c r="U8" s="69">
        <f t="shared" si="16"/>
        <v>241.37931034482759</v>
      </c>
      <c r="V8" s="69">
        <f t="shared" si="16"/>
        <v>241.37931034482759</v>
      </c>
      <c r="W8" s="69">
        <f t="shared" si="16"/>
        <v>241.37931034482759</v>
      </c>
      <c r="X8" s="69">
        <f t="shared" si="16"/>
        <v>241.37931034482759</v>
      </c>
      <c r="Y8" s="69">
        <f t="shared" si="16"/>
        <v>241.37931034482759</v>
      </c>
      <c r="Z8" s="69">
        <f t="shared" si="16"/>
        <v>241.37931034482759</v>
      </c>
      <c r="AA8" s="69">
        <f t="shared" si="16"/>
        <v>241.37931034482759</v>
      </c>
      <c r="AB8" s="69">
        <v>0</v>
      </c>
      <c r="AC8" s="69">
        <f t="shared" ref="AC8:AF8" si="17">$B$52/$B$59</f>
        <v>241.37931034482759</v>
      </c>
      <c r="AD8" s="69">
        <f t="shared" si="17"/>
        <v>241.37931034482759</v>
      </c>
      <c r="AE8" s="69">
        <f t="shared" si="17"/>
        <v>241.37931034482759</v>
      </c>
      <c r="AF8" s="69">
        <f t="shared" si="17"/>
        <v>241.37931034482759</v>
      </c>
      <c r="AG8" s="56">
        <f t="shared" si="9"/>
        <v>7000.0000000000027</v>
      </c>
      <c r="AH8" s="67">
        <f t="shared" si="10"/>
        <v>225.80645161290332</v>
      </c>
      <c r="AI8" s="68">
        <f t="shared" si="11"/>
        <v>1.314260287372399</v>
      </c>
      <c r="AJ8" s="14"/>
      <c r="AO8" s="14"/>
      <c r="AP8" s="14"/>
      <c r="AQ8" s="14"/>
      <c r="AR8" s="14"/>
      <c r="AS8" s="14"/>
      <c r="AT8" s="14"/>
      <c r="AU8" s="14"/>
      <c r="AV8" s="14"/>
      <c r="AW8" s="14"/>
      <c r="AX8" s="14"/>
      <c r="AY8" s="14"/>
      <c r="AZ8" s="14"/>
      <c r="BA8" s="14"/>
      <c r="BB8" s="14"/>
      <c r="BC8" s="14"/>
    </row>
    <row r="9" spans="1:55"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1"/>
      <c r="AH9" s="71"/>
      <c r="AI9" s="72"/>
      <c r="AJ9" s="14"/>
      <c r="AO9" s="14"/>
      <c r="AP9" s="14"/>
      <c r="AQ9" s="14"/>
      <c r="AR9" s="14"/>
      <c r="AS9" s="14"/>
      <c r="AT9" s="14"/>
      <c r="AU9" s="14"/>
      <c r="AV9" s="14"/>
      <c r="AW9" s="14"/>
      <c r="AX9" s="14"/>
      <c r="AY9" s="14"/>
      <c r="AZ9" s="14"/>
      <c r="BA9" s="14"/>
      <c r="BB9" s="14"/>
      <c r="BC9" s="14"/>
    </row>
    <row r="10" spans="1:55" ht="15.75" customHeight="1" x14ac:dyDescent="0.2">
      <c r="A10" s="4" t="s">
        <v>169</v>
      </c>
      <c r="B10" s="69">
        <f>20+40+60+120+50+100+40+300+40</f>
        <v>770</v>
      </c>
      <c r="C10" s="69">
        <f>30+700+400+140+50+50+50</f>
        <v>1420</v>
      </c>
      <c r="D10" s="69">
        <f>20+10+700+350+20+50+30</f>
        <v>1180</v>
      </c>
      <c r="E10" s="69">
        <f>20+10+400+40</f>
        <v>470</v>
      </c>
      <c r="F10" s="69">
        <f>40+20+300+50+60+70+30+200+40</f>
        <v>810</v>
      </c>
      <c r="G10" s="69">
        <f>40+10+300+109+60+40+30+60+50+40+120</f>
        <v>859</v>
      </c>
      <c r="H10" s="69">
        <f>60+30+400+150+30+50+60+50+120</f>
        <v>950</v>
      </c>
      <c r="I10" s="69">
        <f>45+45+160+180+40+50+160+60+40+50</f>
        <v>830</v>
      </c>
      <c r="J10" s="69">
        <f>40+20+50+150+40+60+60+50</f>
        <v>470</v>
      </c>
      <c r="K10" s="69">
        <f>60+30+50+50+60+150+30+30+50+20</f>
        <v>530</v>
      </c>
      <c r="L10" s="69">
        <f>40+20+120+300+60+40+60+30+50</f>
        <v>720</v>
      </c>
      <c r="M10" s="69">
        <f>40+20+70+60+50+80+150+50+50</f>
        <v>570</v>
      </c>
      <c r="N10" s="69">
        <f>40+20+300+40+1550+120+50+40+60+50</f>
        <v>2270</v>
      </c>
      <c r="O10" s="69">
        <f>40+10+60+30+150+50+40+50+100</f>
        <v>530</v>
      </c>
      <c r="P10" s="69">
        <f>60+20+100+50+60+250+40+30+50+50</f>
        <v>710</v>
      </c>
      <c r="Q10" s="69">
        <v>0</v>
      </c>
      <c r="R10" s="69">
        <f>60+30+100+150+60+40+50+40+20+50+50+40</f>
        <v>690</v>
      </c>
      <c r="S10" s="69">
        <f>40+30+150+100+40+40+60+30+30</f>
        <v>520</v>
      </c>
      <c r="T10" s="69">
        <f>40+20+100+100+50+60+40+30+30</f>
        <v>470</v>
      </c>
      <c r="U10" s="69">
        <f>40+30+50+150+60+40+50+40+20+50</f>
        <v>530</v>
      </c>
      <c r="V10" s="69">
        <f>80+60+150+200+50+60+200+50+50+40</f>
        <v>940</v>
      </c>
      <c r="W10" s="69">
        <f>80+60+200+150+60+30+50+50+40</f>
        <v>720</v>
      </c>
      <c r="X10" s="69">
        <f>40+30+40+20+60+100+40+50</f>
        <v>380</v>
      </c>
      <c r="Y10" s="69">
        <f>90+40+200+40+60+50+50+150+50</f>
        <v>730</v>
      </c>
      <c r="Z10" s="69">
        <f>100+40+140+40+60+50+100+50+40</f>
        <v>620</v>
      </c>
      <c r="AA10" s="69">
        <f>60+40+60+150+120+50+20+50+50+70+160+50</f>
        <v>880</v>
      </c>
      <c r="AB10" s="69">
        <v>0</v>
      </c>
      <c r="AC10" s="69">
        <f>30+30+100+70+20+40+50+70</f>
        <v>410</v>
      </c>
      <c r="AD10" s="69">
        <f>20+20+70+100+30+50</f>
        <v>290</v>
      </c>
      <c r="AE10" s="69">
        <f>90+90+100+80+70+50+100+50</f>
        <v>630</v>
      </c>
      <c r="AF10" s="69">
        <f>80+80+60+100+50+40+80+70</f>
        <v>560</v>
      </c>
      <c r="AG10" s="56">
        <f t="shared" ref="AG10:AG18" si="18">SUM(B10:AF10)</f>
        <v>21459</v>
      </c>
      <c r="AH10" s="67">
        <f t="shared" ref="AH10:AH18" si="19">IFERROR(AVERAGE(B10:AF10),0)</f>
        <v>692.22580645161293</v>
      </c>
      <c r="AI10" s="68">
        <f t="shared" ref="AI10:AI18" si="20">(AH10/$AH$29)*100</f>
        <v>4.0289587866748997</v>
      </c>
      <c r="AO10" s="14"/>
      <c r="AP10" s="14"/>
      <c r="AQ10" s="14"/>
      <c r="AR10" s="14"/>
      <c r="AS10" s="14"/>
      <c r="AT10" s="14"/>
      <c r="AU10" s="14"/>
      <c r="AV10" s="14"/>
      <c r="AW10" s="14"/>
      <c r="AX10" s="14"/>
      <c r="AY10" s="14"/>
      <c r="AZ10" s="14"/>
      <c r="BA10" s="14"/>
      <c r="BB10" s="14"/>
      <c r="BC10" s="14"/>
    </row>
    <row r="11" spans="1:55" ht="15.75" customHeight="1" x14ac:dyDescent="0.2">
      <c r="A11" s="4" t="s">
        <v>170</v>
      </c>
      <c r="B11" s="69">
        <v>165</v>
      </c>
      <c r="C11" s="69">
        <v>165</v>
      </c>
      <c r="D11" s="69">
        <v>275</v>
      </c>
      <c r="E11" s="69">
        <v>0</v>
      </c>
      <c r="F11" s="69">
        <v>165</v>
      </c>
      <c r="G11" s="69">
        <v>165</v>
      </c>
      <c r="H11" s="69">
        <v>165</v>
      </c>
      <c r="I11" s="69">
        <v>220</v>
      </c>
      <c r="J11" s="69">
        <v>220</v>
      </c>
      <c r="K11" s="69">
        <v>325</v>
      </c>
      <c r="L11" s="69">
        <v>220</v>
      </c>
      <c r="M11" s="69">
        <v>165</v>
      </c>
      <c r="N11" s="69">
        <v>165</v>
      </c>
      <c r="O11" s="69">
        <v>135</v>
      </c>
      <c r="P11" s="69">
        <v>265</v>
      </c>
      <c r="Q11" s="69">
        <v>0</v>
      </c>
      <c r="R11" s="69">
        <v>270</v>
      </c>
      <c r="S11" s="69">
        <v>220</v>
      </c>
      <c r="T11" s="69">
        <v>165</v>
      </c>
      <c r="U11" s="69">
        <v>165</v>
      </c>
      <c r="V11" s="69">
        <v>110</v>
      </c>
      <c r="W11" s="69">
        <v>600</v>
      </c>
      <c r="X11" s="69">
        <v>600</v>
      </c>
      <c r="Y11" s="69">
        <v>875</v>
      </c>
      <c r="Z11" s="69">
        <v>600</v>
      </c>
      <c r="AA11" s="69">
        <v>600</v>
      </c>
      <c r="AB11" s="69">
        <v>0</v>
      </c>
      <c r="AC11" s="69">
        <v>600</v>
      </c>
      <c r="AD11" s="69">
        <v>0</v>
      </c>
      <c r="AE11" s="69">
        <v>350</v>
      </c>
      <c r="AF11" s="69">
        <v>385</v>
      </c>
      <c r="AG11" s="56">
        <f t="shared" si="18"/>
        <v>8355</v>
      </c>
      <c r="AH11" s="67">
        <f t="shared" si="19"/>
        <v>269.51612903225805</v>
      </c>
      <c r="AI11" s="68">
        <f t="shared" si="20"/>
        <v>1.56866352871377</v>
      </c>
      <c r="AO11" s="14"/>
      <c r="AP11" s="14"/>
      <c r="AQ11" s="14"/>
      <c r="AR11" s="14"/>
      <c r="AS11" s="14"/>
      <c r="AT11" s="14"/>
      <c r="AU11" s="14"/>
      <c r="AV11" s="14"/>
      <c r="AW11" s="14"/>
      <c r="AX11" s="14"/>
      <c r="AY11" s="14"/>
      <c r="AZ11" s="14"/>
      <c r="BA11" s="14"/>
      <c r="BB11" s="14"/>
      <c r="BC11" s="14"/>
    </row>
    <row r="12" spans="1:55" ht="15.75" customHeight="1" x14ac:dyDescent="0.2">
      <c r="A12" s="4" t="s">
        <v>171</v>
      </c>
      <c r="B12" s="69">
        <v>325</v>
      </c>
      <c r="C12" s="69">
        <v>195</v>
      </c>
      <c r="D12" s="69">
        <v>325</v>
      </c>
      <c r="E12" s="69">
        <v>325</v>
      </c>
      <c r="F12" s="69">
        <v>0</v>
      </c>
      <c r="G12" s="69">
        <v>195</v>
      </c>
      <c r="H12" s="69">
        <v>195</v>
      </c>
      <c r="I12" s="69">
        <v>65</v>
      </c>
      <c r="J12" s="69">
        <v>65</v>
      </c>
      <c r="K12" s="69">
        <v>65</v>
      </c>
      <c r="L12" s="69">
        <v>100</v>
      </c>
      <c r="M12" s="69">
        <v>65</v>
      </c>
      <c r="N12" s="69">
        <v>65</v>
      </c>
      <c r="O12" s="14">
        <v>65</v>
      </c>
      <c r="P12" s="69">
        <v>65</v>
      </c>
      <c r="Q12" s="69">
        <v>0</v>
      </c>
      <c r="R12" s="69">
        <v>100</v>
      </c>
      <c r="S12" s="69">
        <v>65</v>
      </c>
      <c r="T12" s="69">
        <v>65</v>
      </c>
      <c r="U12" s="69">
        <v>65</v>
      </c>
      <c r="V12" s="69">
        <v>65</v>
      </c>
      <c r="W12" s="69">
        <v>65</v>
      </c>
      <c r="X12" s="69">
        <v>65</v>
      </c>
      <c r="Y12" s="69">
        <v>100</v>
      </c>
      <c r="Z12" s="69">
        <v>65</v>
      </c>
      <c r="AA12" s="69">
        <v>65</v>
      </c>
      <c r="AB12" s="69">
        <v>0</v>
      </c>
      <c r="AC12" s="69">
        <v>65</v>
      </c>
      <c r="AD12" s="69">
        <v>0</v>
      </c>
      <c r="AE12" s="69">
        <v>0</v>
      </c>
      <c r="AF12" s="69">
        <v>72</v>
      </c>
      <c r="AG12" s="56">
        <f t="shared" si="18"/>
        <v>2972</v>
      </c>
      <c r="AH12" s="67">
        <f t="shared" si="19"/>
        <v>95.870967741935488</v>
      </c>
      <c r="AI12" s="68">
        <f t="shared" si="20"/>
        <v>0.55799736772439557</v>
      </c>
      <c r="AO12" s="14"/>
      <c r="AP12" s="14"/>
      <c r="AQ12" s="14"/>
      <c r="AR12" s="14"/>
      <c r="AS12" s="14"/>
      <c r="AT12" s="14"/>
      <c r="AU12" s="14"/>
      <c r="AV12" s="14"/>
      <c r="AW12" s="14"/>
      <c r="AX12" s="14"/>
      <c r="AY12" s="14"/>
      <c r="AZ12" s="14"/>
      <c r="BA12" s="14"/>
      <c r="BB12" s="14"/>
      <c r="BC12" s="14"/>
    </row>
    <row r="13" spans="1:55" ht="15.75" customHeight="1" x14ac:dyDescent="0.2">
      <c r="A13" s="4" t="s">
        <v>172</v>
      </c>
      <c r="B13" s="69">
        <v>0</v>
      </c>
      <c r="C13" s="69">
        <v>0</v>
      </c>
      <c r="D13" s="69">
        <v>370</v>
      </c>
      <c r="E13" s="69">
        <v>0</v>
      </c>
      <c r="F13" s="69">
        <v>370</v>
      </c>
      <c r="G13" s="69">
        <v>0</v>
      </c>
      <c r="H13" s="69">
        <v>370</v>
      </c>
      <c r="I13" s="69">
        <v>370</v>
      </c>
      <c r="J13" s="69">
        <v>0</v>
      </c>
      <c r="K13" s="69">
        <v>417</v>
      </c>
      <c r="L13" s="69">
        <v>417</v>
      </c>
      <c r="M13" s="69">
        <v>417</v>
      </c>
      <c r="N13" s="69">
        <v>0</v>
      </c>
      <c r="O13" s="69">
        <v>370</v>
      </c>
      <c r="P13" s="69">
        <v>0</v>
      </c>
      <c r="Q13" s="69">
        <v>0</v>
      </c>
      <c r="R13" s="69">
        <v>834</v>
      </c>
      <c r="S13" s="69">
        <v>300</v>
      </c>
      <c r="T13" s="69">
        <v>0</v>
      </c>
      <c r="U13" s="69">
        <v>0</v>
      </c>
      <c r="V13" s="69">
        <v>0</v>
      </c>
      <c r="W13" s="69">
        <v>300</v>
      </c>
      <c r="X13" s="69">
        <v>300</v>
      </c>
      <c r="Y13" s="69">
        <v>300</v>
      </c>
      <c r="Z13" s="69">
        <v>300</v>
      </c>
      <c r="AA13" s="69">
        <v>0</v>
      </c>
      <c r="AB13" s="69">
        <v>0</v>
      </c>
      <c r="AC13" s="69">
        <v>0</v>
      </c>
      <c r="AD13" s="69">
        <v>0</v>
      </c>
      <c r="AE13" s="69">
        <v>350</v>
      </c>
      <c r="AF13" s="69">
        <v>0</v>
      </c>
      <c r="AG13" s="56">
        <f t="shared" si="18"/>
        <v>5785</v>
      </c>
      <c r="AH13" s="67">
        <f t="shared" si="19"/>
        <v>186.61290322580646</v>
      </c>
      <c r="AI13" s="68">
        <f t="shared" si="20"/>
        <v>1.0861422517784751</v>
      </c>
      <c r="AO13" s="14"/>
      <c r="AP13" s="14"/>
      <c r="AQ13" s="14"/>
      <c r="AR13" s="14"/>
      <c r="AS13" s="14"/>
      <c r="AT13" s="14"/>
      <c r="AU13" s="14"/>
      <c r="AV13" s="14"/>
      <c r="AW13" s="14"/>
      <c r="AX13" s="14"/>
      <c r="AY13" s="14"/>
      <c r="AZ13" s="14"/>
      <c r="BA13" s="14"/>
      <c r="BB13" s="14"/>
      <c r="BC13" s="14"/>
    </row>
    <row r="14" spans="1:55" ht="15.75" customHeight="1" x14ac:dyDescent="0.2">
      <c r="A14" s="4" t="s">
        <v>173</v>
      </c>
      <c r="B14" s="69">
        <v>120</v>
      </c>
      <c r="C14" s="69">
        <v>160</v>
      </c>
      <c r="D14" s="69">
        <v>98</v>
      </c>
      <c r="E14" s="69">
        <v>0</v>
      </c>
      <c r="F14" s="69">
        <v>200</v>
      </c>
      <c r="G14" s="69">
        <v>0</v>
      </c>
      <c r="H14" s="69">
        <v>80</v>
      </c>
      <c r="I14" s="69">
        <v>120</v>
      </c>
      <c r="J14" s="69">
        <v>0</v>
      </c>
      <c r="K14" s="69">
        <v>0</v>
      </c>
      <c r="L14" s="69">
        <v>160</v>
      </c>
      <c r="M14" s="69">
        <v>180</v>
      </c>
      <c r="N14" s="69">
        <v>0</v>
      </c>
      <c r="O14" s="69">
        <v>0</v>
      </c>
      <c r="P14" s="69">
        <v>200</v>
      </c>
      <c r="Q14" s="69">
        <v>0</v>
      </c>
      <c r="R14" s="69">
        <v>0</v>
      </c>
      <c r="S14" s="69">
        <v>200</v>
      </c>
      <c r="T14" s="69">
        <v>150</v>
      </c>
      <c r="U14" s="69">
        <v>0</v>
      </c>
      <c r="V14" s="69">
        <v>100</v>
      </c>
      <c r="W14" s="69">
        <v>100</v>
      </c>
      <c r="X14" s="69">
        <v>0</v>
      </c>
      <c r="Y14" s="69">
        <v>200</v>
      </c>
      <c r="Z14" s="69">
        <v>80</v>
      </c>
      <c r="AA14" s="69">
        <v>0</v>
      </c>
      <c r="AB14" s="69">
        <v>0</v>
      </c>
      <c r="AC14" s="69">
        <v>0</v>
      </c>
      <c r="AD14" s="69">
        <v>180</v>
      </c>
      <c r="AE14" s="69">
        <v>0</v>
      </c>
      <c r="AF14" s="69">
        <v>200</v>
      </c>
      <c r="AG14" s="56">
        <f t="shared" si="18"/>
        <v>2528</v>
      </c>
      <c r="AH14" s="67">
        <f t="shared" si="19"/>
        <v>81.548387096774192</v>
      </c>
      <c r="AI14" s="68">
        <f t="shared" si="20"/>
        <v>0.47463571521106052</v>
      </c>
      <c r="AJ14" s="14"/>
      <c r="AO14" s="14"/>
      <c r="AP14" s="14"/>
      <c r="AQ14" s="14"/>
      <c r="AR14" s="14"/>
      <c r="AS14" s="14"/>
      <c r="AT14" s="14"/>
      <c r="AU14" s="14"/>
      <c r="AV14" s="14"/>
      <c r="AW14" s="14"/>
      <c r="AX14" s="14"/>
      <c r="AY14" s="14"/>
      <c r="AZ14" s="14"/>
      <c r="BA14" s="14"/>
      <c r="BB14" s="14"/>
      <c r="BC14" s="14"/>
    </row>
    <row r="15" spans="1:55" ht="15.75" customHeight="1" x14ac:dyDescent="0.2">
      <c r="A15" s="4" t="s">
        <v>174</v>
      </c>
      <c r="B15" s="69">
        <v>0</v>
      </c>
      <c r="C15" s="69">
        <v>0</v>
      </c>
      <c r="D15" s="69">
        <v>70</v>
      </c>
      <c r="E15" s="69">
        <v>0</v>
      </c>
      <c r="F15" s="69">
        <v>140</v>
      </c>
      <c r="G15" s="69">
        <v>0</v>
      </c>
      <c r="H15" s="69">
        <v>0</v>
      </c>
      <c r="I15" s="69">
        <v>150</v>
      </c>
      <c r="J15" s="69">
        <v>0</v>
      </c>
      <c r="K15" s="69">
        <v>0</v>
      </c>
      <c r="L15" s="69">
        <v>150</v>
      </c>
      <c r="M15" s="69">
        <v>0</v>
      </c>
      <c r="N15" s="69">
        <v>0</v>
      </c>
      <c r="O15" s="69">
        <v>70</v>
      </c>
      <c r="P15" s="69">
        <v>0</v>
      </c>
      <c r="Q15" s="69">
        <v>0</v>
      </c>
      <c r="R15" s="69">
        <v>150</v>
      </c>
      <c r="S15" s="69">
        <v>70</v>
      </c>
      <c r="T15" s="69">
        <v>0</v>
      </c>
      <c r="U15" s="69">
        <v>70</v>
      </c>
      <c r="V15" s="69">
        <v>0</v>
      </c>
      <c r="W15" s="69">
        <v>0</v>
      </c>
      <c r="X15" s="69">
        <v>0</v>
      </c>
      <c r="Y15" s="69">
        <v>160</v>
      </c>
      <c r="Z15" s="69">
        <v>0</v>
      </c>
      <c r="AA15" s="69">
        <v>0</v>
      </c>
      <c r="AB15" s="69">
        <v>0</v>
      </c>
      <c r="AC15" s="69">
        <v>0</v>
      </c>
      <c r="AD15" s="69">
        <v>170</v>
      </c>
      <c r="AE15" s="69">
        <v>0</v>
      </c>
      <c r="AF15" s="69">
        <v>160</v>
      </c>
      <c r="AG15" s="56">
        <f t="shared" si="18"/>
        <v>1360</v>
      </c>
      <c r="AH15" s="67">
        <f t="shared" si="19"/>
        <v>43.87096774193548</v>
      </c>
      <c r="AI15" s="68">
        <f t="shared" si="20"/>
        <v>0.25534199868949453</v>
      </c>
      <c r="AJ15" s="14"/>
      <c r="AO15" s="14"/>
      <c r="AP15" s="14"/>
      <c r="AQ15" s="14"/>
      <c r="AR15" s="14"/>
      <c r="AS15" s="14"/>
      <c r="AT15" s="14"/>
      <c r="AU15" s="14"/>
      <c r="AV15" s="14"/>
      <c r="AW15" s="14"/>
      <c r="AX15" s="14"/>
      <c r="AY15" s="14"/>
      <c r="AZ15" s="14"/>
      <c r="BA15" s="14"/>
      <c r="BB15" s="14"/>
      <c r="BC15" s="14"/>
    </row>
    <row r="16" spans="1:55" ht="15.75" customHeight="1" x14ac:dyDescent="0.2">
      <c r="A16" s="4" t="s">
        <v>175</v>
      </c>
      <c r="B16" s="69">
        <v>480</v>
      </c>
      <c r="C16" s="69">
        <v>960</v>
      </c>
      <c r="D16" s="69">
        <v>800</v>
      </c>
      <c r="E16" s="69">
        <v>320</v>
      </c>
      <c r="F16" s="69">
        <v>320</v>
      </c>
      <c r="G16" s="69">
        <v>480</v>
      </c>
      <c r="H16" s="69">
        <v>480</v>
      </c>
      <c r="I16" s="69">
        <v>0</v>
      </c>
      <c r="J16" s="69">
        <v>0</v>
      </c>
      <c r="K16" s="69">
        <v>0</v>
      </c>
      <c r="L16" s="69">
        <v>160</v>
      </c>
      <c r="M16" s="69">
        <v>170</v>
      </c>
      <c r="N16" s="69">
        <v>170</v>
      </c>
      <c r="O16" s="69">
        <v>0</v>
      </c>
      <c r="P16" s="69">
        <v>170</v>
      </c>
      <c r="Q16" s="69">
        <v>0</v>
      </c>
      <c r="R16" s="69">
        <v>170</v>
      </c>
      <c r="S16" s="69">
        <v>170</v>
      </c>
      <c r="T16" s="69">
        <v>170</v>
      </c>
      <c r="U16" s="69">
        <v>0</v>
      </c>
      <c r="V16" s="69">
        <v>180</v>
      </c>
      <c r="W16" s="69">
        <v>180</v>
      </c>
      <c r="X16" s="69">
        <v>0</v>
      </c>
      <c r="Y16" s="69">
        <v>170</v>
      </c>
      <c r="Z16" s="69">
        <v>170</v>
      </c>
      <c r="AA16" s="69">
        <v>0</v>
      </c>
      <c r="AB16" s="69">
        <v>0</v>
      </c>
      <c r="AC16" s="69">
        <v>0</v>
      </c>
      <c r="AD16" s="69">
        <v>0</v>
      </c>
      <c r="AE16" s="69">
        <v>170</v>
      </c>
      <c r="AF16" s="69">
        <v>0</v>
      </c>
      <c r="AG16" s="56">
        <f t="shared" si="18"/>
        <v>5890</v>
      </c>
      <c r="AH16" s="67">
        <f t="shared" si="19"/>
        <v>190</v>
      </c>
      <c r="AI16" s="68">
        <f t="shared" si="20"/>
        <v>1.1058561560890612</v>
      </c>
      <c r="AJ16" s="14"/>
      <c r="AO16" s="14"/>
      <c r="AP16" s="14"/>
      <c r="AQ16" s="14"/>
      <c r="AR16" s="14"/>
      <c r="AS16" s="14"/>
      <c r="AT16" s="14"/>
      <c r="AU16" s="14"/>
      <c r="AV16" s="14"/>
      <c r="AW16" s="14"/>
      <c r="AX16" s="14"/>
      <c r="AY16" s="14"/>
      <c r="AZ16" s="14"/>
      <c r="BA16" s="14"/>
      <c r="BB16" s="14"/>
      <c r="BC16" s="14"/>
    </row>
    <row r="17" spans="1:55" ht="15.75" customHeight="1" x14ac:dyDescent="0.2">
      <c r="A17" s="4" t="s">
        <v>176</v>
      </c>
      <c r="B17" s="69">
        <f>400+165</f>
        <v>565</v>
      </c>
      <c r="C17" s="69">
        <f>168+200</f>
        <v>368</v>
      </c>
      <c r="D17" s="69">
        <f>400+500</f>
        <v>900</v>
      </c>
      <c r="E17" s="69">
        <f>400+168</f>
        <v>568</v>
      </c>
      <c r="F17" s="69">
        <v>0</v>
      </c>
      <c r="G17" s="69">
        <f>200+84+65</f>
        <v>349</v>
      </c>
      <c r="H17" s="69">
        <v>400</v>
      </c>
      <c r="I17" s="69">
        <v>0</v>
      </c>
      <c r="J17" s="69">
        <v>200</v>
      </c>
      <c r="K17" s="69">
        <v>0</v>
      </c>
      <c r="L17" s="69">
        <v>84</v>
      </c>
      <c r="M17" s="69">
        <v>135</v>
      </c>
      <c r="N17" s="69">
        <f>200+80+84</f>
        <v>364</v>
      </c>
      <c r="O17" s="69">
        <v>100</v>
      </c>
      <c r="P17" s="69">
        <f>30+30+267</f>
        <v>327</v>
      </c>
      <c r="Q17" s="69">
        <v>0</v>
      </c>
      <c r="R17" s="69">
        <f>160+84+200</f>
        <v>444</v>
      </c>
      <c r="S17" s="69">
        <v>0</v>
      </c>
      <c r="T17" s="69">
        <f>84+100+65</f>
        <v>249</v>
      </c>
      <c r="U17" s="69">
        <f>200+100</f>
        <v>300</v>
      </c>
      <c r="V17" s="69">
        <v>200</v>
      </c>
      <c r="W17" s="69">
        <v>100</v>
      </c>
      <c r="X17" s="69">
        <f>84+160+100</f>
        <v>344</v>
      </c>
      <c r="Y17" s="69">
        <v>0</v>
      </c>
      <c r="Z17" s="69">
        <v>200</v>
      </c>
      <c r="AA17" s="69">
        <v>160</v>
      </c>
      <c r="AB17" s="69">
        <v>0</v>
      </c>
      <c r="AC17" s="69">
        <v>0</v>
      </c>
      <c r="AD17" s="69">
        <v>90</v>
      </c>
      <c r="AE17" s="69">
        <v>200</v>
      </c>
      <c r="AF17" s="69">
        <f>180+200</f>
        <v>380</v>
      </c>
      <c r="AG17" s="56">
        <f t="shared" si="18"/>
        <v>7027</v>
      </c>
      <c r="AH17" s="67">
        <f t="shared" si="19"/>
        <v>226.67741935483872</v>
      </c>
      <c r="AI17" s="68">
        <f t="shared" si="20"/>
        <v>1.3193295770522635</v>
      </c>
      <c r="AJ17" s="14"/>
      <c r="AO17" s="14"/>
      <c r="AP17" s="14"/>
      <c r="AQ17" s="14"/>
      <c r="AR17" s="14"/>
      <c r="AS17" s="14"/>
      <c r="AT17" s="14"/>
      <c r="AU17" s="14"/>
      <c r="AV17" s="14"/>
      <c r="AW17" s="14"/>
      <c r="AX17" s="14"/>
      <c r="AY17" s="14"/>
      <c r="AZ17" s="14"/>
      <c r="BA17" s="14"/>
      <c r="BB17" s="14"/>
      <c r="BC17" s="14"/>
    </row>
    <row r="18" spans="1:55" ht="15.75" customHeight="1" x14ac:dyDescent="0.2">
      <c r="A18" s="4" t="s">
        <v>177</v>
      </c>
      <c r="B18" s="69">
        <v>120</v>
      </c>
      <c r="C18" s="69">
        <v>220</v>
      </c>
      <c r="D18" s="69">
        <v>200</v>
      </c>
      <c r="E18" s="69">
        <v>200</v>
      </c>
      <c r="F18" s="69">
        <v>0</v>
      </c>
      <c r="G18" s="69">
        <v>200</v>
      </c>
      <c r="H18" s="69">
        <v>70</v>
      </c>
      <c r="I18" s="69">
        <v>0</v>
      </c>
      <c r="J18" s="69">
        <v>0</v>
      </c>
      <c r="K18" s="69">
        <v>0</v>
      </c>
      <c r="L18" s="69">
        <v>0</v>
      </c>
      <c r="M18" s="69">
        <v>50</v>
      </c>
      <c r="N18" s="69">
        <v>250</v>
      </c>
      <c r="O18" s="69">
        <v>0</v>
      </c>
      <c r="P18" s="69">
        <v>0</v>
      </c>
      <c r="Q18" s="69">
        <v>0</v>
      </c>
      <c r="R18" s="69">
        <v>120</v>
      </c>
      <c r="S18" s="69">
        <v>0</v>
      </c>
      <c r="T18" s="69">
        <v>0</v>
      </c>
      <c r="U18" s="69">
        <v>0</v>
      </c>
      <c r="V18" s="69">
        <v>460</v>
      </c>
      <c r="W18" s="69">
        <v>0</v>
      </c>
      <c r="X18" s="69">
        <v>0</v>
      </c>
      <c r="Y18" s="69">
        <v>0</v>
      </c>
      <c r="Z18" s="69">
        <v>0</v>
      </c>
      <c r="AA18" s="69">
        <v>200</v>
      </c>
      <c r="AB18" s="69">
        <v>0</v>
      </c>
      <c r="AC18" s="69">
        <v>0</v>
      </c>
      <c r="AD18" s="69">
        <v>0</v>
      </c>
      <c r="AE18" s="69">
        <v>0</v>
      </c>
      <c r="AF18" s="69">
        <v>0</v>
      </c>
      <c r="AG18" s="56">
        <f t="shared" si="18"/>
        <v>2090</v>
      </c>
      <c r="AH18" s="67">
        <f t="shared" si="19"/>
        <v>67.41935483870968</v>
      </c>
      <c r="AI18" s="68">
        <f t="shared" si="20"/>
        <v>0.39240057151547325</v>
      </c>
      <c r="AJ18" s="14"/>
      <c r="AO18" s="14"/>
      <c r="AP18" s="14"/>
      <c r="AQ18" s="14"/>
      <c r="AR18" s="14"/>
      <c r="AS18" s="14"/>
      <c r="AT18" s="14"/>
      <c r="AU18" s="14"/>
      <c r="AV18" s="14"/>
      <c r="AW18" s="14"/>
      <c r="AX18" s="14"/>
      <c r="AY18" s="14"/>
      <c r="AZ18" s="14"/>
      <c r="BA18" s="14"/>
      <c r="BB18" s="14"/>
      <c r="BC18" s="14"/>
    </row>
    <row r="19" spans="1:55"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1"/>
      <c r="AH19" s="71"/>
      <c r="AI19" s="72"/>
      <c r="AJ19" s="14"/>
      <c r="AO19" s="14"/>
      <c r="AP19" s="14"/>
      <c r="AQ19" s="14"/>
      <c r="AR19" s="14"/>
      <c r="AS19" s="14"/>
      <c r="AT19" s="14"/>
      <c r="AU19" s="14"/>
      <c r="AV19" s="14"/>
      <c r="AW19" s="14"/>
      <c r="AX19" s="14"/>
      <c r="AY19" s="14"/>
      <c r="AZ19" s="14"/>
      <c r="BA19" s="14"/>
      <c r="BB19" s="14"/>
      <c r="BC19" s="14"/>
    </row>
    <row r="20" spans="1:55" ht="15.75" customHeight="1" x14ac:dyDescent="0.2">
      <c r="A20" s="4" t="s">
        <v>179</v>
      </c>
      <c r="B20" s="69">
        <f t="shared" ref="B20:P20" si="21">$B$53/$B$59</f>
        <v>1000</v>
      </c>
      <c r="C20" s="69">
        <f t="shared" si="21"/>
        <v>1000</v>
      </c>
      <c r="D20" s="69">
        <f t="shared" si="21"/>
        <v>1000</v>
      </c>
      <c r="E20" s="69">
        <f t="shared" si="21"/>
        <v>1000</v>
      </c>
      <c r="F20" s="69">
        <f t="shared" si="21"/>
        <v>1000</v>
      </c>
      <c r="G20" s="69">
        <f t="shared" si="21"/>
        <v>1000</v>
      </c>
      <c r="H20" s="69">
        <f t="shared" si="21"/>
        <v>1000</v>
      </c>
      <c r="I20" s="69">
        <f t="shared" si="21"/>
        <v>1000</v>
      </c>
      <c r="J20" s="69">
        <f t="shared" si="21"/>
        <v>1000</v>
      </c>
      <c r="K20" s="69">
        <f t="shared" si="21"/>
        <v>1000</v>
      </c>
      <c r="L20" s="69">
        <f t="shared" si="21"/>
        <v>1000</v>
      </c>
      <c r="M20" s="69">
        <f t="shared" si="21"/>
        <v>1000</v>
      </c>
      <c r="N20" s="69">
        <f t="shared" si="21"/>
        <v>1000</v>
      </c>
      <c r="O20" s="69">
        <f t="shared" si="21"/>
        <v>1000</v>
      </c>
      <c r="P20" s="69">
        <f t="shared" si="21"/>
        <v>1000</v>
      </c>
      <c r="Q20" s="69">
        <v>0</v>
      </c>
      <c r="R20" s="69">
        <f t="shared" ref="R20:AA20" si="22">$B$53/$B$59</f>
        <v>1000</v>
      </c>
      <c r="S20" s="69">
        <f t="shared" si="22"/>
        <v>1000</v>
      </c>
      <c r="T20" s="69">
        <f t="shared" si="22"/>
        <v>1000</v>
      </c>
      <c r="U20" s="69">
        <f t="shared" si="22"/>
        <v>1000</v>
      </c>
      <c r="V20" s="69">
        <f t="shared" si="22"/>
        <v>1000</v>
      </c>
      <c r="W20" s="69">
        <f t="shared" si="22"/>
        <v>1000</v>
      </c>
      <c r="X20" s="69">
        <f t="shared" si="22"/>
        <v>1000</v>
      </c>
      <c r="Y20" s="69">
        <f t="shared" si="22"/>
        <v>1000</v>
      </c>
      <c r="Z20" s="69">
        <f t="shared" si="22"/>
        <v>1000</v>
      </c>
      <c r="AA20" s="69">
        <f t="shared" si="22"/>
        <v>1000</v>
      </c>
      <c r="AB20" s="69">
        <v>0</v>
      </c>
      <c r="AC20" s="69">
        <f t="shared" ref="AC20:AF20" si="23">$B$53/$B$59</f>
        <v>1000</v>
      </c>
      <c r="AD20" s="69">
        <f t="shared" si="23"/>
        <v>1000</v>
      </c>
      <c r="AE20" s="69">
        <f t="shared" si="23"/>
        <v>1000</v>
      </c>
      <c r="AF20" s="69">
        <f t="shared" si="23"/>
        <v>1000</v>
      </c>
      <c r="AG20" s="56">
        <f t="shared" ref="AG20:AG22" si="24">SUM(B20:AF20)</f>
        <v>29000</v>
      </c>
      <c r="AH20" s="67">
        <f t="shared" ref="AH20:AH22" si="25">IFERROR(AVERAGE(B20:AF20),0)</f>
        <v>935.48387096774195</v>
      </c>
      <c r="AI20" s="68">
        <f t="shared" ref="AI20:AI22" si="26">(AH20/$AH$29)*100</f>
        <v>5.4447926191142226</v>
      </c>
      <c r="AJ20" s="14"/>
      <c r="AO20" s="14"/>
      <c r="AP20" s="14"/>
      <c r="AQ20" s="14"/>
      <c r="AR20" s="14"/>
      <c r="AS20" s="14"/>
      <c r="AT20" s="14"/>
      <c r="AU20" s="14"/>
      <c r="AV20" s="14"/>
      <c r="AW20" s="14"/>
      <c r="AX20" s="14"/>
      <c r="AY20" s="14"/>
      <c r="AZ20" s="14"/>
      <c r="BA20" s="14"/>
      <c r="BB20" s="14"/>
      <c r="BC20" s="14"/>
    </row>
    <row r="21" spans="1:55" ht="15.75" customHeight="1" x14ac:dyDescent="0.2">
      <c r="A21" s="4" t="s">
        <v>180</v>
      </c>
      <c r="B21" s="69">
        <f t="shared" ref="B21:P21" si="27">$B$54/$B$59</f>
        <v>86.206896551724142</v>
      </c>
      <c r="C21" s="69">
        <f t="shared" si="27"/>
        <v>86.206896551724142</v>
      </c>
      <c r="D21" s="69">
        <f t="shared" si="27"/>
        <v>86.206896551724142</v>
      </c>
      <c r="E21" s="69">
        <f t="shared" si="27"/>
        <v>86.206896551724142</v>
      </c>
      <c r="F21" s="69">
        <f t="shared" si="27"/>
        <v>86.206896551724142</v>
      </c>
      <c r="G21" s="69">
        <f t="shared" si="27"/>
        <v>86.206896551724142</v>
      </c>
      <c r="H21" s="69">
        <f t="shared" si="27"/>
        <v>86.206896551724142</v>
      </c>
      <c r="I21" s="69">
        <f t="shared" si="27"/>
        <v>86.206896551724142</v>
      </c>
      <c r="J21" s="69">
        <f t="shared" si="27"/>
        <v>86.206896551724142</v>
      </c>
      <c r="K21" s="69">
        <f t="shared" si="27"/>
        <v>86.206896551724142</v>
      </c>
      <c r="L21" s="69">
        <f t="shared" si="27"/>
        <v>86.206896551724142</v>
      </c>
      <c r="M21" s="69">
        <f t="shared" si="27"/>
        <v>86.206896551724142</v>
      </c>
      <c r="N21" s="69">
        <f t="shared" si="27"/>
        <v>86.206896551724142</v>
      </c>
      <c r="O21" s="69">
        <f t="shared" si="27"/>
        <v>86.206896551724142</v>
      </c>
      <c r="P21" s="69">
        <f t="shared" si="27"/>
        <v>86.206896551724142</v>
      </c>
      <c r="Q21" s="69">
        <v>0</v>
      </c>
      <c r="R21" s="69">
        <f t="shared" ref="R21:AA21" si="28">$B$54/$B$59</f>
        <v>86.206896551724142</v>
      </c>
      <c r="S21" s="69">
        <f t="shared" si="28"/>
        <v>86.206896551724142</v>
      </c>
      <c r="T21" s="69">
        <f t="shared" si="28"/>
        <v>86.206896551724142</v>
      </c>
      <c r="U21" s="69">
        <f t="shared" si="28"/>
        <v>86.206896551724142</v>
      </c>
      <c r="V21" s="69">
        <f t="shared" si="28"/>
        <v>86.206896551724142</v>
      </c>
      <c r="W21" s="69">
        <f t="shared" si="28"/>
        <v>86.206896551724142</v>
      </c>
      <c r="X21" s="69">
        <f t="shared" si="28"/>
        <v>86.206896551724142</v>
      </c>
      <c r="Y21" s="69">
        <f t="shared" si="28"/>
        <v>86.206896551724142</v>
      </c>
      <c r="Z21" s="69">
        <f t="shared" si="28"/>
        <v>86.206896551724142</v>
      </c>
      <c r="AA21" s="69">
        <f t="shared" si="28"/>
        <v>86.206896551724142</v>
      </c>
      <c r="AB21" s="69">
        <v>0</v>
      </c>
      <c r="AC21" s="69">
        <f t="shared" ref="AC21:AF21" si="29">$B$54/$B$59</f>
        <v>86.206896551724142</v>
      </c>
      <c r="AD21" s="69">
        <f t="shared" si="29"/>
        <v>86.206896551724142</v>
      </c>
      <c r="AE21" s="69">
        <f t="shared" si="29"/>
        <v>86.206896551724142</v>
      </c>
      <c r="AF21" s="69">
        <f t="shared" si="29"/>
        <v>86.206896551724142</v>
      </c>
      <c r="AG21" s="56">
        <f t="shared" si="24"/>
        <v>2500.0000000000009</v>
      </c>
      <c r="AH21" s="67">
        <f t="shared" si="25"/>
        <v>80.645161290322605</v>
      </c>
      <c r="AI21" s="68">
        <f t="shared" si="26"/>
        <v>0.46937867406157102</v>
      </c>
      <c r="AJ21" s="14"/>
      <c r="AO21" s="14"/>
      <c r="AP21" s="14"/>
      <c r="AQ21" s="14"/>
      <c r="AR21" s="14"/>
      <c r="AS21" s="14"/>
      <c r="AT21" s="14"/>
      <c r="AU21" s="14"/>
      <c r="AV21" s="14"/>
      <c r="AW21" s="14"/>
      <c r="AX21" s="14"/>
      <c r="AY21" s="14"/>
      <c r="AZ21" s="14"/>
      <c r="BA21" s="14"/>
      <c r="BB21" s="14"/>
      <c r="BC21" s="14"/>
    </row>
    <row r="22" spans="1:55" ht="15.75" customHeight="1" x14ac:dyDescent="0.2">
      <c r="A22" s="4" t="s">
        <v>181</v>
      </c>
      <c r="B22" s="69">
        <f t="shared" ref="B22:P22" si="30">$B$55/$B$59</f>
        <v>121.55172413793103</v>
      </c>
      <c r="C22" s="69">
        <f t="shared" si="30"/>
        <v>121.55172413793103</v>
      </c>
      <c r="D22" s="69">
        <f t="shared" si="30"/>
        <v>121.55172413793103</v>
      </c>
      <c r="E22" s="69">
        <f t="shared" si="30"/>
        <v>121.55172413793103</v>
      </c>
      <c r="F22" s="69">
        <f t="shared" si="30"/>
        <v>121.55172413793103</v>
      </c>
      <c r="G22" s="69">
        <f t="shared" si="30"/>
        <v>121.55172413793103</v>
      </c>
      <c r="H22" s="69">
        <f t="shared" si="30"/>
        <v>121.55172413793103</v>
      </c>
      <c r="I22" s="69">
        <f t="shared" si="30"/>
        <v>121.55172413793103</v>
      </c>
      <c r="J22" s="69">
        <f t="shared" si="30"/>
        <v>121.55172413793103</v>
      </c>
      <c r="K22" s="69">
        <f t="shared" si="30"/>
        <v>121.55172413793103</v>
      </c>
      <c r="L22" s="69">
        <f t="shared" si="30"/>
        <v>121.55172413793103</v>
      </c>
      <c r="M22" s="69">
        <f t="shared" si="30"/>
        <v>121.55172413793103</v>
      </c>
      <c r="N22" s="69">
        <f t="shared" si="30"/>
        <v>121.55172413793103</v>
      </c>
      <c r="O22" s="69">
        <f t="shared" si="30"/>
        <v>121.55172413793103</v>
      </c>
      <c r="P22" s="69">
        <f t="shared" si="30"/>
        <v>121.55172413793103</v>
      </c>
      <c r="Q22" s="69">
        <v>0</v>
      </c>
      <c r="R22" s="69">
        <f t="shared" ref="R22:AA22" si="31">$B$55/$B$59</f>
        <v>121.55172413793103</v>
      </c>
      <c r="S22" s="69">
        <f t="shared" si="31"/>
        <v>121.55172413793103</v>
      </c>
      <c r="T22" s="69">
        <f t="shared" si="31"/>
        <v>121.55172413793103</v>
      </c>
      <c r="U22" s="69">
        <f t="shared" si="31"/>
        <v>121.55172413793103</v>
      </c>
      <c r="V22" s="69">
        <f t="shared" si="31"/>
        <v>121.55172413793103</v>
      </c>
      <c r="W22" s="69">
        <f t="shared" si="31"/>
        <v>121.55172413793103</v>
      </c>
      <c r="X22" s="69">
        <f t="shared" si="31"/>
        <v>121.55172413793103</v>
      </c>
      <c r="Y22" s="69">
        <f t="shared" si="31"/>
        <v>121.55172413793103</v>
      </c>
      <c r="Z22" s="69">
        <f t="shared" si="31"/>
        <v>121.55172413793103</v>
      </c>
      <c r="AA22" s="69">
        <f t="shared" si="31"/>
        <v>121.55172413793103</v>
      </c>
      <c r="AB22" s="69">
        <v>0</v>
      </c>
      <c r="AC22" s="69">
        <f t="shared" ref="AC22:AF22" si="32">$B$55/$B$59</f>
        <v>121.55172413793103</v>
      </c>
      <c r="AD22" s="69">
        <f t="shared" si="32"/>
        <v>121.55172413793103</v>
      </c>
      <c r="AE22" s="69">
        <f t="shared" si="32"/>
        <v>121.55172413793103</v>
      </c>
      <c r="AF22" s="69">
        <f t="shared" si="32"/>
        <v>121.55172413793103</v>
      </c>
      <c r="AG22" s="56">
        <f t="shared" si="24"/>
        <v>3525.0000000000009</v>
      </c>
      <c r="AH22" s="67">
        <f t="shared" si="25"/>
        <v>113.70967741935486</v>
      </c>
      <c r="AI22" s="68">
        <f t="shared" si="26"/>
        <v>0.66182393042681509</v>
      </c>
      <c r="AJ22" s="14"/>
      <c r="AO22" s="14"/>
      <c r="AP22" s="14"/>
      <c r="AQ22" s="14"/>
      <c r="AR22" s="14"/>
      <c r="AS22" s="14"/>
      <c r="AT22" s="14"/>
      <c r="AU22" s="14"/>
      <c r="AV22" s="14"/>
      <c r="AW22" s="14"/>
      <c r="AX22" s="14"/>
      <c r="AY22" s="14"/>
      <c r="AZ22" s="14"/>
      <c r="BA22" s="14"/>
      <c r="BB22" s="14"/>
      <c r="BC22" s="14"/>
    </row>
    <row r="23" spans="1:55"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1"/>
      <c r="AH23" s="71"/>
      <c r="AI23" s="72"/>
      <c r="AJ23" s="14"/>
      <c r="AO23" s="14"/>
      <c r="AP23" s="14"/>
      <c r="AQ23" s="14"/>
      <c r="AR23" s="14"/>
      <c r="AS23" s="14"/>
      <c r="AT23" s="14"/>
      <c r="AU23" s="14"/>
      <c r="AV23" s="14"/>
      <c r="AW23" s="14"/>
      <c r="AX23" s="14"/>
      <c r="AY23" s="14"/>
      <c r="AZ23" s="14"/>
      <c r="BA23" s="14"/>
      <c r="BB23" s="14"/>
      <c r="BC23" s="14"/>
    </row>
    <row r="24" spans="1:55" ht="15.75" customHeight="1" x14ac:dyDescent="0.2">
      <c r="A24" s="4" t="s">
        <v>183</v>
      </c>
      <c r="B24" s="69">
        <v>0</v>
      </c>
      <c r="C24" s="69">
        <v>1790</v>
      </c>
      <c r="D24" s="69">
        <v>730</v>
      </c>
      <c r="E24" s="69">
        <v>270</v>
      </c>
      <c r="F24" s="69">
        <v>180</v>
      </c>
      <c r="G24" s="69">
        <v>0</v>
      </c>
      <c r="H24" s="69">
        <v>440</v>
      </c>
      <c r="I24" s="69">
        <v>0</v>
      </c>
      <c r="J24" s="69">
        <v>0</v>
      </c>
      <c r="K24" s="69">
        <v>0</v>
      </c>
      <c r="L24" s="69">
        <v>0</v>
      </c>
      <c r="M24" s="69">
        <v>0</v>
      </c>
      <c r="N24" s="69">
        <v>0</v>
      </c>
      <c r="O24" s="69">
        <v>0</v>
      </c>
      <c r="P24" s="69">
        <v>0</v>
      </c>
      <c r="Q24" s="69">
        <v>0</v>
      </c>
      <c r="R24" s="69">
        <v>0</v>
      </c>
      <c r="S24" s="69">
        <v>0</v>
      </c>
      <c r="T24" s="69">
        <v>0</v>
      </c>
      <c r="U24" s="69">
        <v>0</v>
      </c>
      <c r="V24" s="69">
        <v>880</v>
      </c>
      <c r="W24" s="69">
        <v>0</v>
      </c>
      <c r="X24" s="69">
        <v>0</v>
      </c>
      <c r="Y24" s="69">
        <v>0</v>
      </c>
      <c r="Z24" s="69">
        <v>180</v>
      </c>
      <c r="AA24" s="69">
        <v>0</v>
      </c>
      <c r="AB24" s="69">
        <v>0</v>
      </c>
      <c r="AC24" s="69">
        <v>0</v>
      </c>
      <c r="AD24" s="69">
        <v>0</v>
      </c>
      <c r="AE24" s="69">
        <v>0</v>
      </c>
      <c r="AF24" s="69">
        <v>0</v>
      </c>
      <c r="AG24" s="56">
        <f t="shared" ref="AG24:AG28" si="33">SUM(B24:AF24)</f>
        <v>4470</v>
      </c>
      <c r="AH24" s="67">
        <f t="shared" ref="AH24:AH28" si="34">IFERROR(AVERAGE(B24:AF24),0)</f>
        <v>144.19354838709677</v>
      </c>
      <c r="AI24" s="68">
        <f t="shared" ref="AI24:AI28" si="35">(AH24/$AH$29)*100</f>
        <v>0.83924906922208875</v>
      </c>
      <c r="AJ24" s="14"/>
      <c r="AO24" s="14"/>
      <c r="AP24" s="14"/>
      <c r="AQ24" s="14"/>
      <c r="AR24" s="14"/>
      <c r="AS24" s="14"/>
      <c r="AT24" s="14"/>
      <c r="AU24" s="14"/>
      <c r="AV24" s="14"/>
      <c r="AW24" s="14"/>
      <c r="AX24" s="14"/>
      <c r="AY24" s="14"/>
      <c r="AZ24" s="14"/>
      <c r="BA24" s="14"/>
      <c r="BB24" s="14"/>
      <c r="BC24" s="14"/>
    </row>
    <row r="25" spans="1:55" ht="15.75" customHeight="1" x14ac:dyDescent="0.2">
      <c r="A25" s="4" t="s">
        <v>184</v>
      </c>
      <c r="B25" s="69">
        <v>0</v>
      </c>
      <c r="C25" s="69">
        <v>0</v>
      </c>
      <c r="D25" s="69">
        <v>0</v>
      </c>
      <c r="E25" s="69">
        <v>0</v>
      </c>
      <c r="F25" s="69">
        <v>0</v>
      </c>
      <c r="G25" s="69">
        <v>0</v>
      </c>
      <c r="H25" s="69">
        <v>0</v>
      </c>
      <c r="I25" s="69">
        <v>0</v>
      </c>
      <c r="J25" s="69">
        <v>800</v>
      </c>
      <c r="K25" s="69">
        <v>0</v>
      </c>
      <c r="L25" s="69">
        <v>0</v>
      </c>
      <c r="M25" s="69">
        <v>0</v>
      </c>
      <c r="N25" s="69">
        <v>0</v>
      </c>
      <c r="O25" s="69">
        <v>0</v>
      </c>
      <c r="P25" s="69">
        <v>0</v>
      </c>
      <c r="Q25" s="69">
        <v>0</v>
      </c>
      <c r="R25" s="69">
        <v>0</v>
      </c>
      <c r="S25" s="69">
        <v>0</v>
      </c>
      <c r="T25" s="69">
        <v>0</v>
      </c>
      <c r="U25" s="69">
        <v>200</v>
      </c>
      <c r="V25" s="69">
        <v>0</v>
      </c>
      <c r="W25" s="69">
        <v>100</v>
      </c>
      <c r="X25" s="69">
        <v>100</v>
      </c>
      <c r="Y25" s="69">
        <v>0</v>
      </c>
      <c r="Z25" s="69">
        <v>0</v>
      </c>
      <c r="AA25" s="69">
        <v>0</v>
      </c>
      <c r="AB25" s="69">
        <v>0</v>
      </c>
      <c r="AC25" s="69">
        <v>0</v>
      </c>
      <c r="AD25" s="69">
        <v>0</v>
      </c>
      <c r="AE25" s="69">
        <v>200</v>
      </c>
      <c r="AF25" s="69">
        <v>0</v>
      </c>
      <c r="AG25" s="56">
        <f t="shared" si="33"/>
        <v>1400</v>
      </c>
      <c r="AH25" s="67">
        <f t="shared" si="34"/>
        <v>45.161290322580648</v>
      </c>
      <c r="AI25" s="68">
        <f t="shared" si="35"/>
        <v>0.26285205747447976</v>
      </c>
      <c r="AJ25" s="14"/>
      <c r="AK25" s="14"/>
      <c r="AL25" s="14"/>
      <c r="AM25" s="14"/>
      <c r="AN25" s="14"/>
      <c r="AO25" s="14"/>
      <c r="AP25" s="14"/>
      <c r="AQ25" s="14"/>
      <c r="AR25" s="14"/>
      <c r="AS25" s="14"/>
      <c r="AT25" s="14"/>
      <c r="AU25" s="14"/>
      <c r="AV25" s="14"/>
      <c r="AW25" s="14"/>
      <c r="AX25" s="14"/>
      <c r="AY25" s="14"/>
      <c r="AZ25" s="14"/>
      <c r="BA25" s="14"/>
      <c r="BB25" s="14"/>
      <c r="BC25" s="14"/>
    </row>
    <row r="26" spans="1:55" ht="15.75" customHeight="1" x14ac:dyDescent="0.2">
      <c r="A26" s="4" t="s">
        <v>185</v>
      </c>
      <c r="B26" s="69">
        <v>120</v>
      </c>
      <c r="C26" s="69">
        <v>0</v>
      </c>
      <c r="D26" s="69">
        <v>0</v>
      </c>
      <c r="E26" s="69">
        <v>600</v>
      </c>
      <c r="F26" s="69">
        <v>0</v>
      </c>
      <c r="G26" s="69">
        <v>0</v>
      </c>
      <c r="H26" s="69">
        <v>0</v>
      </c>
      <c r="I26" s="69">
        <v>0</v>
      </c>
      <c r="J26" s="69">
        <v>0</v>
      </c>
      <c r="K26" s="69">
        <v>280</v>
      </c>
      <c r="L26" s="69">
        <v>70</v>
      </c>
      <c r="M26" s="69">
        <v>140</v>
      </c>
      <c r="N26" s="69">
        <v>40</v>
      </c>
      <c r="O26" s="69">
        <v>0</v>
      </c>
      <c r="P26" s="69">
        <v>0</v>
      </c>
      <c r="Q26" s="69">
        <v>0</v>
      </c>
      <c r="R26" s="69">
        <v>220</v>
      </c>
      <c r="S26" s="69">
        <v>0</v>
      </c>
      <c r="T26" s="69">
        <v>0</v>
      </c>
      <c r="U26" s="69">
        <v>100</v>
      </c>
      <c r="V26" s="69">
        <v>0</v>
      </c>
      <c r="W26" s="69">
        <v>240</v>
      </c>
      <c r="X26" s="69">
        <v>0</v>
      </c>
      <c r="Y26" s="69">
        <v>280</v>
      </c>
      <c r="Z26" s="69">
        <v>0</v>
      </c>
      <c r="AA26" s="69">
        <v>0</v>
      </c>
      <c r="AB26" s="69">
        <v>0</v>
      </c>
      <c r="AC26" s="69">
        <v>0</v>
      </c>
      <c r="AD26" s="69">
        <v>0</v>
      </c>
      <c r="AE26" s="69">
        <v>0</v>
      </c>
      <c r="AF26" s="69">
        <v>0</v>
      </c>
      <c r="AG26" s="56">
        <f t="shared" si="33"/>
        <v>2090</v>
      </c>
      <c r="AH26" s="67">
        <f t="shared" si="34"/>
        <v>67.41935483870968</v>
      </c>
      <c r="AI26" s="68">
        <f t="shared" si="35"/>
        <v>0.39240057151547325</v>
      </c>
      <c r="AJ26" s="14"/>
      <c r="AK26" s="14"/>
      <c r="AL26" s="14"/>
      <c r="AM26" s="14"/>
      <c r="AN26" s="14"/>
      <c r="AO26" s="14"/>
      <c r="AP26" s="14"/>
      <c r="AQ26" s="14"/>
      <c r="AR26" s="14"/>
      <c r="AS26" s="14"/>
      <c r="AT26" s="14"/>
      <c r="AU26" s="14"/>
      <c r="AV26" s="14"/>
      <c r="AW26" s="14"/>
      <c r="AX26" s="14"/>
      <c r="AY26" s="14"/>
      <c r="AZ26" s="14"/>
      <c r="BA26" s="14"/>
      <c r="BB26" s="14"/>
      <c r="BC26" s="14"/>
    </row>
    <row r="27" spans="1:55" ht="15.75" customHeight="1" x14ac:dyDescent="0.2">
      <c r="A27" s="4" t="s">
        <v>186</v>
      </c>
      <c r="B27" s="69">
        <v>0</v>
      </c>
      <c r="C27" s="69">
        <v>0</v>
      </c>
      <c r="D27" s="69">
        <v>0</v>
      </c>
      <c r="E27" s="69">
        <v>0</v>
      </c>
      <c r="F27" s="69">
        <v>0</v>
      </c>
      <c r="G27" s="69">
        <v>0</v>
      </c>
      <c r="H27" s="69">
        <v>0</v>
      </c>
      <c r="I27" s="69">
        <v>0</v>
      </c>
      <c r="J27" s="69">
        <v>0</v>
      </c>
      <c r="K27" s="69">
        <v>0</v>
      </c>
      <c r="L27" s="69">
        <v>0</v>
      </c>
      <c r="M27" s="69">
        <v>0</v>
      </c>
      <c r="N27" s="69">
        <v>0</v>
      </c>
      <c r="O27" s="69">
        <v>0</v>
      </c>
      <c r="P27" s="69">
        <v>0</v>
      </c>
      <c r="Q27" s="69">
        <v>0</v>
      </c>
      <c r="R27" s="69">
        <v>0</v>
      </c>
      <c r="S27" s="69">
        <v>0</v>
      </c>
      <c r="T27" s="69">
        <v>0</v>
      </c>
      <c r="U27" s="69">
        <v>0</v>
      </c>
      <c r="V27" s="69">
        <v>0</v>
      </c>
      <c r="W27" s="69">
        <v>0</v>
      </c>
      <c r="X27" s="69">
        <v>0</v>
      </c>
      <c r="Y27" s="69">
        <v>0</v>
      </c>
      <c r="Z27" s="69">
        <v>0</v>
      </c>
      <c r="AA27" s="69">
        <v>0</v>
      </c>
      <c r="AB27" s="69">
        <v>0</v>
      </c>
      <c r="AC27" s="69">
        <v>0</v>
      </c>
      <c r="AD27" s="69">
        <v>0</v>
      </c>
      <c r="AE27" s="69">
        <v>0</v>
      </c>
      <c r="AF27" s="69">
        <v>0</v>
      </c>
      <c r="AG27" s="56">
        <f t="shared" si="33"/>
        <v>0</v>
      </c>
      <c r="AH27" s="67">
        <f t="shared" si="34"/>
        <v>0</v>
      </c>
      <c r="AI27" s="68">
        <f t="shared" si="35"/>
        <v>0</v>
      </c>
      <c r="AJ27" s="14"/>
      <c r="AK27" s="14"/>
      <c r="AL27" s="14"/>
      <c r="AM27" s="14"/>
      <c r="AN27" s="14"/>
      <c r="AO27" s="14"/>
      <c r="AP27" s="14"/>
      <c r="AQ27" s="14"/>
      <c r="AR27" s="14"/>
      <c r="AS27" s="14"/>
      <c r="AT27" s="14"/>
      <c r="AU27" s="14"/>
      <c r="AV27" s="14"/>
      <c r="AW27" s="14"/>
      <c r="AX27" s="14"/>
      <c r="AY27" s="14"/>
      <c r="AZ27" s="14"/>
      <c r="BA27" s="14"/>
      <c r="BB27" s="14"/>
      <c r="BC27" s="14"/>
    </row>
    <row r="28" spans="1:55"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1650</v>
      </c>
      <c r="AA28" s="69">
        <v>0</v>
      </c>
      <c r="AB28" s="69">
        <v>0</v>
      </c>
      <c r="AC28" s="69">
        <v>0</v>
      </c>
      <c r="AD28" s="69">
        <v>0</v>
      </c>
      <c r="AE28" s="69">
        <v>0</v>
      </c>
      <c r="AF28" s="69">
        <v>0</v>
      </c>
      <c r="AG28" s="56">
        <f t="shared" si="33"/>
        <v>1650</v>
      </c>
      <c r="AH28" s="67">
        <f t="shared" si="34"/>
        <v>53.225806451612904</v>
      </c>
      <c r="AI28" s="68">
        <f t="shared" si="35"/>
        <v>0.30978992488063684</v>
      </c>
      <c r="AJ28" s="14"/>
      <c r="AK28" s="14"/>
      <c r="AL28" s="14"/>
      <c r="AM28" s="14"/>
      <c r="AN28" s="14"/>
      <c r="AO28" s="14"/>
      <c r="AP28" s="14"/>
      <c r="AQ28" s="14"/>
      <c r="AR28" s="14"/>
      <c r="AS28" s="14"/>
      <c r="AT28" s="14"/>
      <c r="AU28" s="14"/>
      <c r="AV28" s="14"/>
      <c r="AW28" s="14"/>
      <c r="AX28" s="14"/>
      <c r="AY28" s="14"/>
      <c r="AZ28" s="14"/>
      <c r="BA28" s="14"/>
      <c r="BB28" s="14"/>
      <c r="BC28" s="14"/>
    </row>
    <row r="29" spans="1:55" ht="15.75" customHeight="1" x14ac:dyDescent="0.2">
      <c r="A29" s="10" t="s">
        <v>0</v>
      </c>
      <c r="B29" s="76">
        <f t="shared" ref="B29:AG29" si="36">SUM(B2:B28)</f>
        <v>22914.758620689652</v>
      </c>
      <c r="C29" s="76">
        <f t="shared" si="36"/>
        <v>29527.758620689652</v>
      </c>
      <c r="D29" s="76">
        <f t="shared" si="36"/>
        <v>27197.758620689652</v>
      </c>
      <c r="E29" s="76">
        <f t="shared" si="36"/>
        <v>21302.758620689652</v>
      </c>
      <c r="F29" s="76">
        <f t="shared" si="36"/>
        <v>22434.758620689652</v>
      </c>
      <c r="G29" s="76">
        <f t="shared" si="36"/>
        <v>16497.758620689656</v>
      </c>
      <c r="H29" s="76">
        <f t="shared" si="36"/>
        <v>25399.758620689652</v>
      </c>
      <c r="I29" s="76">
        <f t="shared" si="36"/>
        <v>16504.758620689656</v>
      </c>
      <c r="J29" s="76">
        <f t="shared" si="36"/>
        <v>16004.758620689656</v>
      </c>
      <c r="K29" s="76">
        <f t="shared" si="36"/>
        <v>16866.758620689656</v>
      </c>
      <c r="L29" s="76">
        <f t="shared" si="36"/>
        <v>16830.758620689656</v>
      </c>
      <c r="M29" s="76">
        <f t="shared" si="36"/>
        <v>16141.758620689656</v>
      </c>
      <c r="N29" s="76">
        <f t="shared" si="36"/>
        <v>17573.758620689656</v>
      </c>
      <c r="O29" s="76">
        <f t="shared" si="36"/>
        <v>15519.758620689656</v>
      </c>
      <c r="P29" s="76">
        <f t="shared" si="36"/>
        <v>16986.758620689656</v>
      </c>
      <c r="Q29" s="76">
        <f t="shared" si="36"/>
        <v>0</v>
      </c>
      <c r="R29" s="76">
        <f t="shared" si="36"/>
        <v>17747.758620689656</v>
      </c>
      <c r="S29" s="76">
        <f t="shared" si="36"/>
        <v>15794.758620689656</v>
      </c>
      <c r="T29" s="76">
        <f t="shared" si="36"/>
        <v>15518.758620689656</v>
      </c>
      <c r="U29" s="76">
        <f t="shared" si="36"/>
        <v>15679.758620689656</v>
      </c>
      <c r="V29" s="76">
        <f t="shared" si="36"/>
        <v>17184.758620689656</v>
      </c>
      <c r="W29" s="76">
        <f t="shared" si="36"/>
        <v>16654.758620689656</v>
      </c>
      <c r="X29" s="76">
        <f t="shared" si="36"/>
        <v>19038.758620689656</v>
      </c>
      <c r="Y29" s="76">
        <f t="shared" si="36"/>
        <v>21564.758620689652</v>
      </c>
      <c r="Z29" s="76">
        <f t="shared" si="36"/>
        <v>21114.758620689656</v>
      </c>
      <c r="AA29" s="76">
        <f t="shared" si="36"/>
        <v>15654.758620689656</v>
      </c>
      <c r="AB29" s="76">
        <f t="shared" si="36"/>
        <v>0</v>
      </c>
      <c r="AC29" s="76">
        <f t="shared" si="36"/>
        <v>14824.758620689656</v>
      </c>
      <c r="AD29" s="76">
        <f t="shared" si="36"/>
        <v>11979.758620689656</v>
      </c>
      <c r="AE29" s="76">
        <f t="shared" si="36"/>
        <v>16149.758620689656</v>
      </c>
      <c r="AF29" s="76">
        <f t="shared" si="36"/>
        <v>16006.758620689656</v>
      </c>
      <c r="AG29" s="76">
        <f t="shared" si="36"/>
        <v>532619</v>
      </c>
      <c r="AH29" s="28">
        <f>AVERAGE(B29:AF29)</f>
        <v>17181.25806451614</v>
      </c>
      <c r="AI29" s="77">
        <f>(AH29/$AH$29)*100</f>
        <v>100</v>
      </c>
      <c r="AJ29" s="14"/>
      <c r="AK29" s="14"/>
      <c r="AL29" s="14"/>
      <c r="AM29" s="14"/>
      <c r="AN29" s="14"/>
      <c r="AO29" s="14"/>
      <c r="AP29" s="14"/>
      <c r="AQ29" s="14"/>
      <c r="AR29" s="14"/>
      <c r="AS29" s="14"/>
      <c r="AT29" s="14"/>
      <c r="AU29" s="14"/>
      <c r="AV29" s="14"/>
      <c r="AW29" s="14"/>
      <c r="AX29" s="14"/>
      <c r="AY29" s="14"/>
      <c r="AZ29" s="14"/>
      <c r="BA29" s="14"/>
      <c r="BB29" s="14"/>
      <c r="BC29" s="14"/>
    </row>
    <row r="30" spans="1:55" ht="15.75" customHeight="1" x14ac:dyDescent="0.2">
      <c r="A30" s="4" t="s">
        <v>188</v>
      </c>
      <c r="B30" s="69">
        <v>4074</v>
      </c>
      <c r="C30" s="69">
        <v>6595</v>
      </c>
      <c r="D30" s="69">
        <v>7785</v>
      </c>
      <c r="E30" s="69">
        <v>2625</v>
      </c>
      <c r="F30" s="69">
        <v>2915</v>
      </c>
      <c r="G30" s="69">
        <v>5500</v>
      </c>
      <c r="H30" s="69">
        <v>3645</v>
      </c>
      <c r="I30" s="69">
        <v>1750</v>
      </c>
      <c r="J30" s="69">
        <v>6910</v>
      </c>
      <c r="K30" s="69">
        <v>13235</v>
      </c>
      <c r="L30" s="69">
        <v>4570</v>
      </c>
      <c r="M30" s="69">
        <v>2140</v>
      </c>
      <c r="N30" s="69">
        <v>7010</v>
      </c>
      <c r="O30" s="69">
        <v>2340</v>
      </c>
      <c r="P30" s="69">
        <v>12985</v>
      </c>
      <c r="Q30" s="69">
        <v>0</v>
      </c>
      <c r="R30" s="69">
        <v>7380</v>
      </c>
      <c r="S30" s="69">
        <v>3450</v>
      </c>
      <c r="T30" s="69">
        <v>2800</v>
      </c>
      <c r="U30" s="69">
        <v>3255</v>
      </c>
      <c r="V30" s="69">
        <v>1405</v>
      </c>
      <c r="W30" s="69">
        <v>2510</v>
      </c>
      <c r="X30" s="69">
        <v>4500</v>
      </c>
      <c r="Y30" s="69">
        <v>4290</v>
      </c>
      <c r="Z30" s="69">
        <v>3900</v>
      </c>
      <c r="AA30" s="69">
        <v>5050</v>
      </c>
      <c r="AB30" s="69">
        <v>0</v>
      </c>
      <c r="AC30" s="69">
        <v>430</v>
      </c>
      <c r="AD30" s="69">
        <v>520</v>
      </c>
      <c r="AE30" s="69">
        <v>7720</v>
      </c>
      <c r="AF30" s="69">
        <v>4959</v>
      </c>
      <c r="AG30" s="56">
        <f t="shared" ref="AG30:AG32" si="37">SUM(B30:AF30)</f>
        <v>136248</v>
      </c>
      <c r="AH30" s="67">
        <f t="shared" ref="AH30:AH32" si="38">IFERROR(AVERAGE(B30:AF30),0)</f>
        <v>4395.0967741935483</v>
      </c>
      <c r="AI30" s="68">
        <f t="shared" ref="AI30:AI32" si="39">IFERROR((AH30/$AH$32)*100,0)</f>
        <v>49.467557882430683</v>
      </c>
      <c r="AJ30" s="14"/>
      <c r="AK30" s="14"/>
      <c r="AL30" s="14"/>
      <c r="AM30" s="14"/>
      <c r="AN30" s="14"/>
      <c r="AO30" s="14"/>
      <c r="AP30" s="14"/>
      <c r="AQ30" s="14"/>
      <c r="AR30" s="14"/>
      <c r="AS30" s="14"/>
      <c r="AT30" s="14"/>
      <c r="AU30" s="14"/>
      <c r="AV30" s="14"/>
      <c r="AW30" s="14"/>
      <c r="AX30" s="14"/>
      <c r="AY30" s="14"/>
      <c r="AZ30" s="14"/>
      <c r="BA30" s="14"/>
      <c r="BB30" s="14"/>
      <c r="BC30" s="14"/>
    </row>
    <row r="31" spans="1:55" ht="15.75" customHeight="1" x14ac:dyDescent="0.2">
      <c r="A31" s="4" t="s">
        <v>189</v>
      </c>
      <c r="B31" s="78">
        <f t="shared" ref="B31:AF31" si="40">B32-B30</f>
        <v>3985</v>
      </c>
      <c r="C31" s="78">
        <f t="shared" si="40"/>
        <v>5555</v>
      </c>
      <c r="D31" s="78">
        <f t="shared" si="40"/>
        <v>15575</v>
      </c>
      <c r="E31" s="78">
        <f t="shared" si="40"/>
        <v>1720</v>
      </c>
      <c r="F31" s="78">
        <f t="shared" si="40"/>
        <v>5345</v>
      </c>
      <c r="G31" s="78">
        <f t="shared" si="40"/>
        <v>1775</v>
      </c>
      <c r="H31" s="78">
        <f t="shared" si="40"/>
        <v>7560</v>
      </c>
      <c r="I31" s="78">
        <f t="shared" si="40"/>
        <v>6280</v>
      </c>
      <c r="J31" s="78">
        <f t="shared" si="40"/>
        <v>6320</v>
      </c>
      <c r="K31" s="78">
        <f t="shared" si="40"/>
        <v>10770</v>
      </c>
      <c r="L31" s="78">
        <f t="shared" si="40"/>
        <v>5445</v>
      </c>
      <c r="M31" s="78">
        <f t="shared" si="40"/>
        <v>4680</v>
      </c>
      <c r="N31" s="78">
        <f t="shared" si="40"/>
        <v>1595</v>
      </c>
      <c r="O31" s="78">
        <f t="shared" si="40"/>
        <v>2690</v>
      </c>
      <c r="P31" s="78">
        <f t="shared" si="40"/>
        <v>9760</v>
      </c>
      <c r="Q31" s="78">
        <f t="shared" si="40"/>
        <v>0</v>
      </c>
      <c r="R31" s="78">
        <f t="shared" si="40"/>
        <v>3565</v>
      </c>
      <c r="S31" s="78">
        <f t="shared" si="40"/>
        <v>2940</v>
      </c>
      <c r="T31" s="78">
        <f t="shared" si="40"/>
        <v>2725</v>
      </c>
      <c r="U31" s="78">
        <f t="shared" si="40"/>
        <v>2495</v>
      </c>
      <c r="V31" s="78">
        <f t="shared" si="40"/>
        <v>3215</v>
      </c>
      <c r="W31" s="78">
        <f t="shared" si="40"/>
        <v>890</v>
      </c>
      <c r="X31" s="78">
        <f t="shared" si="40"/>
        <v>6345</v>
      </c>
      <c r="Y31" s="78">
        <f t="shared" si="40"/>
        <v>5045</v>
      </c>
      <c r="Z31" s="78">
        <f t="shared" si="40"/>
        <v>6610</v>
      </c>
      <c r="AA31" s="78">
        <f t="shared" si="40"/>
        <v>4200</v>
      </c>
      <c r="AB31" s="78">
        <f t="shared" si="40"/>
        <v>0</v>
      </c>
      <c r="AC31" s="78">
        <f t="shared" si="40"/>
        <v>3110</v>
      </c>
      <c r="AD31" s="78">
        <f t="shared" si="40"/>
        <v>2705</v>
      </c>
      <c r="AE31" s="78">
        <f t="shared" si="40"/>
        <v>3000</v>
      </c>
      <c r="AF31" s="78">
        <f t="shared" si="40"/>
        <v>3281</v>
      </c>
      <c r="AG31" s="56">
        <f t="shared" si="37"/>
        <v>139181</v>
      </c>
      <c r="AH31" s="67">
        <f t="shared" si="38"/>
        <v>4489.7096774193551</v>
      </c>
      <c r="AI31" s="68">
        <f t="shared" si="39"/>
        <v>50.532442117569317</v>
      </c>
      <c r="AJ31" s="14"/>
      <c r="AK31" s="14"/>
      <c r="AL31" s="14"/>
      <c r="AM31" s="14"/>
      <c r="AN31" s="14"/>
      <c r="AO31" s="14"/>
      <c r="AP31" s="14"/>
      <c r="AQ31" s="14"/>
      <c r="AR31" s="14"/>
      <c r="AS31" s="14"/>
      <c r="AT31" s="14"/>
      <c r="AU31" s="14"/>
      <c r="AV31" s="14"/>
      <c r="AW31" s="14"/>
      <c r="AX31" s="14"/>
      <c r="AY31" s="14"/>
      <c r="AZ31" s="14"/>
      <c r="BA31" s="14"/>
      <c r="BB31" s="14"/>
      <c r="BC31" s="14"/>
    </row>
    <row r="32" spans="1:55" ht="15.75" customHeight="1" x14ac:dyDescent="0.2">
      <c r="A32" s="4" t="s">
        <v>190</v>
      </c>
      <c r="B32" s="69">
        <v>8059</v>
      </c>
      <c r="C32" s="69">
        <v>12150</v>
      </c>
      <c r="D32" s="69">
        <v>23360</v>
      </c>
      <c r="E32" s="69">
        <v>4345</v>
      </c>
      <c r="F32" s="69">
        <v>8260</v>
      </c>
      <c r="G32" s="69">
        <v>7275</v>
      </c>
      <c r="H32" s="69">
        <v>11205</v>
      </c>
      <c r="I32" s="69">
        <v>8030</v>
      </c>
      <c r="J32" s="69">
        <v>13230</v>
      </c>
      <c r="K32" s="69">
        <v>24005</v>
      </c>
      <c r="L32" s="69">
        <v>10015</v>
      </c>
      <c r="M32" s="69">
        <v>6820</v>
      </c>
      <c r="N32" s="69">
        <f>8350+255</f>
        <v>8605</v>
      </c>
      <c r="O32" s="69">
        <v>5030</v>
      </c>
      <c r="P32" s="69">
        <v>22745</v>
      </c>
      <c r="Q32" s="69">
        <v>0</v>
      </c>
      <c r="R32" s="69">
        <v>10945</v>
      </c>
      <c r="S32" s="69">
        <v>6390</v>
      </c>
      <c r="T32" s="69">
        <v>5525</v>
      </c>
      <c r="U32" s="69">
        <v>5750</v>
      </c>
      <c r="V32" s="69">
        <v>4620</v>
      </c>
      <c r="W32" s="69">
        <v>3400</v>
      </c>
      <c r="X32" s="69">
        <v>10845</v>
      </c>
      <c r="Y32" s="69">
        <v>9335</v>
      </c>
      <c r="Z32" s="69">
        <v>10510</v>
      </c>
      <c r="AA32" s="69">
        <v>9250</v>
      </c>
      <c r="AB32" s="69">
        <v>0</v>
      </c>
      <c r="AC32" s="69">
        <v>3540</v>
      </c>
      <c r="AD32" s="69">
        <v>3225</v>
      </c>
      <c r="AE32" s="69">
        <v>10720</v>
      </c>
      <c r="AF32" s="69">
        <v>8240</v>
      </c>
      <c r="AG32" s="56">
        <f t="shared" si="37"/>
        <v>275429</v>
      </c>
      <c r="AH32" s="67">
        <f t="shared" si="38"/>
        <v>8884.8064516129034</v>
      </c>
      <c r="AI32" s="68">
        <f t="shared" si="39"/>
        <v>100</v>
      </c>
      <c r="AJ32" s="75"/>
      <c r="AK32" s="75"/>
      <c r="AL32" s="75"/>
      <c r="AM32" s="75"/>
      <c r="AN32" s="75"/>
      <c r="AO32" s="75"/>
      <c r="AP32" s="75"/>
      <c r="AQ32" s="75"/>
      <c r="AR32" s="14"/>
      <c r="AS32" s="14"/>
      <c r="AT32" s="14"/>
      <c r="AU32" s="14"/>
      <c r="AV32" s="14"/>
      <c r="AW32" s="14"/>
      <c r="AX32" s="14"/>
      <c r="AY32" s="14"/>
      <c r="AZ32" s="14"/>
      <c r="BA32" s="14"/>
      <c r="BB32" s="14"/>
      <c r="BC32" s="14"/>
    </row>
    <row r="33" spans="1:35" ht="15.75" customHeight="1" x14ac:dyDescent="0.2">
      <c r="A33" s="4" t="s">
        <v>191</v>
      </c>
      <c r="B33" s="69">
        <f t="shared" ref="B33:AF33" si="41">B32-B29</f>
        <v>-14855.758620689652</v>
      </c>
      <c r="C33" s="69">
        <f t="shared" si="41"/>
        <v>-17377.758620689652</v>
      </c>
      <c r="D33" s="69">
        <f t="shared" si="41"/>
        <v>-3837.7586206896522</v>
      </c>
      <c r="E33" s="69">
        <f t="shared" si="41"/>
        <v>-16957.758620689652</v>
      </c>
      <c r="F33" s="69">
        <f t="shared" si="41"/>
        <v>-14174.758620689652</v>
      </c>
      <c r="G33" s="69">
        <f t="shared" si="41"/>
        <v>-9222.7586206896558</v>
      </c>
      <c r="H33" s="69">
        <f t="shared" si="41"/>
        <v>-14194.758620689652</v>
      </c>
      <c r="I33" s="69">
        <f t="shared" si="41"/>
        <v>-8474.7586206896558</v>
      </c>
      <c r="J33" s="69">
        <f t="shared" si="41"/>
        <v>-2774.7586206896558</v>
      </c>
      <c r="K33" s="69">
        <f t="shared" si="41"/>
        <v>7138.2413793103442</v>
      </c>
      <c r="L33" s="69">
        <f t="shared" si="41"/>
        <v>-6815.7586206896558</v>
      </c>
      <c r="M33" s="69">
        <f t="shared" si="41"/>
        <v>-9321.7586206896558</v>
      </c>
      <c r="N33" s="69">
        <f t="shared" si="41"/>
        <v>-8968.7586206896558</v>
      </c>
      <c r="O33" s="69">
        <f t="shared" si="41"/>
        <v>-10489.758620689656</v>
      </c>
      <c r="P33" s="69">
        <f t="shared" si="41"/>
        <v>5758.2413793103442</v>
      </c>
      <c r="Q33" s="69">
        <f t="shared" si="41"/>
        <v>0</v>
      </c>
      <c r="R33" s="69">
        <f t="shared" si="41"/>
        <v>-6802.7586206896558</v>
      </c>
      <c r="S33" s="69">
        <f t="shared" si="41"/>
        <v>-9404.7586206896558</v>
      </c>
      <c r="T33" s="69">
        <f t="shared" si="41"/>
        <v>-9993.7586206896558</v>
      </c>
      <c r="U33" s="69">
        <f t="shared" si="41"/>
        <v>-9929.7586206896558</v>
      </c>
      <c r="V33" s="59">
        <f t="shared" si="41"/>
        <v>-12564.758620689656</v>
      </c>
      <c r="W33" s="59">
        <f t="shared" si="41"/>
        <v>-13254.758620689656</v>
      </c>
      <c r="X33" s="59">
        <f t="shared" si="41"/>
        <v>-8193.7586206896558</v>
      </c>
      <c r="Y33" s="59">
        <f t="shared" si="41"/>
        <v>-12229.758620689652</v>
      </c>
      <c r="Z33" s="59">
        <f t="shared" si="41"/>
        <v>-10604.758620689656</v>
      </c>
      <c r="AA33" s="59">
        <f t="shared" si="41"/>
        <v>-6404.7586206896558</v>
      </c>
      <c r="AB33" s="59">
        <f t="shared" si="41"/>
        <v>0</v>
      </c>
      <c r="AC33" s="59">
        <f t="shared" si="41"/>
        <v>-11284.758620689656</v>
      </c>
      <c r="AD33" s="59">
        <f t="shared" si="41"/>
        <v>-8754.7586206896558</v>
      </c>
      <c r="AE33" s="59">
        <f t="shared" si="41"/>
        <v>-5429.7586206896558</v>
      </c>
      <c r="AF33" s="59">
        <f t="shared" si="41"/>
        <v>-7766.7586206896558</v>
      </c>
      <c r="AG33" s="81">
        <f>SUM(B33:AF33)+B40+B41</f>
        <v>-46925.999999999913</v>
      </c>
      <c r="AH33" s="5">
        <f>AVERAGE(B33:AF33,B40,B41)</f>
        <v>-1421.9999999999973</v>
      </c>
      <c r="AI33" s="68"/>
    </row>
    <row r="34" spans="1:35"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7"/>
      <c r="AH34" s="7"/>
    </row>
    <row r="35" spans="1:35" ht="15.75" customHeight="1" x14ac:dyDescent="0.2">
      <c r="A35" s="4" t="s">
        <v>13</v>
      </c>
      <c r="B35" s="59">
        <f t="shared" ref="B35:B38" si="42">SUM(B29:AF29)</f>
        <v>532619.00000000035</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7"/>
      <c r="AH35" s="7"/>
    </row>
    <row r="36" spans="1:35" ht="15.75" customHeight="1" x14ac:dyDescent="0.2">
      <c r="A36" s="4" t="s">
        <v>14</v>
      </c>
      <c r="B36" s="59">
        <f t="shared" si="42"/>
        <v>136248</v>
      </c>
      <c r="C36" s="6"/>
      <c r="D36" s="14" t="s">
        <v>198</v>
      </c>
      <c r="M36" s="6"/>
      <c r="N36" s="6"/>
      <c r="O36" s="6"/>
      <c r="P36" s="6"/>
      <c r="Q36" s="6"/>
      <c r="R36" s="6"/>
      <c r="S36" s="6"/>
      <c r="T36" s="6"/>
      <c r="U36" s="6"/>
      <c r="V36" s="6"/>
      <c r="W36" s="6"/>
      <c r="X36" s="6"/>
      <c r="Y36" s="6"/>
      <c r="Z36" s="6"/>
      <c r="AA36" s="6"/>
      <c r="AB36" s="6"/>
      <c r="AC36" s="6"/>
      <c r="AD36" s="6"/>
      <c r="AE36" s="6"/>
      <c r="AF36" s="6"/>
      <c r="AG36" s="7"/>
      <c r="AH36" s="7"/>
    </row>
    <row r="37" spans="1:35" ht="15.75" customHeight="1" x14ac:dyDescent="0.2">
      <c r="A37" s="4" t="s">
        <v>15</v>
      </c>
      <c r="B37" s="59">
        <f t="shared" si="42"/>
        <v>139181</v>
      </c>
      <c r="C37" s="6"/>
      <c r="M37" s="6"/>
      <c r="N37" s="6"/>
      <c r="O37" s="6"/>
      <c r="P37" s="6"/>
      <c r="Q37" s="6"/>
      <c r="R37" s="6"/>
      <c r="S37" s="6"/>
      <c r="T37" s="6"/>
      <c r="U37" s="6"/>
      <c r="V37" s="6"/>
      <c r="W37" s="6"/>
      <c r="X37" s="6"/>
      <c r="Y37" s="6"/>
      <c r="Z37" s="6"/>
      <c r="AA37" s="6"/>
      <c r="AB37" s="6"/>
      <c r="AC37" s="6"/>
      <c r="AD37" s="6"/>
      <c r="AE37" s="6"/>
      <c r="AF37" s="6"/>
      <c r="AG37" s="7"/>
      <c r="AH37" s="7"/>
    </row>
    <row r="38" spans="1:35" ht="15.75" customHeight="1" x14ac:dyDescent="0.2">
      <c r="A38" s="4" t="s">
        <v>16</v>
      </c>
      <c r="B38" s="59">
        <f t="shared" si="42"/>
        <v>275429</v>
      </c>
      <c r="C38" s="6"/>
      <c r="N38" s="6"/>
      <c r="O38" s="6"/>
      <c r="P38" s="6"/>
      <c r="Q38" s="6"/>
      <c r="R38" s="6"/>
      <c r="S38" s="6"/>
      <c r="T38" s="6"/>
      <c r="U38" s="6"/>
      <c r="V38" s="6"/>
      <c r="W38" s="6"/>
      <c r="X38" s="6"/>
      <c r="Y38" s="6"/>
      <c r="Z38" s="6"/>
      <c r="AA38" s="6"/>
      <c r="AB38" s="6"/>
      <c r="AC38" s="6"/>
      <c r="AD38" s="6"/>
      <c r="AE38" s="6"/>
      <c r="AF38" s="6"/>
      <c r="AG38" s="7"/>
      <c r="AH38" s="7"/>
    </row>
    <row r="39" spans="1:35" ht="15.75" customHeight="1" x14ac:dyDescent="0.2">
      <c r="A39" s="4" t="s">
        <v>17</v>
      </c>
      <c r="B39" s="80">
        <f>Expenses!L20</f>
        <v>105619</v>
      </c>
      <c r="C39" s="6"/>
      <c r="O39" s="6"/>
      <c r="P39" s="6"/>
      <c r="Q39" s="6"/>
      <c r="R39" s="6"/>
      <c r="S39" s="6"/>
      <c r="T39" s="6"/>
      <c r="U39" s="6"/>
      <c r="V39" s="6"/>
      <c r="W39" s="6"/>
      <c r="X39" s="6"/>
      <c r="Y39" s="6"/>
      <c r="Z39" s="6"/>
      <c r="AA39" s="6"/>
      <c r="AB39" s="6"/>
      <c r="AC39" s="6"/>
      <c r="AD39" s="6"/>
      <c r="AE39" s="6"/>
      <c r="AF39" s="6"/>
      <c r="AG39" s="7"/>
      <c r="AH39" s="7"/>
    </row>
    <row r="40" spans="1:35" ht="15.75" customHeight="1" x14ac:dyDescent="0.2">
      <c r="A40" s="4" t="s">
        <v>18</v>
      </c>
      <c r="B40" s="59">
        <f>119000+7015+22939+41100</f>
        <v>190054</v>
      </c>
      <c r="C40" s="6"/>
      <c r="M40" s="6"/>
      <c r="N40" s="6"/>
      <c r="O40" s="6"/>
      <c r="P40" s="6"/>
      <c r="Q40" s="6"/>
      <c r="R40" s="6"/>
      <c r="S40" s="6"/>
      <c r="T40" s="6"/>
      <c r="U40" s="6"/>
      <c r="V40" s="6"/>
      <c r="W40" s="6"/>
      <c r="X40" s="6"/>
      <c r="Y40" s="6"/>
      <c r="Z40" s="6"/>
      <c r="AA40" s="6"/>
      <c r="AB40" s="6"/>
      <c r="AC40" s="6"/>
      <c r="AD40" s="6"/>
      <c r="AE40" s="6"/>
      <c r="AF40" s="6"/>
      <c r="AG40" s="7"/>
      <c r="AH40" s="7"/>
    </row>
    <row r="41" spans="1:35" ht="15.75" customHeight="1" x14ac:dyDescent="0.2">
      <c r="A41" s="4" t="s">
        <v>19</v>
      </c>
      <c r="B41" s="59">
        <f>4793+7242+5162+3013</f>
        <v>20210</v>
      </c>
      <c r="C41" s="6"/>
      <c r="M41" s="6"/>
      <c r="N41" s="6"/>
      <c r="O41" s="6"/>
      <c r="P41" s="6"/>
      <c r="Q41" s="6"/>
      <c r="R41" s="6"/>
      <c r="S41" s="6"/>
      <c r="T41" s="6"/>
      <c r="U41" s="6"/>
      <c r="V41" s="6"/>
      <c r="W41" s="6"/>
      <c r="X41" s="6"/>
      <c r="Y41" s="6"/>
      <c r="Z41" s="6"/>
      <c r="AA41" s="6"/>
      <c r="AB41" s="6"/>
      <c r="AC41" s="6"/>
      <c r="AD41" s="6"/>
      <c r="AE41" s="6"/>
      <c r="AF41" s="6"/>
      <c r="AG41" s="7"/>
      <c r="AH41" s="7"/>
    </row>
    <row r="42" spans="1:35" ht="15.75" customHeight="1" x14ac:dyDescent="0.2">
      <c r="A42" s="4" t="s">
        <v>20</v>
      </c>
      <c r="B42" s="59">
        <f>Stock!AL72</f>
        <v>127049</v>
      </c>
      <c r="C42" s="6"/>
      <c r="M42" s="6"/>
      <c r="N42" s="6"/>
      <c r="O42" s="6"/>
      <c r="P42" s="6"/>
      <c r="Q42" s="6"/>
      <c r="R42" s="6"/>
      <c r="S42" s="6"/>
      <c r="T42" s="6"/>
      <c r="U42" s="6"/>
      <c r="V42" s="6"/>
      <c r="W42" s="6"/>
      <c r="X42" s="6"/>
      <c r="Y42" s="6"/>
      <c r="Z42" s="6"/>
      <c r="AA42" s="6"/>
      <c r="AB42" s="6"/>
      <c r="AC42" s="6"/>
      <c r="AD42" s="6"/>
      <c r="AE42" s="6"/>
      <c r="AF42" s="6"/>
      <c r="AG42" s="7"/>
      <c r="AH42" s="7"/>
    </row>
    <row r="43" spans="1:35" ht="15.75" customHeight="1" x14ac:dyDescent="0.2">
      <c r="A43" s="4" t="s">
        <v>21</v>
      </c>
      <c r="B43" s="59">
        <f>B38-B35+B40+B41</f>
        <v>-46926.000000000349</v>
      </c>
      <c r="C43" s="6"/>
      <c r="M43" s="6"/>
      <c r="N43" s="6"/>
      <c r="O43" s="6"/>
      <c r="P43" s="6"/>
      <c r="Q43" s="6"/>
      <c r="R43" s="6"/>
      <c r="S43" s="6"/>
      <c r="T43" s="6"/>
      <c r="U43" s="6"/>
      <c r="V43" s="6"/>
      <c r="W43" s="6"/>
      <c r="X43" s="6"/>
      <c r="Y43" s="6"/>
      <c r="Z43" s="6"/>
      <c r="AA43" s="6"/>
      <c r="AB43" s="6"/>
      <c r="AC43" s="6"/>
      <c r="AD43" s="6"/>
      <c r="AE43" s="6"/>
      <c r="AF43" s="6"/>
      <c r="AG43" s="7"/>
      <c r="AH43" s="7"/>
    </row>
    <row r="44" spans="1:35" ht="15.75" customHeight="1" x14ac:dyDescent="0.2">
      <c r="B44" s="6"/>
      <c r="C44" s="6"/>
      <c r="M44" s="6"/>
      <c r="N44" s="6"/>
      <c r="O44" s="6"/>
      <c r="P44" s="6"/>
      <c r="Q44" s="6"/>
      <c r="R44" s="6"/>
      <c r="S44" s="6"/>
      <c r="T44" s="6"/>
      <c r="U44" s="6"/>
      <c r="V44" s="6"/>
      <c r="W44" s="6"/>
      <c r="X44" s="6"/>
      <c r="Y44" s="6"/>
      <c r="Z44" s="6"/>
      <c r="AA44" s="6"/>
      <c r="AB44" s="6"/>
      <c r="AC44" s="6"/>
      <c r="AD44" s="6"/>
      <c r="AE44" s="6"/>
      <c r="AF44" s="6"/>
      <c r="AG44" s="7"/>
      <c r="AH44" s="7"/>
    </row>
    <row r="45" spans="1:35" ht="15.75" customHeight="1" x14ac:dyDescent="0.2">
      <c r="A45" s="4" t="s">
        <v>201</v>
      </c>
      <c r="B45" s="59">
        <v>1000</v>
      </c>
      <c r="C45" s="59">
        <v>1000</v>
      </c>
      <c r="D45" s="59">
        <v>1000</v>
      </c>
      <c r="E45" s="59">
        <v>1000</v>
      </c>
      <c r="F45" s="59">
        <v>1000</v>
      </c>
      <c r="G45" s="59">
        <v>0</v>
      </c>
      <c r="H45" s="59">
        <v>0</v>
      </c>
      <c r="I45" s="59">
        <v>0</v>
      </c>
      <c r="J45" s="59">
        <v>0</v>
      </c>
      <c r="K45" s="59">
        <v>0</v>
      </c>
      <c r="L45" s="59">
        <v>0</v>
      </c>
      <c r="M45" s="59">
        <v>0</v>
      </c>
      <c r="N45" s="59">
        <v>0</v>
      </c>
      <c r="O45" s="59">
        <v>0</v>
      </c>
      <c r="P45" s="59">
        <v>0</v>
      </c>
      <c r="Q45" s="59">
        <v>0</v>
      </c>
      <c r="R45" s="59">
        <v>0</v>
      </c>
      <c r="S45" s="59">
        <v>2700</v>
      </c>
      <c r="T45" s="59">
        <v>2700</v>
      </c>
      <c r="U45" s="59">
        <v>2700</v>
      </c>
      <c r="V45" s="59">
        <v>2700</v>
      </c>
      <c r="W45" s="59">
        <v>2700</v>
      </c>
      <c r="X45" s="59">
        <v>2700</v>
      </c>
      <c r="Y45" s="59">
        <v>2700</v>
      </c>
      <c r="Z45" s="59">
        <v>2700</v>
      </c>
      <c r="AA45" s="59">
        <v>1700</v>
      </c>
      <c r="AB45" s="59">
        <v>0</v>
      </c>
      <c r="AC45" s="59">
        <v>1700</v>
      </c>
      <c r="AD45" s="59">
        <v>1700</v>
      </c>
      <c r="AE45" s="59">
        <v>1700</v>
      </c>
      <c r="AF45" s="59">
        <v>1700</v>
      </c>
      <c r="AG45" s="56">
        <f t="shared" ref="AG45:AG47" si="43">SUM(B45:AE45)</f>
        <v>33400</v>
      </c>
      <c r="AH45" s="7"/>
    </row>
    <row r="46" spans="1:35" ht="15.75" customHeight="1" x14ac:dyDescent="0.2">
      <c r="A46" s="4" t="s">
        <v>202</v>
      </c>
      <c r="B46" s="59">
        <v>10900</v>
      </c>
      <c r="C46" s="59">
        <v>14000</v>
      </c>
      <c r="D46" s="59">
        <v>1000</v>
      </c>
      <c r="E46" s="59">
        <v>8000</v>
      </c>
      <c r="F46" s="59">
        <v>8000</v>
      </c>
      <c r="G46" s="59">
        <v>0</v>
      </c>
      <c r="H46" s="59">
        <v>12500</v>
      </c>
      <c r="I46" s="59">
        <v>1600</v>
      </c>
      <c r="J46" s="59">
        <v>900</v>
      </c>
      <c r="K46" s="59">
        <v>0</v>
      </c>
      <c r="L46" s="59">
        <v>0</v>
      </c>
      <c r="M46" s="59">
        <v>0</v>
      </c>
      <c r="N46" s="59">
        <f>1500+1000+5000</f>
        <v>7500</v>
      </c>
      <c r="O46" s="59">
        <v>0</v>
      </c>
      <c r="P46" s="59">
        <v>0</v>
      </c>
      <c r="Q46" s="59">
        <v>0</v>
      </c>
      <c r="R46" s="59">
        <v>0</v>
      </c>
      <c r="S46" s="59">
        <v>1700</v>
      </c>
      <c r="T46" s="59">
        <v>1000</v>
      </c>
      <c r="U46" s="59">
        <v>1000</v>
      </c>
      <c r="V46" s="59">
        <v>2000</v>
      </c>
      <c r="W46" s="59">
        <v>2200</v>
      </c>
      <c r="X46" s="59">
        <v>1700</v>
      </c>
      <c r="Y46" s="59">
        <v>2600</v>
      </c>
      <c r="Z46" s="59">
        <f>2200+1650-1500</f>
        <v>2350</v>
      </c>
      <c r="AA46" s="59">
        <v>2000</v>
      </c>
      <c r="AB46" s="59">
        <v>0</v>
      </c>
      <c r="AC46" s="59">
        <v>1000</v>
      </c>
      <c r="AD46" s="59">
        <v>850</v>
      </c>
      <c r="AE46" s="59">
        <v>1550</v>
      </c>
      <c r="AF46" s="59">
        <v>80</v>
      </c>
      <c r="AG46" s="56">
        <f t="shared" si="43"/>
        <v>84350</v>
      </c>
      <c r="AH46" s="7"/>
    </row>
    <row r="47" spans="1:35" ht="15.75" customHeight="1" x14ac:dyDescent="0.2">
      <c r="A47" s="4" t="s">
        <v>203</v>
      </c>
      <c r="B47" s="59">
        <f t="shared" ref="B47:AF47" si="44">B4+B3+B7+B8+(SUM(B20:B22))+B45+B46</f>
        <v>21449.758620689656</v>
      </c>
      <c r="C47" s="59">
        <f t="shared" si="44"/>
        <v>24549.758620689656</v>
      </c>
      <c r="D47" s="59">
        <f t="shared" si="44"/>
        <v>11549.758620689656</v>
      </c>
      <c r="E47" s="59">
        <f t="shared" si="44"/>
        <v>18549.758620689656</v>
      </c>
      <c r="F47" s="59">
        <f t="shared" si="44"/>
        <v>18549.758620689656</v>
      </c>
      <c r="G47" s="59">
        <f t="shared" si="44"/>
        <v>9549.7586206896558</v>
      </c>
      <c r="H47" s="59">
        <f t="shared" si="44"/>
        <v>22049.758620689656</v>
      </c>
      <c r="I47" s="59">
        <f t="shared" si="44"/>
        <v>11149.758620689656</v>
      </c>
      <c r="J47" s="59">
        <f t="shared" si="44"/>
        <v>10449.758620689656</v>
      </c>
      <c r="K47" s="59">
        <f t="shared" si="44"/>
        <v>9549.7586206896558</v>
      </c>
      <c r="L47" s="59">
        <f t="shared" si="44"/>
        <v>9549.7586206896558</v>
      </c>
      <c r="M47" s="59">
        <f t="shared" si="44"/>
        <v>9549.7586206896558</v>
      </c>
      <c r="N47" s="59">
        <f t="shared" si="44"/>
        <v>17049.758620689656</v>
      </c>
      <c r="O47" s="59">
        <f t="shared" si="44"/>
        <v>9549.7586206896558</v>
      </c>
      <c r="P47" s="59">
        <f t="shared" si="44"/>
        <v>9549.7586206896558</v>
      </c>
      <c r="Q47" s="59">
        <f t="shared" si="44"/>
        <v>0</v>
      </c>
      <c r="R47" s="59">
        <f t="shared" si="44"/>
        <v>9549.7586206896558</v>
      </c>
      <c r="S47" s="59">
        <f t="shared" si="44"/>
        <v>13949.758620689656</v>
      </c>
      <c r="T47" s="59">
        <f t="shared" si="44"/>
        <v>13249.758620689656</v>
      </c>
      <c r="U47" s="59">
        <f t="shared" si="44"/>
        <v>13249.758620689656</v>
      </c>
      <c r="V47" s="59">
        <f t="shared" si="44"/>
        <v>14249.758620689656</v>
      </c>
      <c r="W47" s="59">
        <f t="shared" si="44"/>
        <v>14449.758620689656</v>
      </c>
      <c r="X47" s="59">
        <f t="shared" si="44"/>
        <v>13949.758620689656</v>
      </c>
      <c r="Y47" s="59">
        <f t="shared" si="44"/>
        <v>14849.758620689656</v>
      </c>
      <c r="Z47" s="59">
        <f t="shared" si="44"/>
        <v>14599.758620689656</v>
      </c>
      <c r="AA47" s="59">
        <f t="shared" si="44"/>
        <v>13249.758620689656</v>
      </c>
      <c r="AB47" s="59">
        <f t="shared" si="44"/>
        <v>0</v>
      </c>
      <c r="AC47" s="59">
        <f t="shared" si="44"/>
        <v>12249.758620689656</v>
      </c>
      <c r="AD47" s="59">
        <f t="shared" si="44"/>
        <v>12099.758620689656</v>
      </c>
      <c r="AE47" s="59">
        <f t="shared" si="44"/>
        <v>12799.758620689656</v>
      </c>
      <c r="AF47" s="59">
        <f t="shared" si="44"/>
        <v>11329.758620689656</v>
      </c>
      <c r="AG47" s="67">
        <f t="shared" si="43"/>
        <v>385143.24137931055</v>
      </c>
      <c r="AH47" s="7"/>
    </row>
    <row r="48" spans="1:35" ht="15.75" customHeight="1" x14ac:dyDescent="0.2">
      <c r="A48" s="4" t="s">
        <v>204</v>
      </c>
      <c r="B48" s="59">
        <f>B31-B29+B47+9484</f>
        <v>12004.000000000004</v>
      </c>
      <c r="C48" s="59">
        <f t="shared" ref="C48:AF48" si="45">B48+C31-C29+C47</f>
        <v>12581.000000000007</v>
      </c>
      <c r="D48" s="59">
        <f t="shared" si="45"/>
        <v>12508.000000000011</v>
      </c>
      <c r="E48" s="59">
        <f t="shared" si="45"/>
        <v>11475.000000000015</v>
      </c>
      <c r="F48" s="59">
        <f t="shared" si="45"/>
        <v>12935.000000000018</v>
      </c>
      <c r="G48" s="59">
        <f t="shared" si="45"/>
        <v>7762.0000000000182</v>
      </c>
      <c r="H48" s="59">
        <f t="shared" si="45"/>
        <v>11972.000000000022</v>
      </c>
      <c r="I48" s="59">
        <f t="shared" si="45"/>
        <v>12897.000000000022</v>
      </c>
      <c r="J48" s="59">
        <f t="shared" si="45"/>
        <v>13662.000000000022</v>
      </c>
      <c r="K48" s="59">
        <f t="shared" si="45"/>
        <v>17115.000000000022</v>
      </c>
      <c r="L48" s="59">
        <f t="shared" si="45"/>
        <v>15279.000000000022</v>
      </c>
      <c r="M48" s="59">
        <f t="shared" si="45"/>
        <v>13367.000000000022</v>
      </c>
      <c r="N48" s="59">
        <f t="shared" si="45"/>
        <v>14438.000000000022</v>
      </c>
      <c r="O48" s="59">
        <f t="shared" si="45"/>
        <v>11158.000000000022</v>
      </c>
      <c r="P48" s="59">
        <f t="shared" si="45"/>
        <v>13481.000000000022</v>
      </c>
      <c r="Q48" s="59">
        <f t="shared" si="45"/>
        <v>13481.000000000022</v>
      </c>
      <c r="R48" s="59">
        <f t="shared" si="45"/>
        <v>8848.0000000000218</v>
      </c>
      <c r="S48" s="59">
        <f t="shared" si="45"/>
        <v>9943.0000000000218</v>
      </c>
      <c r="T48" s="59">
        <f t="shared" si="45"/>
        <v>10399.000000000022</v>
      </c>
      <c r="U48" s="59">
        <f t="shared" si="45"/>
        <v>10464.000000000022</v>
      </c>
      <c r="V48" s="59">
        <f t="shared" si="45"/>
        <v>10744.000000000022</v>
      </c>
      <c r="W48" s="59">
        <f t="shared" si="45"/>
        <v>9429.0000000000218</v>
      </c>
      <c r="X48" s="59">
        <f t="shared" si="45"/>
        <v>10685.000000000022</v>
      </c>
      <c r="Y48" s="59">
        <f t="shared" si="45"/>
        <v>9015.0000000000255</v>
      </c>
      <c r="Z48" s="59">
        <f t="shared" si="45"/>
        <v>9110.0000000000255</v>
      </c>
      <c r="AA48" s="59">
        <f t="shared" si="45"/>
        <v>10905.000000000025</v>
      </c>
      <c r="AB48" s="59">
        <f t="shared" si="45"/>
        <v>10905.000000000025</v>
      </c>
      <c r="AC48" s="59">
        <f t="shared" si="45"/>
        <v>11440.000000000025</v>
      </c>
      <c r="AD48" s="59">
        <f t="shared" si="45"/>
        <v>14265.000000000025</v>
      </c>
      <c r="AE48" s="59">
        <f t="shared" si="45"/>
        <v>13915.000000000025</v>
      </c>
      <c r="AF48" s="59">
        <f t="shared" si="45"/>
        <v>12519.000000000025</v>
      </c>
      <c r="AG48" s="7"/>
      <c r="AH48" s="7"/>
    </row>
    <row r="49" spans="1:34"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7"/>
      <c r="AH49" s="7"/>
    </row>
    <row r="50" spans="1:34" ht="15.75" customHeight="1" x14ac:dyDescent="0.2">
      <c r="AG50" s="1"/>
      <c r="AH50" s="7"/>
    </row>
    <row r="51" spans="1:34" ht="15.75" customHeight="1" x14ac:dyDescent="0.2">
      <c r="A51" s="4" t="s">
        <v>166</v>
      </c>
      <c r="B51" s="4">
        <v>2250</v>
      </c>
      <c r="AG51" s="1"/>
      <c r="AH51" s="7"/>
    </row>
    <row r="52" spans="1:34" ht="15.75" customHeight="1" x14ac:dyDescent="0.2">
      <c r="A52" s="4" t="s">
        <v>205</v>
      </c>
      <c r="B52" s="4">
        <f>3000+4000</f>
        <v>7000</v>
      </c>
      <c r="AG52" s="1"/>
      <c r="AH52" s="7"/>
    </row>
    <row r="53" spans="1:34" ht="15.75" customHeight="1" x14ac:dyDescent="0.2">
      <c r="A53" s="4" t="s">
        <v>179</v>
      </c>
      <c r="B53" s="4">
        <f>15000+7000+7000</f>
        <v>29000</v>
      </c>
      <c r="I53" s="14" t="s">
        <v>206</v>
      </c>
      <c r="AG53" s="1"/>
      <c r="AH53" s="7"/>
    </row>
    <row r="54" spans="1:34" ht="15.75" customHeight="1" x14ac:dyDescent="0.2">
      <c r="A54" s="4" t="s">
        <v>180</v>
      </c>
      <c r="B54" s="4">
        <v>2500</v>
      </c>
      <c r="AG54" s="1"/>
      <c r="AH54" s="7"/>
    </row>
    <row r="55" spans="1:34" ht="15.75" customHeight="1" x14ac:dyDescent="0.2">
      <c r="A55" s="4" t="s">
        <v>181</v>
      </c>
      <c r="B55" s="4">
        <v>3525</v>
      </c>
      <c r="AG55" s="1"/>
      <c r="AH55" s="7"/>
    </row>
    <row r="56" spans="1:34" ht="15.75" customHeight="1" x14ac:dyDescent="0.2">
      <c r="B56" s="83">
        <f>SUM(B51:B55)</f>
        <v>44275</v>
      </c>
      <c r="J56" s="84" t="s">
        <v>207</v>
      </c>
      <c r="K56" s="4"/>
      <c r="L56" s="59">
        <f>E32</f>
        <v>4345</v>
      </c>
      <c r="M56" s="59">
        <f>L32</f>
        <v>10015</v>
      </c>
      <c r="N56" s="59">
        <f>S32</f>
        <v>6390</v>
      </c>
      <c r="O56" s="59">
        <f>Z32</f>
        <v>10510</v>
      </c>
      <c r="P56" s="84">
        <f t="shared" ref="P56:P62" si="46">AVERAGEIF(K56:O56,"&lt;&gt;0")</f>
        <v>7815</v>
      </c>
      <c r="R56" s="6"/>
      <c r="AG56" s="1"/>
      <c r="AH56" s="7"/>
    </row>
    <row r="57" spans="1:34" ht="15.75" customHeight="1" x14ac:dyDescent="0.2">
      <c r="J57" s="84" t="s">
        <v>208</v>
      </c>
      <c r="K57" s="4"/>
      <c r="L57" s="36">
        <f>F32</f>
        <v>8260</v>
      </c>
      <c r="M57" s="59">
        <f>M32</f>
        <v>6820</v>
      </c>
      <c r="N57" s="59">
        <f>T32</f>
        <v>5525</v>
      </c>
      <c r="O57" s="59">
        <f>AA32</f>
        <v>9250</v>
      </c>
      <c r="P57" s="84">
        <f t="shared" si="46"/>
        <v>7463.75</v>
      </c>
      <c r="AG57" s="1"/>
      <c r="AH57" s="7"/>
    </row>
    <row r="58" spans="1:34" ht="15.75" customHeight="1" x14ac:dyDescent="0.2">
      <c r="J58" s="84" t="s">
        <v>209</v>
      </c>
      <c r="K58" s="4"/>
      <c r="L58" s="36">
        <f>G32</f>
        <v>7275</v>
      </c>
      <c r="M58" s="59">
        <f>N32</f>
        <v>8605</v>
      </c>
      <c r="N58" s="59">
        <f>U32</f>
        <v>5750</v>
      </c>
      <c r="O58" s="59">
        <f>AB32</f>
        <v>0</v>
      </c>
      <c r="P58" s="84">
        <f t="shared" si="46"/>
        <v>7210</v>
      </c>
      <c r="AG58" s="1"/>
      <c r="AH58" s="7"/>
    </row>
    <row r="59" spans="1:34" ht="15.75" customHeight="1" x14ac:dyDescent="0.2">
      <c r="A59" s="14" t="s">
        <v>210</v>
      </c>
      <c r="B59" s="14">
        <v>29</v>
      </c>
      <c r="J59" s="84" t="s">
        <v>211</v>
      </c>
      <c r="K59" s="4"/>
      <c r="L59" s="36">
        <f>H32</f>
        <v>11205</v>
      </c>
      <c r="M59" s="59">
        <f>O32</f>
        <v>5030</v>
      </c>
      <c r="N59" s="59">
        <f>V32</f>
        <v>4620</v>
      </c>
      <c r="O59" s="59">
        <f>AC32</f>
        <v>3540</v>
      </c>
      <c r="P59" s="84">
        <f t="shared" si="46"/>
        <v>6098.75</v>
      </c>
      <c r="AG59" s="1"/>
      <c r="AH59" s="7"/>
    </row>
    <row r="60" spans="1:34" ht="15.75" customHeight="1" x14ac:dyDescent="0.2">
      <c r="J60" s="84" t="s">
        <v>212</v>
      </c>
      <c r="K60" s="59">
        <f>B32</f>
        <v>8059</v>
      </c>
      <c r="L60" s="36">
        <f>I32</f>
        <v>8030</v>
      </c>
      <c r="M60" s="59">
        <f>P32</f>
        <v>22745</v>
      </c>
      <c r="N60" s="59">
        <f>W32</f>
        <v>3400</v>
      </c>
      <c r="O60" s="59">
        <f>AD32</f>
        <v>3225</v>
      </c>
      <c r="P60" s="84">
        <f t="shared" si="46"/>
        <v>9091.7999999999993</v>
      </c>
      <c r="AG60" s="1"/>
      <c r="AH60" s="7"/>
    </row>
    <row r="61" spans="1:34" ht="15.75" customHeight="1" x14ac:dyDescent="0.2">
      <c r="J61" s="84" t="s">
        <v>213</v>
      </c>
      <c r="K61" s="59">
        <f>C32</f>
        <v>12150</v>
      </c>
      <c r="L61" s="59">
        <f>J32</f>
        <v>13230</v>
      </c>
      <c r="M61" s="59">
        <f>Q32</f>
        <v>0</v>
      </c>
      <c r="N61" s="59">
        <f>X32</f>
        <v>10845</v>
      </c>
      <c r="O61" s="59">
        <f>AE32</f>
        <v>10720</v>
      </c>
      <c r="P61" s="84">
        <f t="shared" si="46"/>
        <v>11736.25</v>
      </c>
      <c r="AG61" s="1"/>
      <c r="AH61" s="7"/>
    </row>
    <row r="62" spans="1:34" ht="15.75" customHeight="1" x14ac:dyDescent="0.2">
      <c r="J62" s="84" t="s">
        <v>214</v>
      </c>
      <c r="K62" s="59">
        <f>D32</f>
        <v>23360</v>
      </c>
      <c r="L62" s="59">
        <f>K32</f>
        <v>24005</v>
      </c>
      <c r="M62" s="59">
        <f>R32</f>
        <v>10945</v>
      </c>
      <c r="N62" s="59">
        <f>Y32</f>
        <v>9335</v>
      </c>
      <c r="O62" s="59">
        <f>AF32</f>
        <v>8240</v>
      </c>
      <c r="P62" s="84">
        <f t="shared" si="46"/>
        <v>15177</v>
      </c>
      <c r="AG62" s="1"/>
      <c r="AH62" s="7"/>
    </row>
    <row r="63" spans="1:34" ht="15.75" customHeight="1" x14ac:dyDescent="0.2">
      <c r="Q63" s="14" t="s">
        <v>127</v>
      </c>
      <c r="AG63" s="1"/>
      <c r="AH63" s="7"/>
    </row>
    <row r="64" spans="1:34" ht="15.75" customHeight="1" x14ac:dyDescent="0.2">
      <c r="AG64" s="1"/>
      <c r="AH64" s="7"/>
    </row>
    <row r="65" spans="25:34" ht="14" x14ac:dyDescent="0.2">
      <c r="AG65" s="1"/>
      <c r="AH65" s="7"/>
    </row>
    <row r="66" spans="25:34" ht="14" x14ac:dyDescent="0.2">
      <c r="Y66" s="14" t="s">
        <v>206</v>
      </c>
      <c r="AG66" s="1"/>
      <c r="AH66" s="7"/>
    </row>
    <row r="67" spans="25:34" ht="14" x14ac:dyDescent="0.2">
      <c r="AG67" s="1"/>
      <c r="AH67" s="7"/>
    </row>
    <row r="68" spans="25:34" ht="14" x14ac:dyDescent="0.2">
      <c r="AG68" s="1"/>
      <c r="AH68" s="7"/>
    </row>
    <row r="69" spans="25:34" ht="14" x14ac:dyDescent="0.2">
      <c r="AG69" s="1"/>
      <c r="AH69" s="7"/>
    </row>
    <row r="70" spans="25:34" ht="14" x14ac:dyDescent="0.2">
      <c r="AG70" s="1"/>
      <c r="AH70" s="7"/>
    </row>
    <row r="71" spans="25:34" ht="14" x14ac:dyDescent="0.2">
      <c r="AG71" s="1"/>
      <c r="AH71" s="7"/>
    </row>
    <row r="72" spans="25:34" ht="14" x14ac:dyDescent="0.2">
      <c r="AG72" s="1"/>
      <c r="AH72" s="7"/>
    </row>
    <row r="73" spans="25:34" ht="14" x14ac:dyDescent="0.2">
      <c r="AG73" s="1"/>
      <c r="AH73" s="7"/>
    </row>
    <row r="74" spans="25:34" ht="14" x14ac:dyDescent="0.2">
      <c r="AG74" s="1"/>
      <c r="AH74" s="7"/>
    </row>
    <row r="75" spans="25:34" ht="14" x14ac:dyDescent="0.2">
      <c r="AG75" s="1"/>
      <c r="AH75" s="7"/>
    </row>
    <row r="76" spans="25:34" ht="14" x14ac:dyDescent="0.2">
      <c r="AG76" s="1"/>
      <c r="AH76" s="7"/>
    </row>
    <row r="77" spans="25:34" ht="14" x14ac:dyDescent="0.2">
      <c r="AG77" s="1"/>
      <c r="AH77" s="7"/>
    </row>
    <row r="78" spans="25:34" ht="14" x14ac:dyDescent="0.2">
      <c r="AG78" s="1"/>
      <c r="AH78" s="7"/>
    </row>
    <row r="79" spans="25:34" ht="14" x14ac:dyDescent="0.2">
      <c r="AG79" s="1"/>
      <c r="AH79" s="7"/>
    </row>
    <row r="80" spans="25:34" ht="14" x14ac:dyDescent="0.2">
      <c r="AG80" s="1"/>
      <c r="AH80" s="7"/>
    </row>
    <row r="81" spans="33:34" ht="14" x14ac:dyDescent="0.2">
      <c r="AG81" s="1"/>
      <c r="AH81" s="7"/>
    </row>
    <row r="82" spans="33:34" ht="14" x14ac:dyDescent="0.2">
      <c r="AG82" s="1"/>
      <c r="AH82" s="7"/>
    </row>
    <row r="83" spans="33:34" ht="14" x14ac:dyDescent="0.2">
      <c r="AG83" s="1"/>
      <c r="AH83" s="7"/>
    </row>
    <row r="84" spans="33:34" ht="14" x14ac:dyDescent="0.2">
      <c r="AG84" s="1"/>
      <c r="AH84" s="7"/>
    </row>
    <row r="85" spans="33:34" ht="14" x14ac:dyDescent="0.2">
      <c r="AG85" s="1"/>
      <c r="AH85" s="7"/>
    </row>
    <row r="86" spans="33:34" ht="14" x14ac:dyDescent="0.2">
      <c r="AG86" s="1"/>
      <c r="AH86" s="7"/>
    </row>
    <row r="87" spans="33:34" ht="14" x14ac:dyDescent="0.2">
      <c r="AG87" s="1"/>
      <c r="AH87" s="7"/>
    </row>
    <row r="88" spans="33:34" ht="14" x14ac:dyDescent="0.2">
      <c r="AG88" s="1"/>
      <c r="AH88" s="7"/>
    </row>
    <row r="89" spans="33:34" ht="14" x14ac:dyDescent="0.2">
      <c r="AG89" s="1"/>
      <c r="AH89" s="7"/>
    </row>
    <row r="90" spans="33:34" ht="14" x14ac:dyDescent="0.2">
      <c r="AG90" s="1"/>
      <c r="AH90" s="7"/>
    </row>
    <row r="91" spans="33:34" ht="14" x14ac:dyDescent="0.2">
      <c r="AG91" s="1"/>
      <c r="AH91" s="7"/>
    </row>
    <row r="92" spans="33:34" ht="14" x14ac:dyDescent="0.2">
      <c r="AG92" s="1"/>
      <c r="AH92" s="7"/>
    </row>
    <row r="93" spans="33:34" ht="14" x14ac:dyDescent="0.2">
      <c r="AG93" s="1"/>
      <c r="AH93" s="7"/>
    </row>
    <row r="94" spans="33:34" ht="14" x14ac:dyDescent="0.2">
      <c r="AG94" s="1"/>
      <c r="AH94" s="7"/>
    </row>
    <row r="95" spans="33:34" ht="14" x14ac:dyDescent="0.2">
      <c r="AG95" s="1"/>
      <c r="AH95" s="7"/>
    </row>
    <row r="96" spans="33:34" ht="14" x14ac:dyDescent="0.2">
      <c r="AG96" s="1"/>
      <c r="AH96" s="7"/>
    </row>
    <row r="97" spans="33:34" ht="14" x14ac:dyDescent="0.2">
      <c r="AG97" s="1"/>
      <c r="AH97" s="7"/>
    </row>
    <row r="98" spans="33:34" ht="14" x14ac:dyDescent="0.2">
      <c r="AG98" s="1"/>
      <c r="AH98" s="7"/>
    </row>
    <row r="99" spans="33:34" ht="14" x14ac:dyDescent="0.2">
      <c r="AG99" s="1"/>
      <c r="AH99" s="7"/>
    </row>
    <row r="100" spans="33:34" ht="14" x14ac:dyDescent="0.2">
      <c r="AG100" s="1"/>
      <c r="AH100" s="7"/>
    </row>
    <row r="101" spans="33:34" ht="14" x14ac:dyDescent="0.2">
      <c r="AG101" s="1"/>
      <c r="AH101" s="7"/>
    </row>
    <row r="102" spans="33:34" ht="14" x14ac:dyDescent="0.2">
      <c r="AG102" s="1"/>
      <c r="AH102" s="7"/>
    </row>
    <row r="103" spans="33:34" ht="14" x14ac:dyDescent="0.2">
      <c r="AG103" s="1"/>
      <c r="AH103" s="7"/>
    </row>
    <row r="104" spans="33:34" ht="14" x14ac:dyDescent="0.2">
      <c r="AG104" s="1"/>
      <c r="AH104" s="7"/>
    </row>
    <row r="105" spans="33:34" ht="14" x14ac:dyDescent="0.2">
      <c r="AG105" s="1"/>
      <c r="AH105" s="7"/>
    </row>
    <row r="106" spans="33:34" ht="14" x14ac:dyDescent="0.2">
      <c r="AG106" s="1"/>
      <c r="AH106" s="7"/>
    </row>
    <row r="107" spans="33:34" ht="14" x14ac:dyDescent="0.2">
      <c r="AG107" s="1"/>
      <c r="AH107" s="7"/>
    </row>
    <row r="108" spans="33:34" ht="14" x14ac:dyDescent="0.2">
      <c r="AG108" s="1"/>
      <c r="AH108" s="7"/>
    </row>
    <row r="109" spans="33:34" ht="14" x14ac:dyDescent="0.2">
      <c r="AG109" s="1"/>
      <c r="AH109" s="7"/>
    </row>
    <row r="110" spans="33:34" ht="14" x14ac:dyDescent="0.2">
      <c r="AG110" s="1"/>
      <c r="AH110" s="7"/>
    </row>
    <row r="111" spans="33:34" ht="14" x14ac:dyDescent="0.2">
      <c r="AG111" s="1"/>
      <c r="AH111" s="7"/>
    </row>
    <row r="112" spans="33:34" ht="14" x14ac:dyDescent="0.2">
      <c r="AG112" s="1"/>
      <c r="AH112" s="7"/>
    </row>
    <row r="113" spans="33:34" ht="14" x14ac:dyDescent="0.2">
      <c r="AG113" s="1"/>
      <c r="AH113" s="7"/>
    </row>
    <row r="114" spans="33:34" ht="14" x14ac:dyDescent="0.2">
      <c r="AG114" s="1"/>
      <c r="AH114" s="7"/>
    </row>
    <row r="115" spans="33:34" ht="14" x14ac:dyDescent="0.2">
      <c r="AG115" s="1"/>
      <c r="AH115" s="7"/>
    </row>
    <row r="116" spans="33:34" ht="14" x14ac:dyDescent="0.2">
      <c r="AG116" s="1"/>
      <c r="AH116" s="7"/>
    </row>
    <row r="117" spans="33:34" ht="14" x14ac:dyDescent="0.2">
      <c r="AG117" s="1"/>
      <c r="AH117" s="7"/>
    </row>
    <row r="118" spans="33:34" ht="14" x14ac:dyDescent="0.2">
      <c r="AG118" s="1"/>
      <c r="AH118" s="7"/>
    </row>
    <row r="119" spans="33:34" ht="14" x14ac:dyDescent="0.2">
      <c r="AG119" s="1"/>
      <c r="AH119" s="7"/>
    </row>
    <row r="120" spans="33:34" ht="14" x14ac:dyDescent="0.2">
      <c r="AG120" s="1"/>
      <c r="AH120" s="7"/>
    </row>
    <row r="121" spans="33:34" ht="14" x14ac:dyDescent="0.2">
      <c r="AG121" s="1"/>
      <c r="AH121" s="7"/>
    </row>
    <row r="122" spans="33:34" ht="14" x14ac:dyDescent="0.2">
      <c r="AG122" s="1"/>
      <c r="AH122" s="7"/>
    </row>
    <row r="123" spans="33:34" ht="14" x14ac:dyDescent="0.2">
      <c r="AG123" s="1"/>
      <c r="AH123" s="7"/>
    </row>
    <row r="124" spans="33:34" ht="14" x14ac:dyDescent="0.2">
      <c r="AG124" s="1"/>
      <c r="AH124" s="7"/>
    </row>
    <row r="125" spans="33:34" ht="14" x14ac:dyDescent="0.2">
      <c r="AG125" s="1"/>
      <c r="AH125" s="7"/>
    </row>
    <row r="126" spans="33:34" ht="14" x14ac:dyDescent="0.2">
      <c r="AG126" s="1"/>
      <c r="AH126" s="7"/>
    </row>
    <row r="127" spans="33:34" ht="14" x14ac:dyDescent="0.2">
      <c r="AG127" s="1"/>
      <c r="AH127" s="7"/>
    </row>
    <row r="128" spans="33:34" ht="14" x14ac:dyDescent="0.2">
      <c r="AG128" s="1"/>
      <c r="AH128" s="7"/>
    </row>
    <row r="129" spans="33:34" ht="14" x14ac:dyDescent="0.2">
      <c r="AG129" s="1"/>
      <c r="AH129" s="7"/>
    </row>
    <row r="130" spans="33:34" ht="14" x14ac:dyDescent="0.2">
      <c r="AG130" s="1"/>
      <c r="AH130" s="7"/>
    </row>
    <row r="131" spans="33:34" ht="14" x14ac:dyDescent="0.2">
      <c r="AG131" s="1"/>
      <c r="AH131" s="7"/>
    </row>
    <row r="132" spans="33:34" ht="14" x14ac:dyDescent="0.2">
      <c r="AG132" s="1"/>
      <c r="AH132" s="7"/>
    </row>
    <row r="133" spans="33:34" ht="14" x14ac:dyDescent="0.2">
      <c r="AG133" s="1"/>
      <c r="AH133" s="7"/>
    </row>
    <row r="134" spans="33:34" ht="14" x14ac:dyDescent="0.2">
      <c r="AG134" s="1"/>
      <c r="AH134" s="7"/>
    </row>
    <row r="135" spans="33:34" ht="14" x14ac:dyDescent="0.2">
      <c r="AG135" s="1"/>
      <c r="AH135" s="7"/>
    </row>
    <row r="136" spans="33:34" ht="14" x14ac:dyDescent="0.2">
      <c r="AG136" s="1"/>
      <c r="AH136" s="7"/>
    </row>
    <row r="137" spans="33:34" ht="14" x14ac:dyDescent="0.2">
      <c r="AG137" s="1"/>
      <c r="AH137" s="7"/>
    </row>
    <row r="138" spans="33:34" ht="14" x14ac:dyDescent="0.2">
      <c r="AG138" s="1"/>
      <c r="AH138" s="7"/>
    </row>
    <row r="139" spans="33:34" ht="14" x14ac:dyDescent="0.2">
      <c r="AG139" s="1"/>
      <c r="AH139" s="7"/>
    </row>
    <row r="140" spans="33:34" ht="14" x14ac:dyDescent="0.2">
      <c r="AG140" s="1"/>
      <c r="AH140" s="7"/>
    </row>
    <row r="141" spans="33:34" ht="14" x14ac:dyDescent="0.2">
      <c r="AG141" s="1"/>
      <c r="AH141" s="7"/>
    </row>
    <row r="142" spans="33:34" ht="14" x14ac:dyDescent="0.2">
      <c r="AG142" s="1"/>
      <c r="AH142" s="7"/>
    </row>
    <row r="143" spans="33:34" ht="14" x14ac:dyDescent="0.2">
      <c r="AG143" s="1"/>
      <c r="AH143" s="7"/>
    </row>
    <row r="144" spans="33:34" ht="14" x14ac:dyDescent="0.2">
      <c r="AG144" s="1"/>
      <c r="AH144" s="7"/>
    </row>
    <row r="145" spans="33:34" ht="14" x14ac:dyDescent="0.2">
      <c r="AG145" s="1"/>
      <c r="AH145" s="7"/>
    </row>
    <row r="146" spans="33:34" ht="14" x14ac:dyDescent="0.2">
      <c r="AG146" s="1"/>
      <c r="AH146" s="7"/>
    </row>
    <row r="147" spans="33:34" ht="14" x14ac:dyDescent="0.2">
      <c r="AG147" s="1"/>
      <c r="AH147" s="7"/>
    </row>
    <row r="148" spans="33:34" ht="14" x14ac:dyDescent="0.2">
      <c r="AG148" s="1"/>
      <c r="AH148" s="7"/>
    </row>
    <row r="149" spans="33:34" ht="14" x14ac:dyDescent="0.2">
      <c r="AG149" s="1"/>
      <c r="AH149" s="7"/>
    </row>
    <row r="150" spans="33:34" ht="14" x14ac:dyDescent="0.2">
      <c r="AG150" s="1"/>
      <c r="AH150" s="7"/>
    </row>
    <row r="151" spans="33:34" ht="14" x14ac:dyDescent="0.2">
      <c r="AG151" s="1"/>
      <c r="AH151" s="7"/>
    </row>
    <row r="152" spans="33:34" ht="14" x14ac:dyDescent="0.2">
      <c r="AG152" s="1"/>
      <c r="AH152" s="7"/>
    </row>
    <row r="153" spans="33:34" ht="14" x14ac:dyDescent="0.2">
      <c r="AG153" s="1"/>
      <c r="AH153" s="7"/>
    </row>
    <row r="154" spans="33:34" ht="14" x14ac:dyDescent="0.2">
      <c r="AG154" s="1"/>
      <c r="AH154" s="7"/>
    </row>
    <row r="155" spans="33:34" ht="14" x14ac:dyDescent="0.2">
      <c r="AG155" s="1"/>
      <c r="AH155" s="7"/>
    </row>
    <row r="156" spans="33:34" ht="14" x14ac:dyDescent="0.2">
      <c r="AG156" s="1"/>
      <c r="AH156" s="7"/>
    </row>
    <row r="157" spans="33:34" ht="14" x14ac:dyDescent="0.2">
      <c r="AG157" s="1"/>
      <c r="AH157" s="7"/>
    </row>
    <row r="158" spans="33:34" ht="14" x14ac:dyDescent="0.2">
      <c r="AG158" s="1"/>
      <c r="AH158" s="7"/>
    </row>
    <row r="159" spans="33:34" ht="14" x14ac:dyDescent="0.2">
      <c r="AG159" s="1"/>
      <c r="AH159" s="7"/>
    </row>
    <row r="160" spans="33:34" ht="14" x14ac:dyDescent="0.2">
      <c r="AG160" s="1"/>
      <c r="AH160" s="7"/>
    </row>
    <row r="161" spans="33:34" ht="14" x14ac:dyDescent="0.2">
      <c r="AG161" s="1"/>
      <c r="AH161" s="7"/>
    </row>
    <row r="162" spans="33:34" ht="14" x14ac:dyDescent="0.2">
      <c r="AG162" s="1"/>
      <c r="AH162" s="7"/>
    </row>
    <row r="163" spans="33:34" ht="14" x14ac:dyDescent="0.2">
      <c r="AG163" s="1"/>
      <c r="AH163" s="7"/>
    </row>
    <row r="164" spans="33:34" ht="14" x14ac:dyDescent="0.2">
      <c r="AG164" s="1"/>
      <c r="AH164" s="7"/>
    </row>
    <row r="165" spans="33:34" ht="14" x14ac:dyDescent="0.2">
      <c r="AG165" s="1"/>
      <c r="AH165" s="7"/>
    </row>
    <row r="166" spans="33:34" ht="14" x14ac:dyDescent="0.2">
      <c r="AG166" s="1"/>
      <c r="AH166" s="7"/>
    </row>
    <row r="167" spans="33:34" ht="14" x14ac:dyDescent="0.2">
      <c r="AG167" s="1"/>
      <c r="AH167" s="7"/>
    </row>
    <row r="168" spans="33:34" ht="14" x14ac:dyDescent="0.2">
      <c r="AG168" s="1"/>
      <c r="AH168" s="7"/>
    </row>
    <row r="169" spans="33:34" ht="14" x14ac:dyDescent="0.2">
      <c r="AG169" s="1"/>
      <c r="AH169" s="7"/>
    </row>
    <row r="170" spans="33:34" ht="14" x14ac:dyDescent="0.2">
      <c r="AG170" s="1"/>
      <c r="AH170" s="7"/>
    </row>
    <row r="171" spans="33:34" ht="14" x14ac:dyDescent="0.2">
      <c r="AG171" s="1"/>
      <c r="AH171" s="7"/>
    </row>
    <row r="172" spans="33:34" ht="14" x14ac:dyDescent="0.2">
      <c r="AG172" s="1"/>
      <c r="AH172" s="7"/>
    </row>
    <row r="173" spans="33:34" ht="14" x14ac:dyDescent="0.2">
      <c r="AG173" s="1"/>
      <c r="AH173" s="7"/>
    </row>
    <row r="174" spans="33:34" ht="14" x14ac:dyDescent="0.2">
      <c r="AG174" s="1"/>
      <c r="AH174" s="7"/>
    </row>
    <row r="175" spans="33:34" ht="14" x14ac:dyDescent="0.2">
      <c r="AG175" s="1"/>
      <c r="AH175" s="7"/>
    </row>
    <row r="176" spans="33:34" ht="14" x14ac:dyDescent="0.2">
      <c r="AG176" s="1"/>
      <c r="AH176" s="7"/>
    </row>
    <row r="177" spans="33:34" ht="14" x14ac:dyDescent="0.2">
      <c r="AG177" s="1"/>
      <c r="AH177" s="7"/>
    </row>
    <row r="178" spans="33:34" ht="14" x14ac:dyDescent="0.2">
      <c r="AG178" s="1"/>
      <c r="AH178" s="7"/>
    </row>
    <row r="179" spans="33:34" ht="14" x14ac:dyDescent="0.2">
      <c r="AG179" s="1"/>
      <c r="AH179" s="7"/>
    </row>
    <row r="180" spans="33:34" ht="14" x14ac:dyDescent="0.2">
      <c r="AG180" s="1"/>
      <c r="AH180" s="7"/>
    </row>
    <row r="181" spans="33:34" ht="14" x14ac:dyDescent="0.2">
      <c r="AG181" s="1"/>
      <c r="AH181" s="7"/>
    </row>
    <row r="182" spans="33:34" ht="14" x14ac:dyDescent="0.2">
      <c r="AG182" s="1"/>
      <c r="AH182" s="7"/>
    </row>
    <row r="183" spans="33:34" ht="14" x14ac:dyDescent="0.2">
      <c r="AG183" s="1"/>
      <c r="AH183" s="7"/>
    </row>
    <row r="184" spans="33:34" ht="14" x14ac:dyDescent="0.2">
      <c r="AG184" s="1"/>
      <c r="AH184" s="7"/>
    </row>
    <row r="185" spans="33:34" ht="14" x14ac:dyDescent="0.2">
      <c r="AG185" s="1"/>
      <c r="AH185" s="7"/>
    </row>
    <row r="186" spans="33:34" ht="14" x14ac:dyDescent="0.2">
      <c r="AG186" s="1"/>
      <c r="AH186" s="7"/>
    </row>
    <row r="187" spans="33:34" ht="14" x14ac:dyDescent="0.2">
      <c r="AG187" s="1"/>
      <c r="AH187" s="7"/>
    </row>
    <row r="188" spans="33:34" ht="14" x14ac:dyDescent="0.2">
      <c r="AG188" s="1"/>
      <c r="AH188" s="7"/>
    </row>
    <row r="189" spans="33:34" ht="14" x14ac:dyDescent="0.2">
      <c r="AG189" s="1"/>
      <c r="AH189" s="7"/>
    </row>
    <row r="190" spans="33:34" ht="14" x14ac:dyDescent="0.2">
      <c r="AG190" s="1"/>
      <c r="AH190" s="7"/>
    </row>
    <row r="191" spans="33:34" ht="14" x14ac:dyDescent="0.2">
      <c r="AG191" s="1"/>
      <c r="AH191" s="7"/>
    </row>
    <row r="192" spans="33:34" ht="14" x14ac:dyDescent="0.2">
      <c r="AG192" s="1"/>
      <c r="AH192" s="7"/>
    </row>
    <row r="193" spans="33:34" ht="14" x14ac:dyDescent="0.2">
      <c r="AG193" s="1"/>
      <c r="AH193" s="7"/>
    </row>
    <row r="194" spans="33:34" ht="14" x14ac:dyDescent="0.2">
      <c r="AG194" s="1"/>
      <c r="AH194" s="7"/>
    </row>
    <row r="195" spans="33:34" ht="14" x14ac:dyDescent="0.2">
      <c r="AG195" s="1"/>
      <c r="AH195" s="7"/>
    </row>
    <row r="196" spans="33:34" ht="14" x14ac:dyDescent="0.2">
      <c r="AG196" s="1"/>
      <c r="AH196" s="7"/>
    </row>
    <row r="197" spans="33:34" ht="14" x14ac:dyDescent="0.2">
      <c r="AG197" s="1"/>
      <c r="AH197" s="7"/>
    </row>
    <row r="198" spans="33:34" ht="14" x14ac:dyDescent="0.2">
      <c r="AG198" s="1"/>
      <c r="AH198" s="7"/>
    </row>
    <row r="199" spans="33:34" ht="14" x14ac:dyDescent="0.2">
      <c r="AG199" s="1"/>
      <c r="AH199" s="7"/>
    </row>
    <row r="200" spans="33:34" ht="14" x14ac:dyDescent="0.2">
      <c r="AG200" s="1"/>
      <c r="AH200" s="7"/>
    </row>
    <row r="201" spans="33:34" ht="14" x14ac:dyDescent="0.2">
      <c r="AG201" s="1"/>
      <c r="AH201" s="7"/>
    </row>
    <row r="202" spans="33:34" ht="14" x14ac:dyDescent="0.2">
      <c r="AG202" s="1"/>
      <c r="AH202" s="7"/>
    </row>
    <row r="203" spans="33:34" ht="14" x14ac:dyDescent="0.2">
      <c r="AG203" s="1"/>
      <c r="AH203" s="7"/>
    </row>
    <row r="204" spans="33:34" ht="14" x14ac:dyDescent="0.2">
      <c r="AG204" s="1"/>
      <c r="AH204" s="7"/>
    </row>
    <row r="205" spans="33:34" ht="14" x14ac:dyDescent="0.2">
      <c r="AG205" s="1"/>
      <c r="AH205" s="7"/>
    </row>
    <row r="206" spans="33:34" ht="14" x14ac:dyDescent="0.2">
      <c r="AG206" s="1"/>
      <c r="AH206" s="7"/>
    </row>
    <row r="207" spans="33:34" ht="14" x14ac:dyDescent="0.2">
      <c r="AG207" s="1"/>
      <c r="AH207" s="7"/>
    </row>
    <row r="208" spans="33:34" ht="14" x14ac:dyDescent="0.2">
      <c r="AG208" s="1"/>
      <c r="AH208" s="7"/>
    </row>
    <row r="209" spans="33:34" ht="14" x14ac:dyDescent="0.2">
      <c r="AG209" s="1"/>
      <c r="AH209" s="7"/>
    </row>
    <row r="210" spans="33:34" ht="14" x14ac:dyDescent="0.2">
      <c r="AG210" s="1"/>
      <c r="AH210" s="7"/>
    </row>
    <row r="211" spans="33:34" ht="14" x14ac:dyDescent="0.2">
      <c r="AG211" s="1"/>
      <c r="AH211" s="7"/>
    </row>
    <row r="212" spans="33:34" ht="14" x14ac:dyDescent="0.2">
      <c r="AG212" s="1"/>
      <c r="AH212" s="7"/>
    </row>
    <row r="213" spans="33:34" ht="14" x14ac:dyDescent="0.2">
      <c r="AG213" s="1"/>
      <c r="AH213" s="7"/>
    </row>
    <row r="214" spans="33:34" ht="14" x14ac:dyDescent="0.2">
      <c r="AG214" s="1"/>
      <c r="AH214" s="7"/>
    </row>
    <row r="215" spans="33:34" ht="14" x14ac:dyDescent="0.2">
      <c r="AG215" s="1"/>
      <c r="AH215" s="7"/>
    </row>
    <row r="216" spans="33:34" ht="14" x14ac:dyDescent="0.2">
      <c r="AG216" s="1"/>
      <c r="AH216" s="7"/>
    </row>
    <row r="217" spans="33:34" ht="14" x14ac:dyDescent="0.2">
      <c r="AG217" s="1"/>
      <c r="AH217" s="7"/>
    </row>
    <row r="218" spans="33:34" ht="14" x14ac:dyDescent="0.2">
      <c r="AG218" s="1"/>
      <c r="AH218" s="7"/>
    </row>
    <row r="219" spans="33:34" ht="14" x14ac:dyDescent="0.2">
      <c r="AG219" s="1"/>
      <c r="AH219" s="7"/>
    </row>
    <row r="220" spans="33:34" ht="14" x14ac:dyDescent="0.2">
      <c r="AG220" s="1"/>
      <c r="AH220" s="7"/>
    </row>
    <row r="221" spans="33:34" ht="14" x14ac:dyDescent="0.2">
      <c r="AG221" s="1"/>
      <c r="AH221" s="7"/>
    </row>
    <row r="222" spans="33:34" ht="14" x14ac:dyDescent="0.2">
      <c r="AG222" s="1"/>
      <c r="AH222" s="7"/>
    </row>
    <row r="223" spans="33:34" ht="14" x14ac:dyDescent="0.2">
      <c r="AG223" s="1"/>
      <c r="AH223" s="7"/>
    </row>
    <row r="224" spans="33:34" ht="14" x14ac:dyDescent="0.2">
      <c r="AG224" s="1"/>
      <c r="AH224" s="7"/>
    </row>
    <row r="225" spans="33:34" ht="14" x14ac:dyDescent="0.2">
      <c r="AG225" s="1"/>
      <c r="AH225" s="7"/>
    </row>
    <row r="226" spans="33:34" ht="14" x14ac:dyDescent="0.2">
      <c r="AG226" s="1"/>
      <c r="AH226" s="7"/>
    </row>
    <row r="227" spans="33:34" ht="14" x14ac:dyDescent="0.2">
      <c r="AG227" s="1"/>
      <c r="AH227" s="7"/>
    </row>
    <row r="228" spans="33:34" ht="14" x14ac:dyDescent="0.2">
      <c r="AG228" s="1"/>
      <c r="AH228" s="7"/>
    </row>
    <row r="229" spans="33:34" ht="14" x14ac:dyDescent="0.2">
      <c r="AG229" s="1"/>
      <c r="AH229" s="7"/>
    </row>
    <row r="230" spans="33:34" ht="14" x14ac:dyDescent="0.2">
      <c r="AG230" s="1"/>
      <c r="AH230" s="7"/>
    </row>
    <row r="231" spans="33:34" ht="14" x14ac:dyDescent="0.2">
      <c r="AG231" s="1"/>
      <c r="AH231" s="7"/>
    </row>
    <row r="232" spans="33:34" ht="14" x14ac:dyDescent="0.2">
      <c r="AG232" s="1"/>
      <c r="AH232" s="7"/>
    </row>
    <row r="233" spans="33:34" ht="14" x14ac:dyDescent="0.2">
      <c r="AG233" s="1"/>
      <c r="AH233" s="7"/>
    </row>
    <row r="234" spans="33:34" ht="14" x14ac:dyDescent="0.2">
      <c r="AG234" s="1"/>
      <c r="AH234" s="7"/>
    </row>
    <row r="235" spans="33:34" ht="14" x14ac:dyDescent="0.2">
      <c r="AG235" s="1"/>
      <c r="AH235" s="7"/>
    </row>
    <row r="236" spans="33:34" ht="14" x14ac:dyDescent="0.2">
      <c r="AG236" s="1"/>
      <c r="AH236" s="7"/>
    </row>
    <row r="237" spans="33:34" ht="14" x14ac:dyDescent="0.2">
      <c r="AG237" s="1"/>
      <c r="AH237" s="7"/>
    </row>
    <row r="238" spans="33:34" ht="14" x14ac:dyDescent="0.2">
      <c r="AG238" s="1"/>
      <c r="AH238" s="7"/>
    </row>
    <row r="239" spans="33:34" ht="14" x14ac:dyDescent="0.2">
      <c r="AG239" s="1"/>
      <c r="AH239" s="7"/>
    </row>
    <row r="240" spans="33:34" ht="14" x14ac:dyDescent="0.2">
      <c r="AG240" s="1"/>
      <c r="AH240" s="7"/>
    </row>
    <row r="241" spans="33:34" ht="14" x14ac:dyDescent="0.2">
      <c r="AG241" s="1"/>
      <c r="AH241" s="7"/>
    </row>
    <row r="242" spans="33:34" ht="14" x14ac:dyDescent="0.2">
      <c r="AG242" s="1"/>
      <c r="AH242" s="7"/>
    </row>
    <row r="243" spans="33:34" ht="14" x14ac:dyDescent="0.2">
      <c r="AG243" s="1"/>
      <c r="AH243" s="7"/>
    </row>
    <row r="244" spans="33:34" ht="14" x14ac:dyDescent="0.2">
      <c r="AG244" s="1"/>
      <c r="AH244" s="7"/>
    </row>
    <row r="245" spans="33:34" ht="14" x14ac:dyDescent="0.2">
      <c r="AG245" s="1"/>
      <c r="AH245" s="7"/>
    </row>
    <row r="246" spans="33:34" ht="14" x14ac:dyDescent="0.2">
      <c r="AG246" s="1"/>
      <c r="AH246" s="7"/>
    </row>
    <row r="247" spans="33:34" ht="14" x14ac:dyDescent="0.2">
      <c r="AG247" s="1"/>
      <c r="AH247" s="7"/>
    </row>
    <row r="248" spans="33:34" ht="14" x14ac:dyDescent="0.2">
      <c r="AG248" s="1"/>
      <c r="AH248" s="7"/>
    </row>
    <row r="249" spans="33:34" ht="14" x14ac:dyDescent="0.2">
      <c r="AG249" s="1"/>
      <c r="AH249" s="7"/>
    </row>
    <row r="250" spans="33:34" ht="14" x14ac:dyDescent="0.2">
      <c r="AG250" s="1"/>
      <c r="AH250" s="7"/>
    </row>
    <row r="251" spans="33:34" ht="14" x14ac:dyDescent="0.2">
      <c r="AG251" s="1"/>
      <c r="AH251" s="7"/>
    </row>
    <row r="252" spans="33:34" ht="14" x14ac:dyDescent="0.2">
      <c r="AG252" s="1"/>
      <c r="AH252" s="7"/>
    </row>
    <row r="253" spans="33:34" ht="14" x14ac:dyDescent="0.2">
      <c r="AG253" s="1"/>
      <c r="AH253" s="7"/>
    </row>
    <row r="254" spans="33:34" ht="14" x14ac:dyDescent="0.2">
      <c r="AG254" s="1"/>
      <c r="AH254" s="7"/>
    </row>
    <row r="255" spans="33:34" ht="14" x14ac:dyDescent="0.2">
      <c r="AG255" s="1"/>
      <c r="AH255" s="7"/>
    </row>
    <row r="256" spans="33:34" ht="14" x14ac:dyDescent="0.2">
      <c r="AG256" s="1"/>
      <c r="AH256" s="7"/>
    </row>
    <row r="257" spans="33:34" ht="14" x14ac:dyDescent="0.2">
      <c r="AG257" s="1"/>
      <c r="AH257" s="7"/>
    </row>
    <row r="258" spans="33:34" ht="14" x14ac:dyDescent="0.2">
      <c r="AG258" s="1"/>
      <c r="AH258" s="7"/>
    </row>
    <row r="259" spans="33:34" ht="14" x14ac:dyDescent="0.2">
      <c r="AG259" s="1"/>
      <c r="AH259" s="7"/>
    </row>
    <row r="260" spans="33:34" ht="14" x14ac:dyDescent="0.2">
      <c r="AG260" s="1"/>
      <c r="AH260" s="7"/>
    </row>
    <row r="261" spans="33:34" ht="14" x14ac:dyDescent="0.2">
      <c r="AG261" s="1"/>
      <c r="AH261" s="7"/>
    </row>
    <row r="262" spans="33:34" ht="14" x14ac:dyDescent="0.2">
      <c r="AG262" s="1"/>
      <c r="AH262" s="7"/>
    </row>
    <row r="263" spans="33:34" ht="14" x14ac:dyDescent="0.2">
      <c r="AG263" s="1"/>
      <c r="AH263" s="7"/>
    </row>
    <row r="264" spans="33:34" ht="14" x14ac:dyDescent="0.2">
      <c r="AG264" s="1"/>
      <c r="AH264" s="7"/>
    </row>
    <row r="265" spans="33:34" ht="14" x14ac:dyDescent="0.2">
      <c r="AG265" s="1"/>
      <c r="AH265" s="7"/>
    </row>
    <row r="266" spans="33:34" ht="14" x14ac:dyDescent="0.2">
      <c r="AG266" s="1"/>
      <c r="AH266" s="7"/>
    </row>
    <row r="267" spans="33:34" ht="14" x14ac:dyDescent="0.2">
      <c r="AG267" s="1"/>
      <c r="AH267" s="7"/>
    </row>
    <row r="268" spans="33:34" ht="14" x14ac:dyDescent="0.2">
      <c r="AG268" s="1"/>
      <c r="AH268" s="7"/>
    </row>
    <row r="269" spans="33:34" ht="14" x14ac:dyDescent="0.2">
      <c r="AG269" s="1"/>
      <c r="AH269" s="7"/>
    </row>
    <row r="270" spans="33:34" ht="14" x14ac:dyDescent="0.2">
      <c r="AG270" s="1"/>
      <c r="AH270" s="7"/>
    </row>
    <row r="271" spans="33:34" ht="14" x14ac:dyDescent="0.2">
      <c r="AG271" s="1"/>
      <c r="AH271" s="7"/>
    </row>
    <row r="272" spans="33:34" ht="14" x14ac:dyDescent="0.2">
      <c r="AG272" s="1"/>
      <c r="AH272" s="7"/>
    </row>
    <row r="273" spans="33:34" ht="14" x14ac:dyDescent="0.2">
      <c r="AG273" s="1"/>
      <c r="AH273" s="7"/>
    </row>
    <row r="274" spans="33:34" ht="14" x14ac:dyDescent="0.2">
      <c r="AG274" s="1"/>
      <c r="AH274" s="7"/>
    </row>
    <row r="275" spans="33:34" ht="14" x14ac:dyDescent="0.2">
      <c r="AG275" s="1"/>
      <c r="AH275" s="7"/>
    </row>
    <row r="276" spans="33:34" ht="14" x14ac:dyDescent="0.2">
      <c r="AG276" s="1"/>
      <c r="AH276" s="7"/>
    </row>
    <row r="277" spans="33:34" ht="14" x14ac:dyDescent="0.2">
      <c r="AG277" s="1"/>
      <c r="AH277" s="7"/>
    </row>
    <row r="278" spans="33:34" ht="14" x14ac:dyDescent="0.2">
      <c r="AG278" s="1"/>
      <c r="AH278" s="7"/>
    </row>
    <row r="279" spans="33:34" ht="14" x14ac:dyDescent="0.2">
      <c r="AG279" s="1"/>
      <c r="AH279" s="7"/>
    </row>
    <row r="280" spans="33:34" ht="14" x14ac:dyDescent="0.2">
      <c r="AG280" s="1"/>
      <c r="AH280" s="7"/>
    </row>
    <row r="281" spans="33:34" ht="14" x14ac:dyDescent="0.2">
      <c r="AG281" s="1"/>
      <c r="AH281" s="7"/>
    </row>
    <row r="282" spans="33:34" ht="14" x14ac:dyDescent="0.2">
      <c r="AG282" s="1"/>
      <c r="AH282" s="7"/>
    </row>
    <row r="283" spans="33:34" ht="14" x14ac:dyDescent="0.2">
      <c r="AG283" s="1"/>
      <c r="AH283" s="7"/>
    </row>
    <row r="284" spans="33:34" ht="14" x14ac:dyDescent="0.2">
      <c r="AG284" s="1"/>
      <c r="AH284" s="7"/>
    </row>
    <row r="285" spans="33:34" ht="14" x14ac:dyDescent="0.2">
      <c r="AG285" s="1"/>
      <c r="AH285" s="7"/>
    </row>
    <row r="286" spans="33:34" ht="14" x14ac:dyDescent="0.2">
      <c r="AG286" s="1"/>
      <c r="AH286" s="7"/>
    </row>
    <row r="287" spans="33:34" ht="14" x14ac:dyDescent="0.2">
      <c r="AG287" s="1"/>
      <c r="AH287" s="7"/>
    </row>
    <row r="288" spans="33:34" ht="14" x14ac:dyDescent="0.2">
      <c r="AG288" s="1"/>
      <c r="AH288" s="7"/>
    </row>
    <row r="289" spans="33:34" ht="14" x14ac:dyDescent="0.2">
      <c r="AG289" s="1"/>
      <c r="AH289" s="7"/>
    </row>
    <row r="290" spans="33:34" ht="14" x14ac:dyDescent="0.2">
      <c r="AG290" s="1"/>
      <c r="AH290" s="7"/>
    </row>
    <row r="291" spans="33:34" ht="14" x14ac:dyDescent="0.2">
      <c r="AG291" s="1"/>
      <c r="AH291" s="7"/>
    </row>
    <row r="292" spans="33:34" ht="14" x14ac:dyDescent="0.2">
      <c r="AG292" s="1"/>
      <c r="AH292" s="7"/>
    </row>
    <row r="293" spans="33:34" ht="14" x14ac:dyDescent="0.2">
      <c r="AG293" s="1"/>
      <c r="AH293" s="7"/>
    </row>
    <row r="294" spans="33:34" ht="14" x14ac:dyDescent="0.2">
      <c r="AG294" s="1"/>
      <c r="AH294" s="7"/>
    </row>
    <row r="295" spans="33:34" ht="14" x14ac:dyDescent="0.2">
      <c r="AG295" s="1"/>
      <c r="AH295" s="7"/>
    </row>
    <row r="296" spans="33:34" ht="14" x14ac:dyDescent="0.2">
      <c r="AG296" s="1"/>
      <c r="AH296" s="7"/>
    </row>
    <row r="297" spans="33:34" ht="14" x14ac:dyDescent="0.2">
      <c r="AG297" s="1"/>
      <c r="AH297" s="7"/>
    </row>
    <row r="298" spans="33:34" ht="14" x14ac:dyDescent="0.2">
      <c r="AG298" s="1"/>
      <c r="AH298" s="7"/>
    </row>
    <row r="299" spans="33:34" ht="14" x14ac:dyDescent="0.2">
      <c r="AG299" s="1"/>
      <c r="AH299" s="7"/>
    </row>
    <row r="300" spans="33:34" ht="14" x14ac:dyDescent="0.2">
      <c r="AG300" s="1"/>
      <c r="AH300" s="7"/>
    </row>
    <row r="301" spans="33:34" ht="14" x14ac:dyDescent="0.2">
      <c r="AG301" s="1"/>
      <c r="AH301" s="7"/>
    </row>
    <row r="302" spans="33:34" ht="14" x14ac:dyDescent="0.2">
      <c r="AG302" s="1"/>
      <c r="AH302" s="7"/>
    </row>
    <row r="303" spans="33:34" ht="14" x14ac:dyDescent="0.2">
      <c r="AG303" s="1"/>
      <c r="AH303" s="7"/>
    </row>
    <row r="304" spans="33:34" ht="14" x14ac:dyDescent="0.2">
      <c r="AG304" s="1"/>
      <c r="AH304" s="7"/>
    </row>
    <row r="305" spans="33:34" ht="14" x14ac:dyDescent="0.2">
      <c r="AG305" s="1"/>
      <c r="AH305" s="7"/>
    </row>
    <row r="306" spans="33:34" ht="14" x14ac:dyDescent="0.2">
      <c r="AG306" s="1"/>
      <c r="AH306" s="7"/>
    </row>
    <row r="307" spans="33:34" ht="14" x14ac:dyDescent="0.2">
      <c r="AG307" s="1"/>
      <c r="AH307" s="7"/>
    </row>
    <row r="308" spans="33:34" ht="14" x14ac:dyDescent="0.2">
      <c r="AG308" s="1"/>
      <c r="AH308" s="7"/>
    </row>
    <row r="309" spans="33:34" ht="14" x14ac:dyDescent="0.2">
      <c r="AG309" s="1"/>
      <c r="AH309" s="7"/>
    </row>
    <row r="310" spans="33:34" ht="14" x14ac:dyDescent="0.2">
      <c r="AG310" s="1"/>
      <c r="AH310" s="7"/>
    </row>
    <row r="311" spans="33:34" ht="14" x14ac:dyDescent="0.2">
      <c r="AG311" s="1"/>
      <c r="AH311" s="7"/>
    </row>
    <row r="312" spans="33:34" ht="14" x14ac:dyDescent="0.2">
      <c r="AG312" s="1"/>
      <c r="AH312" s="7"/>
    </row>
    <row r="313" spans="33:34" ht="14" x14ac:dyDescent="0.2">
      <c r="AG313" s="1"/>
      <c r="AH313" s="7"/>
    </row>
    <row r="314" spans="33:34" ht="14" x14ac:dyDescent="0.2">
      <c r="AG314" s="1"/>
      <c r="AH314" s="7"/>
    </row>
    <row r="315" spans="33:34" ht="14" x14ac:dyDescent="0.2">
      <c r="AG315" s="1"/>
      <c r="AH315" s="7"/>
    </row>
    <row r="316" spans="33:34" ht="14" x14ac:dyDescent="0.2">
      <c r="AG316" s="1"/>
      <c r="AH316" s="7"/>
    </row>
    <row r="317" spans="33:34" ht="14" x14ac:dyDescent="0.2">
      <c r="AG317" s="1"/>
      <c r="AH317" s="7"/>
    </row>
    <row r="318" spans="33:34" ht="14" x14ac:dyDescent="0.2">
      <c r="AG318" s="1"/>
      <c r="AH318" s="7"/>
    </row>
    <row r="319" spans="33:34" ht="14" x14ac:dyDescent="0.2">
      <c r="AG319" s="1"/>
      <c r="AH319" s="7"/>
    </row>
    <row r="320" spans="33:34" ht="14" x14ac:dyDescent="0.2">
      <c r="AG320" s="1"/>
      <c r="AH320" s="7"/>
    </row>
    <row r="321" spans="33:34" ht="14" x14ac:dyDescent="0.2">
      <c r="AG321" s="1"/>
      <c r="AH321" s="7"/>
    </row>
    <row r="322" spans="33:34" ht="14" x14ac:dyDescent="0.2">
      <c r="AG322" s="1"/>
      <c r="AH322" s="7"/>
    </row>
    <row r="323" spans="33:34" ht="14" x14ac:dyDescent="0.2">
      <c r="AG323" s="1"/>
      <c r="AH323" s="7"/>
    </row>
    <row r="324" spans="33:34" ht="14" x14ac:dyDescent="0.2">
      <c r="AG324" s="1"/>
      <c r="AH324" s="7"/>
    </row>
    <row r="325" spans="33:34" ht="14" x14ac:dyDescent="0.2">
      <c r="AG325" s="1"/>
      <c r="AH325" s="7"/>
    </row>
    <row r="326" spans="33:34" ht="14" x14ac:dyDescent="0.2">
      <c r="AG326" s="1"/>
      <c r="AH326" s="7"/>
    </row>
    <row r="327" spans="33:34" ht="14" x14ac:dyDescent="0.2">
      <c r="AG327" s="1"/>
      <c r="AH327" s="7"/>
    </row>
    <row r="328" spans="33:34" ht="14" x14ac:dyDescent="0.2">
      <c r="AG328" s="1"/>
      <c r="AH328" s="7"/>
    </row>
    <row r="329" spans="33:34" ht="14" x14ac:dyDescent="0.2">
      <c r="AG329" s="1"/>
      <c r="AH329" s="7"/>
    </row>
    <row r="330" spans="33:34" ht="14" x14ac:dyDescent="0.2">
      <c r="AG330" s="1"/>
      <c r="AH330" s="7"/>
    </row>
    <row r="331" spans="33:34" ht="14" x14ac:dyDescent="0.2">
      <c r="AG331" s="1"/>
      <c r="AH331" s="7"/>
    </row>
    <row r="332" spans="33:34" ht="14" x14ac:dyDescent="0.2">
      <c r="AG332" s="1"/>
      <c r="AH332" s="7"/>
    </row>
    <row r="333" spans="33:34" ht="14" x14ac:dyDescent="0.2">
      <c r="AG333" s="1"/>
      <c r="AH333" s="7"/>
    </row>
    <row r="334" spans="33:34" ht="14" x14ac:dyDescent="0.2">
      <c r="AG334" s="1"/>
      <c r="AH334" s="7"/>
    </row>
    <row r="335" spans="33:34" ht="14" x14ac:dyDescent="0.2">
      <c r="AG335" s="1"/>
      <c r="AH335" s="7"/>
    </row>
    <row r="336" spans="33:34" ht="14" x14ac:dyDescent="0.2">
      <c r="AG336" s="1"/>
      <c r="AH336" s="7"/>
    </row>
    <row r="337" spans="33:34" ht="14" x14ac:dyDescent="0.2">
      <c r="AG337" s="1"/>
      <c r="AH337" s="7"/>
    </row>
    <row r="338" spans="33:34" ht="14" x14ac:dyDescent="0.2">
      <c r="AG338" s="1"/>
      <c r="AH338" s="7"/>
    </row>
    <row r="339" spans="33:34" ht="14" x14ac:dyDescent="0.2">
      <c r="AG339" s="1"/>
      <c r="AH339" s="7"/>
    </row>
    <row r="340" spans="33:34" ht="14" x14ac:dyDescent="0.2">
      <c r="AG340" s="1"/>
      <c r="AH340" s="7"/>
    </row>
    <row r="341" spans="33:34" ht="14" x14ac:dyDescent="0.2">
      <c r="AG341" s="1"/>
      <c r="AH341" s="7"/>
    </row>
    <row r="342" spans="33:34" ht="14" x14ac:dyDescent="0.2">
      <c r="AG342" s="1"/>
      <c r="AH342" s="7"/>
    </row>
    <row r="343" spans="33:34" ht="14" x14ac:dyDescent="0.2">
      <c r="AG343" s="1"/>
      <c r="AH343" s="7"/>
    </row>
    <row r="344" spans="33:34" ht="14" x14ac:dyDescent="0.2">
      <c r="AG344" s="1"/>
      <c r="AH344" s="7"/>
    </row>
    <row r="345" spans="33:34" ht="14" x14ac:dyDescent="0.2">
      <c r="AG345" s="1"/>
      <c r="AH345" s="7"/>
    </row>
    <row r="346" spans="33:34" ht="14" x14ac:dyDescent="0.2">
      <c r="AG346" s="1"/>
      <c r="AH346" s="7"/>
    </row>
    <row r="347" spans="33:34" ht="14" x14ac:dyDescent="0.2">
      <c r="AG347" s="1"/>
      <c r="AH347" s="7"/>
    </row>
    <row r="348" spans="33:34" ht="14" x14ac:dyDescent="0.2">
      <c r="AG348" s="1"/>
      <c r="AH348" s="7"/>
    </row>
    <row r="349" spans="33:34" ht="14" x14ac:dyDescent="0.2">
      <c r="AG349" s="1"/>
      <c r="AH349" s="7"/>
    </row>
    <row r="350" spans="33:34" ht="14" x14ac:dyDescent="0.2">
      <c r="AG350" s="1"/>
      <c r="AH350" s="7"/>
    </row>
    <row r="351" spans="33:34" ht="14" x14ac:dyDescent="0.2">
      <c r="AG351" s="1"/>
      <c r="AH351" s="7"/>
    </row>
    <row r="352" spans="33:34" ht="14" x14ac:dyDescent="0.2">
      <c r="AG352" s="1"/>
      <c r="AH352" s="7"/>
    </row>
    <row r="353" spans="33:34" ht="14" x14ac:dyDescent="0.2">
      <c r="AG353" s="1"/>
      <c r="AH353" s="7"/>
    </row>
    <row r="354" spans="33:34" ht="14" x14ac:dyDescent="0.2">
      <c r="AG354" s="1"/>
      <c r="AH354" s="7"/>
    </row>
    <row r="355" spans="33:34" ht="14" x14ac:dyDescent="0.2">
      <c r="AG355" s="1"/>
      <c r="AH355" s="7"/>
    </row>
    <row r="356" spans="33:34" ht="14" x14ac:dyDescent="0.2">
      <c r="AG356" s="1"/>
      <c r="AH356" s="7"/>
    </row>
    <row r="357" spans="33:34" ht="14" x14ac:dyDescent="0.2">
      <c r="AG357" s="1"/>
      <c r="AH357" s="7"/>
    </row>
    <row r="358" spans="33:34" ht="14" x14ac:dyDescent="0.2">
      <c r="AG358" s="1"/>
      <c r="AH358" s="7"/>
    </row>
    <row r="359" spans="33:34" ht="14" x14ac:dyDescent="0.2">
      <c r="AG359" s="1"/>
      <c r="AH359" s="7"/>
    </row>
    <row r="360" spans="33:34" ht="14" x14ac:dyDescent="0.2">
      <c r="AG360" s="1"/>
      <c r="AH360" s="7"/>
    </row>
    <row r="361" spans="33:34" ht="14" x14ac:dyDescent="0.2">
      <c r="AG361" s="1"/>
      <c r="AH361" s="7"/>
    </row>
    <row r="362" spans="33:34" ht="14" x14ac:dyDescent="0.2">
      <c r="AG362" s="1"/>
      <c r="AH362" s="7"/>
    </row>
    <row r="363" spans="33:34" ht="14" x14ac:dyDescent="0.2">
      <c r="AG363" s="1"/>
      <c r="AH363" s="7"/>
    </row>
    <row r="364" spans="33:34" ht="14" x14ac:dyDescent="0.2">
      <c r="AG364" s="1"/>
      <c r="AH364" s="7"/>
    </row>
    <row r="365" spans="33:34" ht="14" x14ac:dyDescent="0.2">
      <c r="AG365" s="1"/>
      <c r="AH365" s="7"/>
    </row>
    <row r="366" spans="33:34" ht="14" x14ac:dyDescent="0.2">
      <c r="AG366" s="1"/>
      <c r="AH366" s="7"/>
    </row>
    <row r="367" spans="33:34" ht="14" x14ac:dyDescent="0.2">
      <c r="AG367" s="1"/>
      <c r="AH367" s="7"/>
    </row>
    <row r="368" spans="33:34" ht="14" x14ac:dyDescent="0.2">
      <c r="AG368" s="1"/>
      <c r="AH368" s="7"/>
    </row>
    <row r="369" spans="33:34" ht="14" x14ac:dyDescent="0.2">
      <c r="AG369" s="1"/>
      <c r="AH369" s="7"/>
    </row>
    <row r="370" spans="33:34" ht="14" x14ac:dyDescent="0.2">
      <c r="AG370" s="1"/>
      <c r="AH370" s="7"/>
    </row>
    <row r="371" spans="33:34" ht="14" x14ac:dyDescent="0.2">
      <c r="AG371" s="1"/>
      <c r="AH371" s="7"/>
    </row>
    <row r="372" spans="33:34" ht="14" x14ac:dyDescent="0.2">
      <c r="AG372" s="1"/>
      <c r="AH372" s="7"/>
    </row>
    <row r="373" spans="33:34" ht="14" x14ac:dyDescent="0.2">
      <c r="AG373" s="1"/>
      <c r="AH373" s="7"/>
    </row>
    <row r="374" spans="33:34" ht="14" x14ac:dyDescent="0.2">
      <c r="AG374" s="1"/>
      <c r="AH374" s="7"/>
    </row>
    <row r="375" spans="33:34" ht="14" x14ac:dyDescent="0.2">
      <c r="AG375" s="1"/>
      <c r="AH375" s="7"/>
    </row>
    <row r="376" spans="33:34" ht="14" x14ac:dyDescent="0.2">
      <c r="AG376" s="1"/>
      <c r="AH376" s="7"/>
    </row>
    <row r="377" spans="33:34" ht="14" x14ac:dyDescent="0.2">
      <c r="AG377" s="1"/>
      <c r="AH377" s="7"/>
    </row>
    <row r="378" spans="33:34" ht="14" x14ac:dyDescent="0.2">
      <c r="AG378" s="1"/>
      <c r="AH378" s="7"/>
    </row>
    <row r="379" spans="33:34" ht="14" x14ac:dyDescent="0.2">
      <c r="AG379" s="1"/>
      <c r="AH379" s="7"/>
    </row>
    <row r="380" spans="33:34" ht="14" x14ac:dyDescent="0.2">
      <c r="AG380" s="1"/>
      <c r="AH380" s="7"/>
    </row>
    <row r="381" spans="33:34" ht="14" x14ac:dyDescent="0.2">
      <c r="AG381" s="1"/>
      <c r="AH381" s="7"/>
    </row>
    <row r="382" spans="33:34" ht="14" x14ac:dyDescent="0.2">
      <c r="AG382" s="1"/>
      <c r="AH382" s="7"/>
    </row>
    <row r="383" spans="33:34" ht="14" x14ac:dyDescent="0.2">
      <c r="AG383" s="1"/>
      <c r="AH383" s="7"/>
    </row>
    <row r="384" spans="33:34" ht="14" x14ac:dyDescent="0.2">
      <c r="AG384" s="1"/>
      <c r="AH384" s="7"/>
    </row>
    <row r="385" spans="33:34" ht="14" x14ac:dyDescent="0.2">
      <c r="AG385" s="1"/>
      <c r="AH385" s="7"/>
    </row>
    <row r="386" spans="33:34" ht="14" x14ac:dyDescent="0.2">
      <c r="AG386" s="1"/>
      <c r="AH386" s="7"/>
    </row>
    <row r="387" spans="33:34" ht="14" x14ac:dyDescent="0.2">
      <c r="AG387" s="1"/>
      <c r="AH387" s="7"/>
    </row>
    <row r="388" spans="33:34" ht="14" x14ac:dyDescent="0.2">
      <c r="AG388" s="1"/>
      <c r="AH388" s="7"/>
    </row>
    <row r="389" spans="33:34" ht="14" x14ac:dyDescent="0.2">
      <c r="AG389" s="1"/>
      <c r="AH389" s="7"/>
    </row>
    <row r="390" spans="33:34" ht="14" x14ac:dyDescent="0.2">
      <c r="AG390" s="1"/>
      <c r="AH390" s="7"/>
    </row>
    <row r="391" spans="33:34" ht="14" x14ac:dyDescent="0.2">
      <c r="AG391" s="1"/>
      <c r="AH391" s="7"/>
    </row>
    <row r="392" spans="33:34" ht="14" x14ac:dyDescent="0.2">
      <c r="AG392" s="1"/>
      <c r="AH392" s="7"/>
    </row>
    <row r="393" spans="33:34" ht="14" x14ac:dyDescent="0.2">
      <c r="AG393" s="1"/>
      <c r="AH393" s="7"/>
    </row>
    <row r="394" spans="33:34" ht="14" x14ac:dyDescent="0.2">
      <c r="AG394" s="1"/>
      <c r="AH394" s="7"/>
    </row>
    <row r="395" spans="33:34" ht="14" x14ac:dyDescent="0.2">
      <c r="AG395" s="1"/>
      <c r="AH395" s="7"/>
    </row>
    <row r="396" spans="33:34" ht="14" x14ac:dyDescent="0.2">
      <c r="AG396" s="1"/>
      <c r="AH396" s="7"/>
    </row>
    <row r="397" spans="33:34" ht="14" x14ac:dyDescent="0.2">
      <c r="AG397" s="1"/>
      <c r="AH397" s="7"/>
    </row>
    <row r="398" spans="33:34" ht="14" x14ac:dyDescent="0.2">
      <c r="AG398" s="1"/>
      <c r="AH398" s="7"/>
    </row>
    <row r="399" spans="33:34" ht="14" x14ac:dyDescent="0.2">
      <c r="AG399" s="1"/>
      <c r="AH399" s="7"/>
    </row>
    <row r="400" spans="33:34" ht="14" x14ac:dyDescent="0.2">
      <c r="AG400" s="1"/>
      <c r="AH400" s="7"/>
    </row>
    <row r="401" spans="33:34" ht="14" x14ac:dyDescent="0.2">
      <c r="AG401" s="1"/>
      <c r="AH401" s="7"/>
    </row>
    <row r="402" spans="33:34" ht="14" x14ac:dyDescent="0.2">
      <c r="AG402" s="1"/>
      <c r="AH402" s="7"/>
    </row>
    <row r="403" spans="33:34" ht="14" x14ac:dyDescent="0.2">
      <c r="AG403" s="1"/>
      <c r="AH403" s="7"/>
    </row>
    <row r="404" spans="33:34" ht="14" x14ac:dyDescent="0.2">
      <c r="AG404" s="1"/>
      <c r="AH404" s="7"/>
    </row>
    <row r="405" spans="33:34" ht="14" x14ac:dyDescent="0.2">
      <c r="AG405" s="1"/>
      <c r="AH405" s="7"/>
    </row>
    <row r="406" spans="33:34" ht="14" x14ac:dyDescent="0.2">
      <c r="AG406" s="1"/>
      <c r="AH406" s="7"/>
    </row>
    <row r="407" spans="33:34" ht="14" x14ac:dyDescent="0.2">
      <c r="AG407" s="1"/>
      <c r="AH407" s="7"/>
    </row>
    <row r="408" spans="33:34" ht="14" x14ac:dyDescent="0.2">
      <c r="AG408" s="1"/>
      <c r="AH408" s="7"/>
    </row>
    <row r="409" spans="33:34" ht="14" x14ac:dyDescent="0.2">
      <c r="AG409" s="1"/>
      <c r="AH409" s="7"/>
    </row>
    <row r="410" spans="33:34" ht="14" x14ac:dyDescent="0.2">
      <c r="AG410" s="1"/>
      <c r="AH410" s="7"/>
    </row>
    <row r="411" spans="33:34" ht="14" x14ac:dyDescent="0.2">
      <c r="AG411" s="1"/>
      <c r="AH411" s="7"/>
    </row>
    <row r="412" spans="33:34" ht="14" x14ac:dyDescent="0.2">
      <c r="AG412" s="1"/>
      <c r="AH412" s="7"/>
    </row>
    <row r="413" spans="33:34" ht="14" x14ac:dyDescent="0.2">
      <c r="AG413" s="1"/>
      <c r="AH413" s="7"/>
    </row>
    <row r="414" spans="33:34" ht="14" x14ac:dyDescent="0.2">
      <c r="AG414" s="1"/>
      <c r="AH414" s="7"/>
    </row>
    <row r="415" spans="33:34" ht="14" x14ac:dyDescent="0.2">
      <c r="AG415" s="1"/>
      <c r="AH415" s="7"/>
    </row>
    <row r="416" spans="33:34" ht="14" x14ac:dyDescent="0.2">
      <c r="AG416" s="1"/>
      <c r="AH416" s="7"/>
    </row>
    <row r="417" spans="33:34" ht="14" x14ac:dyDescent="0.2">
      <c r="AG417" s="1"/>
      <c r="AH417" s="7"/>
    </row>
    <row r="418" spans="33:34" ht="14" x14ac:dyDescent="0.2">
      <c r="AG418" s="1"/>
      <c r="AH418" s="7"/>
    </row>
    <row r="419" spans="33:34" ht="14" x14ac:dyDescent="0.2">
      <c r="AG419" s="1"/>
      <c r="AH419" s="7"/>
    </row>
    <row r="420" spans="33:34" ht="14" x14ac:dyDescent="0.2">
      <c r="AG420" s="1"/>
      <c r="AH420" s="7"/>
    </row>
    <row r="421" spans="33:34" ht="14" x14ac:dyDescent="0.2">
      <c r="AG421" s="1"/>
      <c r="AH421" s="7"/>
    </row>
    <row r="422" spans="33:34" ht="14" x14ac:dyDescent="0.2">
      <c r="AG422" s="1"/>
      <c r="AH422" s="7"/>
    </row>
    <row r="423" spans="33:34" ht="14" x14ac:dyDescent="0.2">
      <c r="AG423" s="1"/>
      <c r="AH423" s="7"/>
    </row>
    <row r="424" spans="33:34" ht="14" x14ac:dyDescent="0.2">
      <c r="AG424" s="1"/>
      <c r="AH424" s="7"/>
    </row>
    <row r="425" spans="33:34" ht="14" x14ac:dyDescent="0.2">
      <c r="AG425" s="1"/>
      <c r="AH425" s="7"/>
    </row>
    <row r="426" spans="33:34" ht="14" x14ac:dyDescent="0.2">
      <c r="AG426" s="1"/>
      <c r="AH426" s="7"/>
    </row>
    <row r="427" spans="33:34" ht="14" x14ac:dyDescent="0.2">
      <c r="AG427" s="1"/>
      <c r="AH427" s="7"/>
    </row>
    <row r="428" spans="33:34" ht="14" x14ac:dyDescent="0.2">
      <c r="AG428" s="1"/>
      <c r="AH428" s="7"/>
    </row>
    <row r="429" spans="33:34" ht="14" x14ac:dyDescent="0.2">
      <c r="AG429" s="1"/>
      <c r="AH429" s="7"/>
    </row>
    <row r="430" spans="33:34" ht="14" x14ac:dyDescent="0.2">
      <c r="AG430" s="1"/>
      <c r="AH430" s="7"/>
    </row>
    <row r="431" spans="33:34" ht="14" x14ac:dyDescent="0.2">
      <c r="AG431" s="1"/>
      <c r="AH431" s="7"/>
    </row>
    <row r="432" spans="33:34" ht="14" x14ac:dyDescent="0.2">
      <c r="AG432" s="1"/>
      <c r="AH432" s="7"/>
    </row>
    <row r="433" spans="33:34" ht="14" x14ac:dyDescent="0.2">
      <c r="AG433" s="1"/>
      <c r="AH433" s="7"/>
    </row>
    <row r="434" spans="33:34" ht="14" x14ac:dyDescent="0.2">
      <c r="AG434" s="1"/>
      <c r="AH434" s="7"/>
    </row>
    <row r="435" spans="33:34" ht="14" x14ac:dyDescent="0.2">
      <c r="AG435" s="1"/>
      <c r="AH435" s="7"/>
    </row>
    <row r="436" spans="33:34" ht="14" x14ac:dyDescent="0.2">
      <c r="AG436" s="1"/>
      <c r="AH436" s="7"/>
    </row>
    <row r="437" spans="33:34" ht="14" x14ac:dyDescent="0.2">
      <c r="AG437" s="1"/>
      <c r="AH437" s="7"/>
    </row>
    <row r="438" spans="33:34" ht="14" x14ac:dyDescent="0.2">
      <c r="AG438" s="1"/>
      <c r="AH438" s="7"/>
    </row>
    <row r="439" spans="33:34" ht="14" x14ac:dyDescent="0.2">
      <c r="AG439" s="1"/>
      <c r="AH439" s="7"/>
    </row>
    <row r="440" spans="33:34" ht="14" x14ac:dyDescent="0.2">
      <c r="AG440" s="1"/>
      <c r="AH440" s="7"/>
    </row>
    <row r="441" spans="33:34" ht="14" x14ac:dyDescent="0.2">
      <c r="AG441" s="1"/>
      <c r="AH441" s="7"/>
    </row>
    <row r="442" spans="33:34" ht="14" x14ac:dyDescent="0.2">
      <c r="AG442" s="1"/>
      <c r="AH442" s="7"/>
    </row>
    <row r="443" spans="33:34" ht="14" x14ac:dyDescent="0.2">
      <c r="AG443" s="1"/>
      <c r="AH443" s="7"/>
    </row>
    <row r="444" spans="33:34" ht="14" x14ac:dyDescent="0.2">
      <c r="AG444" s="1"/>
      <c r="AH444" s="7"/>
    </row>
    <row r="445" spans="33:34" ht="14" x14ac:dyDescent="0.2">
      <c r="AG445" s="1"/>
      <c r="AH445" s="7"/>
    </row>
    <row r="446" spans="33:34" ht="14" x14ac:dyDescent="0.2">
      <c r="AG446" s="1"/>
      <c r="AH446" s="7"/>
    </row>
    <row r="447" spans="33:34" ht="14" x14ac:dyDescent="0.2">
      <c r="AG447" s="1"/>
      <c r="AH447" s="7"/>
    </row>
    <row r="448" spans="33:34" ht="14" x14ac:dyDescent="0.2">
      <c r="AG448" s="1"/>
      <c r="AH448" s="7"/>
    </row>
    <row r="449" spans="33:34" ht="14" x14ac:dyDescent="0.2">
      <c r="AG449" s="1"/>
      <c r="AH449" s="7"/>
    </row>
    <row r="450" spans="33:34" ht="14" x14ac:dyDescent="0.2">
      <c r="AG450" s="1"/>
      <c r="AH450" s="7"/>
    </row>
    <row r="451" spans="33:34" ht="14" x14ac:dyDescent="0.2">
      <c r="AG451" s="1"/>
      <c r="AH451" s="7"/>
    </row>
    <row r="452" spans="33:34" ht="14" x14ac:dyDescent="0.2">
      <c r="AG452" s="1"/>
      <c r="AH452" s="7"/>
    </row>
    <row r="453" spans="33:34" ht="14" x14ac:dyDescent="0.2">
      <c r="AG453" s="1"/>
      <c r="AH453" s="7"/>
    </row>
    <row r="454" spans="33:34" ht="14" x14ac:dyDescent="0.2">
      <c r="AG454" s="1"/>
      <c r="AH454" s="7"/>
    </row>
    <row r="455" spans="33:34" ht="14" x14ac:dyDescent="0.2">
      <c r="AG455" s="1"/>
      <c r="AH455" s="7"/>
    </row>
    <row r="456" spans="33:34" ht="14" x14ac:dyDescent="0.2">
      <c r="AG456" s="1"/>
      <c r="AH456" s="7"/>
    </row>
    <row r="457" spans="33:34" ht="14" x14ac:dyDescent="0.2">
      <c r="AG457" s="1"/>
      <c r="AH457" s="7"/>
    </row>
    <row r="458" spans="33:34" ht="14" x14ac:dyDescent="0.2">
      <c r="AG458" s="1"/>
      <c r="AH458" s="7"/>
    </row>
    <row r="459" spans="33:34" ht="14" x14ac:dyDescent="0.2">
      <c r="AG459" s="1"/>
      <c r="AH459" s="7"/>
    </row>
    <row r="460" spans="33:34" ht="14" x14ac:dyDescent="0.2">
      <c r="AG460" s="1"/>
      <c r="AH460" s="7"/>
    </row>
    <row r="461" spans="33:34" ht="14" x14ac:dyDescent="0.2">
      <c r="AG461" s="1"/>
      <c r="AH461" s="7"/>
    </row>
    <row r="462" spans="33:34" ht="14" x14ac:dyDescent="0.2">
      <c r="AG462" s="1"/>
      <c r="AH462" s="7"/>
    </row>
    <row r="463" spans="33:34" ht="14" x14ac:dyDescent="0.2">
      <c r="AG463" s="1"/>
      <c r="AH463" s="7"/>
    </row>
    <row r="464" spans="33:34" ht="14" x14ac:dyDescent="0.2">
      <c r="AG464" s="1"/>
      <c r="AH464" s="7"/>
    </row>
    <row r="465" spans="33:34" ht="14" x14ac:dyDescent="0.2">
      <c r="AG465" s="1"/>
      <c r="AH465" s="7"/>
    </row>
    <row r="466" spans="33:34" ht="14" x14ac:dyDescent="0.2">
      <c r="AG466" s="1"/>
      <c r="AH466" s="7"/>
    </row>
    <row r="467" spans="33:34" ht="14" x14ac:dyDescent="0.2">
      <c r="AG467" s="1"/>
      <c r="AH467" s="7"/>
    </row>
    <row r="468" spans="33:34" ht="14" x14ac:dyDescent="0.2">
      <c r="AG468" s="1"/>
      <c r="AH468" s="7"/>
    </row>
    <row r="469" spans="33:34" ht="14" x14ac:dyDescent="0.2">
      <c r="AG469" s="1"/>
      <c r="AH469" s="7"/>
    </row>
    <row r="470" spans="33:34" ht="14" x14ac:dyDescent="0.2">
      <c r="AG470" s="1"/>
      <c r="AH470" s="7"/>
    </row>
    <row r="471" spans="33:34" ht="14" x14ac:dyDescent="0.2">
      <c r="AG471" s="1"/>
      <c r="AH471" s="7"/>
    </row>
    <row r="472" spans="33:34" ht="14" x14ac:dyDescent="0.2">
      <c r="AG472" s="1"/>
      <c r="AH472" s="7"/>
    </row>
    <row r="473" spans="33:34" ht="14" x14ac:dyDescent="0.2">
      <c r="AG473" s="1"/>
      <c r="AH473" s="7"/>
    </row>
    <row r="474" spans="33:34" ht="14" x14ac:dyDescent="0.2">
      <c r="AG474" s="1"/>
      <c r="AH474" s="7"/>
    </row>
    <row r="475" spans="33:34" ht="14" x14ac:dyDescent="0.2">
      <c r="AG475" s="1"/>
      <c r="AH475" s="7"/>
    </row>
    <row r="476" spans="33:34" ht="14" x14ac:dyDescent="0.2">
      <c r="AG476" s="1"/>
      <c r="AH476" s="7"/>
    </row>
    <row r="477" spans="33:34" ht="14" x14ac:dyDescent="0.2">
      <c r="AG477" s="1"/>
      <c r="AH477" s="7"/>
    </row>
    <row r="478" spans="33:34" ht="14" x14ac:dyDescent="0.2">
      <c r="AG478" s="1"/>
      <c r="AH478" s="7"/>
    </row>
    <row r="479" spans="33:34" ht="14" x14ac:dyDescent="0.2">
      <c r="AG479" s="1"/>
      <c r="AH479" s="7"/>
    </row>
    <row r="480" spans="33:34" ht="14" x14ac:dyDescent="0.2">
      <c r="AG480" s="1"/>
      <c r="AH480" s="7"/>
    </row>
    <row r="481" spans="33:34" ht="14" x14ac:dyDescent="0.2">
      <c r="AG481" s="1"/>
      <c r="AH481" s="7"/>
    </row>
    <row r="482" spans="33:34" ht="14" x14ac:dyDescent="0.2">
      <c r="AG482" s="1"/>
      <c r="AH482" s="7"/>
    </row>
    <row r="483" spans="33:34" ht="14" x14ac:dyDescent="0.2">
      <c r="AG483" s="1"/>
      <c r="AH483" s="7"/>
    </row>
    <row r="484" spans="33:34" ht="14" x14ac:dyDescent="0.2">
      <c r="AG484" s="1"/>
      <c r="AH484" s="7"/>
    </row>
    <row r="485" spans="33:34" ht="14" x14ac:dyDescent="0.2">
      <c r="AG485" s="1"/>
      <c r="AH485" s="7"/>
    </row>
    <row r="486" spans="33:34" ht="14" x14ac:dyDescent="0.2">
      <c r="AG486" s="1"/>
      <c r="AH486" s="7"/>
    </row>
    <row r="487" spans="33:34" ht="14" x14ac:dyDescent="0.2">
      <c r="AG487" s="1"/>
      <c r="AH487" s="7"/>
    </row>
    <row r="488" spans="33:34" ht="14" x14ac:dyDescent="0.2">
      <c r="AG488" s="1"/>
      <c r="AH488" s="7"/>
    </row>
    <row r="489" spans="33:34" ht="14" x14ac:dyDescent="0.2">
      <c r="AG489" s="1"/>
      <c r="AH489" s="7"/>
    </row>
    <row r="490" spans="33:34" ht="14" x14ac:dyDescent="0.2">
      <c r="AG490" s="1"/>
      <c r="AH490" s="7"/>
    </row>
    <row r="491" spans="33:34" ht="14" x14ac:dyDescent="0.2">
      <c r="AG491" s="1"/>
      <c r="AH491" s="7"/>
    </row>
    <row r="492" spans="33:34" ht="14" x14ac:dyDescent="0.2">
      <c r="AG492" s="1"/>
      <c r="AH492" s="7"/>
    </row>
    <row r="493" spans="33:34" ht="14" x14ac:dyDescent="0.2">
      <c r="AG493" s="1"/>
      <c r="AH493" s="7"/>
    </row>
    <row r="494" spans="33:34" ht="14" x14ac:dyDescent="0.2">
      <c r="AG494" s="1"/>
      <c r="AH494" s="7"/>
    </row>
    <row r="495" spans="33:34" ht="14" x14ac:dyDescent="0.2">
      <c r="AG495" s="1"/>
      <c r="AH495" s="7"/>
    </row>
    <row r="496" spans="33:34" ht="14" x14ac:dyDescent="0.2">
      <c r="AG496" s="1"/>
      <c r="AH496" s="7"/>
    </row>
    <row r="497" spans="33:34" ht="14" x14ac:dyDescent="0.2">
      <c r="AG497" s="1"/>
      <c r="AH497" s="7"/>
    </row>
    <row r="498" spans="33:34" ht="14" x14ac:dyDescent="0.2">
      <c r="AG498" s="1"/>
      <c r="AH498" s="7"/>
    </row>
    <row r="499" spans="33:34" ht="14" x14ac:dyDescent="0.2">
      <c r="AG499" s="1"/>
      <c r="AH499" s="7"/>
    </row>
    <row r="500" spans="33:34" ht="14" x14ac:dyDescent="0.2">
      <c r="AG500" s="1"/>
      <c r="AH500" s="7"/>
    </row>
    <row r="501" spans="33:34" ht="14" x14ac:dyDescent="0.2">
      <c r="AG501" s="1"/>
      <c r="AH501" s="7"/>
    </row>
    <row r="502" spans="33:34" ht="14" x14ac:dyDescent="0.2">
      <c r="AG502" s="1"/>
      <c r="AH502" s="7"/>
    </row>
    <row r="503" spans="33:34" ht="14" x14ac:dyDescent="0.2">
      <c r="AG503" s="1"/>
      <c r="AH503" s="7"/>
    </row>
    <row r="504" spans="33:34" ht="14" x14ac:dyDescent="0.2">
      <c r="AG504" s="1"/>
      <c r="AH504" s="7"/>
    </row>
    <row r="505" spans="33:34" ht="14" x14ac:dyDescent="0.2">
      <c r="AG505" s="1"/>
      <c r="AH505" s="7"/>
    </row>
    <row r="506" spans="33:34" ht="14" x14ac:dyDescent="0.2">
      <c r="AG506" s="1"/>
      <c r="AH506" s="7"/>
    </row>
    <row r="507" spans="33:34" ht="14" x14ac:dyDescent="0.2">
      <c r="AG507" s="1"/>
      <c r="AH507" s="7"/>
    </row>
    <row r="508" spans="33:34" ht="14" x14ac:dyDescent="0.2">
      <c r="AG508" s="1"/>
      <c r="AH508" s="7"/>
    </row>
    <row r="509" spans="33:34" ht="14" x14ac:dyDescent="0.2">
      <c r="AG509" s="1"/>
      <c r="AH509" s="7"/>
    </row>
    <row r="510" spans="33:34" ht="14" x14ac:dyDescent="0.2">
      <c r="AG510" s="1"/>
      <c r="AH510" s="7"/>
    </row>
    <row r="511" spans="33:34" ht="14" x14ac:dyDescent="0.2">
      <c r="AG511" s="1"/>
      <c r="AH511" s="7"/>
    </row>
    <row r="512" spans="33:34" ht="14" x14ac:dyDescent="0.2">
      <c r="AG512" s="1"/>
      <c r="AH512" s="7"/>
    </row>
    <row r="513" spans="33:34" ht="14" x14ac:dyDescent="0.2">
      <c r="AG513" s="1"/>
      <c r="AH513" s="7"/>
    </row>
    <row r="514" spans="33:34" ht="14" x14ac:dyDescent="0.2">
      <c r="AG514" s="1"/>
      <c r="AH514" s="7"/>
    </row>
    <row r="515" spans="33:34" ht="14" x14ac:dyDescent="0.2">
      <c r="AG515" s="1"/>
      <c r="AH515" s="7"/>
    </row>
    <row r="516" spans="33:34" ht="14" x14ac:dyDescent="0.2">
      <c r="AG516" s="1"/>
      <c r="AH516" s="7"/>
    </row>
    <row r="517" spans="33:34" ht="14" x14ac:dyDescent="0.2">
      <c r="AG517" s="1"/>
      <c r="AH517" s="7"/>
    </row>
    <row r="518" spans="33:34" ht="14" x14ac:dyDescent="0.2">
      <c r="AG518" s="1"/>
      <c r="AH518" s="7"/>
    </row>
    <row r="519" spans="33:34" ht="14" x14ac:dyDescent="0.2">
      <c r="AG519" s="1"/>
      <c r="AH519" s="7"/>
    </row>
    <row r="520" spans="33:34" ht="14" x14ac:dyDescent="0.2">
      <c r="AG520" s="1"/>
      <c r="AH520" s="7"/>
    </row>
    <row r="521" spans="33:34" ht="14" x14ac:dyDescent="0.2">
      <c r="AG521" s="1"/>
      <c r="AH521" s="7"/>
    </row>
    <row r="522" spans="33:34" ht="14" x14ac:dyDescent="0.2">
      <c r="AG522" s="1"/>
      <c r="AH522" s="7"/>
    </row>
    <row r="523" spans="33:34" ht="14" x14ac:dyDescent="0.2">
      <c r="AG523" s="1"/>
      <c r="AH523" s="7"/>
    </row>
    <row r="524" spans="33:34" ht="14" x14ac:dyDescent="0.2">
      <c r="AG524" s="1"/>
      <c r="AH524" s="7"/>
    </row>
    <row r="525" spans="33:34" ht="14" x14ac:dyDescent="0.2">
      <c r="AG525" s="1"/>
      <c r="AH525" s="7"/>
    </row>
    <row r="526" spans="33:34" ht="14" x14ac:dyDescent="0.2">
      <c r="AG526" s="1"/>
      <c r="AH526" s="7"/>
    </row>
    <row r="527" spans="33:34" ht="14" x14ac:dyDescent="0.2">
      <c r="AG527" s="1"/>
      <c r="AH527" s="7"/>
    </row>
    <row r="528" spans="33:34" ht="14" x14ac:dyDescent="0.2">
      <c r="AG528" s="1"/>
      <c r="AH528" s="7"/>
    </row>
    <row r="529" spans="33:34" ht="14" x14ac:dyDescent="0.2">
      <c r="AG529" s="1"/>
      <c r="AH529" s="7"/>
    </row>
    <row r="530" spans="33:34" ht="14" x14ac:dyDescent="0.2">
      <c r="AG530" s="1"/>
      <c r="AH530" s="7"/>
    </row>
    <row r="531" spans="33:34" ht="14" x14ac:dyDescent="0.2">
      <c r="AG531" s="1"/>
      <c r="AH531" s="7"/>
    </row>
    <row r="532" spans="33:34" ht="14" x14ac:dyDescent="0.2">
      <c r="AG532" s="1"/>
      <c r="AH532" s="7"/>
    </row>
    <row r="533" spans="33:34" ht="14" x14ac:dyDescent="0.2">
      <c r="AG533" s="1"/>
      <c r="AH533" s="7"/>
    </row>
    <row r="534" spans="33:34" ht="14" x14ac:dyDescent="0.2">
      <c r="AG534" s="1"/>
      <c r="AH534" s="7"/>
    </row>
    <row r="535" spans="33:34" ht="14" x14ac:dyDescent="0.2">
      <c r="AG535" s="1"/>
      <c r="AH535" s="7"/>
    </row>
    <row r="536" spans="33:34" ht="14" x14ac:dyDescent="0.2">
      <c r="AG536" s="1"/>
      <c r="AH536" s="7"/>
    </row>
    <row r="537" spans="33:34" ht="14" x14ac:dyDescent="0.2">
      <c r="AG537" s="1"/>
      <c r="AH537" s="7"/>
    </row>
    <row r="538" spans="33:34" ht="14" x14ac:dyDescent="0.2">
      <c r="AG538" s="1"/>
      <c r="AH538" s="7"/>
    </row>
    <row r="539" spans="33:34" ht="14" x14ac:dyDescent="0.2">
      <c r="AG539" s="1"/>
      <c r="AH539" s="7"/>
    </row>
    <row r="540" spans="33:34" ht="14" x14ac:dyDescent="0.2">
      <c r="AG540" s="1"/>
      <c r="AH540" s="7"/>
    </row>
    <row r="541" spans="33:34" ht="14" x14ac:dyDescent="0.2">
      <c r="AG541" s="1"/>
      <c r="AH541" s="7"/>
    </row>
    <row r="542" spans="33:34" ht="14" x14ac:dyDescent="0.2">
      <c r="AG542" s="1"/>
      <c r="AH542" s="7"/>
    </row>
    <row r="543" spans="33:34" ht="14" x14ac:dyDescent="0.2">
      <c r="AG543" s="1"/>
      <c r="AH543" s="7"/>
    </row>
    <row r="544" spans="33:34" ht="14" x14ac:dyDescent="0.2">
      <c r="AG544" s="1"/>
      <c r="AH544" s="7"/>
    </row>
    <row r="545" spans="33:34" ht="14" x14ac:dyDescent="0.2">
      <c r="AG545" s="1"/>
      <c r="AH545" s="7"/>
    </row>
    <row r="546" spans="33:34" ht="14" x14ac:dyDescent="0.2">
      <c r="AG546" s="1"/>
      <c r="AH546" s="7"/>
    </row>
    <row r="547" spans="33:34" ht="14" x14ac:dyDescent="0.2">
      <c r="AG547" s="1"/>
      <c r="AH547" s="7"/>
    </row>
    <row r="548" spans="33:34" ht="14" x14ac:dyDescent="0.2">
      <c r="AG548" s="1"/>
      <c r="AH548" s="7"/>
    </row>
    <row r="549" spans="33:34" ht="14" x14ac:dyDescent="0.2">
      <c r="AG549" s="1"/>
      <c r="AH549" s="7"/>
    </row>
    <row r="550" spans="33:34" ht="14" x14ac:dyDescent="0.2">
      <c r="AG550" s="1"/>
      <c r="AH550" s="7"/>
    </row>
    <row r="551" spans="33:34" ht="14" x14ac:dyDescent="0.2">
      <c r="AG551" s="1"/>
      <c r="AH551" s="7"/>
    </row>
    <row r="552" spans="33:34" ht="14" x14ac:dyDescent="0.2">
      <c r="AG552" s="1"/>
      <c r="AH552" s="7"/>
    </row>
    <row r="553" spans="33:34" ht="14" x14ac:dyDescent="0.2">
      <c r="AG553" s="1"/>
      <c r="AH553" s="7"/>
    </row>
    <row r="554" spans="33:34" ht="14" x14ac:dyDescent="0.2">
      <c r="AG554" s="1"/>
      <c r="AH554" s="7"/>
    </row>
    <row r="555" spans="33:34" ht="14" x14ac:dyDescent="0.2">
      <c r="AG555" s="1"/>
      <c r="AH555" s="7"/>
    </row>
    <row r="556" spans="33:34" ht="14" x14ac:dyDescent="0.2">
      <c r="AG556" s="1"/>
      <c r="AH556" s="7"/>
    </row>
    <row r="557" spans="33:34" ht="14" x14ac:dyDescent="0.2">
      <c r="AG557" s="1"/>
      <c r="AH557" s="7"/>
    </row>
    <row r="558" spans="33:34" ht="14" x14ac:dyDescent="0.2">
      <c r="AG558" s="1"/>
      <c r="AH558" s="7"/>
    </row>
    <row r="559" spans="33:34" ht="14" x14ac:dyDescent="0.2">
      <c r="AG559" s="1"/>
      <c r="AH559" s="7"/>
    </row>
    <row r="560" spans="33:34" ht="14" x14ac:dyDescent="0.2">
      <c r="AG560" s="1"/>
      <c r="AH560" s="7"/>
    </row>
    <row r="561" spans="33:34" ht="14" x14ac:dyDescent="0.2">
      <c r="AG561" s="1"/>
      <c r="AH561" s="7"/>
    </row>
    <row r="562" spans="33:34" ht="14" x14ac:dyDescent="0.2">
      <c r="AG562" s="1"/>
      <c r="AH562" s="7"/>
    </row>
    <row r="563" spans="33:34" ht="14" x14ac:dyDescent="0.2">
      <c r="AG563" s="1"/>
      <c r="AH563" s="7"/>
    </row>
    <row r="564" spans="33:34" ht="14" x14ac:dyDescent="0.2">
      <c r="AG564" s="1"/>
      <c r="AH564" s="7"/>
    </row>
    <row r="565" spans="33:34" ht="14" x14ac:dyDescent="0.2">
      <c r="AG565" s="1"/>
      <c r="AH565" s="7"/>
    </row>
    <row r="566" spans="33:34" ht="14" x14ac:dyDescent="0.2">
      <c r="AG566" s="1"/>
      <c r="AH566" s="7"/>
    </row>
    <row r="567" spans="33:34" ht="14" x14ac:dyDescent="0.2">
      <c r="AG567" s="1"/>
      <c r="AH567" s="7"/>
    </row>
    <row r="568" spans="33:34" ht="14" x14ac:dyDescent="0.2">
      <c r="AG568" s="1"/>
      <c r="AH568" s="7"/>
    </row>
    <row r="569" spans="33:34" ht="14" x14ac:dyDescent="0.2">
      <c r="AG569" s="1"/>
      <c r="AH569" s="7"/>
    </row>
    <row r="570" spans="33:34" ht="14" x14ac:dyDescent="0.2">
      <c r="AG570" s="1"/>
      <c r="AH570" s="7"/>
    </row>
    <row r="571" spans="33:34" ht="14" x14ac:dyDescent="0.2">
      <c r="AG571" s="1"/>
      <c r="AH571" s="7"/>
    </row>
    <row r="572" spans="33:34" ht="14" x14ac:dyDescent="0.2">
      <c r="AG572" s="1"/>
      <c r="AH572" s="7"/>
    </row>
    <row r="573" spans="33:34" ht="14" x14ac:dyDescent="0.2">
      <c r="AG573" s="1"/>
      <c r="AH573" s="7"/>
    </row>
    <row r="574" spans="33:34" ht="14" x14ac:dyDescent="0.2">
      <c r="AG574" s="1"/>
      <c r="AH574" s="7"/>
    </row>
    <row r="575" spans="33:34" ht="14" x14ac:dyDescent="0.2">
      <c r="AG575" s="1"/>
      <c r="AH575" s="7"/>
    </row>
    <row r="576" spans="33:34" ht="14" x14ac:dyDescent="0.2">
      <c r="AG576" s="1"/>
      <c r="AH576" s="7"/>
    </row>
    <row r="577" spans="33:34" ht="14" x14ac:dyDescent="0.2">
      <c r="AG577" s="1"/>
      <c r="AH577" s="7"/>
    </row>
    <row r="578" spans="33:34" ht="14" x14ac:dyDescent="0.2">
      <c r="AG578" s="1"/>
      <c r="AH578" s="7"/>
    </row>
    <row r="579" spans="33:34" ht="14" x14ac:dyDescent="0.2">
      <c r="AG579" s="1"/>
      <c r="AH579" s="7"/>
    </row>
    <row r="580" spans="33:34" ht="14" x14ac:dyDescent="0.2">
      <c r="AG580" s="1"/>
      <c r="AH580" s="7"/>
    </row>
    <row r="581" spans="33:34" ht="14" x14ac:dyDescent="0.2">
      <c r="AG581" s="1"/>
      <c r="AH581" s="7"/>
    </row>
    <row r="582" spans="33:34" ht="14" x14ac:dyDescent="0.2">
      <c r="AG582" s="1"/>
      <c r="AH582" s="7"/>
    </row>
    <row r="583" spans="33:34" ht="14" x14ac:dyDescent="0.2">
      <c r="AG583" s="1"/>
      <c r="AH583" s="7"/>
    </row>
    <row r="584" spans="33:34" ht="14" x14ac:dyDescent="0.2">
      <c r="AG584" s="1"/>
      <c r="AH584" s="7"/>
    </row>
    <row r="585" spans="33:34" ht="14" x14ac:dyDescent="0.2">
      <c r="AG585" s="1"/>
      <c r="AH585" s="7"/>
    </row>
    <row r="586" spans="33:34" ht="14" x14ac:dyDescent="0.2">
      <c r="AG586" s="1"/>
      <c r="AH586" s="7"/>
    </row>
    <row r="587" spans="33:34" ht="14" x14ac:dyDescent="0.2">
      <c r="AG587" s="1"/>
      <c r="AH587" s="7"/>
    </row>
    <row r="588" spans="33:34" ht="14" x14ac:dyDescent="0.2">
      <c r="AG588" s="1"/>
      <c r="AH588" s="7"/>
    </row>
    <row r="589" spans="33:34" ht="14" x14ac:dyDescent="0.2">
      <c r="AG589" s="1"/>
      <c r="AH589" s="7"/>
    </row>
    <row r="590" spans="33:34" ht="14" x14ac:dyDescent="0.2">
      <c r="AG590" s="1"/>
      <c r="AH590" s="7"/>
    </row>
    <row r="591" spans="33:34" ht="14" x14ac:dyDescent="0.2">
      <c r="AG591" s="1"/>
      <c r="AH591" s="7"/>
    </row>
    <row r="592" spans="33:34" ht="14" x14ac:dyDescent="0.2">
      <c r="AG592" s="1"/>
      <c r="AH592" s="7"/>
    </row>
    <row r="593" spans="33:34" ht="14" x14ac:dyDescent="0.2">
      <c r="AG593" s="1"/>
      <c r="AH593" s="7"/>
    </row>
    <row r="594" spans="33:34" ht="14" x14ac:dyDescent="0.2">
      <c r="AG594" s="1"/>
      <c r="AH594" s="7"/>
    </row>
    <row r="595" spans="33:34" ht="14" x14ac:dyDescent="0.2">
      <c r="AG595" s="1"/>
      <c r="AH595" s="7"/>
    </row>
    <row r="596" spans="33:34" ht="14" x14ac:dyDescent="0.2">
      <c r="AG596" s="1"/>
      <c r="AH596" s="7"/>
    </row>
    <row r="597" spans="33:34" ht="14" x14ac:dyDescent="0.2">
      <c r="AG597" s="1"/>
      <c r="AH597" s="7"/>
    </row>
    <row r="598" spans="33:34" ht="14" x14ac:dyDescent="0.2">
      <c r="AG598" s="1"/>
      <c r="AH598" s="7"/>
    </row>
    <row r="599" spans="33:34" ht="14" x14ac:dyDescent="0.2">
      <c r="AG599" s="1"/>
      <c r="AH599" s="7"/>
    </row>
    <row r="600" spans="33:34" ht="14" x14ac:dyDescent="0.2">
      <c r="AG600" s="1"/>
      <c r="AH600" s="7"/>
    </row>
    <row r="601" spans="33:34" ht="14" x14ac:dyDescent="0.2">
      <c r="AG601" s="1"/>
      <c r="AH601" s="7"/>
    </row>
    <row r="602" spans="33:34" ht="14" x14ac:dyDescent="0.2">
      <c r="AG602" s="1"/>
      <c r="AH602" s="7"/>
    </row>
    <row r="603" spans="33:34" ht="14" x14ac:dyDescent="0.2">
      <c r="AG603" s="1"/>
      <c r="AH603" s="7"/>
    </row>
    <row r="604" spans="33:34" ht="14" x14ac:dyDescent="0.2">
      <c r="AG604" s="1"/>
      <c r="AH604" s="7"/>
    </row>
    <row r="605" spans="33:34" ht="14" x14ac:dyDescent="0.2">
      <c r="AG605" s="1"/>
      <c r="AH605" s="7"/>
    </row>
    <row r="606" spans="33:34" ht="14" x14ac:dyDescent="0.2">
      <c r="AG606" s="1"/>
      <c r="AH606" s="7"/>
    </row>
    <row r="607" spans="33:34" ht="14" x14ac:dyDescent="0.2">
      <c r="AG607" s="1"/>
      <c r="AH607" s="7"/>
    </row>
    <row r="608" spans="33:34" ht="14" x14ac:dyDescent="0.2">
      <c r="AG608" s="1"/>
      <c r="AH608" s="7"/>
    </row>
    <row r="609" spans="33:34" ht="14" x14ac:dyDescent="0.2">
      <c r="AG609" s="1"/>
      <c r="AH609" s="7"/>
    </row>
    <row r="610" spans="33:34" ht="14" x14ac:dyDescent="0.2">
      <c r="AG610" s="1"/>
      <c r="AH610" s="7"/>
    </row>
    <row r="611" spans="33:34" ht="14" x14ac:dyDescent="0.2">
      <c r="AG611" s="1"/>
      <c r="AH611" s="7"/>
    </row>
    <row r="612" spans="33:34" ht="14" x14ac:dyDescent="0.2">
      <c r="AG612" s="1"/>
      <c r="AH612" s="7"/>
    </row>
    <row r="613" spans="33:34" ht="14" x14ac:dyDescent="0.2">
      <c r="AG613" s="1"/>
      <c r="AH613" s="7"/>
    </row>
    <row r="614" spans="33:34" ht="14" x14ac:dyDescent="0.2">
      <c r="AG614" s="1"/>
      <c r="AH614" s="7"/>
    </row>
    <row r="615" spans="33:34" ht="14" x14ac:dyDescent="0.2">
      <c r="AG615" s="1"/>
      <c r="AH615" s="7"/>
    </row>
    <row r="616" spans="33:34" ht="14" x14ac:dyDescent="0.2">
      <c r="AG616" s="1"/>
      <c r="AH616" s="7"/>
    </row>
    <row r="617" spans="33:34" ht="14" x14ac:dyDescent="0.2">
      <c r="AG617" s="1"/>
      <c r="AH617" s="7"/>
    </row>
    <row r="618" spans="33:34" ht="14" x14ac:dyDescent="0.2">
      <c r="AG618" s="1"/>
      <c r="AH618" s="7"/>
    </row>
    <row r="619" spans="33:34" ht="14" x14ac:dyDescent="0.2">
      <c r="AG619" s="1"/>
      <c r="AH619" s="7"/>
    </row>
    <row r="620" spans="33:34" ht="14" x14ac:dyDescent="0.2">
      <c r="AG620" s="1"/>
      <c r="AH620" s="7"/>
    </row>
    <row r="621" spans="33:34" ht="14" x14ac:dyDescent="0.2">
      <c r="AG621" s="1"/>
      <c r="AH621" s="7"/>
    </row>
    <row r="622" spans="33:34" ht="14" x14ac:dyDescent="0.2">
      <c r="AG622" s="1"/>
      <c r="AH622" s="7"/>
    </row>
    <row r="623" spans="33:34" ht="14" x14ac:dyDescent="0.2">
      <c r="AG623" s="1"/>
      <c r="AH623" s="7"/>
    </row>
    <row r="624" spans="33:34" ht="14" x14ac:dyDescent="0.2">
      <c r="AG624" s="1"/>
      <c r="AH624" s="7"/>
    </row>
    <row r="625" spans="33:34" ht="14" x14ac:dyDescent="0.2">
      <c r="AG625" s="1"/>
      <c r="AH625" s="7"/>
    </row>
    <row r="626" spans="33:34" ht="14" x14ac:dyDescent="0.2">
      <c r="AG626" s="1"/>
      <c r="AH626" s="7"/>
    </row>
    <row r="627" spans="33:34" ht="14" x14ac:dyDescent="0.2">
      <c r="AG627" s="1"/>
      <c r="AH627" s="7"/>
    </row>
    <row r="628" spans="33:34" ht="14" x14ac:dyDescent="0.2">
      <c r="AG628" s="1"/>
      <c r="AH628" s="7"/>
    </row>
    <row r="629" spans="33:34" ht="14" x14ac:dyDescent="0.2">
      <c r="AG629" s="1"/>
      <c r="AH629" s="7"/>
    </row>
    <row r="630" spans="33:34" ht="14" x14ac:dyDescent="0.2">
      <c r="AG630" s="1"/>
      <c r="AH630" s="7"/>
    </row>
    <row r="631" spans="33:34" ht="14" x14ac:dyDescent="0.2">
      <c r="AG631" s="1"/>
      <c r="AH631" s="7"/>
    </row>
    <row r="632" spans="33:34" ht="14" x14ac:dyDescent="0.2">
      <c r="AG632" s="1"/>
      <c r="AH632" s="7"/>
    </row>
    <row r="633" spans="33:34" ht="14" x14ac:dyDescent="0.2">
      <c r="AG633" s="1"/>
      <c r="AH633" s="7"/>
    </row>
    <row r="634" spans="33:34" ht="14" x14ac:dyDescent="0.2">
      <c r="AG634" s="1"/>
      <c r="AH634" s="7"/>
    </row>
    <row r="635" spans="33:34" ht="14" x14ac:dyDescent="0.2">
      <c r="AG635" s="1"/>
      <c r="AH635" s="7"/>
    </row>
    <row r="636" spans="33:34" ht="14" x14ac:dyDescent="0.2">
      <c r="AG636" s="1"/>
      <c r="AH636" s="7"/>
    </row>
    <row r="637" spans="33:34" ht="14" x14ac:dyDescent="0.2">
      <c r="AG637" s="1"/>
      <c r="AH637" s="7"/>
    </row>
    <row r="638" spans="33:34" ht="14" x14ac:dyDescent="0.2">
      <c r="AG638" s="1"/>
      <c r="AH638" s="7"/>
    </row>
    <row r="639" spans="33:34" ht="14" x14ac:dyDescent="0.2">
      <c r="AG639" s="1"/>
      <c r="AH639" s="7"/>
    </row>
    <row r="640" spans="33:34" ht="14" x14ac:dyDescent="0.2">
      <c r="AG640" s="1"/>
      <c r="AH640" s="7"/>
    </row>
    <row r="641" spans="33:34" ht="14" x14ac:dyDescent="0.2">
      <c r="AG641" s="1"/>
      <c r="AH641" s="7"/>
    </row>
    <row r="642" spans="33:34" ht="14" x14ac:dyDescent="0.2">
      <c r="AG642" s="1"/>
      <c r="AH642" s="7"/>
    </row>
    <row r="643" spans="33:34" ht="14" x14ac:dyDescent="0.2">
      <c r="AG643" s="1"/>
      <c r="AH643" s="7"/>
    </row>
    <row r="644" spans="33:34" ht="14" x14ac:dyDescent="0.2">
      <c r="AG644" s="1"/>
      <c r="AH644" s="7"/>
    </row>
    <row r="645" spans="33:34" ht="14" x14ac:dyDescent="0.2">
      <c r="AG645" s="1"/>
      <c r="AH645" s="7"/>
    </row>
    <row r="646" spans="33:34" ht="14" x14ac:dyDescent="0.2">
      <c r="AG646" s="1"/>
      <c r="AH646" s="7"/>
    </row>
    <row r="647" spans="33:34" ht="14" x14ac:dyDescent="0.2">
      <c r="AG647" s="1"/>
      <c r="AH647" s="7"/>
    </row>
    <row r="648" spans="33:34" ht="14" x14ac:dyDescent="0.2">
      <c r="AG648" s="1"/>
      <c r="AH648" s="7"/>
    </row>
    <row r="649" spans="33:34" ht="14" x14ac:dyDescent="0.2">
      <c r="AG649" s="1"/>
      <c r="AH649" s="7"/>
    </row>
    <row r="650" spans="33:34" ht="14" x14ac:dyDescent="0.2">
      <c r="AG650" s="1"/>
      <c r="AH650" s="7"/>
    </row>
    <row r="651" spans="33:34" ht="14" x14ac:dyDescent="0.2">
      <c r="AG651" s="1"/>
      <c r="AH651" s="7"/>
    </row>
    <row r="652" spans="33:34" ht="14" x14ac:dyDescent="0.2">
      <c r="AG652" s="1"/>
      <c r="AH652" s="7"/>
    </row>
    <row r="653" spans="33:34" ht="14" x14ac:dyDescent="0.2">
      <c r="AG653" s="1"/>
      <c r="AH653" s="7"/>
    </row>
    <row r="654" spans="33:34" ht="14" x14ac:dyDescent="0.2">
      <c r="AG654" s="1"/>
      <c r="AH654" s="7"/>
    </row>
    <row r="655" spans="33:34" ht="14" x14ac:dyDescent="0.2">
      <c r="AG655" s="1"/>
      <c r="AH655" s="7"/>
    </row>
    <row r="656" spans="33:34" ht="14" x14ac:dyDescent="0.2">
      <c r="AG656" s="1"/>
      <c r="AH656" s="7"/>
    </row>
    <row r="657" spans="33:34" ht="14" x14ac:dyDescent="0.2">
      <c r="AG657" s="1"/>
      <c r="AH657" s="7"/>
    </row>
    <row r="658" spans="33:34" ht="14" x14ac:dyDescent="0.2">
      <c r="AG658" s="1"/>
      <c r="AH658" s="7"/>
    </row>
    <row r="659" spans="33:34" ht="14" x14ac:dyDescent="0.2">
      <c r="AG659" s="1"/>
      <c r="AH659" s="7"/>
    </row>
    <row r="660" spans="33:34" ht="14" x14ac:dyDescent="0.2">
      <c r="AG660" s="1"/>
      <c r="AH660" s="7"/>
    </row>
    <row r="661" spans="33:34" ht="14" x14ac:dyDescent="0.2">
      <c r="AG661" s="1"/>
      <c r="AH661" s="7"/>
    </row>
    <row r="662" spans="33:34" ht="14" x14ac:dyDescent="0.2">
      <c r="AG662" s="1"/>
      <c r="AH662" s="7"/>
    </row>
    <row r="663" spans="33:34" ht="14" x14ac:dyDescent="0.2">
      <c r="AG663" s="1"/>
      <c r="AH663" s="7"/>
    </row>
    <row r="664" spans="33:34" ht="14" x14ac:dyDescent="0.2">
      <c r="AG664" s="1"/>
      <c r="AH664" s="7"/>
    </row>
    <row r="665" spans="33:34" ht="14" x14ac:dyDescent="0.2">
      <c r="AG665" s="1"/>
      <c r="AH665" s="7"/>
    </row>
    <row r="666" spans="33:34" ht="14" x14ac:dyDescent="0.2">
      <c r="AG666" s="1"/>
      <c r="AH666" s="7"/>
    </row>
    <row r="667" spans="33:34" ht="14" x14ac:dyDescent="0.2">
      <c r="AG667" s="1"/>
      <c r="AH667" s="7"/>
    </row>
    <row r="668" spans="33:34" ht="14" x14ac:dyDescent="0.2">
      <c r="AG668" s="1"/>
      <c r="AH668" s="7"/>
    </row>
    <row r="669" spans="33:34" ht="14" x14ac:dyDescent="0.2">
      <c r="AG669" s="1"/>
      <c r="AH669" s="7"/>
    </row>
    <row r="670" spans="33:34" ht="14" x14ac:dyDescent="0.2">
      <c r="AG670" s="1"/>
      <c r="AH670" s="7"/>
    </row>
    <row r="671" spans="33:34" ht="14" x14ac:dyDescent="0.2">
      <c r="AG671" s="1"/>
      <c r="AH671" s="7"/>
    </row>
    <row r="672" spans="33:34" ht="14" x14ac:dyDescent="0.2">
      <c r="AG672" s="1"/>
      <c r="AH672" s="7"/>
    </row>
    <row r="673" spans="33:34" ht="14" x14ac:dyDescent="0.2">
      <c r="AG673" s="1"/>
      <c r="AH673" s="7"/>
    </row>
    <row r="674" spans="33:34" ht="14" x14ac:dyDescent="0.2">
      <c r="AG674" s="1"/>
      <c r="AH674" s="7"/>
    </row>
    <row r="675" spans="33:34" ht="14" x14ac:dyDescent="0.2">
      <c r="AG675" s="1"/>
      <c r="AH675" s="7"/>
    </row>
    <row r="676" spans="33:34" ht="14" x14ac:dyDescent="0.2">
      <c r="AG676" s="1"/>
      <c r="AH676" s="7"/>
    </row>
    <row r="677" spans="33:34" ht="14" x14ac:dyDescent="0.2">
      <c r="AG677" s="1"/>
      <c r="AH677" s="7"/>
    </row>
    <row r="678" spans="33:34" ht="14" x14ac:dyDescent="0.2">
      <c r="AG678" s="1"/>
      <c r="AH678" s="7"/>
    </row>
    <row r="679" spans="33:34" ht="14" x14ac:dyDescent="0.2">
      <c r="AG679" s="1"/>
      <c r="AH679" s="7"/>
    </row>
    <row r="680" spans="33:34" ht="14" x14ac:dyDescent="0.2">
      <c r="AG680" s="1"/>
      <c r="AH680" s="7"/>
    </row>
    <row r="681" spans="33:34" ht="14" x14ac:dyDescent="0.2">
      <c r="AG681" s="1"/>
      <c r="AH681" s="7"/>
    </row>
    <row r="682" spans="33:34" ht="14" x14ac:dyDescent="0.2">
      <c r="AG682" s="1"/>
      <c r="AH682" s="7"/>
    </row>
    <row r="683" spans="33:34" ht="14" x14ac:dyDescent="0.2">
      <c r="AG683" s="1"/>
      <c r="AH683" s="7"/>
    </row>
    <row r="684" spans="33:34" ht="14" x14ac:dyDescent="0.2">
      <c r="AG684" s="1"/>
      <c r="AH684" s="7"/>
    </row>
    <row r="685" spans="33:34" ht="14" x14ac:dyDescent="0.2">
      <c r="AG685" s="1"/>
      <c r="AH685" s="7"/>
    </row>
    <row r="686" spans="33:34" ht="14" x14ac:dyDescent="0.2">
      <c r="AG686" s="1"/>
      <c r="AH686" s="7"/>
    </row>
    <row r="687" spans="33:34" ht="14" x14ac:dyDescent="0.2">
      <c r="AG687" s="1"/>
      <c r="AH687" s="7"/>
    </row>
    <row r="688" spans="33:34" ht="14" x14ac:dyDescent="0.2">
      <c r="AG688" s="1"/>
      <c r="AH688" s="7"/>
    </row>
    <row r="689" spans="33:34" ht="14" x14ac:dyDescent="0.2">
      <c r="AG689" s="1"/>
      <c r="AH689" s="7"/>
    </row>
    <row r="690" spans="33:34" ht="14" x14ac:dyDescent="0.2">
      <c r="AG690" s="1"/>
      <c r="AH690" s="7"/>
    </row>
    <row r="691" spans="33:34" ht="14" x14ac:dyDescent="0.2">
      <c r="AG691" s="1"/>
      <c r="AH691" s="7"/>
    </row>
    <row r="692" spans="33:34" ht="14" x14ac:dyDescent="0.2">
      <c r="AG692" s="1"/>
      <c r="AH692" s="7"/>
    </row>
    <row r="693" spans="33:34" ht="14" x14ac:dyDescent="0.2">
      <c r="AG693" s="1"/>
      <c r="AH693" s="7"/>
    </row>
    <row r="694" spans="33:34" ht="14" x14ac:dyDescent="0.2">
      <c r="AG694" s="1"/>
      <c r="AH694" s="7"/>
    </row>
    <row r="695" spans="33:34" ht="14" x14ac:dyDescent="0.2">
      <c r="AG695" s="1"/>
      <c r="AH695" s="7"/>
    </row>
    <row r="696" spans="33:34" ht="14" x14ac:dyDescent="0.2">
      <c r="AG696" s="1"/>
      <c r="AH696" s="7"/>
    </row>
    <row r="697" spans="33:34" ht="14" x14ac:dyDescent="0.2">
      <c r="AG697" s="1"/>
      <c r="AH697" s="7"/>
    </row>
    <row r="698" spans="33:34" ht="14" x14ac:dyDescent="0.2">
      <c r="AG698" s="1"/>
      <c r="AH698" s="7"/>
    </row>
    <row r="699" spans="33:34" ht="14" x14ac:dyDescent="0.2">
      <c r="AG699" s="1"/>
      <c r="AH699" s="7"/>
    </row>
    <row r="700" spans="33:34" ht="14" x14ac:dyDescent="0.2">
      <c r="AG700" s="1"/>
      <c r="AH700" s="7"/>
    </row>
    <row r="701" spans="33:34" ht="14" x14ac:dyDescent="0.2">
      <c r="AG701" s="1"/>
      <c r="AH701" s="7"/>
    </row>
    <row r="702" spans="33:34" ht="14" x14ac:dyDescent="0.2">
      <c r="AG702" s="1"/>
      <c r="AH702" s="7"/>
    </row>
    <row r="703" spans="33:34" ht="14" x14ac:dyDescent="0.2">
      <c r="AG703" s="1"/>
      <c r="AH703" s="7"/>
    </row>
    <row r="704" spans="33:34" ht="14" x14ac:dyDescent="0.2">
      <c r="AG704" s="1"/>
      <c r="AH704" s="7"/>
    </row>
    <row r="705" spans="33:34" ht="14" x14ac:dyDescent="0.2">
      <c r="AG705" s="1"/>
      <c r="AH705" s="7"/>
    </row>
    <row r="706" spans="33:34" ht="14" x14ac:dyDescent="0.2">
      <c r="AG706" s="1"/>
      <c r="AH706" s="7"/>
    </row>
    <row r="707" spans="33:34" ht="14" x14ac:dyDescent="0.2">
      <c r="AG707" s="1"/>
      <c r="AH707" s="7"/>
    </row>
    <row r="708" spans="33:34" ht="14" x14ac:dyDescent="0.2">
      <c r="AG708" s="1"/>
      <c r="AH708" s="7"/>
    </row>
    <row r="709" spans="33:34" ht="14" x14ac:dyDescent="0.2">
      <c r="AG709" s="1"/>
      <c r="AH709" s="7"/>
    </row>
    <row r="710" spans="33:34" ht="14" x14ac:dyDescent="0.2">
      <c r="AG710" s="1"/>
      <c r="AH710" s="7"/>
    </row>
    <row r="711" spans="33:34" ht="14" x14ac:dyDescent="0.2">
      <c r="AG711" s="1"/>
      <c r="AH711" s="7"/>
    </row>
    <row r="712" spans="33:34" ht="14" x14ac:dyDescent="0.2">
      <c r="AG712" s="1"/>
      <c r="AH712" s="7"/>
    </row>
    <row r="713" spans="33:34" ht="14" x14ac:dyDescent="0.2">
      <c r="AG713" s="1"/>
      <c r="AH713" s="7"/>
    </row>
    <row r="714" spans="33:34" ht="14" x14ac:dyDescent="0.2">
      <c r="AG714" s="1"/>
      <c r="AH714" s="7"/>
    </row>
    <row r="715" spans="33:34" ht="14" x14ac:dyDescent="0.2">
      <c r="AG715" s="1"/>
      <c r="AH715" s="7"/>
    </row>
    <row r="716" spans="33:34" ht="14" x14ac:dyDescent="0.2">
      <c r="AG716" s="1"/>
      <c r="AH716" s="7"/>
    </row>
    <row r="717" spans="33:34" ht="14" x14ac:dyDescent="0.2">
      <c r="AG717" s="1"/>
      <c r="AH717" s="7"/>
    </row>
    <row r="718" spans="33:34" ht="14" x14ac:dyDescent="0.2">
      <c r="AG718" s="1"/>
      <c r="AH718" s="7"/>
    </row>
    <row r="719" spans="33:34" ht="14" x14ac:dyDescent="0.2">
      <c r="AG719" s="1"/>
      <c r="AH719" s="7"/>
    </row>
    <row r="720" spans="33:34" ht="14" x14ac:dyDescent="0.2">
      <c r="AG720" s="1"/>
      <c r="AH720" s="7"/>
    </row>
    <row r="721" spans="33:34" ht="14" x14ac:dyDescent="0.2">
      <c r="AG721" s="1"/>
      <c r="AH721" s="7"/>
    </row>
    <row r="722" spans="33:34" ht="14" x14ac:dyDescent="0.2">
      <c r="AG722" s="1"/>
      <c r="AH722" s="7"/>
    </row>
    <row r="723" spans="33:34" ht="14" x14ac:dyDescent="0.2">
      <c r="AG723" s="1"/>
      <c r="AH723" s="7"/>
    </row>
    <row r="724" spans="33:34" ht="14" x14ac:dyDescent="0.2">
      <c r="AG724" s="1"/>
      <c r="AH724" s="7"/>
    </row>
    <row r="725" spans="33:34" ht="14" x14ac:dyDescent="0.2">
      <c r="AG725" s="1"/>
      <c r="AH725" s="7"/>
    </row>
    <row r="726" spans="33:34" ht="14" x14ac:dyDescent="0.2">
      <c r="AG726" s="1"/>
      <c r="AH726" s="7"/>
    </row>
    <row r="727" spans="33:34" ht="14" x14ac:dyDescent="0.2">
      <c r="AG727" s="1"/>
      <c r="AH727" s="7"/>
    </row>
    <row r="728" spans="33:34" ht="14" x14ac:dyDescent="0.2">
      <c r="AG728" s="1"/>
      <c r="AH728" s="7"/>
    </row>
    <row r="729" spans="33:34" ht="14" x14ac:dyDescent="0.2">
      <c r="AG729" s="1"/>
      <c r="AH729" s="7"/>
    </row>
    <row r="730" spans="33:34" ht="14" x14ac:dyDescent="0.2">
      <c r="AG730" s="1"/>
      <c r="AH730" s="7"/>
    </row>
    <row r="731" spans="33:34" ht="14" x14ac:dyDescent="0.2">
      <c r="AG731" s="1"/>
      <c r="AH731" s="7"/>
    </row>
    <row r="732" spans="33:34" ht="14" x14ac:dyDescent="0.2">
      <c r="AG732" s="1"/>
      <c r="AH732" s="7"/>
    </row>
    <row r="733" spans="33:34" ht="14" x14ac:dyDescent="0.2">
      <c r="AG733" s="1"/>
      <c r="AH733" s="7"/>
    </row>
    <row r="734" spans="33:34" ht="14" x14ac:dyDescent="0.2">
      <c r="AG734" s="1"/>
      <c r="AH734" s="7"/>
    </row>
    <row r="735" spans="33:34" ht="14" x14ac:dyDescent="0.2">
      <c r="AG735" s="1"/>
      <c r="AH735" s="7"/>
    </row>
    <row r="736" spans="33:34" ht="14" x14ac:dyDescent="0.2">
      <c r="AG736" s="1"/>
      <c r="AH736" s="7"/>
    </row>
    <row r="737" spans="33:34" ht="14" x14ac:dyDescent="0.2">
      <c r="AG737" s="1"/>
      <c r="AH737" s="7"/>
    </row>
    <row r="738" spans="33:34" ht="14" x14ac:dyDescent="0.2">
      <c r="AG738" s="1"/>
      <c r="AH738" s="7"/>
    </row>
    <row r="739" spans="33:34" ht="14" x14ac:dyDescent="0.2">
      <c r="AG739" s="1"/>
      <c r="AH739" s="7"/>
    </row>
    <row r="740" spans="33:34" ht="14" x14ac:dyDescent="0.2">
      <c r="AG740" s="1"/>
      <c r="AH740" s="7"/>
    </row>
    <row r="741" spans="33:34" ht="14" x14ac:dyDescent="0.2">
      <c r="AG741" s="1"/>
      <c r="AH741" s="7"/>
    </row>
    <row r="742" spans="33:34" ht="14" x14ac:dyDescent="0.2">
      <c r="AG742" s="1"/>
      <c r="AH742" s="7"/>
    </row>
    <row r="743" spans="33:34" ht="14" x14ac:dyDescent="0.2">
      <c r="AG743" s="1"/>
      <c r="AH743" s="7"/>
    </row>
    <row r="744" spans="33:34" ht="14" x14ac:dyDescent="0.2">
      <c r="AG744" s="1"/>
      <c r="AH744" s="7"/>
    </row>
    <row r="745" spans="33:34" ht="14" x14ac:dyDescent="0.2">
      <c r="AG745" s="1"/>
      <c r="AH745" s="7"/>
    </row>
    <row r="746" spans="33:34" ht="14" x14ac:dyDescent="0.2">
      <c r="AG746" s="1"/>
      <c r="AH746" s="7"/>
    </row>
    <row r="747" spans="33:34" ht="14" x14ac:dyDescent="0.2">
      <c r="AG747" s="1"/>
      <c r="AH747" s="7"/>
    </row>
    <row r="748" spans="33:34" ht="14" x14ac:dyDescent="0.2">
      <c r="AG748" s="1"/>
      <c r="AH748" s="7"/>
    </row>
    <row r="749" spans="33:34" ht="14" x14ac:dyDescent="0.2">
      <c r="AG749" s="1"/>
      <c r="AH749" s="7"/>
    </row>
    <row r="750" spans="33:34" ht="14" x14ac:dyDescent="0.2">
      <c r="AG750" s="1"/>
      <c r="AH750" s="7"/>
    </row>
    <row r="751" spans="33:34" ht="14" x14ac:dyDescent="0.2">
      <c r="AG751" s="1"/>
      <c r="AH751" s="7"/>
    </row>
    <row r="752" spans="33:34" ht="14" x14ac:dyDescent="0.2">
      <c r="AG752" s="1"/>
      <c r="AH752" s="7"/>
    </row>
    <row r="753" spans="33:34" ht="14" x14ac:dyDescent="0.2">
      <c r="AG753" s="1"/>
      <c r="AH753" s="7"/>
    </row>
    <row r="754" spans="33:34" ht="14" x14ac:dyDescent="0.2">
      <c r="AG754" s="1"/>
      <c r="AH754" s="7"/>
    </row>
    <row r="755" spans="33:34" ht="14" x14ac:dyDescent="0.2">
      <c r="AG755" s="1"/>
      <c r="AH755" s="7"/>
    </row>
    <row r="756" spans="33:34" ht="14" x14ac:dyDescent="0.2">
      <c r="AG756" s="1"/>
      <c r="AH756" s="7"/>
    </row>
    <row r="757" spans="33:34" ht="14" x14ac:dyDescent="0.2">
      <c r="AG757" s="1"/>
      <c r="AH757" s="7"/>
    </row>
    <row r="758" spans="33:34" ht="14" x14ac:dyDescent="0.2">
      <c r="AG758" s="1"/>
      <c r="AH758" s="7"/>
    </row>
    <row r="759" spans="33:34" ht="14" x14ac:dyDescent="0.2">
      <c r="AG759" s="1"/>
      <c r="AH759" s="7"/>
    </row>
    <row r="760" spans="33:34" ht="14" x14ac:dyDescent="0.2">
      <c r="AG760" s="1"/>
      <c r="AH760" s="7"/>
    </row>
    <row r="761" spans="33:34" ht="14" x14ac:dyDescent="0.2">
      <c r="AG761" s="1"/>
      <c r="AH761" s="7"/>
    </row>
    <row r="762" spans="33:34" ht="14" x14ac:dyDescent="0.2">
      <c r="AG762" s="1"/>
      <c r="AH762" s="7"/>
    </row>
    <row r="763" spans="33:34" ht="14" x14ac:dyDescent="0.2">
      <c r="AG763" s="1"/>
      <c r="AH763" s="7"/>
    </row>
    <row r="764" spans="33:34" ht="14" x14ac:dyDescent="0.2">
      <c r="AG764" s="1"/>
      <c r="AH764" s="7"/>
    </row>
    <row r="765" spans="33:34" ht="14" x14ac:dyDescent="0.2">
      <c r="AG765" s="1"/>
      <c r="AH765" s="7"/>
    </row>
    <row r="766" spans="33:34" ht="14" x14ac:dyDescent="0.2">
      <c r="AG766" s="1"/>
      <c r="AH766" s="7"/>
    </row>
    <row r="767" spans="33:34" ht="14" x14ac:dyDescent="0.2">
      <c r="AG767" s="1"/>
      <c r="AH767" s="7"/>
    </row>
    <row r="768" spans="33:34" ht="14" x14ac:dyDescent="0.2">
      <c r="AG768" s="1"/>
      <c r="AH768" s="7"/>
    </row>
    <row r="769" spans="33:34" ht="14" x14ac:dyDescent="0.2">
      <c r="AG769" s="1"/>
      <c r="AH769" s="7"/>
    </row>
    <row r="770" spans="33:34" ht="14" x14ac:dyDescent="0.2">
      <c r="AG770" s="1"/>
      <c r="AH770" s="7"/>
    </row>
    <row r="771" spans="33:34" ht="14" x14ac:dyDescent="0.2">
      <c r="AG771" s="1"/>
      <c r="AH771" s="7"/>
    </row>
    <row r="772" spans="33:34" ht="14" x14ac:dyDescent="0.2">
      <c r="AG772" s="1"/>
      <c r="AH772" s="7"/>
    </row>
    <row r="773" spans="33:34" ht="14" x14ac:dyDescent="0.2">
      <c r="AG773" s="1"/>
      <c r="AH773" s="7"/>
    </row>
    <row r="774" spans="33:34" ht="14" x14ac:dyDescent="0.2">
      <c r="AG774" s="1"/>
      <c r="AH774" s="7"/>
    </row>
    <row r="775" spans="33:34" ht="14" x14ac:dyDescent="0.2">
      <c r="AG775" s="1"/>
      <c r="AH775" s="7"/>
    </row>
    <row r="776" spans="33:34" ht="14" x14ac:dyDescent="0.2">
      <c r="AG776" s="1"/>
      <c r="AH776" s="7"/>
    </row>
    <row r="777" spans="33:34" ht="14" x14ac:dyDescent="0.2">
      <c r="AG777" s="1"/>
      <c r="AH777" s="7"/>
    </row>
    <row r="778" spans="33:34" ht="14" x14ac:dyDescent="0.2">
      <c r="AG778" s="1"/>
      <c r="AH778" s="7"/>
    </row>
    <row r="779" spans="33:34" ht="14" x14ac:dyDescent="0.2">
      <c r="AG779" s="1"/>
      <c r="AH779" s="7"/>
    </row>
    <row r="780" spans="33:34" ht="14" x14ac:dyDescent="0.2">
      <c r="AG780" s="1"/>
      <c r="AH780" s="7"/>
    </row>
    <row r="781" spans="33:34" ht="14" x14ac:dyDescent="0.2">
      <c r="AG781" s="1"/>
      <c r="AH781" s="7"/>
    </row>
    <row r="782" spans="33:34" ht="14" x14ac:dyDescent="0.2">
      <c r="AG782" s="1"/>
      <c r="AH782" s="7"/>
    </row>
    <row r="783" spans="33:34" ht="14" x14ac:dyDescent="0.2">
      <c r="AG783" s="1"/>
      <c r="AH783" s="7"/>
    </row>
    <row r="784" spans="33:34" ht="14" x14ac:dyDescent="0.2">
      <c r="AG784" s="1"/>
      <c r="AH784" s="7"/>
    </row>
    <row r="785" spans="33:34" ht="14" x14ac:dyDescent="0.2">
      <c r="AG785" s="1"/>
      <c r="AH785" s="7"/>
    </row>
    <row r="786" spans="33:34" ht="14" x14ac:dyDescent="0.2">
      <c r="AG786" s="1"/>
      <c r="AH786" s="7"/>
    </row>
    <row r="787" spans="33:34" ht="14" x14ac:dyDescent="0.2">
      <c r="AG787" s="1"/>
      <c r="AH787" s="7"/>
    </row>
    <row r="788" spans="33:34" ht="14" x14ac:dyDescent="0.2">
      <c r="AG788" s="1"/>
      <c r="AH788" s="7"/>
    </row>
    <row r="789" spans="33:34" ht="14" x14ac:dyDescent="0.2">
      <c r="AG789" s="1"/>
      <c r="AH789" s="7"/>
    </row>
    <row r="790" spans="33:34" ht="14" x14ac:dyDescent="0.2">
      <c r="AG790" s="1"/>
      <c r="AH790" s="7"/>
    </row>
    <row r="791" spans="33:34" ht="14" x14ac:dyDescent="0.2">
      <c r="AG791" s="1"/>
      <c r="AH791" s="7"/>
    </row>
    <row r="792" spans="33:34" ht="14" x14ac:dyDescent="0.2">
      <c r="AG792" s="1"/>
      <c r="AH792" s="7"/>
    </row>
    <row r="793" spans="33:34" ht="14" x14ac:dyDescent="0.2">
      <c r="AG793" s="1"/>
      <c r="AH793" s="7"/>
    </row>
    <row r="794" spans="33:34" ht="14" x14ac:dyDescent="0.2">
      <c r="AG794" s="1"/>
      <c r="AH794" s="7"/>
    </row>
    <row r="795" spans="33:34" ht="14" x14ac:dyDescent="0.2">
      <c r="AG795" s="1"/>
      <c r="AH795" s="7"/>
    </row>
    <row r="796" spans="33:34" ht="14" x14ac:dyDescent="0.2">
      <c r="AG796" s="1"/>
      <c r="AH796" s="7"/>
    </row>
    <row r="797" spans="33:34" ht="14" x14ac:dyDescent="0.2">
      <c r="AG797" s="1"/>
      <c r="AH797" s="7"/>
    </row>
    <row r="798" spans="33:34" ht="14" x14ac:dyDescent="0.2">
      <c r="AG798" s="1"/>
      <c r="AH798" s="7"/>
    </row>
    <row r="799" spans="33:34" ht="14" x14ac:dyDescent="0.2">
      <c r="AG799" s="1"/>
      <c r="AH799" s="7"/>
    </row>
    <row r="800" spans="33:34" ht="14" x14ac:dyDescent="0.2">
      <c r="AG800" s="1"/>
      <c r="AH800" s="7"/>
    </row>
    <row r="801" spans="33:34" ht="14" x14ac:dyDescent="0.2">
      <c r="AG801" s="1"/>
      <c r="AH801" s="7"/>
    </row>
    <row r="802" spans="33:34" ht="14" x14ac:dyDescent="0.2">
      <c r="AG802" s="1"/>
      <c r="AH802" s="7"/>
    </row>
    <row r="803" spans="33:34" ht="14" x14ac:dyDescent="0.2">
      <c r="AG803" s="1"/>
      <c r="AH803" s="7"/>
    </row>
    <row r="804" spans="33:34" ht="14" x14ac:dyDescent="0.2">
      <c r="AG804" s="1"/>
      <c r="AH804" s="7"/>
    </row>
    <row r="805" spans="33:34" ht="14" x14ac:dyDescent="0.2">
      <c r="AG805" s="1"/>
      <c r="AH805" s="7"/>
    </row>
    <row r="806" spans="33:34" ht="14" x14ac:dyDescent="0.2">
      <c r="AG806" s="1"/>
      <c r="AH806" s="7"/>
    </row>
    <row r="807" spans="33:34" ht="14" x14ac:dyDescent="0.2">
      <c r="AG807" s="1"/>
      <c r="AH807" s="7"/>
    </row>
    <row r="808" spans="33:34" ht="14" x14ac:dyDescent="0.2">
      <c r="AG808" s="1"/>
      <c r="AH808" s="7"/>
    </row>
    <row r="809" spans="33:34" ht="14" x14ac:dyDescent="0.2">
      <c r="AG809" s="1"/>
      <c r="AH809" s="7"/>
    </row>
    <row r="810" spans="33:34" ht="14" x14ac:dyDescent="0.2">
      <c r="AG810" s="1"/>
      <c r="AH810" s="7"/>
    </row>
    <row r="811" spans="33:34" ht="14" x14ac:dyDescent="0.2">
      <c r="AG811" s="1"/>
      <c r="AH811" s="7"/>
    </row>
    <row r="812" spans="33:34" ht="14" x14ac:dyDescent="0.2">
      <c r="AG812" s="1"/>
      <c r="AH812" s="7"/>
    </row>
    <row r="813" spans="33:34" ht="14" x14ac:dyDescent="0.2">
      <c r="AG813" s="1"/>
      <c r="AH813" s="7"/>
    </row>
    <row r="814" spans="33:34" ht="14" x14ac:dyDescent="0.2">
      <c r="AG814" s="1"/>
      <c r="AH814" s="7"/>
    </row>
    <row r="815" spans="33:34" ht="14" x14ac:dyDescent="0.2">
      <c r="AG815" s="1"/>
      <c r="AH815" s="7"/>
    </row>
    <row r="816" spans="33:34" ht="14" x14ac:dyDescent="0.2">
      <c r="AG816" s="1"/>
      <c r="AH816" s="7"/>
    </row>
    <row r="817" spans="33:34" ht="14" x14ac:dyDescent="0.2">
      <c r="AG817" s="1"/>
      <c r="AH817" s="7"/>
    </row>
    <row r="818" spans="33:34" ht="14" x14ac:dyDescent="0.2">
      <c r="AG818" s="1"/>
      <c r="AH818" s="7"/>
    </row>
    <row r="819" spans="33:34" ht="14" x14ac:dyDescent="0.2">
      <c r="AG819" s="1"/>
      <c r="AH819" s="7"/>
    </row>
    <row r="820" spans="33:34" ht="14" x14ac:dyDescent="0.2">
      <c r="AG820" s="1"/>
      <c r="AH820" s="7"/>
    </row>
    <row r="821" spans="33:34" ht="14" x14ac:dyDescent="0.2">
      <c r="AG821" s="1"/>
      <c r="AH821" s="7"/>
    </row>
    <row r="822" spans="33:34" ht="14" x14ac:dyDescent="0.2">
      <c r="AG822" s="1"/>
      <c r="AH822" s="7"/>
    </row>
    <row r="823" spans="33:34" ht="14" x14ac:dyDescent="0.2">
      <c r="AG823" s="1"/>
      <c r="AH823" s="7"/>
    </row>
    <row r="824" spans="33:34" ht="14" x14ac:dyDescent="0.2">
      <c r="AG824" s="1"/>
      <c r="AH824" s="7"/>
    </row>
    <row r="825" spans="33:34" ht="14" x14ac:dyDescent="0.2">
      <c r="AG825" s="1"/>
      <c r="AH825" s="7"/>
    </row>
    <row r="826" spans="33:34" ht="14" x14ac:dyDescent="0.2">
      <c r="AG826" s="1"/>
      <c r="AH826" s="7"/>
    </row>
    <row r="827" spans="33:34" ht="14" x14ac:dyDescent="0.2">
      <c r="AG827" s="1"/>
      <c r="AH827" s="7"/>
    </row>
    <row r="828" spans="33:34" ht="14" x14ac:dyDescent="0.2">
      <c r="AG828" s="1"/>
      <c r="AH828" s="7"/>
    </row>
    <row r="829" spans="33:34" ht="14" x14ac:dyDescent="0.2">
      <c r="AG829" s="1"/>
      <c r="AH829" s="7"/>
    </row>
    <row r="830" spans="33:34" ht="14" x14ac:dyDescent="0.2">
      <c r="AG830" s="1"/>
      <c r="AH830" s="7"/>
    </row>
    <row r="831" spans="33:34" ht="14" x14ac:dyDescent="0.2">
      <c r="AG831" s="1"/>
      <c r="AH831" s="7"/>
    </row>
    <row r="832" spans="33:34" ht="14" x14ac:dyDescent="0.2">
      <c r="AG832" s="1"/>
      <c r="AH832" s="7"/>
    </row>
    <row r="833" spans="33:34" ht="14" x14ac:dyDescent="0.2">
      <c r="AG833" s="1"/>
      <c r="AH833" s="7"/>
    </row>
    <row r="834" spans="33:34" ht="14" x14ac:dyDescent="0.2">
      <c r="AG834" s="1"/>
      <c r="AH834" s="7"/>
    </row>
    <row r="835" spans="33:34" ht="14" x14ac:dyDescent="0.2">
      <c r="AG835" s="1"/>
      <c r="AH835" s="7"/>
    </row>
    <row r="836" spans="33:34" ht="14" x14ac:dyDescent="0.2">
      <c r="AG836" s="1"/>
      <c r="AH836" s="7"/>
    </row>
    <row r="837" spans="33:34" ht="14" x14ac:dyDescent="0.2">
      <c r="AG837" s="1"/>
      <c r="AH837" s="7"/>
    </row>
    <row r="838" spans="33:34" ht="14" x14ac:dyDescent="0.2">
      <c r="AG838" s="1"/>
      <c r="AH838" s="7"/>
    </row>
    <row r="839" spans="33:34" ht="14" x14ac:dyDescent="0.2">
      <c r="AG839" s="1"/>
      <c r="AH839" s="7"/>
    </row>
    <row r="840" spans="33:34" ht="14" x14ac:dyDescent="0.2">
      <c r="AG840" s="1"/>
      <c r="AH840" s="7"/>
    </row>
    <row r="841" spans="33:34" ht="14" x14ac:dyDescent="0.2">
      <c r="AG841" s="1"/>
      <c r="AH841" s="7"/>
    </row>
    <row r="842" spans="33:34" ht="14" x14ac:dyDescent="0.2">
      <c r="AG842" s="1"/>
      <c r="AH842" s="7"/>
    </row>
    <row r="843" spans="33:34" ht="14" x14ac:dyDescent="0.2">
      <c r="AG843" s="1"/>
      <c r="AH843" s="7"/>
    </row>
    <row r="844" spans="33:34" ht="14" x14ac:dyDescent="0.2">
      <c r="AG844" s="1"/>
      <c r="AH844" s="7"/>
    </row>
    <row r="845" spans="33:34" ht="14" x14ac:dyDescent="0.2">
      <c r="AG845" s="1"/>
      <c r="AH845" s="7"/>
    </row>
    <row r="846" spans="33:34" ht="14" x14ac:dyDescent="0.2">
      <c r="AG846" s="1"/>
      <c r="AH846" s="7"/>
    </row>
    <row r="847" spans="33:34" ht="14" x14ac:dyDescent="0.2">
      <c r="AG847" s="1"/>
      <c r="AH847" s="7"/>
    </row>
    <row r="848" spans="33:34" ht="14" x14ac:dyDescent="0.2">
      <c r="AG848" s="1"/>
      <c r="AH848" s="7"/>
    </row>
    <row r="849" spans="33:34" ht="14" x14ac:dyDescent="0.2">
      <c r="AG849" s="1"/>
      <c r="AH849" s="7"/>
    </row>
    <row r="850" spans="33:34" ht="14" x14ac:dyDescent="0.2">
      <c r="AG850" s="1"/>
      <c r="AH850" s="7"/>
    </row>
    <row r="851" spans="33:34" ht="14" x14ac:dyDescent="0.2">
      <c r="AG851" s="1"/>
      <c r="AH851" s="7"/>
    </row>
    <row r="852" spans="33:34" ht="14" x14ac:dyDescent="0.2">
      <c r="AG852" s="1"/>
      <c r="AH852" s="7"/>
    </row>
    <row r="853" spans="33:34" ht="14" x14ac:dyDescent="0.2">
      <c r="AG853" s="1"/>
      <c r="AH853" s="7"/>
    </row>
    <row r="854" spans="33:34" ht="14" x14ac:dyDescent="0.2">
      <c r="AG854" s="1"/>
      <c r="AH854" s="7"/>
    </row>
    <row r="855" spans="33:34" ht="14" x14ac:dyDescent="0.2">
      <c r="AG855" s="1"/>
      <c r="AH855" s="7"/>
    </row>
    <row r="856" spans="33:34" ht="14" x14ac:dyDescent="0.2">
      <c r="AG856" s="1"/>
      <c r="AH856" s="7"/>
    </row>
    <row r="857" spans="33:34" ht="14" x14ac:dyDescent="0.2">
      <c r="AG857" s="1"/>
      <c r="AH857" s="7"/>
    </row>
    <row r="858" spans="33:34" ht="14" x14ac:dyDescent="0.2">
      <c r="AG858" s="1"/>
      <c r="AH858" s="7"/>
    </row>
    <row r="859" spans="33:34" ht="14" x14ac:dyDescent="0.2">
      <c r="AG859" s="1"/>
      <c r="AH859" s="7"/>
    </row>
    <row r="860" spans="33:34" ht="14" x14ac:dyDescent="0.2">
      <c r="AG860" s="1"/>
      <c r="AH860" s="7"/>
    </row>
    <row r="861" spans="33:34" ht="14" x14ac:dyDescent="0.2">
      <c r="AG861" s="1"/>
      <c r="AH861" s="7"/>
    </row>
    <row r="862" spans="33:34" ht="14" x14ac:dyDescent="0.2">
      <c r="AG862" s="1"/>
      <c r="AH862" s="7"/>
    </row>
    <row r="863" spans="33:34" ht="14" x14ac:dyDescent="0.2">
      <c r="AG863" s="1"/>
      <c r="AH863" s="7"/>
    </row>
    <row r="864" spans="33:34" ht="14" x14ac:dyDescent="0.2">
      <c r="AG864" s="1"/>
      <c r="AH864" s="7"/>
    </row>
    <row r="865" spans="33:34" ht="14" x14ac:dyDescent="0.2">
      <c r="AG865" s="1"/>
      <c r="AH865" s="7"/>
    </row>
    <row r="866" spans="33:34" ht="14" x14ac:dyDescent="0.2">
      <c r="AG866" s="1"/>
      <c r="AH866" s="7"/>
    </row>
    <row r="867" spans="33:34" ht="14" x14ac:dyDescent="0.2">
      <c r="AG867" s="1"/>
      <c r="AH867" s="7"/>
    </row>
    <row r="868" spans="33:34" ht="14" x14ac:dyDescent="0.2">
      <c r="AG868" s="1"/>
      <c r="AH868" s="7"/>
    </row>
    <row r="869" spans="33:34" ht="14" x14ac:dyDescent="0.2">
      <c r="AG869" s="1"/>
      <c r="AH869" s="7"/>
    </row>
    <row r="870" spans="33:34" ht="14" x14ac:dyDescent="0.2">
      <c r="AG870" s="1"/>
      <c r="AH870" s="7"/>
    </row>
    <row r="871" spans="33:34" ht="14" x14ac:dyDescent="0.2">
      <c r="AG871" s="1"/>
      <c r="AH871" s="7"/>
    </row>
    <row r="872" spans="33:34" ht="14" x14ac:dyDescent="0.2">
      <c r="AG872" s="1"/>
      <c r="AH872" s="7"/>
    </row>
    <row r="873" spans="33:34" ht="14" x14ac:dyDescent="0.2">
      <c r="AG873" s="1"/>
      <c r="AH873" s="7"/>
    </row>
    <row r="874" spans="33:34" ht="14" x14ac:dyDescent="0.2">
      <c r="AG874" s="1"/>
      <c r="AH874" s="7"/>
    </row>
    <row r="875" spans="33:34" ht="14" x14ac:dyDescent="0.2">
      <c r="AG875" s="1"/>
      <c r="AH875" s="7"/>
    </row>
    <row r="876" spans="33:34" ht="14" x14ac:dyDescent="0.2">
      <c r="AG876" s="1"/>
      <c r="AH876" s="7"/>
    </row>
    <row r="877" spans="33:34" ht="14" x14ac:dyDescent="0.2">
      <c r="AG877" s="1"/>
      <c r="AH877" s="7"/>
    </row>
    <row r="878" spans="33:34" ht="14" x14ac:dyDescent="0.2">
      <c r="AG878" s="1"/>
      <c r="AH878" s="7"/>
    </row>
    <row r="879" spans="33:34" ht="14" x14ac:dyDescent="0.2">
      <c r="AG879" s="1"/>
      <c r="AH879" s="7"/>
    </row>
    <row r="880" spans="33:34" ht="14" x14ac:dyDescent="0.2">
      <c r="AG880" s="1"/>
      <c r="AH880" s="7"/>
    </row>
    <row r="881" spans="33:34" ht="14" x14ac:dyDescent="0.2">
      <c r="AG881" s="1"/>
      <c r="AH881" s="7"/>
    </row>
    <row r="882" spans="33:34" ht="14" x14ac:dyDescent="0.2">
      <c r="AG882" s="1"/>
      <c r="AH882" s="7"/>
    </row>
    <row r="883" spans="33:34" ht="14" x14ac:dyDescent="0.2">
      <c r="AG883" s="1"/>
      <c r="AH883" s="7"/>
    </row>
    <row r="884" spans="33:34" ht="14" x14ac:dyDescent="0.2">
      <c r="AG884" s="1"/>
      <c r="AH884" s="7"/>
    </row>
    <row r="885" spans="33:34" ht="14" x14ac:dyDescent="0.2">
      <c r="AG885" s="1"/>
      <c r="AH885" s="7"/>
    </row>
    <row r="886" spans="33:34" ht="14" x14ac:dyDescent="0.2">
      <c r="AG886" s="1"/>
      <c r="AH886" s="7"/>
    </row>
    <row r="887" spans="33:34" ht="14" x14ac:dyDescent="0.2">
      <c r="AG887" s="1"/>
      <c r="AH887" s="7"/>
    </row>
    <row r="888" spans="33:34" ht="14" x14ac:dyDescent="0.2">
      <c r="AG888" s="1"/>
      <c r="AH888" s="7"/>
    </row>
    <row r="889" spans="33:34" ht="14" x14ac:dyDescent="0.2">
      <c r="AG889" s="1"/>
      <c r="AH889" s="7"/>
    </row>
    <row r="890" spans="33:34" ht="14" x14ac:dyDescent="0.2">
      <c r="AG890" s="1"/>
      <c r="AH890" s="7"/>
    </row>
    <row r="891" spans="33:34" ht="14" x14ac:dyDescent="0.2">
      <c r="AG891" s="1"/>
      <c r="AH891" s="7"/>
    </row>
    <row r="892" spans="33:34" ht="14" x14ac:dyDescent="0.2">
      <c r="AG892" s="1"/>
      <c r="AH892" s="7"/>
    </row>
    <row r="893" spans="33:34" ht="14" x14ac:dyDescent="0.2">
      <c r="AG893" s="1"/>
      <c r="AH893" s="7"/>
    </row>
    <row r="894" spans="33:34" ht="14" x14ac:dyDescent="0.2">
      <c r="AG894" s="1"/>
      <c r="AH894" s="7"/>
    </row>
    <row r="895" spans="33:34" ht="14" x14ac:dyDescent="0.2">
      <c r="AG895" s="1"/>
      <c r="AH895" s="7"/>
    </row>
    <row r="896" spans="33:34" ht="14" x14ac:dyDescent="0.2">
      <c r="AG896" s="1"/>
      <c r="AH896" s="7"/>
    </row>
    <row r="897" spans="33:34" ht="14" x14ac:dyDescent="0.2">
      <c r="AG897" s="1"/>
      <c r="AH897" s="7"/>
    </row>
    <row r="898" spans="33:34" ht="14" x14ac:dyDescent="0.2">
      <c r="AG898" s="1"/>
      <c r="AH898" s="7"/>
    </row>
    <row r="899" spans="33:34" ht="14" x14ac:dyDescent="0.2">
      <c r="AG899" s="1"/>
      <c r="AH899" s="7"/>
    </row>
    <row r="900" spans="33:34" ht="14" x14ac:dyDescent="0.2">
      <c r="AG900" s="1"/>
      <c r="AH900" s="7"/>
    </row>
    <row r="901" spans="33:34" ht="14" x14ac:dyDescent="0.2">
      <c r="AG901" s="1"/>
      <c r="AH901" s="7"/>
    </row>
    <row r="902" spans="33:34" ht="14" x14ac:dyDescent="0.2">
      <c r="AG902" s="1"/>
      <c r="AH902" s="7"/>
    </row>
    <row r="903" spans="33:34" ht="14" x14ac:dyDescent="0.2">
      <c r="AG903" s="1"/>
      <c r="AH903" s="7"/>
    </row>
    <row r="904" spans="33:34" ht="14" x14ac:dyDescent="0.2">
      <c r="AG904" s="1"/>
      <c r="AH904" s="7"/>
    </row>
    <row r="905" spans="33:34" ht="14" x14ac:dyDescent="0.2">
      <c r="AG905" s="1"/>
      <c r="AH905" s="7"/>
    </row>
    <row r="906" spans="33:34" ht="14" x14ac:dyDescent="0.2">
      <c r="AG906" s="1"/>
      <c r="AH906" s="7"/>
    </row>
    <row r="907" spans="33:34" ht="14" x14ac:dyDescent="0.2">
      <c r="AG907" s="1"/>
      <c r="AH907" s="7"/>
    </row>
    <row r="908" spans="33:34" ht="14" x14ac:dyDescent="0.2">
      <c r="AG908" s="1"/>
      <c r="AH908" s="7"/>
    </row>
    <row r="909" spans="33:34" ht="14" x14ac:dyDescent="0.2">
      <c r="AG909" s="1"/>
      <c r="AH909" s="7"/>
    </row>
    <row r="910" spans="33:34" ht="14" x14ac:dyDescent="0.2">
      <c r="AG910" s="1"/>
      <c r="AH910" s="7"/>
    </row>
    <row r="911" spans="33:34" ht="14" x14ac:dyDescent="0.2">
      <c r="AG911" s="1"/>
      <c r="AH911" s="7"/>
    </row>
    <row r="912" spans="33:34" ht="14" x14ac:dyDescent="0.2">
      <c r="AG912" s="1"/>
      <c r="AH912" s="7"/>
    </row>
    <row r="913" spans="33:34" ht="14" x14ac:dyDescent="0.2">
      <c r="AG913" s="1"/>
      <c r="AH913" s="7"/>
    </row>
    <row r="914" spans="33:34" ht="14" x14ac:dyDescent="0.2">
      <c r="AG914" s="1"/>
      <c r="AH914" s="7"/>
    </row>
    <row r="915" spans="33:34" ht="14" x14ac:dyDescent="0.2">
      <c r="AG915" s="1"/>
      <c r="AH915" s="7"/>
    </row>
    <row r="916" spans="33:34" ht="14" x14ac:dyDescent="0.2">
      <c r="AG916" s="1"/>
      <c r="AH916" s="7"/>
    </row>
    <row r="917" spans="33:34" ht="14" x14ac:dyDescent="0.2">
      <c r="AG917" s="1"/>
      <c r="AH917" s="7"/>
    </row>
    <row r="918" spans="33:34" ht="14" x14ac:dyDescent="0.2">
      <c r="AG918" s="1"/>
      <c r="AH918" s="7"/>
    </row>
    <row r="919" spans="33:34" ht="14" x14ac:dyDescent="0.2">
      <c r="AG919" s="1"/>
      <c r="AH919" s="7"/>
    </row>
    <row r="920" spans="33:34" ht="14" x14ac:dyDescent="0.2">
      <c r="AG920" s="1"/>
      <c r="AH920" s="7"/>
    </row>
    <row r="921" spans="33:34" ht="14" x14ac:dyDescent="0.2">
      <c r="AG921" s="1"/>
      <c r="AH921" s="7"/>
    </row>
    <row r="922" spans="33:34" ht="14" x14ac:dyDescent="0.2">
      <c r="AG922" s="1"/>
      <c r="AH922" s="7"/>
    </row>
    <row r="923" spans="33:34" ht="14" x14ac:dyDescent="0.2">
      <c r="AG923" s="1"/>
      <c r="AH923" s="7"/>
    </row>
    <row r="924" spans="33:34" ht="14" x14ac:dyDescent="0.2">
      <c r="AG924" s="1"/>
      <c r="AH924" s="7"/>
    </row>
    <row r="925" spans="33:34" ht="14" x14ac:dyDescent="0.2">
      <c r="AG925" s="1"/>
      <c r="AH925" s="7"/>
    </row>
    <row r="926" spans="33:34" ht="14" x14ac:dyDescent="0.2">
      <c r="AG926" s="1"/>
      <c r="AH926" s="7"/>
    </row>
    <row r="927" spans="33:34" ht="14" x14ac:dyDescent="0.2">
      <c r="AG927" s="1"/>
      <c r="AH927" s="7"/>
    </row>
    <row r="928" spans="33:34" ht="14" x14ac:dyDescent="0.2">
      <c r="AG928" s="1"/>
      <c r="AH928" s="7"/>
    </row>
    <row r="929" spans="33:34" ht="14" x14ac:dyDescent="0.2">
      <c r="AG929" s="1"/>
      <c r="AH929" s="7"/>
    </row>
    <row r="930" spans="33:34" ht="14" x14ac:dyDescent="0.2">
      <c r="AG930" s="1"/>
      <c r="AH930" s="7"/>
    </row>
    <row r="931" spans="33:34" ht="14" x14ac:dyDescent="0.2">
      <c r="AG931" s="1"/>
      <c r="AH931" s="7"/>
    </row>
    <row r="932" spans="33:34" ht="14" x14ac:dyDescent="0.2">
      <c r="AG932" s="1"/>
      <c r="AH932" s="7"/>
    </row>
    <row r="933" spans="33:34" ht="14" x14ac:dyDescent="0.2">
      <c r="AG933" s="1"/>
      <c r="AH933" s="7"/>
    </row>
    <row r="934" spans="33:34" ht="14" x14ac:dyDescent="0.2">
      <c r="AG934" s="1"/>
      <c r="AH934" s="7"/>
    </row>
    <row r="935" spans="33:34" ht="14" x14ac:dyDescent="0.2">
      <c r="AG935" s="1"/>
      <c r="AH935" s="7"/>
    </row>
    <row r="936" spans="33:34" ht="14" x14ac:dyDescent="0.2">
      <c r="AG936" s="1"/>
      <c r="AH936" s="7"/>
    </row>
    <row r="937" spans="33:34" ht="14" x14ac:dyDescent="0.2">
      <c r="AG937" s="1"/>
      <c r="AH937" s="7"/>
    </row>
    <row r="938" spans="33:34" ht="14" x14ac:dyDescent="0.2">
      <c r="AG938" s="1"/>
      <c r="AH938" s="7"/>
    </row>
    <row r="939" spans="33:34" ht="14" x14ac:dyDescent="0.2">
      <c r="AG939" s="1"/>
      <c r="AH939" s="7"/>
    </row>
    <row r="940" spans="33:34" ht="14" x14ac:dyDescent="0.2">
      <c r="AG940" s="1"/>
      <c r="AH940" s="7"/>
    </row>
    <row r="941" spans="33:34" ht="14" x14ac:dyDescent="0.2">
      <c r="AG941" s="1"/>
      <c r="AH941" s="7"/>
    </row>
    <row r="942" spans="33:34" ht="14" x14ac:dyDescent="0.2">
      <c r="AG942" s="1"/>
      <c r="AH942" s="7"/>
    </row>
    <row r="943" spans="33:34" ht="14" x14ac:dyDescent="0.2">
      <c r="AG943" s="1"/>
      <c r="AH943" s="7"/>
    </row>
    <row r="944" spans="33:34" ht="14" x14ac:dyDescent="0.2">
      <c r="AG944" s="1"/>
      <c r="AH944" s="7"/>
    </row>
    <row r="945" spans="33:34" ht="14" x14ac:dyDescent="0.2">
      <c r="AG945" s="1"/>
      <c r="AH945" s="7"/>
    </row>
    <row r="946" spans="33:34" ht="14" x14ac:dyDescent="0.2">
      <c r="AG946" s="1"/>
      <c r="AH946" s="7"/>
    </row>
    <row r="947" spans="33:34" ht="14" x14ac:dyDescent="0.2">
      <c r="AG947" s="1"/>
      <c r="AH947" s="7"/>
    </row>
    <row r="948" spans="33:34" ht="14" x14ac:dyDescent="0.2">
      <c r="AG948" s="1"/>
      <c r="AH948" s="7"/>
    </row>
    <row r="949" spans="33:34" ht="14" x14ac:dyDescent="0.2">
      <c r="AG949" s="1"/>
      <c r="AH949" s="7"/>
    </row>
    <row r="950" spans="33:34" ht="14" x14ac:dyDescent="0.2">
      <c r="AG950" s="1"/>
      <c r="AH950" s="7"/>
    </row>
    <row r="951" spans="33:34" ht="14" x14ac:dyDescent="0.2">
      <c r="AG951" s="1"/>
      <c r="AH951" s="7"/>
    </row>
    <row r="952" spans="33:34" ht="14" x14ac:dyDescent="0.2">
      <c r="AG952" s="1"/>
      <c r="AH952" s="7"/>
    </row>
    <row r="953" spans="33:34" ht="14" x14ac:dyDescent="0.2">
      <c r="AG953" s="1"/>
      <c r="AH953" s="7"/>
    </row>
    <row r="954" spans="33:34" ht="14" x14ac:dyDescent="0.2">
      <c r="AG954" s="1"/>
      <c r="AH954" s="7"/>
    </row>
    <row r="955" spans="33:34" ht="14" x14ac:dyDescent="0.2">
      <c r="AG955" s="1"/>
      <c r="AH955" s="7"/>
    </row>
    <row r="956" spans="33:34" ht="14" x14ac:dyDescent="0.2">
      <c r="AG956" s="1"/>
      <c r="AH956" s="7"/>
    </row>
    <row r="957" spans="33:34" ht="14" x14ac:dyDescent="0.2">
      <c r="AG957" s="1"/>
      <c r="AH957" s="7"/>
    </row>
    <row r="958" spans="33:34" ht="14" x14ac:dyDescent="0.2">
      <c r="AG958" s="1"/>
      <c r="AH958" s="7"/>
    </row>
    <row r="959" spans="33:34" ht="14" x14ac:dyDescent="0.2">
      <c r="AG959" s="1"/>
      <c r="AH959" s="7"/>
    </row>
    <row r="960" spans="33:34" ht="14" x14ac:dyDescent="0.2">
      <c r="AG960" s="1"/>
      <c r="AH960" s="7"/>
    </row>
    <row r="961" spans="33:34" ht="14" x14ac:dyDescent="0.2">
      <c r="AG961" s="1"/>
      <c r="AH961" s="7"/>
    </row>
    <row r="962" spans="33:34" ht="14" x14ac:dyDescent="0.2">
      <c r="AG962" s="1"/>
      <c r="AH962" s="7"/>
    </row>
    <row r="963" spans="33:34" ht="14" x14ac:dyDescent="0.2">
      <c r="AG963" s="1"/>
      <c r="AH963" s="7"/>
    </row>
    <row r="964" spans="33:34" ht="14" x14ac:dyDescent="0.2">
      <c r="AG964" s="1"/>
      <c r="AH964" s="7"/>
    </row>
    <row r="965" spans="33:34" ht="14" x14ac:dyDescent="0.2">
      <c r="AG965" s="1"/>
      <c r="AH965" s="7"/>
    </row>
    <row r="966" spans="33:34" ht="14" x14ac:dyDescent="0.2">
      <c r="AG966" s="1"/>
      <c r="AH966" s="7"/>
    </row>
    <row r="967" spans="33:34" ht="14" x14ac:dyDescent="0.2">
      <c r="AG967" s="1"/>
      <c r="AH967" s="7"/>
    </row>
    <row r="968" spans="33:34" ht="14" x14ac:dyDescent="0.2">
      <c r="AG968" s="1"/>
      <c r="AH968" s="7"/>
    </row>
    <row r="969" spans="33:34" ht="14" x14ac:dyDescent="0.2">
      <c r="AG969" s="1"/>
      <c r="AH969" s="7"/>
    </row>
    <row r="970" spans="33:34" ht="14" x14ac:dyDescent="0.2">
      <c r="AG970" s="1"/>
      <c r="AH970" s="7"/>
    </row>
    <row r="971" spans="33:34" ht="14" x14ac:dyDescent="0.2">
      <c r="AG971" s="1"/>
      <c r="AH971" s="7"/>
    </row>
    <row r="972" spans="33:34" ht="14" x14ac:dyDescent="0.2">
      <c r="AG972" s="1"/>
      <c r="AH972" s="7"/>
    </row>
    <row r="973" spans="33:34" ht="14" x14ac:dyDescent="0.2">
      <c r="AG973" s="1"/>
      <c r="AH973" s="7"/>
    </row>
    <row r="974" spans="33:34" ht="14" x14ac:dyDescent="0.2">
      <c r="AG974" s="1"/>
      <c r="AH974" s="7"/>
    </row>
    <row r="975" spans="33:34" ht="14" x14ac:dyDescent="0.2">
      <c r="AG975" s="1"/>
      <c r="AH975" s="7"/>
    </row>
    <row r="976" spans="33:34" ht="14" x14ac:dyDescent="0.2">
      <c r="AG976" s="1"/>
      <c r="AH976" s="7"/>
    </row>
    <row r="977" spans="33:34" ht="14" x14ac:dyDescent="0.2">
      <c r="AG977" s="1"/>
      <c r="AH977" s="7"/>
    </row>
    <row r="978" spans="33:34" ht="14" x14ac:dyDescent="0.2">
      <c r="AG978" s="1"/>
      <c r="AH978" s="7"/>
    </row>
    <row r="979" spans="33:34" ht="14" x14ac:dyDescent="0.2">
      <c r="AG979" s="1"/>
      <c r="AH979" s="7"/>
    </row>
    <row r="980" spans="33:34" ht="14" x14ac:dyDescent="0.2">
      <c r="AG980" s="1"/>
      <c r="AH980" s="7"/>
    </row>
    <row r="981" spans="33:34" ht="14" x14ac:dyDescent="0.2">
      <c r="AG981" s="1"/>
      <c r="AH981" s="7"/>
    </row>
    <row r="982" spans="33:34" ht="14" x14ac:dyDescent="0.2">
      <c r="AG982" s="1"/>
      <c r="AH982" s="7"/>
    </row>
    <row r="983" spans="33:34" ht="14" x14ac:dyDescent="0.2">
      <c r="AG983" s="1"/>
      <c r="AH983" s="7"/>
    </row>
    <row r="984" spans="33:34" ht="14" x14ac:dyDescent="0.2">
      <c r="AG984" s="1"/>
      <c r="AH984" s="7"/>
    </row>
    <row r="985" spans="33:34" ht="14" x14ac:dyDescent="0.2">
      <c r="AG985" s="1"/>
      <c r="AH985" s="7"/>
    </row>
    <row r="986" spans="33:34" ht="14" x14ac:dyDescent="0.2">
      <c r="AG986" s="1"/>
      <c r="AH986" s="7"/>
    </row>
    <row r="987" spans="33:34" ht="14" x14ac:dyDescent="0.2">
      <c r="AG987" s="1"/>
      <c r="AH987" s="7"/>
    </row>
    <row r="988" spans="33:34" ht="14" x14ac:dyDescent="0.2">
      <c r="AG988" s="1"/>
      <c r="AH988" s="7"/>
    </row>
    <row r="989" spans="33:34" ht="14" x14ac:dyDescent="0.2">
      <c r="AG989" s="1"/>
      <c r="AH989" s="7"/>
    </row>
    <row r="990" spans="33:34" ht="14" x14ac:dyDescent="0.2">
      <c r="AG990" s="1"/>
      <c r="AH990" s="7"/>
    </row>
    <row r="991" spans="33:34" ht="14" x14ac:dyDescent="0.2">
      <c r="AG991" s="1"/>
      <c r="AH991" s="7"/>
    </row>
    <row r="992" spans="33:34" ht="14" x14ac:dyDescent="0.2">
      <c r="AG992" s="1"/>
      <c r="AH992" s="7"/>
    </row>
    <row r="993" spans="33:34" ht="14" x14ac:dyDescent="0.2">
      <c r="AG993" s="1"/>
      <c r="AH993" s="7"/>
    </row>
    <row r="994" spans="33:34" ht="14" x14ac:dyDescent="0.2">
      <c r="AG994" s="1"/>
      <c r="AH994" s="7"/>
    </row>
    <row r="995" spans="33:34" ht="14" x14ac:dyDescent="0.2">
      <c r="AG995" s="1"/>
      <c r="AH995" s="7"/>
    </row>
    <row r="996" spans="33:34" ht="14" x14ac:dyDescent="0.2">
      <c r="AG996" s="1"/>
      <c r="AH996" s="7"/>
    </row>
    <row r="997" spans="33:34" ht="14" x14ac:dyDescent="0.2">
      <c r="AG997" s="1"/>
      <c r="AH997" s="7"/>
    </row>
    <row r="998" spans="33:34" ht="14" x14ac:dyDescent="0.2">
      <c r="AG998" s="1"/>
      <c r="AH998" s="7"/>
    </row>
    <row r="999" spans="33:34" ht="14" x14ac:dyDescent="0.2">
      <c r="AG999" s="1"/>
      <c r="AH999" s="7"/>
    </row>
    <row r="1000" spans="33:34" ht="14" x14ac:dyDescent="0.2">
      <c r="AG1000" s="1"/>
      <c r="AH1000" s="7"/>
    </row>
    <row r="1001" spans="33:34" ht="14" x14ac:dyDescent="0.2">
      <c r="AG1001" s="1"/>
      <c r="AH1001" s="7"/>
    </row>
    <row r="1002" spans="33:34" ht="14" x14ac:dyDescent="0.2">
      <c r="AG1002" s="1"/>
      <c r="AH1002" s="7"/>
    </row>
    <row r="1003" spans="33:34" ht="14" x14ac:dyDescent="0.2">
      <c r="AG1003" s="1"/>
      <c r="AH1003" s="7"/>
    </row>
    <row r="1004" spans="33:34" ht="14" x14ac:dyDescent="0.2">
      <c r="AG1004" s="1"/>
      <c r="AH1004" s="7"/>
    </row>
    <row r="1005" spans="33:34" ht="14" x14ac:dyDescent="0.2">
      <c r="AG1005" s="1"/>
      <c r="AH1005" s="7"/>
    </row>
    <row r="1006" spans="33:34" ht="14" x14ac:dyDescent="0.2">
      <c r="AG1006" s="1"/>
      <c r="AH1006" s="7"/>
    </row>
    <row r="1007" spans="33:34" ht="14" x14ac:dyDescent="0.2">
      <c r="AG1007" s="1"/>
      <c r="AH1007" s="7"/>
    </row>
  </sheetData>
  <conditionalFormatting sqref="B43">
    <cfRule type="cellIs" dxfId="38" priority="3" operator="greaterThanOrEqual">
      <formula>0</formula>
    </cfRule>
    <cfRule type="cellIs" dxfId="37" priority="4" operator="lessThanOrEqual">
      <formula>0</formula>
    </cfRule>
  </conditionalFormatting>
  <conditionalFormatting sqref="B2:P2 R2:AA2 AC2:AF2">
    <cfRule type="cellIs" dxfId="36" priority="7" operator="greaterThan">
      <formula>4200</formula>
    </cfRule>
  </conditionalFormatting>
  <conditionalFormatting sqref="B33:AG33 AJ33:BC33">
    <cfRule type="cellIs" dxfId="35" priority="1" operator="greaterThanOrEqual">
      <formula>0</formula>
    </cfRule>
    <cfRule type="cellIs" dxfId="34" priority="2" operator="lessThanOrEqual">
      <formula>0</formula>
    </cfRule>
  </conditionalFormatting>
  <conditionalFormatting sqref="AH33">
    <cfRule type="cellIs" dxfId="33" priority="5" operator="greaterThanOrEqual">
      <formula>1</formula>
    </cfRule>
    <cfRule type="cellIs" dxfId="32" priority="6" operator="lessThan">
      <formula>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outlinePr summaryBelow="0" summaryRight="0"/>
  </sheetPr>
  <dimension ref="A1:BF1007"/>
  <sheetViews>
    <sheetView workbookViewId="0">
      <pane xSplit="1" ySplit="1" topLeftCell="B2" activePane="bottomRight" state="frozen"/>
      <selection pane="topRight" activeCell="B1" sqref="B1"/>
      <selection pane="bottomLeft" activeCell="A2" sqref="A2"/>
      <selection pane="bottomRight" activeCell="B42" sqref="B42"/>
    </sheetView>
  </sheetViews>
  <sheetFormatPr baseColWidth="10" defaultColWidth="12.796875" defaultRowHeight="15.75" customHeight="1" x14ac:dyDescent="0.2"/>
  <cols>
    <col min="1" max="1" width="21" customWidth="1"/>
    <col min="2" max="58" width="9" customWidth="1"/>
  </cols>
  <sheetData>
    <row r="1" spans="1:58" ht="15.75" customHeight="1" x14ac:dyDescent="0.2">
      <c r="A1" s="8" t="s">
        <v>127</v>
      </c>
      <c r="B1" s="64">
        <v>45901</v>
      </c>
      <c r="C1" s="64">
        <v>45902</v>
      </c>
      <c r="D1" s="64">
        <v>45903</v>
      </c>
      <c r="E1" s="64">
        <v>45904</v>
      </c>
      <c r="F1" s="64">
        <v>45905</v>
      </c>
      <c r="G1" s="64">
        <v>45906</v>
      </c>
      <c r="H1" s="64">
        <v>45907</v>
      </c>
      <c r="I1" s="64">
        <v>45908</v>
      </c>
      <c r="J1" s="64">
        <v>45909</v>
      </c>
      <c r="K1" s="64">
        <v>45910</v>
      </c>
      <c r="L1" s="64">
        <v>45911</v>
      </c>
      <c r="M1" s="64">
        <v>45912</v>
      </c>
      <c r="N1" s="64">
        <v>45913</v>
      </c>
      <c r="O1" s="64">
        <v>45914</v>
      </c>
      <c r="P1" s="64">
        <v>45915</v>
      </c>
      <c r="Q1" s="64">
        <v>45916</v>
      </c>
      <c r="R1" s="64">
        <v>45917</v>
      </c>
      <c r="S1" s="64">
        <v>45918</v>
      </c>
      <c r="T1" s="64">
        <v>45919</v>
      </c>
      <c r="U1" s="64">
        <v>45920</v>
      </c>
      <c r="V1" s="64">
        <v>45921</v>
      </c>
      <c r="W1" s="64">
        <v>45922</v>
      </c>
      <c r="X1" s="64">
        <v>45923</v>
      </c>
      <c r="Y1" s="64">
        <v>45924</v>
      </c>
      <c r="Z1" s="64">
        <v>45925</v>
      </c>
      <c r="AA1" s="64">
        <v>45926</v>
      </c>
      <c r="AB1" s="64">
        <v>45927</v>
      </c>
      <c r="AC1" s="64">
        <v>45928</v>
      </c>
      <c r="AD1" s="64">
        <v>45929</v>
      </c>
      <c r="AE1" s="64">
        <v>45930</v>
      </c>
      <c r="AF1" s="22" t="s">
        <v>0</v>
      </c>
      <c r="AG1" s="22" t="s">
        <v>153</v>
      </c>
      <c r="AH1" s="8" t="s">
        <v>161</v>
      </c>
      <c r="AI1" s="65"/>
      <c r="AJ1" s="65"/>
      <c r="AK1" s="65"/>
      <c r="AL1" s="65"/>
      <c r="AM1" s="65"/>
      <c r="AN1" s="65"/>
      <c r="AO1" s="65"/>
      <c r="AP1" s="65"/>
      <c r="AQ1" s="65"/>
      <c r="AR1" s="65"/>
      <c r="AS1" s="65"/>
      <c r="AT1" s="65"/>
      <c r="AU1" s="65"/>
      <c r="AV1" s="65"/>
      <c r="AW1" s="65"/>
      <c r="AX1" s="65"/>
      <c r="AY1" s="65"/>
      <c r="AZ1" s="65"/>
      <c r="BA1" s="65"/>
      <c r="BB1" s="65"/>
      <c r="BC1" s="65"/>
      <c r="BD1" s="65"/>
      <c r="BE1" s="65"/>
      <c r="BF1" s="65"/>
    </row>
    <row r="2" spans="1:58" ht="15.75" customHeight="1" x14ac:dyDescent="0.2">
      <c r="A2" s="4" t="s">
        <v>162</v>
      </c>
      <c r="B2" s="66">
        <v>1700</v>
      </c>
      <c r="C2" s="66">
        <v>1700</v>
      </c>
      <c r="D2" s="66">
        <v>1700</v>
      </c>
      <c r="E2" s="66">
        <v>1700</v>
      </c>
      <c r="F2" s="66">
        <v>1700</v>
      </c>
      <c r="G2" s="66">
        <v>1700</v>
      </c>
      <c r="H2" s="66">
        <v>1700</v>
      </c>
      <c r="I2" s="66">
        <v>1700</v>
      </c>
      <c r="J2" s="66">
        <v>1700</v>
      </c>
      <c r="K2" s="66">
        <v>1700</v>
      </c>
      <c r="L2" s="66">
        <v>1700</v>
      </c>
      <c r="M2" s="66">
        <v>1700</v>
      </c>
      <c r="N2" s="66">
        <v>1700</v>
      </c>
      <c r="O2" s="66">
        <v>1700</v>
      </c>
      <c r="P2" s="66">
        <v>1700</v>
      </c>
      <c r="Q2" s="66">
        <v>1700</v>
      </c>
      <c r="R2" s="66">
        <v>1700</v>
      </c>
      <c r="S2" s="66">
        <v>1700</v>
      </c>
      <c r="T2" s="66">
        <v>1700</v>
      </c>
      <c r="U2" s="66">
        <v>1700</v>
      </c>
      <c r="V2" s="66">
        <v>1700</v>
      </c>
      <c r="W2" s="69">
        <v>0</v>
      </c>
      <c r="X2" s="66">
        <v>1700</v>
      </c>
      <c r="Y2" s="66">
        <v>1700</v>
      </c>
      <c r="Z2" s="66">
        <v>1700</v>
      </c>
      <c r="AA2" s="66">
        <v>1700</v>
      </c>
      <c r="AB2" s="66">
        <v>1700</v>
      </c>
      <c r="AC2" s="66">
        <v>1700</v>
      </c>
      <c r="AD2" s="66">
        <v>1700</v>
      </c>
      <c r="AE2" s="66">
        <v>1700</v>
      </c>
      <c r="AF2" s="56">
        <f t="shared" ref="AF2:AF4" si="0">SUM(B2:AE2)</f>
        <v>49300</v>
      </c>
      <c r="AG2" s="67">
        <f t="shared" ref="AG2:AG4" si="1">IFERROR(AVERAGE(B2:AE2),0)</f>
        <v>1643.3333333333333</v>
      </c>
      <c r="AH2" s="68">
        <f t="shared" ref="AH2:AH4" si="2">(AG2/$AG$29)*100</f>
        <v>13.954602651446194</v>
      </c>
      <c r="AI2" s="14"/>
      <c r="AJ2" s="14"/>
      <c r="AK2" s="14"/>
      <c r="AL2" s="14"/>
      <c r="AM2" s="14"/>
      <c r="AN2" s="14"/>
      <c r="AO2" s="14"/>
      <c r="AP2" s="14"/>
      <c r="AQ2" s="14"/>
      <c r="AR2" s="14"/>
      <c r="AS2" s="14"/>
      <c r="AT2" s="14"/>
      <c r="AU2" s="14"/>
      <c r="AV2" s="14"/>
      <c r="AW2" s="14"/>
      <c r="AX2" s="14"/>
      <c r="AY2" s="14"/>
      <c r="AZ2" s="14"/>
      <c r="BA2" s="14"/>
      <c r="BB2" s="14"/>
      <c r="BC2" s="14"/>
      <c r="BD2" s="14"/>
      <c r="BE2" s="14"/>
      <c r="BF2" s="14"/>
    </row>
    <row r="3" spans="1:58" ht="15.75" customHeight="1" x14ac:dyDescent="0.2">
      <c r="A3" s="4" t="s">
        <v>163</v>
      </c>
      <c r="B3" s="59">
        <f t="shared" ref="B3:V3" si="3">$B$39/$B$59</f>
        <v>3343.2758620689656</v>
      </c>
      <c r="C3" s="59">
        <f t="shared" si="3"/>
        <v>3343.2758620689656</v>
      </c>
      <c r="D3" s="59">
        <f t="shared" si="3"/>
        <v>3343.2758620689656</v>
      </c>
      <c r="E3" s="59">
        <f t="shared" si="3"/>
        <v>3343.2758620689656</v>
      </c>
      <c r="F3" s="59">
        <f t="shared" si="3"/>
        <v>3343.2758620689656</v>
      </c>
      <c r="G3" s="59">
        <f t="shared" si="3"/>
        <v>3343.2758620689656</v>
      </c>
      <c r="H3" s="59">
        <f t="shared" si="3"/>
        <v>3343.2758620689656</v>
      </c>
      <c r="I3" s="59">
        <f t="shared" si="3"/>
        <v>3343.2758620689656</v>
      </c>
      <c r="J3" s="59">
        <f t="shared" si="3"/>
        <v>3343.2758620689656</v>
      </c>
      <c r="K3" s="59">
        <f t="shared" si="3"/>
        <v>3343.2758620689656</v>
      </c>
      <c r="L3" s="59">
        <f t="shared" si="3"/>
        <v>3343.2758620689656</v>
      </c>
      <c r="M3" s="59">
        <f t="shared" si="3"/>
        <v>3343.2758620689656</v>
      </c>
      <c r="N3" s="59">
        <f t="shared" si="3"/>
        <v>3343.2758620689656</v>
      </c>
      <c r="O3" s="59">
        <f t="shared" si="3"/>
        <v>3343.2758620689656</v>
      </c>
      <c r="P3" s="59">
        <f t="shared" si="3"/>
        <v>3343.2758620689656</v>
      </c>
      <c r="Q3" s="59">
        <f t="shared" si="3"/>
        <v>3343.2758620689656</v>
      </c>
      <c r="R3" s="59">
        <f t="shared" si="3"/>
        <v>3343.2758620689656</v>
      </c>
      <c r="S3" s="59">
        <f t="shared" si="3"/>
        <v>3343.2758620689656</v>
      </c>
      <c r="T3" s="59">
        <f t="shared" si="3"/>
        <v>3343.2758620689656</v>
      </c>
      <c r="U3" s="59">
        <f t="shared" si="3"/>
        <v>3343.2758620689656</v>
      </c>
      <c r="V3" s="59">
        <f t="shared" si="3"/>
        <v>3343.2758620689656</v>
      </c>
      <c r="W3" s="69">
        <v>0</v>
      </c>
      <c r="X3" s="59">
        <f t="shared" ref="X3:AE3" si="4">$B$39/$B$59</f>
        <v>3343.2758620689656</v>
      </c>
      <c r="Y3" s="59">
        <f t="shared" si="4"/>
        <v>3343.2758620689656</v>
      </c>
      <c r="Z3" s="59">
        <f t="shared" si="4"/>
        <v>3343.2758620689656</v>
      </c>
      <c r="AA3" s="59">
        <f t="shared" si="4"/>
        <v>3343.2758620689656</v>
      </c>
      <c r="AB3" s="59">
        <f t="shared" si="4"/>
        <v>3343.2758620689656</v>
      </c>
      <c r="AC3" s="59">
        <f t="shared" si="4"/>
        <v>3343.2758620689656</v>
      </c>
      <c r="AD3" s="59">
        <f t="shared" si="4"/>
        <v>3343.2758620689656</v>
      </c>
      <c r="AE3" s="59">
        <f t="shared" si="4"/>
        <v>3343.2758620689656</v>
      </c>
      <c r="AF3" s="56">
        <f t="shared" si="0"/>
        <v>96955.000000000029</v>
      </c>
      <c r="AG3" s="67">
        <f t="shared" si="1"/>
        <v>3231.8333333333344</v>
      </c>
      <c r="AH3" s="68">
        <f t="shared" si="2"/>
        <v>27.443580123143331</v>
      </c>
      <c r="AI3" s="14"/>
      <c r="AJ3" s="14"/>
      <c r="AK3" s="14"/>
      <c r="AL3" s="14"/>
      <c r="AM3" s="14"/>
      <c r="AN3" s="14"/>
      <c r="AO3" s="14"/>
      <c r="AP3" s="14"/>
      <c r="AQ3" s="14"/>
      <c r="AR3" s="14"/>
      <c r="AS3" s="14"/>
      <c r="AT3" s="14"/>
      <c r="AU3" s="14"/>
      <c r="AV3" s="14"/>
      <c r="AW3" s="14"/>
      <c r="AX3" s="14"/>
      <c r="AY3" s="14"/>
      <c r="AZ3" s="14"/>
      <c r="BA3" s="14"/>
      <c r="BB3" s="14"/>
      <c r="BC3" s="14"/>
      <c r="BD3" s="14"/>
      <c r="BE3" s="14"/>
      <c r="BF3" s="14"/>
    </row>
    <row r="4" spans="1:58" ht="15.75" customHeight="1" x14ac:dyDescent="0.2">
      <c r="A4" s="4" t="s">
        <v>20</v>
      </c>
      <c r="B4" s="69">
        <f t="shared" ref="B4:V4" si="5">$B$42/$B$59</f>
        <v>2798.8620689655172</v>
      </c>
      <c r="C4" s="69">
        <f t="shared" si="5"/>
        <v>2798.8620689655172</v>
      </c>
      <c r="D4" s="69">
        <f t="shared" si="5"/>
        <v>2798.8620689655172</v>
      </c>
      <c r="E4" s="69">
        <f t="shared" si="5"/>
        <v>2798.8620689655172</v>
      </c>
      <c r="F4" s="69">
        <f t="shared" si="5"/>
        <v>2798.8620689655172</v>
      </c>
      <c r="G4" s="69">
        <f t="shared" si="5"/>
        <v>2798.8620689655172</v>
      </c>
      <c r="H4" s="69">
        <f t="shared" si="5"/>
        <v>2798.8620689655172</v>
      </c>
      <c r="I4" s="69">
        <f t="shared" si="5"/>
        <v>2798.8620689655172</v>
      </c>
      <c r="J4" s="69">
        <f t="shared" si="5"/>
        <v>2798.8620689655172</v>
      </c>
      <c r="K4" s="69">
        <f t="shared" si="5"/>
        <v>2798.8620689655172</v>
      </c>
      <c r="L4" s="69">
        <f t="shared" si="5"/>
        <v>2798.8620689655172</v>
      </c>
      <c r="M4" s="69">
        <f t="shared" si="5"/>
        <v>2798.8620689655172</v>
      </c>
      <c r="N4" s="69">
        <f t="shared" si="5"/>
        <v>2798.8620689655172</v>
      </c>
      <c r="O4" s="69">
        <f t="shared" si="5"/>
        <v>2798.8620689655172</v>
      </c>
      <c r="P4" s="69">
        <f t="shared" si="5"/>
        <v>2798.8620689655172</v>
      </c>
      <c r="Q4" s="69">
        <f t="shared" si="5"/>
        <v>2798.8620689655172</v>
      </c>
      <c r="R4" s="69">
        <f t="shared" si="5"/>
        <v>2798.8620689655172</v>
      </c>
      <c r="S4" s="69">
        <f t="shared" si="5"/>
        <v>2798.8620689655172</v>
      </c>
      <c r="T4" s="69">
        <f t="shared" si="5"/>
        <v>2798.8620689655172</v>
      </c>
      <c r="U4" s="69">
        <f t="shared" si="5"/>
        <v>2798.8620689655172</v>
      </c>
      <c r="V4" s="69">
        <f t="shared" si="5"/>
        <v>2798.8620689655172</v>
      </c>
      <c r="W4" s="69">
        <v>0</v>
      </c>
      <c r="X4" s="69">
        <f t="shared" ref="X4:AE4" si="6">$B$42/$B$59</f>
        <v>2798.8620689655172</v>
      </c>
      <c r="Y4" s="69">
        <f t="shared" si="6"/>
        <v>2798.8620689655172</v>
      </c>
      <c r="Z4" s="69">
        <f t="shared" si="6"/>
        <v>2798.8620689655172</v>
      </c>
      <c r="AA4" s="69">
        <f t="shared" si="6"/>
        <v>2798.8620689655172</v>
      </c>
      <c r="AB4" s="69">
        <f t="shared" si="6"/>
        <v>2798.8620689655172</v>
      </c>
      <c r="AC4" s="69">
        <f t="shared" si="6"/>
        <v>2798.8620689655172</v>
      </c>
      <c r="AD4" s="69">
        <f t="shared" si="6"/>
        <v>2798.8620689655172</v>
      </c>
      <c r="AE4" s="69">
        <f t="shared" si="6"/>
        <v>2798.8620689655172</v>
      </c>
      <c r="AF4" s="56">
        <f t="shared" si="0"/>
        <v>81167</v>
      </c>
      <c r="AG4" s="67">
        <f t="shared" si="1"/>
        <v>2705.5666666666666</v>
      </c>
      <c r="AH4" s="68">
        <f t="shared" si="2"/>
        <v>22.974710616834344</v>
      </c>
      <c r="AI4" s="14"/>
      <c r="AJ4" s="14"/>
      <c r="AK4" s="14"/>
      <c r="AL4" s="14"/>
      <c r="AM4" s="14"/>
      <c r="AN4" s="14"/>
      <c r="AO4" s="14"/>
      <c r="AP4" s="14"/>
      <c r="AQ4" s="14"/>
      <c r="AR4" s="14"/>
      <c r="AS4" s="14"/>
      <c r="AT4" s="14"/>
      <c r="AU4" s="14"/>
      <c r="AV4" s="14"/>
      <c r="AW4" s="14"/>
      <c r="AX4" s="14"/>
      <c r="AY4" s="14"/>
      <c r="AZ4" s="14"/>
      <c r="BA4" s="14"/>
      <c r="BB4" s="14"/>
      <c r="BC4" s="14"/>
      <c r="BD4" s="14"/>
      <c r="BE4" s="14"/>
      <c r="BF4" s="14"/>
    </row>
    <row r="5" spans="1:58"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1"/>
      <c r="AG5" s="71"/>
      <c r="AH5" s="72"/>
      <c r="AI5" s="14"/>
      <c r="AJ5" s="14"/>
      <c r="AK5" s="14"/>
      <c r="AL5" s="14"/>
      <c r="AM5" s="14"/>
      <c r="AN5" s="14"/>
      <c r="AO5" s="14"/>
      <c r="AP5" s="14"/>
      <c r="AQ5" s="14"/>
      <c r="AR5" s="14"/>
      <c r="AS5" s="14"/>
      <c r="AT5" s="14"/>
      <c r="AU5" s="14"/>
      <c r="AV5" s="14"/>
      <c r="AW5" s="14"/>
      <c r="AX5" s="14"/>
      <c r="AY5" s="14"/>
      <c r="AZ5" s="14"/>
      <c r="BA5" s="14"/>
      <c r="BB5" s="14"/>
      <c r="BC5" s="14"/>
      <c r="BD5" s="14"/>
      <c r="BE5" s="14"/>
      <c r="BF5" s="14"/>
    </row>
    <row r="6" spans="1:58" ht="15.75" customHeight="1" x14ac:dyDescent="0.2">
      <c r="A6" s="4" t="s">
        <v>165</v>
      </c>
      <c r="B6" s="69">
        <v>1000</v>
      </c>
      <c r="C6" s="69">
        <v>2000</v>
      </c>
      <c r="D6" s="69">
        <v>2500</v>
      </c>
      <c r="E6" s="69">
        <v>2000</v>
      </c>
      <c r="F6" s="69">
        <v>2000</v>
      </c>
      <c r="G6" s="69">
        <v>2000</v>
      </c>
      <c r="H6" s="69">
        <v>2000</v>
      </c>
      <c r="I6" s="69">
        <v>2000</v>
      </c>
      <c r="J6" s="69">
        <v>2000</v>
      </c>
      <c r="K6" s="69">
        <v>2000</v>
      </c>
      <c r="L6" s="69">
        <v>2000</v>
      </c>
      <c r="M6" s="69">
        <v>1500</v>
      </c>
      <c r="N6" s="69">
        <v>1000</v>
      </c>
      <c r="O6" s="69">
        <v>1500</v>
      </c>
      <c r="P6" s="69">
        <v>1500</v>
      </c>
      <c r="Q6" s="69">
        <v>2000</v>
      </c>
      <c r="R6" s="69">
        <v>1500</v>
      </c>
      <c r="S6" s="69">
        <v>2000</v>
      </c>
      <c r="T6" s="69">
        <v>1000</v>
      </c>
      <c r="U6" s="69">
        <v>1500</v>
      </c>
      <c r="V6" s="69">
        <v>1500</v>
      </c>
      <c r="W6" s="69">
        <v>0</v>
      </c>
      <c r="X6" s="69">
        <v>2000</v>
      </c>
      <c r="Y6" s="69">
        <v>2000</v>
      </c>
      <c r="Z6" s="69">
        <v>1500</v>
      </c>
      <c r="AA6" s="69">
        <v>1500</v>
      </c>
      <c r="AB6" s="69">
        <v>2000</v>
      </c>
      <c r="AC6" s="69">
        <v>1500</v>
      </c>
      <c r="AD6" s="69">
        <v>1500</v>
      </c>
      <c r="AE6" s="69">
        <v>2000</v>
      </c>
      <c r="AF6" s="56">
        <f t="shared" ref="AF6:AF8" si="7">SUM(B6:AE6)</f>
        <v>50500</v>
      </c>
      <c r="AG6" s="67">
        <f t="shared" ref="AG6:AG8" si="8">IFERROR(AVERAGE(B6:AE6),0)</f>
        <v>1683.3333333333333</v>
      </c>
      <c r="AH6" s="68">
        <f t="shared" ref="AH6:AH8" si="9">(AG6/$AG$29)*100</f>
        <v>14.294268436065574</v>
      </c>
      <c r="AI6" s="14"/>
      <c r="AJ6" s="14"/>
      <c r="AR6" s="14"/>
      <c r="AS6" s="14"/>
      <c r="AT6" s="14"/>
      <c r="AU6" s="14"/>
      <c r="AV6" s="14"/>
      <c r="AW6" s="14"/>
      <c r="AX6" s="14"/>
      <c r="AY6" s="14"/>
      <c r="AZ6" s="14"/>
      <c r="BA6" s="14"/>
      <c r="BB6" s="14"/>
      <c r="BC6" s="14"/>
      <c r="BD6" s="14"/>
      <c r="BE6" s="14"/>
      <c r="BF6" s="14"/>
    </row>
    <row r="7" spans="1:58" ht="15.75" customHeight="1" x14ac:dyDescent="0.2">
      <c r="A7" s="4" t="s">
        <v>166</v>
      </c>
      <c r="B7" s="69">
        <f t="shared" ref="B7:V7" si="10">$B$51/$B$59</f>
        <v>155.17241379310346</v>
      </c>
      <c r="C7" s="69">
        <f t="shared" si="10"/>
        <v>155.17241379310346</v>
      </c>
      <c r="D7" s="69">
        <f t="shared" si="10"/>
        <v>155.17241379310346</v>
      </c>
      <c r="E7" s="69">
        <f t="shared" si="10"/>
        <v>155.17241379310346</v>
      </c>
      <c r="F7" s="69">
        <f t="shared" si="10"/>
        <v>155.17241379310346</v>
      </c>
      <c r="G7" s="69">
        <f t="shared" si="10"/>
        <v>155.17241379310346</v>
      </c>
      <c r="H7" s="69">
        <f t="shared" si="10"/>
        <v>155.17241379310346</v>
      </c>
      <c r="I7" s="69">
        <f t="shared" si="10"/>
        <v>155.17241379310346</v>
      </c>
      <c r="J7" s="69">
        <f t="shared" si="10"/>
        <v>155.17241379310346</v>
      </c>
      <c r="K7" s="69">
        <f t="shared" si="10"/>
        <v>155.17241379310346</v>
      </c>
      <c r="L7" s="69">
        <f t="shared" si="10"/>
        <v>155.17241379310346</v>
      </c>
      <c r="M7" s="69">
        <f t="shared" si="10"/>
        <v>155.17241379310346</v>
      </c>
      <c r="N7" s="69">
        <f t="shared" si="10"/>
        <v>155.17241379310346</v>
      </c>
      <c r="O7" s="69">
        <f t="shared" si="10"/>
        <v>155.17241379310346</v>
      </c>
      <c r="P7" s="69">
        <f t="shared" si="10"/>
        <v>155.17241379310346</v>
      </c>
      <c r="Q7" s="69">
        <f t="shared" si="10"/>
        <v>155.17241379310346</v>
      </c>
      <c r="R7" s="69">
        <f t="shared" si="10"/>
        <v>155.17241379310346</v>
      </c>
      <c r="S7" s="69">
        <f t="shared" si="10"/>
        <v>155.17241379310346</v>
      </c>
      <c r="T7" s="69">
        <f t="shared" si="10"/>
        <v>155.17241379310346</v>
      </c>
      <c r="U7" s="69">
        <f t="shared" si="10"/>
        <v>155.17241379310346</v>
      </c>
      <c r="V7" s="69">
        <f t="shared" si="10"/>
        <v>155.17241379310346</v>
      </c>
      <c r="W7" s="69">
        <v>0</v>
      </c>
      <c r="X7" s="69">
        <f t="shared" ref="X7:AE7" si="11">$B$51/$B$59</f>
        <v>155.17241379310346</v>
      </c>
      <c r="Y7" s="69">
        <f t="shared" si="11"/>
        <v>155.17241379310346</v>
      </c>
      <c r="Z7" s="69">
        <f t="shared" si="11"/>
        <v>155.17241379310346</v>
      </c>
      <c r="AA7" s="69">
        <f t="shared" si="11"/>
        <v>155.17241379310346</v>
      </c>
      <c r="AB7" s="69">
        <f t="shared" si="11"/>
        <v>155.17241379310346</v>
      </c>
      <c r="AC7" s="69">
        <f t="shared" si="11"/>
        <v>155.17241379310346</v>
      </c>
      <c r="AD7" s="69">
        <f t="shared" si="11"/>
        <v>155.17241379310346</v>
      </c>
      <c r="AE7" s="69">
        <f t="shared" si="11"/>
        <v>155.17241379310346</v>
      </c>
      <c r="AF7" s="56">
        <f t="shared" si="7"/>
        <v>4499.9999999999973</v>
      </c>
      <c r="AG7" s="67">
        <f t="shared" si="8"/>
        <v>149.99999999999991</v>
      </c>
      <c r="AH7" s="68">
        <f t="shared" si="9"/>
        <v>1.2737466923226741</v>
      </c>
      <c r="AI7" s="14"/>
      <c r="AJ7" s="14"/>
      <c r="AR7" s="14"/>
      <c r="AS7" s="14"/>
      <c r="AT7" s="14"/>
      <c r="AU7" s="14"/>
      <c r="AV7" s="14"/>
      <c r="AW7" s="14"/>
      <c r="AX7" s="14"/>
      <c r="AY7" s="14"/>
      <c r="AZ7" s="14"/>
      <c r="BA7" s="14"/>
      <c r="BB7" s="14"/>
      <c r="BC7" s="14"/>
      <c r="BD7" s="14"/>
      <c r="BE7" s="14"/>
      <c r="BF7" s="14"/>
    </row>
    <row r="8" spans="1:58" ht="15.75" customHeight="1" x14ac:dyDescent="0.2">
      <c r="A8" s="4" t="s">
        <v>167</v>
      </c>
      <c r="B8" s="69">
        <f t="shared" ref="B8:V8" si="12">$B$52/$B$59</f>
        <v>241.37931034482759</v>
      </c>
      <c r="C8" s="69">
        <f t="shared" si="12"/>
        <v>241.37931034482759</v>
      </c>
      <c r="D8" s="69">
        <f t="shared" si="12"/>
        <v>241.37931034482759</v>
      </c>
      <c r="E8" s="69">
        <f t="shared" si="12"/>
        <v>241.37931034482759</v>
      </c>
      <c r="F8" s="69">
        <f t="shared" si="12"/>
        <v>241.37931034482759</v>
      </c>
      <c r="G8" s="69">
        <f t="shared" si="12"/>
        <v>241.37931034482759</v>
      </c>
      <c r="H8" s="69">
        <f t="shared" si="12"/>
        <v>241.37931034482759</v>
      </c>
      <c r="I8" s="69">
        <f t="shared" si="12"/>
        <v>241.37931034482759</v>
      </c>
      <c r="J8" s="69">
        <f t="shared" si="12"/>
        <v>241.37931034482759</v>
      </c>
      <c r="K8" s="69">
        <f t="shared" si="12"/>
        <v>241.37931034482759</v>
      </c>
      <c r="L8" s="69">
        <f t="shared" si="12"/>
        <v>241.37931034482759</v>
      </c>
      <c r="M8" s="69">
        <f t="shared" si="12"/>
        <v>241.37931034482759</v>
      </c>
      <c r="N8" s="69">
        <f t="shared" si="12"/>
        <v>241.37931034482759</v>
      </c>
      <c r="O8" s="69">
        <f t="shared" si="12"/>
        <v>241.37931034482759</v>
      </c>
      <c r="P8" s="69">
        <f t="shared" si="12"/>
        <v>241.37931034482759</v>
      </c>
      <c r="Q8" s="69">
        <f t="shared" si="12"/>
        <v>241.37931034482759</v>
      </c>
      <c r="R8" s="69">
        <f t="shared" si="12"/>
        <v>241.37931034482759</v>
      </c>
      <c r="S8" s="69">
        <f t="shared" si="12"/>
        <v>241.37931034482759</v>
      </c>
      <c r="T8" s="69">
        <f t="shared" si="12"/>
        <v>241.37931034482759</v>
      </c>
      <c r="U8" s="69">
        <f t="shared" si="12"/>
        <v>241.37931034482759</v>
      </c>
      <c r="V8" s="69">
        <f t="shared" si="12"/>
        <v>241.37931034482759</v>
      </c>
      <c r="W8" s="69">
        <v>0</v>
      </c>
      <c r="X8" s="69">
        <f t="shared" ref="X8:AE8" si="13">$B$52/$B$59</f>
        <v>241.37931034482759</v>
      </c>
      <c r="Y8" s="69">
        <f t="shared" si="13"/>
        <v>241.37931034482759</v>
      </c>
      <c r="Z8" s="69">
        <f t="shared" si="13"/>
        <v>241.37931034482759</v>
      </c>
      <c r="AA8" s="69">
        <f t="shared" si="13"/>
        <v>241.37931034482759</v>
      </c>
      <c r="AB8" s="69">
        <f t="shared" si="13"/>
        <v>241.37931034482759</v>
      </c>
      <c r="AC8" s="69">
        <f t="shared" si="13"/>
        <v>241.37931034482759</v>
      </c>
      <c r="AD8" s="69">
        <f t="shared" si="13"/>
        <v>241.37931034482759</v>
      </c>
      <c r="AE8" s="69">
        <f t="shared" si="13"/>
        <v>241.37931034482759</v>
      </c>
      <c r="AF8" s="56">
        <f t="shared" si="7"/>
        <v>7000.0000000000027</v>
      </c>
      <c r="AG8" s="67">
        <f t="shared" si="8"/>
        <v>233.33333333333343</v>
      </c>
      <c r="AH8" s="68">
        <f t="shared" si="9"/>
        <v>1.9813837436130508</v>
      </c>
      <c r="AI8" s="14"/>
      <c r="AJ8" s="14"/>
      <c r="AM8" s="74"/>
      <c r="AR8" s="14"/>
      <c r="AS8" s="14"/>
      <c r="AT8" s="14"/>
      <c r="AU8" s="14"/>
      <c r="AV8" s="14"/>
      <c r="AW8" s="14"/>
      <c r="AX8" s="14"/>
      <c r="AY8" s="14"/>
      <c r="AZ8" s="14"/>
      <c r="BA8" s="14"/>
      <c r="BB8" s="14"/>
      <c r="BC8" s="14"/>
      <c r="BD8" s="14"/>
      <c r="BE8" s="14"/>
      <c r="BF8" s="14"/>
    </row>
    <row r="9" spans="1:58"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1"/>
      <c r="AG9" s="71"/>
      <c r="AH9" s="72"/>
      <c r="AI9" s="14"/>
      <c r="AJ9" s="14"/>
      <c r="AM9" s="74"/>
      <c r="AR9" s="14"/>
      <c r="AS9" s="14"/>
      <c r="AT9" s="14"/>
      <c r="AU9" s="14"/>
      <c r="AV9" s="14"/>
      <c r="AW9" s="14"/>
      <c r="AX9" s="14"/>
      <c r="AY9" s="14"/>
      <c r="AZ9" s="14"/>
      <c r="BA9" s="14"/>
      <c r="BB9" s="14"/>
      <c r="BC9" s="14"/>
      <c r="BD9" s="14"/>
      <c r="BE9" s="14"/>
      <c r="BF9" s="14"/>
    </row>
    <row r="10" spans="1:58" ht="15.75" customHeight="1" x14ac:dyDescent="0.2">
      <c r="A10" s="4" t="s">
        <v>169</v>
      </c>
      <c r="B10" s="69">
        <f>40+40+50+100+100+20+200</f>
        <v>550</v>
      </c>
      <c r="C10" s="69">
        <f>40+40+50+100+100+20+50+20</f>
        <v>420</v>
      </c>
      <c r="D10" s="69">
        <f>40+40+100+50+20+40+60</f>
        <v>350</v>
      </c>
      <c r="E10" s="69">
        <f>40+40+100+50+40+20</f>
        <v>290</v>
      </c>
      <c r="F10" s="69">
        <f>40+20+40+30+25+100+45</f>
        <v>300</v>
      </c>
      <c r="G10" s="69">
        <f>40+40+30+40+100+30+50+20+20</f>
        <v>370</v>
      </c>
      <c r="H10" s="69">
        <f>40+40+100+20+30+40+40+30+50+50</f>
        <v>440</v>
      </c>
      <c r="I10" s="69">
        <f>40+40+1200+150+30+50</f>
        <v>1510</v>
      </c>
      <c r="J10" s="69">
        <f>40+40+200+50+30+50+30+240+50</f>
        <v>730</v>
      </c>
      <c r="K10" s="69">
        <f>20+20+150+20+40+50+30</f>
        <v>330</v>
      </c>
      <c r="L10" s="69">
        <f>100+20+30+20+40</f>
        <v>210</v>
      </c>
      <c r="M10" s="69">
        <f>40+40+100+20+20+50+30</f>
        <v>300</v>
      </c>
      <c r="N10" s="69">
        <f>40+40+100+20+20+50+30+40</f>
        <v>340</v>
      </c>
      <c r="O10" s="69">
        <f>40+40+20+20+65</f>
        <v>185</v>
      </c>
      <c r="P10" s="69">
        <f>40+40+50+20+30+40+100+80+20</f>
        <v>420</v>
      </c>
      <c r="Q10" s="69">
        <f>20+10+30+100+30</f>
        <v>190</v>
      </c>
      <c r="R10" s="69">
        <f>20+20+30+200+40+20+50+40+20</f>
        <v>440</v>
      </c>
      <c r="S10" s="69">
        <f>20+20+30+100+20+50+45</f>
        <v>285</v>
      </c>
      <c r="T10" s="69">
        <f>40+40+30+100+20+50+50</f>
        <v>330</v>
      </c>
      <c r="U10" s="69">
        <f>40+40+30+25+50+40+45</f>
        <v>270</v>
      </c>
      <c r="V10" s="69">
        <f>40+40+30+30+100+40</f>
        <v>280</v>
      </c>
      <c r="W10" s="69">
        <v>0</v>
      </c>
      <c r="X10" s="69">
        <f>40+40+20+50+100+30+50+200</f>
        <v>530</v>
      </c>
      <c r="Y10" s="69">
        <f>50+40+50+100+30+50+50+50+40</f>
        <v>460</v>
      </c>
      <c r="Z10" s="69">
        <f>50+50+50+200+50+40+40+50</f>
        <v>530</v>
      </c>
      <c r="AA10" s="69">
        <f>50+50+50+100+40</f>
        <v>290</v>
      </c>
      <c r="AB10" s="69">
        <f>50+40+50+100+50+40+30+30+30+20</f>
        <v>440</v>
      </c>
      <c r="AC10" s="69">
        <f>20+100+40+30+40</f>
        <v>230</v>
      </c>
      <c r="AD10" s="69">
        <f>5+40+50+200+50+40+30</f>
        <v>415</v>
      </c>
      <c r="AE10" s="69">
        <f>50+40+100+40+30+50+90+30+50</f>
        <v>480</v>
      </c>
      <c r="AF10" s="56">
        <f t="shared" ref="AF10:AF18" si="14">SUM(B10:AE10)</f>
        <v>11915</v>
      </c>
      <c r="AG10" s="67">
        <f t="shared" ref="AG10:AG18" si="15">IFERROR(AVERAGE(B10:AE10),0)</f>
        <v>397.16666666666669</v>
      </c>
      <c r="AH10" s="68">
        <f t="shared" ref="AH10:AH18" si="16">(AG10/$AG$29)*100</f>
        <v>3.3725981864499275</v>
      </c>
      <c r="AJ10" s="14"/>
      <c r="AM10" s="74"/>
      <c r="AR10" s="14"/>
      <c r="AS10" s="14"/>
      <c r="AT10" s="14"/>
      <c r="AU10" s="14"/>
      <c r="AV10" s="14"/>
      <c r="AW10" s="14"/>
      <c r="AX10" s="14"/>
      <c r="AY10" s="14"/>
      <c r="AZ10" s="14"/>
      <c r="BA10" s="14"/>
      <c r="BB10" s="14"/>
      <c r="BC10" s="14"/>
      <c r="BD10" s="14"/>
      <c r="BE10" s="14"/>
      <c r="BF10" s="14"/>
    </row>
    <row r="11" spans="1:58" ht="15.75" customHeight="1" x14ac:dyDescent="0.2">
      <c r="A11" s="4" t="s">
        <v>170</v>
      </c>
      <c r="B11" s="69">
        <v>275</v>
      </c>
      <c r="C11" s="69">
        <v>275</v>
      </c>
      <c r="D11" s="69">
        <v>275</v>
      </c>
      <c r="E11" s="69">
        <v>275</v>
      </c>
      <c r="F11" s="69">
        <v>0</v>
      </c>
      <c r="G11" s="69">
        <v>165</v>
      </c>
      <c r="H11" s="69">
        <v>275</v>
      </c>
      <c r="I11" s="69">
        <v>165</v>
      </c>
      <c r="J11" s="69">
        <v>165</v>
      </c>
      <c r="K11" s="69">
        <v>165</v>
      </c>
      <c r="L11" s="69">
        <v>165</v>
      </c>
      <c r="M11" s="69">
        <v>165</v>
      </c>
      <c r="N11" s="69">
        <v>165</v>
      </c>
      <c r="O11" s="69">
        <v>220</v>
      </c>
      <c r="P11" s="69">
        <v>165</v>
      </c>
      <c r="Q11" s="69">
        <v>165</v>
      </c>
      <c r="R11" s="69">
        <v>165</v>
      </c>
      <c r="S11" s="69">
        <v>165</v>
      </c>
      <c r="T11" s="69">
        <v>165</v>
      </c>
      <c r="U11" s="69">
        <v>165</v>
      </c>
      <c r="V11" s="69">
        <v>165</v>
      </c>
      <c r="W11" s="69">
        <v>0</v>
      </c>
      <c r="X11" s="69">
        <v>330</v>
      </c>
      <c r="Y11" s="69">
        <v>165</v>
      </c>
      <c r="Z11" s="69">
        <v>165</v>
      </c>
      <c r="AA11" s="69">
        <v>220</v>
      </c>
      <c r="AB11" s="69">
        <v>165</v>
      </c>
      <c r="AC11" s="69">
        <v>220</v>
      </c>
      <c r="AD11" s="69">
        <v>220</v>
      </c>
      <c r="AE11" s="69">
        <v>275</v>
      </c>
      <c r="AF11" s="56">
        <f t="shared" si="14"/>
        <v>5665</v>
      </c>
      <c r="AG11" s="67">
        <f t="shared" si="15"/>
        <v>188.83333333333334</v>
      </c>
      <c r="AH11" s="68">
        <f t="shared" si="16"/>
        <v>1.6035055582239899</v>
      </c>
      <c r="AJ11" s="14"/>
      <c r="AM11" s="74"/>
      <c r="AR11" s="14"/>
      <c r="AS11" s="14"/>
      <c r="AT11" s="14"/>
      <c r="AU11" s="14"/>
      <c r="AV11" s="14"/>
      <c r="AW11" s="14"/>
      <c r="AX11" s="14"/>
      <c r="AY11" s="14"/>
      <c r="AZ11" s="14"/>
      <c r="BA11" s="14"/>
      <c r="BB11" s="14"/>
      <c r="BC11" s="14"/>
      <c r="BD11" s="14"/>
      <c r="BE11" s="14"/>
      <c r="BF11" s="14"/>
    </row>
    <row r="12" spans="1:58" ht="15.75" customHeight="1" x14ac:dyDescent="0.2">
      <c r="A12" s="4" t="s">
        <v>171</v>
      </c>
      <c r="B12" s="69">
        <v>0</v>
      </c>
      <c r="C12" s="69">
        <v>0</v>
      </c>
      <c r="D12" s="69">
        <v>34</v>
      </c>
      <c r="E12" s="69">
        <v>32</v>
      </c>
      <c r="F12" s="69">
        <v>32</v>
      </c>
      <c r="G12" s="69">
        <v>32</v>
      </c>
      <c r="H12" s="69">
        <v>32</v>
      </c>
      <c r="I12" s="69">
        <v>32</v>
      </c>
      <c r="J12" s="69">
        <v>32</v>
      </c>
      <c r="K12" s="69">
        <v>32</v>
      </c>
      <c r="L12" s="69">
        <v>32</v>
      </c>
      <c r="M12" s="69">
        <v>32</v>
      </c>
      <c r="N12" s="69">
        <v>32</v>
      </c>
      <c r="O12" s="69">
        <v>32</v>
      </c>
      <c r="P12" s="69">
        <v>32</v>
      </c>
      <c r="Q12" s="69">
        <v>32</v>
      </c>
      <c r="R12" s="69">
        <v>32</v>
      </c>
      <c r="S12" s="69">
        <v>32</v>
      </c>
      <c r="T12" s="69">
        <v>32</v>
      </c>
      <c r="U12" s="69">
        <v>32</v>
      </c>
      <c r="V12" s="69">
        <v>32</v>
      </c>
      <c r="W12" s="69">
        <v>0</v>
      </c>
      <c r="X12" s="69">
        <v>32</v>
      </c>
      <c r="Y12" s="69">
        <v>32</v>
      </c>
      <c r="Z12" s="69">
        <v>32</v>
      </c>
      <c r="AA12" s="69">
        <v>32</v>
      </c>
      <c r="AB12" s="69">
        <v>32</v>
      </c>
      <c r="AC12" s="69">
        <v>32</v>
      </c>
      <c r="AD12" s="69">
        <v>31</v>
      </c>
      <c r="AE12" s="69">
        <v>32</v>
      </c>
      <c r="AF12" s="56">
        <f t="shared" si="14"/>
        <v>865</v>
      </c>
      <c r="AG12" s="67">
        <f t="shared" si="15"/>
        <v>28.833333333333332</v>
      </c>
      <c r="AH12" s="68">
        <f t="shared" si="16"/>
        <v>0.24484241974646972</v>
      </c>
      <c r="AJ12" s="14"/>
      <c r="AM12" s="74"/>
      <c r="AR12" s="14"/>
      <c r="AS12" s="14"/>
      <c r="AT12" s="14"/>
      <c r="AU12" s="14"/>
      <c r="AV12" s="14"/>
      <c r="AW12" s="14"/>
      <c r="AX12" s="14"/>
      <c r="AY12" s="14"/>
      <c r="AZ12" s="14"/>
      <c r="BA12" s="14"/>
      <c r="BB12" s="14"/>
      <c r="BC12" s="14"/>
      <c r="BD12" s="14"/>
      <c r="BE12" s="14"/>
      <c r="BF12" s="14"/>
    </row>
    <row r="13" spans="1:58" ht="15.75" customHeight="1" x14ac:dyDescent="0.2">
      <c r="A13" s="4" t="s">
        <v>172</v>
      </c>
      <c r="B13" s="69">
        <v>0</v>
      </c>
      <c r="C13" s="69">
        <v>370</v>
      </c>
      <c r="D13" s="69">
        <v>370</v>
      </c>
      <c r="E13" s="69">
        <v>0</v>
      </c>
      <c r="F13" s="69">
        <v>0</v>
      </c>
      <c r="G13" s="69">
        <v>370</v>
      </c>
      <c r="H13" s="69">
        <v>0</v>
      </c>
      <c r="I13" s="69">
        <v>370</v>
      </c>
      <c r="J13" s="69">
        <v>0</v>
      </c>
      <c r="K13" s="69">
        <v>370</v>
      </c>
      <c r="L13" s="69">
        <v>0</v>
      </c>
      <c r="M13" s="69">
        <v>370</v>
      </c>
      <c r="N13" s="69">
        <v>0</v>
      </c>
      <c r="O13" s="69">
        <v>370</v>
      </c>
      <c r="P13" s="69">
        <v>0</v>
      </c>
      <c r="Q13" s="69">
        <v>370</v>
      </c>
      <c r="R13" s="69">
        <v>0</v>
      </c>
      <c r="S13" s="69">
        <v>0</v>
      </c>
      <c r="T13" s="69">
        <v>0</v>
      </c>
      <c r="U13" s="69">
        <v>370</v>
      </c>
      <c r="V13" s="69">
        <v>0</v>
      </c>
      <c r="W13" s="69">
        <v>0</v>
      </c>
      <c r="X13" s="69">
        <v>370</v>
      </c>
      <c r="Y13" s="69">
        <v>0</v>
      </c>
      <c r="Z13" s="69">
        <v>370</v>
      </c>
      <c r="AA13" s="69">
        <v>0</v>
      </c>
      <c r="AB13" s="69">
        <v>0</v>
      </c>
      <c r="AC13" s="69">
        <v>370</v>
      </c>
      <c r="AD13" s="69">
        <v>370</v>
      </c>
      <c r="AE13" s="69">
        <v>0</v>
      </c>
      <c r="AF13" s="56">
        <f t="shared" si="14"/>
        <v>4810</v>
      </c>
      <c r="AG13" s="67">
        <f t="shared" si="15"/>
        <v>160.33333333333334</v>
      </c>
      <c r="AH13" s="68">
        <f t="shared" si="16"/>
        <v>1.3614936866826814</v>
      </c>
      <c r="AJ13" s="14"/>
      <c r="AM13" s="74"/>
      <c r="AR13" s="14"/>
      <c r="AS13" s="14"/>
      <c r="AT13" s="14"/>
      <c r="AU13" s="14"/>
      <c r="AV13" s="14"/>
      <c r="AW13" s="14"/>
      <c r="AX13" s="14"/>
      <c r="AY13" s="14"/>
      <c r="AZ13" s="14"/>
      <c r="BA13" s="14"/>
      <c r="BB13" s="14"/>
      <c r="BC13" s="14"/>
      <c r="BD13" s="14"/>
      <c r="BE13" s="14"/>
      <c r="BF13" s="14"/>
    </row>
    <row r="14" spans="1:58" ht="15.75" customHeight="1" x14ac:dyDescent="0.2">
      <c r="A14" s="4" t="s">
        <v>173</v>
      </c>
      <c r="B14" s="69">
        <v>140</v>
      </c>
      <c r="C14" s="69">
        <v>0</v>
      </c>
      <c r="D14" s="69">
        <v>0</v>
      </c>
      <c r="E14" s="69">
        <v>120</v>
      </c>
      <c r="F14" s="69">
        <v>80</v>
      </c>
      <c r="G14" s="69">
        <v>80</v>
      </c>
      <c r="H14" s="69">
        <v>0</v>
      </c>
      <c r="I14" s="69">
        <v>120</v>
      </c>
      <c r="J14" s="69">
        <v>0</v>
      </c>
      <c r="K14" s="69">
        <v>0</v>
      </c>
      <c r="L14" s="69">
        <v>80</v>
      </c>
      <c r="M14" s="69">
        <v>0</v>
      </c>
      <c r="N14" s="69">
        <v>0</v>
      </c>
      <c r="O14" s="69">
        <v>165</v>
      </c>
      <c r="P14" s="69">
        <v>120</v>
      </c>
      <c r="Q14" s="69">
        <v>0</v>
      </c>
      <c r="R14" s="69">
        <v>90</v>
      </c>
      <c r="S14" s="69">
        <v>0</v>
      </c>
      <c r="T14" s="69">
        <v>0</v>
      </c>
      <c r="U14" s="69">
        <v>100</v>
      </c>
      <c r="V14" s="69">
        <v>0</v>
      </c>
      <c r="W14" s="69">
        <v>0</v>
      </c>
      <c r="X14" s="69">
        <v>80</v>
      </c>
      <c r="Y14" s="69">
        <v>0</v>
      </c>
      <c r="Z14" s="69">
        <v>0</v>
      </c>
      <c r="AA14" s="69">
        <v>0</v>
      </c>
      <c r="AB14" s="69">
        <v>0</v>
      </c>
      <c r="AC14" s="69">
        <v>240</v>
      </c>
      <c r="AD14" s="69">
        <v>90</v>
      </c>
      <c r="AE14" s="69">
        <v>100</v>
      </c>
      <c r="AF14" s="56">
        <f t="shared" si="14"/>
        <v>1605</v>
      </c>
      <c r="AG14" s="67">
        <f t="shared" si="15"/>
        <v>53.5</v>
      </c>
      <c r="AH14" s="68">
        <f t="shared" si="16"/>
        <v>0.45430298692842069</v>
      </c>
      <c r="AI14" s="14"/>
      <c r="AJ14" s="14"/>
      <c r="AR14" s="14"/>
      <c r="AS14" s="14"/>
      <c r="AT14" s="14"/>
      <c r="AU14" s="14"/>
      <c r="AV14" s="14"/>
      <c r="AW14" s="14"/>
      <c r="AX14" s="14"/>
      <c r="AY14" s="14"/>
      <c r="AZ14" s="14"/>
      <c r="BA14" s="14"/>
      <c r="BB14" s="14"/>
      <c r="BC14" s="14"/>
      <c r="BD14" s="14"/>
      <c r="BE14" s="14"/>
      <c r="BF14" s="14"/>
    </row>
    <row r="15" spans="1:58" ht="15.75" customHeight="1" x14ac:dyDescent="0.2">
      <c r="A15" s="4" t="s">
        <v>174</v>
      </c>
      <c r="B15" s="69">
        <v>0</v>
      </c>
      <c r="C15" s="69">
        <v>0</v>
      </c>
      <c r="D15" s="69">
        <v>0</v>
      </c>
      <c r="E15" s="69">
        <v>0</v>
      </c>
      <c r="F15" s="69">
        <v>0</v>
      </c>
      <c r="G15" s="69">
        <v>0</v>
      </c>
      <c r="H15" s="69">
        <v>35</v>
      </c>
      <c r="I15" s="69">
        <v>0</v>
      </c>
      <c r="J15" s="69">
        <v>0</v>
      </c>
      <c r="K15" s="69">
        <v>60</v>
      </c>
      <c r="L15" s="69">
        <v>0</v>
      </c>
      <c r="M15" s="69">
        <v>0</v>
      </c>
      <c r="N15" s="69">
        <v>0</v>
      </c>
      <c r="O15" s="69">
        <v>105</v>
      </c>
      <c r="P15" s="69">
        <v>0</v>
      </c>
      <c r="Q15" s="69">
        <v>0</v>
      </c>
      <c r="R15" s="69">
        <v>0</v>
      </c>
      <c r="S15" s="69">
        <v>0</v>
      </c>
      <c r="T15" s="69">
        <v>0</v>
      </c>
      <c r="U15" s="69">
        <v>0</v>
      </c>
      <c r="V15" s="69">
        <v>70</v>
      </c>
      <c r="W15" s="69">
        <v>0</v>
      </c>
      <c r="X15" s="69">
        <v>70</v>
      </c>
      <c r="Y15" s="69">
        <v>0</v>
      </c>
      <c r="Z15" s="69">
        <v>0</v>
      </c>
      <c r="AA15" s="69">
        <v>0</v>
      </c>
      <c r="AB15" s="69">
        <v>0</v>
      </c>
      <c r="AC15" s="69">
        <v>0</v>
      </c>
      <c r="AD15" s="69">
        <v>105</v>
      </c>
      <c r="AE15" s="69">
        <v>160</v>
      </c>
      <c r="AF15" s="56">
        <f t="shared" si="14"/>
        <v>605</v>
      </c>
      <c r="AG15" s="67">
        <f t="shared" si="15"/>
        <v>20.166666666666668</v>
      </c>
      <c r="AH15" s="68">
        <f t="shared" si="16"/>
        <v>0.17124816641227075</v>
      </c>
      <c r="AI15" s="14"/>
      <c r="AJ15" s="14"/>
      <c r="AR15" s="14"/>
      <c r="AS15" s="14"/>
      <c r="AT15" s="14"/>
      <c r="AU15" s="14"/>
      <c r="AV15" s="14"/>
      <c r="AW15" s="14"/>
      <c r="AX15" s="14"/>
      <c r="AY15" s="14"/>
      <c r="AZ15" s="14"/>
      <c r="BA15" s="14"/>
      <c r="BB15" s="14"/>
      <c r="BC15" s="14"/>
      <c r="BD15" s="14"/>
      <c r="BE15" s="14"/>
      <c r="BF15" s="14"/>
    </row>
    <row r="16" spans="1:58" ht="15.75" customHeight="1" x14ac:dyDescent="0.2">
      <c r="A16" s="4" t="s">
        <v>175</v>
      </c>
      <c r="B16" s="69">
        <v>0</v>
      </c>
      <c r="C16" s="69">
        <v>180</v>
      </c>
      <c r="D16" s="69">
        <v>0</v>
      </c>
      <c r="E16" s="69">
        <v>0</v>
      </c>
      <c r="F16" s="69">
        <v>190</v>
      </c>
      <c r="G16" s="69">
        <v>0</v>
      </c>
      <c r="H16" s="69">
        <v>190</v>
      </c>
      <c r="I16" s="69">
        <v>190</v>
      </c>
      <c r="J16" s="69">
        <v>0</v>
      </c>
      <c r="K16" s="69">
        <v>190</v>
      </c>
      <c r="L16" s="69">
        <v>0</v>
      </c>
      <c r="M16" s="69">
        <v>0</v>
      </c>
      <c r="N16" s="69">
        <v>190</v>
      </c>
      <c r="O16" s="69">
        <v>0</v>
      </c>
      <c r="P16" s="69">
        <v>0</v>
      </c>
      <c r="Q16" s="69">
        <v>190</v>
      </c>
      <c r="R16" s="69">
        <v>190</v>
      </c>
      <c r="S16" s="69">
        <v>0</v>
      </c>
      <c r="T16" s="69">
        <v>0</v>
      </c>
      <c r="U16" s="69">
        <v>190</v>
      </c>
      <c r="V16" s="69">
        <v>0</v>
      </c>
      <c r="W16" s="69">
        <v>0</v>
      </c>
      <c r="X16" s="69">
        <v>0</v>
      </c>
      <c r="Y16" s="69">
        <v>180</v>
      </c>
      <c r="Z16" s="69">
        <v>190</v>
      </c>
      <c r="AA16" s="69">
        <v>0</v>
      </c>
      <c r="AB16" s="69">
        <v>180</v>
      </c>
      <c r="AC16" s="69">
        <v>0</v>
      </c>
      <c r="AD16" s="69">
        <v>0</v>
      </c>
      <c r="AE16" s="69">
        <v>180</v>
      </c>
      <c r="AF16" s="56">
        <f t="shared" si="14"/>
        <v>2430</v>
      </c>
      <c r="AG16" s="67">
        <f t="shared" si="15"/>
        <v>81</v>
      </c>
      <c r="AH16" s="68">
        <f t="shared" si="16"/>
        <v>0.6878232138542445</v>
      </c>
      <c r="AI16" s="14"/>
      <c r="AJ16" s="14"/>
      <c r="AR16" s="14"/>
      <c r="AS16" s="14"/>
      <c r="AT16" s="14"/>
      <c r="AU16" s="14"/>
      <c r="AV16" s="14"/>
      <c r="AW16" s="14"/>
      <c r="AX16" s="14"/>
      <c r="AY16" s="14"/>
      <c r="AZ16" s="14"/>
      <c r="BA16" s="14"/>
      <c r="BB16" s="14"/>
      <c r="BC16" s="14"/>
      <c r="BD16" s="14"/>
      <c r="BE16" s="14"/>
      <c r="BF16" s="14"/>
    </row>
    <row r="17" spans="1:58" ht="15.75" customHeight="1" x14ac:dyDescent="0.2">
      <c r="A17" s="4" t="s">
        <v>176</v>
      </c>
      <c r="B17" s="69">
        <v>0</v>
      </c>
      <c r="C17" s="69">
        <v>0</v>
      </c>
      <c r="D17" s="69">
        <v>0</v>
      </c>
      <c r="E17" s="69">
        <v>300</v>
      </c>
      <c r="F17" s="69">
        <v>200</v>
      </c>
      <c r="G17" s="69">
        <f>120+90+200</f>
        <v>410</v>
      </c>
      <c r="H17" s="69">
        <v>80</v>
      </c>
      <c r="I17" s="69">
        <v>0</v>
      </c>
      <c r="J17" s="69">
        <v>200</v>
      </c>
      <c r="K17" s="69">
        <v>0</v>
      </c>
      <c r="L17" s="69">
        <v>0</v>
      </c>
      <c r="M17" s="69">
        <v>0</v>
      </c>
      <c r="N17" s="69">
        <v>0</v>
      </c>
      <c r="O17" s="69">
        <v>200</v>
      </c>
      <c r="P17" s="69">
        <f>170+30</f>
        <v>200</v>
      </c>
      <c r="Q17" s="69">
        <v>0</v>
      </c>
      <c r="R17" s="69">
        <v>0</v>
      </c>
      <c r="S17" s="69">
        <v>70</v>
      </c>
      <c r="T17" s="69">
        <v>0</v>
      </c>
      <c r="U17" s="69">
        <v>0</v>
      </c>
      <c r="V17" s="69">
        <v>0</v>
      </c>
      <c r="W17" s="69">
        <v>0</v>
      </c>
      <c r="X17" s="69">
        <v>168</v>
      </c>
      <c r="Y17" s="69">
        <v>1000</v>
      </c>
      <c r="Z17" s="69">
        <v>0</v>
      </c>
      <c r="AA17" s="69">
        <v>0</v>
      </c>
      <c r="AB17" s="69">
        <v>0</v>
      </c>
      <c r="AC17" s="69">
        <v>0</v>
      </c>
      <c r="AD17" s="69">
        <v>0</v>
      </c>
      <c r="AE17" s="69">
        <v>1200</v>
      </c>
      <c r="AF17" s="56">
        <f t="shared" si="14"/>
        <v>4028</v>
      </c>
      <c r="AG17" s="67">
        <f t="shared" si="15"/>
        <v>134.26666666666668</v>
      </c>
      <c r="AH17" s="68">
        <f t="shared" si="16"/>
        <v>1.1401448170390522</v>
      </c>
      <c r="AI17" s="14"/>
      <c r="AJ17" s="14"/>
      <c r="AR17" s="14"/>
      <c r="AS17" s="14"/>
      <c r="AT17" s="14"/>
      <c r="AU17" s="14"/>
      <c r="AV17" s="14"/>
      <c r="AW17" s="14"/>
      <c r="AX17" s="14"/>
      <c r="AY17" s="14"/>
      <c r="AZ17" s="14"/>
      <c r="BA17" s="14"/>
      <c r="BB17" s="14"/>
      <c r="BC17" s="14"/>
      <c r="BD17" s="14"/>
      <c r="BE17" s="14"/>
      <c r="BF17" s="14"/>
    </row>
    <row r="18" spans="1:58" ht="15.75" customHeight="1" x14ac:dyDescent="0.2">
      <c r="A18" s="4" t="s">
        <v>177</v>
      </c>
      <c r="B18" s="69">
        <v>180</v>
      </c>
      <c r="C18" s="69">
        <v>0</v>
      </c>
      <c r="D18" s="69">
        <v>60</v>
      </c>
      <c r="E18" s="69">
        <v>0</v>
      </c>
      <c r="F18" s="69">
        <v>0</v>
      </c>
      <c r="G18" s="69">
        <v>0</v>
      </c>
      <c r="H18" s="69">
        <v>0</v>
      </c>
      <c r="I18" s="69">
        <v>0</v>
      </c>
      <c r="J18" s="69">
        <v>260</v>
      </c>
      <c r="K18" s="69">
        <v>0</v>
      </c>
      <c r="L18" s="69">
        <v>0</v>
      </c>
      <c r="M18" s="69">
        <v>0</v>
      </c>
      <c r="N18" s="69">
        <v>0</v>
      </c>
      <c r="O18" s="69">
        <v>0</v>
      </c>
      <c r="P18" s="69">
        <v>80</v>
      </c>
      <c r="Q18" s="69">
        <v>0</v>
      </c>
      <c r="R18" s="69">
        <v>0</v>
      </c>
      <c r="S18" s="69">
        <v>0</v>
      </c>
      <c r="T18" s="69">
        <v>0</v>
      </c>
      <c r="U18" s="69">
        <v>0</v>
      </c>
      <c r="V18" s="69">
        <v>60</v>
      </c>
      <c r="W18" s="69">
        <v>0</v>
      </c>
      <c r="X18" s="69">
        <v>200</v>
      </c>
      <c r="Y18" s="69">
        <v>0</v>
      </c>
      <c r="Z18" s="69">
        <v>0</v>
      </c>
      <c r="AA18" s="69">
        <v>0</v>
      </c>
      <c r="AB18" s="69">
        <v>80</v>
      </c>
      <c r="AC18" s="69">
        <v>0</v>
      </c>
      <c r="AD18" s="69">
        <v>0</v>
      </c>
      <c r="AE18" s="69">
        <v>0</v>
      </c>
      <c r="AF18" s="56">
        <f t="shared" si="14"/>
        <v>920</v>
      </c>
      <c r="AG18" s="67">
        <f t="shared" si="15"/>
        <v>30.666666666666668</v>
      </c>
      <c r="AH18" s="68">
        <f t="shared" si="16"/>
        <v>0.26041043487485799</v>
      </c>
      <c r="AI18" s="14"/>
      <c r="AJ18" s="14"/>
      <c r="AR18" s="14"/>
      <c r="AS18" s="14"/>
      <c r="AT18" s="14"/>
      <c r="AU18" s="14"/>
      <c r="AV18" s="14"/>
      <c r="AW18" s="14"/>
      <c r="AX18" s="14"/>
      <c r="AY18" s="14"/>
      <c r="AZ18" s="14"/>
      <c r="BA18" s="14"/>
      <c r="BB18" s="14"/>
      <c r="BC18" s="14"/>
      <c r="BD18" s="14"/>
      <c r="BE18" s="14"/>
      <c r="BF18" s="14"/>
    </row>
    <row r="19" spans="1:58"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1"/>
      <c r="AG19" s="71"/>
      <c r="AH19" s="72"/>
      <c r="AI19" s="14"/>
      <c r="AJ19" s="14"/>
      <c r="AR19" s="14"/>
      <c r="AS19" s="14"/>
      <c r="AT19" s="14"/>
      <c r="AU19" s="14"/>
      <c r="AV19" s="14"/>
      <c r="AW19" s="14"/>
      <c r="AX19" s="14"/>
      <c r="AY19" s="14"/>
      <c r="AZ19" s="14"/>
      <c r="BA19" s="14"/>
      <c r="BB19" s="14"/>
      <c r="BC19" s="14"/>
      <c r="BD19" s="14"/>
      <c r="BE19" s="14"/>
      <c r="BF19" s="14"/>
    </row>
    <row r="20" spans="1:58" ht="15.75" customHeight="1" x14ac:dyDescent="0.2">
      <c r="A20" s="4" t="s">
        <v>179</v>
      </c>
      <c r="B20" s="69">
        <f t="shared" ref="B20:V20" si="17">$B$53/$B$59</f>
        <v>758.62068965517244</v>
      </c>
      <c r="C20" s="69">
        <f t="shared" si="17"/>
        <v>758.62068965517244</v>
      </c>
      <c r="D20" s="69">
        <f t="shared" si="17"/>
        <v>758.62068965517244</v>
      </c>
      <c r="E20" s="69">
        <f t="shared" si="17"/>
        <v>758.62068965517244</v>
      </c>
      <c r="F20" s="69">
        <f t="shared" si="17"/>
        <v>758.62068965517244</v>
      </c>
      <c r="G20" s="69">
        <f t="shared" si="17"/>
        <v>758.62068965517244</v>
      </c>
      <c r="H20" s="69">
        <f t="shared" si="17"/>
        <v>758.62068965517244</v>
      </c>
      <c r="I20" s="69">
        <f t="shared" si="17"/>
        <v>758.62068965517244</v>
      </c>
      <c r="J20" s="69">
        <f t="shared" si="17"/>
        <v>758.62068965517244</v>
      </c>
      <c r="K20" s="69">
        <f t="shared" si="17"/>
        <v>758.62068965517244</v>
      </c>
      <c r="L20" s="69">
        <f t="shared" si="17"/>
        <v>758.62068965517244</v>
      </c>
      <c r="M20" s="69">
        <f t="shared" si="17"/>
        <v>758.62068965517244</v>
      </c>
      <c r="N20" s="69">
        <f t="shared" si="17"/>
        <v>758.62068965517244</v>
      </c>
      <c r="O20" s="69">
        <f t="shared" si="17"/>
        <v>758.62068965517244</v>
      </c>
      <c r="P20" s="69">
        <f t="shared" si="17"/>
        <v>758.62068965517244</v>
      </c>
      <c r="Q20" s="69">
        <f t="shared" si="17"/>
        <v>758.62068965517244</v>
      </c>
      <c r="R20" s="69">
        <f t="shared" si="17"/>
        <v>758.62068965517244</v>
      </c>
      <c r="S20" s="69">
        <f t="shared" si="17"/>
        <v>758.62068965517244</v>
      </c>
      <c r="T20" s="69">
        <f t="shared" si="17"/>
        <v>758.62068965517244</v>
      </c>
      <c r="U20" s="69">
        <f t="shared" si="17"/>
        <v>758.62068965517244</v>
      </c>
      <c r="V20" s="69">
        <f t="shared" si="17"/>
        <v>758.62068965517244</v>
      </c>
      <c r="W20" s="69">
        <v>0</v>
      </c>
      <c r="X20" s="69">
        <f t="shared" ref="X20:AE20" si="18">$B$53/$B$59</f>
        <v>758.62068965517244</v>
      </c>
      <c r="Y20" s="69">
        <f t="shared" si="18"/>
        <v>758.62068965517244</v>
      </c>
      <c r="Z20" s="69">
        <f t="shared" si="18"/>
        <v>758.62068965517244</v>
      </c>
      <c r="AA20" s="69">
        <f t="shared" si="18"/>
        <v>758.62068965517244</v>
      </c>
      <c r="AB20" s="69">
        <f t="shared" si="18"/>
        <v>758.62068965517244</v>
      </c>
      <c r="AC20" s="69">
        <f t="shared" si="18"/>
        <v>758.62068965517244</v>
      </c>
      <c r="AD20" s="69">
        <f t="shared" si="18"/>
        <v>758.62068965517244</v>
      </c>
      <c r="AE20" s="69">
        <f t="shared" si="18"/>
        <v>758.62068965517244</v>
      </c>
      <c r="AF20" s="56">
        <f t="shared" ref="AF20:AF22" si="19">SUM(B20:AE20)</f>
        <v>22000.000000000007</v>
      </c>
      <c r="AG20" s="67">
        <f t="shared" ref="AG20:AG22" si="20">IFERROR(AVERAGE(B20:AE20),0)</f>
        <v>733.3333333333336</v>
      </c>
      <c r="AH20" s="68">
        <f t="shared" ref="AH20:AH22" si="21">(AG20/$AG$29)*100</f>
        <v>6.227206051355302</v>
      </c>
      <c r="AI20" s="14"/>
      <c r="AJ20" s="14"/>
      <c r="AR20" s="14"/>
      <c r="AS20" s="14"/>
      <c r="AT20" s="14"/>
      <c r="AU20" s="14"/>
      <c r="AV20" s="14"/>
      <c r="AW20" s="14"/>
      <c r="AX20" s="14"/>
      <c r="AY20" s="14"/>
      <c r="AZ20" s="14"/>
      <c r="BA20" s="14"/>
      <c r="BB20" s="14"/>
      <c r="BC20" s="14"/>
      <c r="BD20" s="14"/>
      <c r="BE20" s="14"/>
      <c r="BF20" s="14"/>
    </row>
    <row r="21" spans="1:58" ht="15.75" customHeight="1" x14ac:dyDescent="0.2">
      <c r="A21" s="4" t="s">
        <v>180</v>
      </c>
      <c r="B21" s="69">
        <f t="shared" ref="B21:V21" si="22">$B$54/$B$59</f>
        <v>0</v>
      </c>
      <c r="C21" s="69">
        <f t="shared" si="22"/>
        <v>0</v>
      </c>
      <c r="D21" s="69">
        <f t="shared" si="22"/>
        <v>0</v>
      </c>
      <c r="E21" s="69">
        <f t="shared" si="22"/>
        <v>0</v>
      </c>
      <c r="F21" s="69">
        <f t="shared" si="22"/>
        <v>0</v>
      </c>
      <c r="G21" s="69">
        <f t="shared" si="22"/>
        <v>0</v>
      </c>
      <c r="H21" s="69">
        <f t="shared" si="22"/>
        <v>0</v>
      </c>
      <c r="I21" s="69">
        <f t="shared" si="22"/>
        <v>0</v>
      </c>
      <c r="J21" s="69">
        <f t="shared" si="22"/>
        <v>0</v>
      </c>
      <c r="K21" s="69">
        <f t="shared" si="22"/>
        <v>0</v>
      </c>
      <c r="L21" s="69">
        <f t="shared" si="22"/>
        <v>0</v>
      </c>
      <c r="M21" s="69">
        <f t="shared" si="22"/>
        <v>0</v>
      </c>
      <c r="N21" s="69">
        <f t="shared" si="22"/>
        <v>0</v>
      </c>
      <c r="O21" s="69">
        <f t="shared" si="22"/>
        <v>0</v>
      </c>
      <c r="P21" s="69">
        <f t="shared" si="22"/>
        <v>0</v>
      </c>
      <c r="Q21" s="69">
        <f t="shared" si="22"/>
        <v>0</v>
      </c>
      <c r="R21" s="69">
        <f t="shared" si="22"/>
        <v>0</v>
      </c>
      <c r="S21" s="69">
        <f t="shared" si="22"/>
        <v>0</v>
      </c>
      <c r="T21" s="69">
        <f t="shared" si="22"/>
        <v>0</v>
      </c>
      <c r="U21" s="69">
        <f t="shared" si="22"/>
        <v>0</v>
      </c>
      <c r="V21" s="69">
        <f t="shared" si="22"/>
        <v>0</v>
      </c>
      <c r="W21" s="69">
        <v>0</v>
      </c>
      <c r="X21" s="69">
        <f t="shared" ref="X21:AE21" si="23">$B$54/$B$59</f>
        <v>0</v>
      </c>
      <c r="Y21" s="69">
        <f t="shared" si="23"/>
        <v>0</v>
      </c>
      <c r="Z21" s="69">
        <f t="shared" si="23"/>
        <v>0</v>
      </c>
      <c r="AA21" s="69">
        <f t="shared" si="23"/>
        <v>0</v>
      </c>
      <c r="AB21" s="69">
        <f t="shared" si="23"/>
        <v>0</v>
      </c>
      <c r="AC21" s="69">
        <f t="shared" si="23"/>
        <v>0</v>
      </c>
      <c r="AD21" s="69">
        <f t="shared" si="23"/>
        <v>0</v>
      </c>
      <c r="AE21" s="69">
        <f t="shared" si="23"/>
        <v>0</v>
      </c>
      <c r="AF21" s="56">
        <f t="shared" si="19"/>
        <v>0</v>
      </c>
      <c r="AG21" s="67">
        <f t="shared" si="20"/>
        <v>0</v>
      </c>
      <c r="AH21" s="68">
        <f t="shared" si="21"/>
        <v>0</v>
      </c>
      <c r="AI21" s="14"/>
      <c r="AJ21" s="14"/>
      <c r="AR21" s="14"/>
      <c r="AS21" s="14"/>
      <c r="AT21" s="14"/>
      <c r="AU21" s="14"/>
      <c r="AV21" s="14"/>
      <c r="AW21" s="14"/>
      <c r="AX21" s="14"/>
      <c r="AY21" s="14"/>
      <c r="AZ21" s="14"/>
      <c r="BA21" s="14"/>
      <c r="BB21" s="14"/>
      <c r="BC21" s="14"/>
      <c r="BD21" s="14"/>
      <c r="BE21" s="14"/>
      <c r="BF21" s="14"/>
    </row>
    <row r="22" spans="1:58" ht="15.75" customHeight="1" x14ac:dyDescent="0.2">
      <c r="A22" s="4" t="s">
        <v>181</v>
      </c>
      <c r="B22" s="69">
        <f t="shared" ref="B22:V22" si="24">$B$55/$B$59</f>
        <v>115.51724137931035</v>
      </c>
      <c r="C22" s="69">
        <f t="shared" si="24"/>
        <v>115.51724137931035</v>
      </c>
      <c r="D22" s="69">
        <f t="shared" si="24"/>
        <v>115.51724137931035</v>
      </c>
      <c r="E22" s="69">
        <f t="shared" si="24"/>
        <v>115.51724137931035</v>
      </c>
      <c r="F22" s="69">
        <f t="shared" si="24"/>
        <v>115.51724137931035</v>
      </c>
      <c r="G22" s="69">
        <f t="shared" si="24"/>
        <v>115.51724137931035</v>
      </c>
      <c r="H22" s="69">
        <f t="shared" si="24"/>
        <v>115.51724137931035</v>
      </c>
      <c r="I22" s="69">
        <f t="shared" si="24"/>
        <v>115.51724137931035</v>
      </c>
      <c r="J22" s="69">
        <f t="shared" si="24"/>
        <v>115.51724137931035</v>
      </c>
      <c r="K22" s="69">
        <f t="shared" si="24"/>
        <v>115.51724137931035</v>
      </c>
      <c r="L22" s="69">
        <f t="shared" si="24"/>
        <v>115.51724137931035</v>
      </c>
      <c r="M22" s="69">
        <f t="shared" si="24"/>
        <v>115.51724137931035</v>
      </c>
      <c r="N22" s="69">
        <f t="shared" si="24"/>
        <v>115.51724137931035</v>
      </c>
      <c r="O22" s="69">
        <f t="shared" si="24"/>
        <v>115.51724137931035</v>
      </c>
      <c r="P22" s="69">
        <f t="shared" si="24"/>
        <v>115.51724137931035</v>
      </c>
      <c r="Q22" s="69">
        <f t="shared" si="24"/>
        <v>115.51724137931035</v>
      </c>
      <c r="R22" s="69">
        <f t="shared" si="24"/>
        <v>115.51724137931035</v>
      </c>
      <c r="S22" s="69">
        <f t="shared" si="24"/>
        <v>115.51724137931035</v>
      </c>
      <c r="T22" s="69">
        <f t="shared" si="24"/>
        <v>115.51724137931035</v>
      </c>
      <c r="U22" s="69">
        <f t="shared" si="24"/>
        <v>115.51724137931035</v>
      </c>
      <c r="V22" s="69">
        <f t="shared" si="24"/>
        <v>115.51724137931035</v>
      </c>
      <c r="W22" s="69">
        <v>0</v>
      </c>
      <c r="X22" s="69">
        <f t="shared" ref="X22:AE22" si="25">$B$55/$B$59</f>
        <v>115.51724137931035</v>
      </c>
      <c r="Y22" s="69">
        <f t="shared" si="25"/>
        <v>115.51724137931035</v>
      </c>
      <c r="Z22" s="69">
        <f t="shared" si="25"/>
        <v>115.51724137931035</v>
      </c>
      <c r="AA22" s="69">
        <f t="shared" si="25"/>
        <v>115.51724137931035</v>
      </c>
      <c r="AB22" s="69">
        <f t="shared" si="25"/>
        <v>115.51724137931035</v>
      </c>
      <c r="AC22" s="69">
        <f t="shared" si="25"/>
        <v>115.51724137931035</v>
      </c>
      <c r="AD22" s="69">
        <f t="shared" si="25"/>
        <v>115.51724137931035</v>
      </c>
      <c r="AE22" s="69">
        <f t="shared" si="25"/>
        <v>115.51724137931035</v>
      </c>
      <c r="AF22" s="56">
        <f t="shared" si="19"/>
        <v>3349.9999999999977</v>
      </c>
      <c r="AG22" s="67">
        <f t="shared" si="20"/>
        <v>111.66666666666659</v>
      </c>
      <c r="AH22" s="68">
        <f t="shared" si="21"/>
        <v>0.94823364872910176</v>
      </c>
      <c r="AI22" s="14"/>
      <c r="AJ22" s="14"/>
      <c r="AR22" s="14"/>
      <c r="AS22" s="14"/>
      <c r="AT22" s="14"/>
      <c r="AU22" s="14"/>
      <c r="AV22" s="14"/>
      <c r="AW22" s="14"/>
      <c r="AX22" s="14"/>
      <c r="AY22" s="14"/>
      <c r="AZ22" s="14"/>
      <c r="BA22" s="14"/>
      <c r="BB22" s="14"/>
      <c r="BC22" s="14"/>
      <c r="BD22" s="14"/>
      <c r="BE22" s="14"/>
      <c r="BF22" s="14"/>
    </row>
    <row r="23" spans="1:58"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1"/>
      <c r="AG23" s="71"/>
      <c r="AH23" s="72"/>
      <c r="AI23" s="14"/>
      <c r="AJ23" s="14"/>
      <c r="AR23" s="14"/>
      <c r="AS23" s="14"/>
      <c r="AT23" s="14"/>
      <c r="AU23" s="14"/>
      <c r="AV23" s="14"/>
      <c r="AW23" s="14"/>
      <c r="AX23" s="14"/>
      <c r="AY23" s="14"/>
      <c r="AZ23" s="14"/>
      <c r="BA23" s="14"/>
      <c r="BB23" s="14"/>
      <c r="BC23" s="14"/>
      <c r="BD23" s="14"/>
      <c r="BE23" s="14"/>
      <c r="BF23" s="14"/>
    </row>
    <row r="24" spans="1:58" ht="15.75" customHeight="1" x14ac:dyDescent="0.2">
      <c r="A24" s="4" t="s">
        <v>183</v>
      </c>
      <c r="B24" s="69">
        <v>0</v>
      </c>
      <c r="C24" s="69">
        <v>0</v>
      </c>
      <c r="D24" s="69">
        <v>190</v>
      </c>
      <c r="E24" s="69">
        <v>0</v>
      </c>
      <c r="F24" s="69">
        <v>0</v>
      </c>
      <c r="G24" s="69">
        <v>0</v>
      </c>
      <c r="H24" s="69">
        <v>0</v>
      </c>
      <c r="I24" s="69">
        <v>0</v>
      </c>
      <c r="J24" s="69">
        <v>0</v>
      </c>
      <c r="K24" s="69">
        <v>0</v>
      </c>
      <c r="L24" s="69">
        <v>0</v>
      </c>
      <c r="M24" s="69">
        <v>0</v>
      </c>
      <c r="N24" s="69">
        <v>0</v>
      </c>
      <c r="O24" s="69">
        <v>0</v>
      </c>
      <c r="P24" s="69">
        <v>0</v>
      </c>
      <c r="Q24" s="69">
        <v>0</v>
      </c>
      <c r="R24" s="69">
        <v>0</v>
      </c>
      <c r="S24" s="69">
        <v>0</v>
      </c>
      <c r="T24" s="69">
        <v>0</v>
      </c>
      <c r="U24" s="69">
        <v>0</v>
      </c>
      <c r="V24" s="69">
        <v>0</v>
      </c>
      <c r="W24" s="69">
        <v>0</v>
      </c>
      <c r="X24" s="69">
        <v>0</v>
      </c>
      <c r="Y24" s="69">
        <v>0</v>
      </c>
      <c r="Z24" s="69">
        <v>0</v>
      </c>
      <c r="AA24" s="69">
        <v>0</v>
      </c>
      <c r="AB24" s="69">
        <v>0</v>
      </c>
      <c r="AC24" s="69">
        <v>0</v>
      </c>
      <c r="AD24" s="69">
        <v>0</v>
      </c>
      <c r="AE24" s="69">
        <v>920</v>
      </c>
      <c r="AF24" s="56">
        <f t="shared" ref="AF24:AF28" si="26">SUM(B24:AE24)</f>
        <v>1110</v>
      </c>
      <c r="AG24" s="67">
        <f t="shared" ref="AG24:AG28" si="27">IFERROR(AVERAGE(B24:AE24),0)</f>
        <v>37</v>
      </c>
      <c r="AH24" s="68">
        <f t="shared" ref="AH24:AH28" si="28">(AG24/$AG$29)*100</f>
        <v>0.31419085077292647</v>
      </c>
      <c r="AI24" s="14"/>
      <c r="AJ24" s="14"/>
      <c r="AR24" s="14"/>
      <c r="AS24" s="14"/>
      <c r="AT24" s="14"/>
      <c r="AU24" s="14"/>
      <c r="AV24" s="14"/>
      <c r="AW24" s="14"/>
      <c r="AX24" s="14"/>
      <c r="AY24" s="14"/>
      <c r="AZ24" s="14"/>
      <c r="BA24" s="14"/>
      <c r="BB24" s="14"/>
      <c r="BC24" s="14"/>
      <c r="BD24" s="14"/>
      <c r="BE24" s="14"/>
      <c r="BF24" s="14"/>
    </row>
    <row r="25" spans="1:58" ht="15.75" customHeight="1" x14ac:dyDescent="0.2">
      <c r="A25" s="4" t="s">
        <v>184</v>
      </c>
      <c r="B25" s="69">
        <v>0</v>
      </c>
      <c r="C25" s="69">
        <v>200</v>
      </c>
      <c r="D25" s="69">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56">
        <f t="shared" si="26"/>
        <v>200</v>
      </c>
      <c r="AG25" s="67">
        <f t="shared" si="27"/>
        <v>6.666666666666667</v>
      </c>
      <c r="AH25" s="68">
        <f t="shared" si="28"/>
        <v>5.6610964103230001E-2</v>
      </c>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row>
    <row r="26" spans="1:58" ht="15.75" customHeight="1" x14ac:dyDescent="0.2">
      <c r="A26" s="4" t="s">
        <v>185</v>
      </c>
      <c r="B26" s="69">
        <v>0</v>
      </c>
      <c r="C26" s="69">
        <v>0</v>
      </c>
      <c r="D26" s="69">
        <v>220</v>
      </c>
      <c r="E26" s="69">
        <v>0</v>
      </c>
      <c r="F26" s="69">
        <v>0</v>
      </c>
      <c r="G26" s="69">
        <v>0</v>
      </c>
      <c r="H26" s="69">
        <v>0</v>
      </c>
      <c r="I26" s="69">
        <v>0</v>
      </c>
      <c r="J26" s="69">
        <v>0</v>
      </c>
      <c r="K26" s="69">
        <v>0</v>
      </c>
      <c r="L26" s="69">
        <v>0</v>
      </c>
      <c r="M26" s="69">
        <v>0</v>
      </c>
      <c r="N26" s="69">
        <v>0</v>
      </c>
      <c r="O26" s="69">
        <v>250</v>
      </c>
      <c r="P26" s="69">
        <v>0</v>
      </c>
      <c r="Q26" s="69">
        <v>220</v>
      </c>
      <c r="R26" s="69">
        <v>0</v>
      </c>
      <c r="S26" s="69">
        <v>0</v>
      </c>
      <c r="T26" s="69">
        <v>0</v>
      </c>
      <c r="U26" s="69">
        <v>195</v>
      </c>
      <c r="V26" s="69">
        <v>0</v>
      </c>
      <c r="W26" s="69">
        <v>0</v>
      </c>
      <c r="X26" s="69">
        <v>0</v>
      </c>
      <c r="Y26" s="69">
        <v>280</v>
      </c>
      <c r="Z26" s="69">
        <v>0</v>
      </c>
      <c r="AA26" s="69">
        <v>0</v>
      </c>
      <c r="AB26" s="69">
        <v>0</v>
      </c>
      <c r="AC26" s="69">
        <v>0</v>
      </c>
      <c r="AD26" s="69">
        <v>0</v>
      </c>
      <c r="AE26" s="69">
        <v>280</v>
      </c>
      <c r="AF26" s="56">
        <f t="shared" si="26"/>
        <v>1445</v>
      </c>
      <c r="AG26" s="67">
        <f t="shared" si="27"/>
        <v>48.166666666666664</v>
      </c>
      <c r="AH26" s="68">
        <f t="shared" si="28"/>
        <v>0.40901421564583668</v>
      </c>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row>
    <row r="27" spans="1:58" ht="15.75" customHeight="1" x14ac:dyDescent="0.2">
      <c r="A27" s="4" t="s">
        <v>186</v>
      </c>
      <c r="B27" s="69">
        <v>0</v>
      </c>
      <c r="C27" s="69">
        <v>0</v>
      </c>
      <c r="D27" s="69">
        <v>0</v>
      </c>
      <c r="E27" s="69">
        <v>0</v>
      </c>
      <c r="F27" s="69">
        <v>0</v>
      </c>
      <c r="G27" s="69">
        <v>0</v>
      </c>
      <c r="H27" s="69">
        <v>0</v>
      </c>
      <c r="I27" s="69">
        <v>0</v>
      </c>
      <c r="J27" s="69">
        <v>0</v>
      </c>
      <c r="K27" s="69">
        <v>0</v>
      </c>
      <c r="L27" s="69">
        <v>0</v>
      </c>
      <c r="M27" s="69">
        <v>0</v>
      </c>
      <c r="N27" s="69">
        <v>0</v>
      </c>
      <c r="O27" s="69">
        <v>0</v>
      </c>
      <c r="P27" s="69">
        <v>0</v>
      </c>
      <c r="Q27" s="69">
        <v>1000</v>
      </c>
      <c r="R27" s="69">
        <v>0</v>
      </c>
      <c r="S27" s="69">
        <v>0</v>
      </c>
      <c r="T27" s="69">
        <v>0</v>
      </c>
      <c r="U27" s="69">
        <v>0</v>
      </c>
      <c r="V27" s="69">
        <v>400</v>
      </c>
      <c r="W27" s="69">
        <v>0</v>
      </c>
      <c r="X27" s="69">
        <v>0</v>
      </c>
      <c r="Y27" s="69">
        <v>0</v>
      </c>
      <c r="Z27" s="69">
        <v>0</v>
      </c>
      <c r="AA27" s="69">
        <v>0</v>
      </c>
      <c r="AB27" s="69">
        <v>1000</v>
      </c>
      <c r="AC27" s="69">
        <v>0</v>
      </c>
      <c r="AD27" s="69">
        <v>0</v>
      </c>
      <c r="AE27" s="69">
        <v>0</v>
      </c>
      <c r="AF27" s="56">
        <f t="shared" si="26"/>
        <v>2400</v>
      </c>
      <c r="AG27" s="67">
        <f t="shared" si="27"/>
        <v>80</v>
      </c>
      <c r="AH27" s="68">
        <f t="shared" si="28"/>
        <v>0.67933156923875992</v>
      </c>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row>
    <row r="28" spans="1:58"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56">
        <f t="shared" si="26"/>
        <v>0</v>
      </c>
      <c r="AG28" s="67">
        <f t="shared" si="27"/>
        <v>0</v>
      </c>
      <c r="AH28" s="68">
        <f t="shared" si="28"/>
        <v>0</v>
      </c>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row>
    <row r="29" spans="1:58" ht="15.75" customHeight="1" x14ac:dyDescent="0.2">
      <c r="A29" s="10" t="s">
        <v>0</v>
      </c>
      <c r="B29" s="76">
        <f t="shared" ref="B29:V29" si="29">SUM(B2:B28)</f>
        <v>11257.827586206895</v>
      </c>
      <c r="C29" s="76">
        <f t="shared" si="29"/>
        <v>12557.827586206895</v>
      </c>
      <c r="D29" s="76">
        <f t="shared" si="29"/>
        <v>13111.827586206895</v>
      </c>
      <c r="E29" s="76">
        <f t="shared" si="29"/>
        <v>12129.827586206895</v>
      </c>
      <c r="F29" s="76">
        <f t="shared" si="29"/>
        <v>11914.827586206895</v>
      </c>
      <c r="G29" s="76">
        <f t="shared" si="29"/>
        <v>12539.827586206895</v>
      </c>
      <c r="H29" s="76">
        <f t="shared" si="29"/>
        <v>12164.827586206895</v>
      </c>
      <c r="I29" s="76">
        <f t="shared" si="29"/>
        <v>13499.827586206895</v>
      </c>
      <c r="J29" s="76">
        <f t="shared" si="29"/>
        <v>12499.827586206895</v>
      </c>
      <c r="K29" s="76">
        <f t="shared" si="29"/>
        <v>12259.827586206895</v>
      </c>
      <c r="L29" s="76">
        <f t="shared" si="29"/>
        <v>11599.827586206895</v>
      </c>
      <c r="M29" s="76">
        <f t="shared" si="29"/>
        <v>11479.827586206895</v>
      </c>
      <c r="N29" s="76">
        <f t="shared" si="29"/>
        <v>10839.827586206895</v>
      </c>
      <c r="O29" s="76">
        <f t="shared" si="29"/>
        <v>12139.827586206895</v>
      </c>
      <c r="P29" s="76">
        <f t="shared" si="29"/>
        <v>11629.827586206895</v>
      </c>
      <c r="Q29" s="76">
        <f t="shared" si="29"/>
        <v>13279.827586206895</v>
      </c>
      <c r="R29" s="76">
        <f t="shared" si="29"/>
        <v>11529.827586206895</v>
      </c>
      <c r="S29" s="76">
        <f t="shared" si="29"/>
        <v>11664.827586206895</v>
      </c>
      <c r="T29" s="76">
        <f t="shared" si="29"/>
        <v>10639.827586206895</v>
      </c>
      <c r="U29" s="76">
        <f t="shared" si="29"/>
        <v>11934.827586206895</v>
      </c>
      <c r="V29" s="76">
        <f t="shared" si="29"/>
        <v>11619.827586206895</v>
      </c>
      <c r="W29" s="76">
        <v>0</v>
      </c>
      <c r="X29" s="76">
        <f t="shared" ref="X29:AF29" si="30">SUM(X2:X28)</f>
        <v>12892.827586206895</v>
      </c>
      <c r="Y29" s="76">
        <f t="shared" si="30"/>
        <v>13229.827586206895</v>
      </c>
      <c r="Z29" s="76">
        <f t="shared" si="30"/>
        <v>11899.827586206895</v>
      </c>
      <c r="AA29" s="76">
        <f t="shared" si="30"/>
        <v>11154.827586206895</v>
      </c>
      <c r="AB29" s="76">
        <f t="shared" si="30"/>
        <v>13009.827586206895</v>
      </c>
      <c r="AC29" s="76">
        <f t="shared" si="30"/>
        <v>11704.827586206895</v>
      </c>
      <c r="AD29" s="76">
        <f t="shared" si="30"/>
        <v>11843.827586206895</v>
      </c>
      <c r="AE29" s="76">
        <f t="shared" si="30"/>
        <v>14739.827586206895</v>
      </c>
      <c r="AF29" s="76">
        <f t="shared" si="30"/>
        <v>352770</v>
      </c>
      <c r="AG29" s="28">
        <f>AVERAGE(C29:AE29)</f>
        <v>11776.281807372176</v>
      </c>
      <c r="AH29" s="77">
        <f>(AG29/$AG$29)*100</f>
        <v>100</v>
      </c>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row>
    <row r="30" spans="1:58" ht="15.75" customHeight="1" x14ac:dyDescent="0.2">
      <c r="A30" s="4" t="s">
        <v>188</v>
      </c>
      <c r="B30" s="69">
        <v>2350</v>
      </c>
      <c r="C30" s="69">
        <v>2215</v>
      </c>
      <c r="D30" s="69">
        <v>4050</v>
      </c>
      <c r="E30" s="69">
        <v>2495</v>
      </c>
      <c r="F30" s="69">
        <v>6978</v>
      </c>
      <c r="G30" s="69">
        <v>8295</v>
      </c>
      <c r="H30" s="69">
        <v>6825</v>
      </c>
      <c r="I30" s="69">
        <v>4760</v>
      </c>
      <c r="J30" s="69">
        <v>1860</v>
      </c>
      <c r="K30" s="69">
        <v>5170</v>
      </c>
      <c r="L30" s="69">
        <v>2610</v>
      </c>
      <c r="M30" s="69">
        <v>3160</v>
      </c>
      <c r="N30" s="69">
        <v>3625</v>
      </c>
      <c r="O30" s="69">
        <v>5060</v>
      </c>
      <c r="P30" s="69">
        <v>2715</v>
      </c>
      <c r="Q30" s="69">
        <v>4780</v>
      </c>
      <c r="R30" s="69">
        <v>2565</v>
      </c>
      <c r="S30" s="69">
        <v>2050</v>
      </c>
      <c r="T30" s="69">
        <v>3775</v>
      </c>
      <c r="U30" s="69">
        <v>3830</v>
      </c>
      <c r="V30" s="69">
        <v>5575</v>
      </c>
      <c r="W30" s="69">
        <v>0</v>
      </c>
      <c r="X30" s="69">
        <v>7190</v>
      </c>
      <c r="Y30" s="69">
        <v>4650</v>
      </c>
      <c r="Z30" s="69">
        <v>315</v>
      </c>
      <c r="AA30" s="69">
        <v>3635</v>
      </c>
      <c r="AB30" s="69">
        <v>4849</v>
      </c>
      <c r="AC30" s="69">
        <v>5625</v>
      </c>
      <c r="AD30" s="69">
        <v>3210</v>
      </c>
      <c r="AE30" s="69">
        <v>11050</v>
      </c>
      <c r="AF30" s="56">
        <f t="shared" ref="AF30:AF32" si="31">SUM(C30:AE30)</f>
        <v>122917</v>
      </c>
      <c r="AG30" s="67">
        <f t="shared" ref="AG30:AG32" si="32">IFERROR(AVERAGE(C30:AE30),0)</f>
        <v>4238.5172413793107</v>
      </c>
      <c r="AH30" s="68">
        <f t="shared" ref="AH30:AH32" si="33">IFERROR((AG30/$AG$32)*100,0)</f>
        <v>55.077743424295377</v>
      </c>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row>
    <row r="31" spans="1:58" ht="15.75" customHeight="1" x14ac:dyDescent="0.2">
      <c r="A31" s="4" t="s">
        <v>189</v>
      </c>
      <c r="B31" s="78">
        <f t="shared" ref="B31:AE31" si="34">B32-B30</f>
        <v>2120</v>
      </c>
      <c r="C31" s="78">
        <f t="shared" si="34"/>
        <v>3660</v>
      </c>
      <c r="D31" s="78">
        <f t="shared" si="34"/>
        <v>1060</v>
      </c>
      <c r="E31" s="78">
        <f t="shared" si="34"/>
        <v>1980</v>
      </c>
      <c r="F31" s="78">
        <f t="shared" si="34"/>
        <v>4232</v>
      </c>
      <c r="G31" s="78">
        <f t="shared" si="34"/>
        <v>2450</v>
      </c>
      <c r="H31" s="78">
        <f t="shared" si="34"/>
        <v>7635</v>
      </c>
      <c r="I31" s="78">
        <f t="shared" si="34"/>
        <v>3975</v>
      </c>
      <c r="J31" s="78">
        <f t="shared" si="34"/>
        <v>2260</v>
      </c>
      <c r="K31" s="78">
        <f t="shared" si="34"/>
        <v>2785</v>
      </c>
      <c r="L31" s="78">
        <f t="shared" si="34"/>
        <v>3365</v>
      </c>
      <c r="M31" s="78">
        <f t="shared" si="34"/>
        <v>1250</v>
      </c>
      <c r="N31" s="78">
        <f t="shared" si="34"/>
        <v>2815</v>
      </c>
      <c r="O31" s="78">
        <f t="shared" si="34"/>
        <v>4645</v>
      </c>
      <c r="P31" s="78">
        <f t="shared" si="34"/>
        <v>1875</v>
      </c>
      <c r="Q31" s="78">
        <f t="shared" si="34"/>
        <v>6140</v>
      </c>
      <c r="R31" s="78">
        <f t="shared" si="34"/>
        <v>3410</v>
      </c>
      <c r="S31" s="78">
        <f t="shared" si="34"/>
        <v>2825</v>
      </c>
      <c r="T31" s="78">
        <f t="shared" si="34"/>
        <v>505</v>
      </c>
      <c r="U31" s="78">
        <f t="shared" si="34"/>
        <v>1755</v>
      </c>
      <c r="V31" s="78">
        <f t="shared" si="34"/>
        <v>2625</v>
      </c>
      <c r="W31" s="78">
        <f t="shared" si="34"/>
        <v>0</v>
      </c>
      <c r="X31" s="78">
        <f t="shared" si="34"/>
        <v>5850</v>
      </c>
      <c r="Y31" s="78">
        <f t="shared" si="34"/>
        <v>6130</v>
      </c>
      <c r="Z31" s="78">
        <f t="shared" si="34"/>
        <v>1665</v>
      </c>
      <c r="AA31" s="78">
        <f t="shared" si="34"/>
        <v>6075</v>
      </c>
      <c r="AB31" s="78">
        <f t="shared" si="34"/>
        <v>4011</v>
      </c>
      <c r="AC31" s="78">
        <f t="shared" si="34"/>
        <v>3885</v>
      </c>
      <c r="AD31" s="78">
        <f t="shared" si="34"/>
        <v>5810</v>
      </c>
      <c r="AE31" s="78">
        <f t="shared" si="34"/>
        <v>5580</v>
      </c>
      <c r="AF31" s="56">
        <f t="shared" si="31"/>
        <v>100253</v>
      </c>
      <c r="AG31" s="67">
        <f t="shared" si="32"/>
        <v>3457</v>
      </c>
      <c r="AH31" s="68">
        <f t="shared" si="33"/>
        <v>44.922256575704615</v>
      </c>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row>
    <row r="32" spans="1:58" ht="15.75" customHeight="1" x14ac:dyDescent="0.2">
      <c r="A32" s="4" t="s">
        <v>190</v>
      </c>
      <c r="B32" s="69">
        <v>4470</v>
      </c>
      <c r="C32" s="69">
        <v>5875</v>
      </c>
      <c r="D32" s="69">
        <v>5110</v>
      </c>
      <c r="E32" s="69">
        <v>4475</v>
      </c>
      <c r="F32" s="69">
        <v>11210</v>
      </c>
      <c r="G32" s="69">
        <v>10745</v>
      </c>
      <c r="H32" s="69">
        <v>14460</v>
      </c>
      <c r="I32" s="69">
        <v>8735</v>
      </c>
      <c r="J32" s="69">
        <v>4120</v>
      </c>
      <c r="K32" s="69">
        <v>7955</v>
      </c>
      <c r="L32" s="69">
        <v>5975</v>
      </c>
      <c r="M32" s="69">
        <v>4410</v>
      </c>
      <c r="N32" s="69">
        <v>6440</v>
      </c>
      <c r="O32" s="69">
        <v>9705</v>
      </c>
      <c r="P32" s="69">
        <v>4590</v>
      </c>
      <c r="Q32" s="69">
        <v>10920</v>
      </c>
      <c r="R32" s="69">
        <v>5975</v>
      </c>
      <c r="S32" s="69">
        <v>4875</v>
      </c>
      <c r="T32" s="69">
        <v>4280</v>
      </c>
      <c r="U32" s="69">
        <v>5585</v>
      </c>
      <c r="V32" s="69">
        <v>8200</v>
      </c>
      <c r="W32" s="69">
        <v>0</v>
      </c>
      <c r="X32" s="69">
        <v>13040</v>
      </c>
      <c r="Y32" s="69">
        <v>10780</v>
      </c>
      <c r="Z32" s="69">
        <v>1980</v>
      </c>
      <c r="AA32" s="69">
        <v>9710</v>
      </c>
      <c r="AB32" s="69">
        <v>8860</v>
      </c>
      <c r="AC32" s="69">
        <v>9510</v>
      </c>
      <c r="AD32" s="69">
        <v>9020</v>
      </c>
      <c r="AE32" s="69">
        <v>16630</v>
      </c>
      <c r="AF32" s="56">
        <f t="shared" si="31"/>
        <v>223170</v>
      </c>
      <c r="AG32" s="67">
        <f t="shared" si="32"/>
        <v>7695.5172413793107</v>
      </c>
      <c r="AH32" s="68">
        <f t="shared" si="33"/>
        <v>100</v>
      </c>
      <c r="AI32" s="75"/>
      <c r="AJ32" s="75"/>
      <c r="AK32" s="75"/>
      <c r="AL32" s="75"/>
      <c r="AM32" s="75"/>
      <c r="AN32" s="75"/>
      <c r="AO32" s="75"/>
      <c r="AP32" s="75"/>
      <c r="AQ32" s="75"/>
      <c r="AR32" s="75"/>
      <c r="AS32" s="75"/>
      <c r="AT32" s="75"/>
      <c r="AU32" s="14"/>
      <c r="AV32" s="14"/>
      <c r="AW32" s="14"/>
      <c r="AX32" s="14"/>
      <c r="AY32" s="14"/>
      <c r="AZ32" s="14"/>
      <c r="BA32" s="14"/>
      <c r="BB32" s="14"/>
      <c r="BC32" s="14"/>
      <c r="BD32" s="14"/>
      <c r="BE32" s="14"/>
      <c r="BF32" s="14"/>
    </row>
    <row r="33" spans="1:35" ht="15.75" customHeight="1" x14ac:dyDescent="0.2">
      <c r="A33" s="4" t="s">
        <v>191</v>
      </c>
      <c r="B33" s="69">
        <f t="shared" ref="B33:AE33" si="35">B32-B29</f>
        <v>-6787.8275862068949</v>
      </c>
      <c r="C33" s="69">
        <f t="shared" si="35"/>
        <v>-6682.8275862068949</v>
      </c>
      <c r="D33" s="69">
        <f t="shared" si="35"/>
        <v>-8001.8275862068949</v>
      </c>
      <c r="E33" s="69">
        <f t="shared" si="35"/>
        <v>-7654.8275862068949</v>
      </c>
      <c r="F33" s="69">
        <f t="shared" si="35"/>
        <v>-704.82758620689492</v>
      </c>
      <c r="G33" s="69">
        <f t="shared" si="35"/>
        <v>-1794.8275862068949</v>
      </c>
      <c r="H33" s="69">
        <f t="shared" si="35"/>
        <v>2295.1724137931051</v>
      </c>
      <c r="I33" s="69">
        <f t="shared" si="35"/>
        <v>-4764.8275862068949</v>
      </c>
      <c r="J33" s="69">
        <f t="shared" si="35"/>
        <v>-8379.8275862068949</v>
      </c>
      <c r="K33" s="69">
        <f t="shared" si="35"/>
        <v>-4304.8275862068949</v>
      </c>
      <c r="L33" s="69">
        <f t="shared" si="35"/>
        <v>-5624.8275862068949</v>
      </c>
      <c r="M33" s="69">
        <f t="shared" si="35"/>
        <v>-7069.8275862068949</v>
      </c>
      <c r="N33" s="69">
        <f t="shared" si="35"/>
        <v>-4399.8275862068949</v>
      </c>
      <c r="O33" s="69">
        <f t="shared" si="35"/>
        <v>-2434.8275862068949</v>
      </c>
      <c r="P33" s="69">
        <f t="shared" si="35"/>
        <v>-7039.8275862068949</v>
      </c>
      <c r="Q33" s="69">
        <f t="shared" si="35"/>
        <v>-2359.8275862068949</v>
      </c>
      <c r="R33" s="69">
        <f t="shared" si="35"/>
        <v>-5554.8275862068949</v>
      </c>
      <c r="S33" s="69">
        <f t="shared" si="35"/>
        <v>-6789.8275862068949</v>
      </c>
      <c r="T33" s="69">
        <f t="shared" si="35"/>
        <v>-6359.8275862068949</v>
      </c>
      <c r="U33" s="69">
        <f t="shared" si="35"/>
        <v>-6349.8275862068949</v>
      </c>
      <c r="V33" s="59">
        <f t="shared" si="35"/>
        <v>-3419.8275862068949</v>
      </c>
      <c r="W33" s="59">
        <f t="shared" si="35"/>
        <v>0</v>
      </c>
      <c r="X33" s="59">
        <f t="shared" si="35"/>
        <v>147.17241379310508</v>
      </c>
      <c r="Y33" s="59">
        <f t="shared" si="35"/>
        <v>-2449.8275862068949</v>
      </c>
      <c r="Z33" s="59">
        <f t="shared" si="35"/>
        <v>-9919.8275862068949</v>
      </c>
      <c r="AA33" s="59">
        <f t="shared" si="35"/>
        <v>-1444.8275862068949</v>
      </c>
      <c r="AB33" s="59">
        <f t="shared" si="35"/>
        <v>-4149.8275862068949</v>
      </c>
      <c r="AC33" s="59">
        <f t="shared" si="35"/>
        <v>-2194.8275862068949</v>
      </c>
      <c r="AD33" s="59">
        <f t="shared" si="35"/>
        <v>-2823.8275862068949</v>
      </c>
      <c r="AE33" s="59">
        <f t="shared" si="35"/>
        <v>1890.1724137931051</v>
      </c>
      <c r="AF33" s="81">
        <f>SUM(B33:AE33)+B40+B41</f>
        <v>-75747.000000000029</v>
      </c>
      <c r="AG33" s="5">
        <f>AVERAGE(C33:AE33,C40,C41)</f>
        <v>-4080.7645659928667</v>
      </c>
      <c r="AH33" s="68"/>
    </row>
    <row r="34" spans="1:35"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7"/>
      <c r="AG34" s="7"/>
    </row>
    <row r="35" spans="1:35" ht="15.75" customHeight="1" x14ac:dyDescent="0.2">
      <c r="A35" s="4" t="s">
        <v>13</v>
      </c>
      <c r="B35" s="59">
        <f t="shared" ref="B35:B38" si="36">SUM(B29:AE29)</f>
        <v>352770</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7"/>
      <c r="AG35" s="7"/>
    </row>
    <row r="36" spans="1:35" ht="15.75" customHeight="1" x14ac:dyDescent="0.2">
      <c r="A36" s="4" t="s">
        <v>14</v>
      </c>
      <c r="B36" s="59">
        <f t="shared" si="36"/>
        <v>125267</v>
      </c>
      <c r="C36" s="6"/>
      <c r="M36" s="6"/>
      <c r="N36" s="6"/>
      <c r="O36" s="6"/>
      <c r="P36" s="6"/>
      <c r="Q36" s="6"/>
      <c r="R36" s="6"/>
      <c r="S36" s="6"/>
      <c r="T36" s="6"/>
      <c r="U36" s="6"/>
      <c r="V36" s="6"/>
      <c r="W36" s="6"/>
      <c r="X36" s="6"/>
      <c r="Y36" s="6"/>
      <c r="Z36" s="6"/>
      <c r="AA36" s="6"/>
      <c r="AB36" s="6"/>
      <c r="AC36" s="6"/>
      <c r="AD36" s="6"/>
      <c r="AE36" s="6"/>
      <c r="AF36" s="7"/>
      <c r="AG36" s="7"/>
    </row>
    <row r="37" spans="1:35" ht="15.75" customHeight="1" x14ac:dyDescent="0.2">
      <c r="A37" s="4" t="s">
        <v>15</v>
      </c>
      <c r="B37" s="59">
        <f t="shared" si="36"/>
        <v>102373</v>
      </c>
      <c r="C37" s="6"/>
      <c r="M37" s="6"/>
      <c r="N37" s="6"/>
      <c r="O37" s="6"/>
      <c r="P37" s="6"/>
      <c r="Q37" s="6"/>
      <c r="R37" s="6"/>
      <c r="S37" s="6"/>
      <c r="T37" s="6"/>
      <c r="U37" s="6"/>
      <c r="V37" s="6"/>
      <c r="W37" s="6"/>
      <c r="X37" s="6"/>
      <c r="Y37" s="6"/>
      <c r="Z37" s="6"/>
      <c r="AA37" s="6"/>
      <c r="AB37" s="6"/>
      <c r="AC37" s="6"/>
      <c r="AD37" s="6"/>
      <c r="AE37" s="6"/>
      <c r="AF37" s="7"/>
      <c r="AG37" s="7"/>
    </row>
    <row r="38" spans="1:35" ht="15.75" customHeight="1" x14ac:dyDescent="0.2">
      <c r="A38" s="4" t="s">
        <v>16</v>
      </c>
      <c r="B38" s="59">
        <f t="shared" si="36"/>
        <v>227640</v>
      </c>
      <c r="C38" s="6"/>
      <c r="E38" s="14" t="s">
        <v>198</v>
      </c>
      <c r="F38" s="14" t="s">
        <v>198</v>
      </c>
      <c r="J38" s="14" t="s">
        <v>198</v>
      </c>
      <c r="N38" s="6"/>
      <c r="O38" s="6" t="s">
        <v>198</v>
      </c>
      <c r="P38" s="6"/>
      <c r="Q38" s="6" t="s">
        <v>234</v>
      </c>
      <c r="R38" s="6"/>
      <c r="S38" s="6"/>
      <c r="T38" s="6"/>
      <c r="U38" s="6" t="s">
        <v>240</v>
      </c>
      <c r="V38" s="6" t="s">
        <v>194</v>
      </c>
      <c r="W38" s="6"/>
      <c r="X38" s="6"/>
      <c r="Y38" s="6" t="s">
        <v>198</v>
      </c>
      <c r="Z38" s="6"/>
      <c r="AA38" s="6"/>
      <c r="AB38" s="6" t="s">
        <v>241</v>
      </c>
      <c r="AC38" s="6"/>
      <c r="AD38" s="6"/>
      <c r="AE38" s="6" t="s">
        <v>198</v>
      </c>
      <c r="AF38" s="6"/>
      <c r="AG38" s="7"/>
    </row>
    <row r="39" spans="1:35" ht="15.75" customHeight="1" x14ac:dyDescent="0.2">
      <c r="A39" s="4" t="s">
        <v>17</v>
      </c>
      <c r="B39" s="80">
        <f>Expenses!M20</f>
        <v>96955</v>
      </c>
      <c r="C39" s="6"/>
      <c r="O39" s="6"/>
      <c r="P39" s="6"/>
      <c r="Q39" s="6"/>
      <c r="R39" s="6"/>
      <c r="S39" s="6"/>
      <c r="T39" s="6"/>
      <c r="U39" s="6"/>
      <c r="V39" s="6" t="s">
        <v>241</v>
      </c>
      <c r="W39" s="6"/>
      <c r="X39" s="6"/>
      <c r="Y39" s="6"/>
      <c r="Z39" s="6"/>
      <c r="AA39" s="6"/>
      <c r="AB39" s="6"/>
      <c r="AC39" s="6"/>
      <c r="AD39" s="6"/>
      <c r="AE39" s="6"/>
      <c r="AF39" s="6"/>
    </row>
    <row r="40" spans="1:35" ht="15.75" customHeight="1" x14ac:dyDescent="0.2">
      <c r="A40" s="4" t="s">
        <v>18</v>
      </c>
      <c r="B40" s="59">
        <f>11058+6604+5389+6810+4013</f>
        <v>33874</v>
      </c>
      <c r="C40" s="6"/>
      <c r="M40" s="6"/>
      <c r="N40" s="6"/>
      <c r="O40" s="6"/>
      <c r="P40" s="6"/>
      <c r="Q40" s="6"/>
      <c r="R40" s="6"/>
      <c r="S40" s="6"/>
      <c r="T40" s="6"/>
      <c r="U40" s="6"/>
      <c r="V40" s="6"/>
      <c r="W40" s="6"/>
      <c r="X40" s="6"/>
      <c r="Y40" s="6"/>
      <c r="Z40" s="6"/>
      <c r="AA40" s="6"/>
      <c r="AB40" s="6"/>
      <c r="AC40" s="6"/>
      <c r="AD40" s="6"/>
      <c r="AE40" s="6"/>
      <c r="AF40" s="7"/>
      <c r="AG40" s="7"/>
      <c r="AH40" s="7"/>
    </row>
    <row r="41" spans="1:35" ht="15.75" customHeight="1" x14ac:dyDescent="0.2">
      <c r="A41" s="4" t="s">
        <v>19</v>
      </c>
      <c r="B41" s="59">
        <f>5057+3249+3573+3630</f>
        <v>15509</v>
      </c>
      <c r="C41" s="6"/>
      <c r="M41" s="6"/>
      <c r="N41" s="6"/>
      <c r="O41" s="6"/>
      <c r="P41" s="6"/>
      <c r="Q41" s="6"/>
      <c r="R41" s="6"/>
      <c r="S41" s="6"/>
      <c r="T41" s="6"/>
      <c r="U41" s="6"/>
      <c r="V41" s="6"/>
      <c r="W41" s="6"/>
      <c r="X41" s="6"/>
      <c r="Y41" s="6"/>
      <c r="Z41" s="6"/>
      <c r="AA41" s="6"/>
      <c r="AB41" s="6"/>
      <c r="AC41" s="6"/>
      <c r="AD41" s="6"/>
      <c r="AE41" s="6"/>
      <c r="AF41" s="7"/>
    </row>
    <row r="42" spans="1:35" ht="15.75" customHeight="1" x14ac:dyDescent="0.2">
      <c r="A42" s="4" t="s">
        <v>20</v>
      </c>
      <c r="B42" s="59">
        <f>Stock!AQ72</f>
        <v>81167</v>
      </c>
      <c r="C42" s="6"/>
      <c r="M42" s="6"/>
      <c r="N42" s="6"/>
      <c r="O42" s="6"/>
      <c r="P42" s="6"/>
      <c r="Q42" s="6"/>
      <c r="R42" s="6"/>
      <c r="S42" s="6"/>
      <c r="T42" s="6"/>
      <c r="U42" s="6"/>
      <c r="V42" s="6"/>
      <c r="W42" s="6"/>
      <c r="X42" s="6"/>
      <c r="Y42" s="6"/>
      <c r="Z42" s="6"/>
      <c r="AA42" s="6"/>
      <c r="AB42" s="6"/>
      <c r="AC42" s="6"/>
      <c r="AD42" s="6"/>
      <c r="AE42" s="6"/>
      <c r="AF42" s="7"/>
    </row>
    <row r="43" spans="1:35" ht="15.75" customHeight="1" x14ac:dyDescent="0.2">
      <c r="A43" s="4" t="s">
        <v>21</v>
      </c>
      <c r="B43" s="59">
        <f>B38-B35+B40+B41</f>
        <v>-75747</v>
      </c>
      <c r="C43" s="6"/>
      <c r="M43" s="6"/>
      <c r="N43" s="6"/>
      <c r="O43" s="6"/>
      <c r="P43" s="6"/>
      <c r="Q43" s="6"/>
      <c r="R43" s="6"/>
      <c r="S43" s="6"/>
      <c r="T43" s="6"/>
      <c r="U43" s="6"/>
      <c r="V43" s="6"/>
      <c r="W43" s="6"/>
      <c r="X43" s="6"/>
      <c r="Y43" s="6"/>
      <c r="Z43" s="6"/>
      <c r="AA43" s="6"/>
      <c r="AB43" s="6"/>
      <c r="AC43" s="6"/>
      <c r="AD43" s="6"/>
      <c r="AE43" s="6"/>
      <c r="AF43" s="7"/>
      <c r="AG43" s="7"/>
      <c r="AH43" s="7"/>
      <c r="AI43" s="7"/>
    </row>
    <row r="44" spans="1:35" ht="15.75" customHeight="1" x14ac:dyDescent="0.2">
      <c r="B44" s="6"/>
      <c r="C44" s="6"/>
      <c r="M44" s="6"/>
      <c r="N44" s="6"/>
      <c r="O44" s="6"/>
      <c r="P44" s="6"/>
      <c r="Q44" s="6"/>
      <c r="R44" s="6"/>
      <c r="S44" s="6"/>
      <c r="T44" s="6"/>
      <c r="U44" s="6"/>
      <c r="V44" s="6"/>
      <c r="W44" s="6"/>
      <c r="X44" s="6"/>
      <c r="Y44" s="6"/>
      <c r="Z44" s="6"/>
      <c r="AA44" s="6"/>
      <c r="AB44" s="6"/>
      <c r="AC44" s="6"/>
      <c r="AD44" s="6"/>
      <c r="AE44" s="6"/>
      <c r="AF44" s="7"/>
      <c r="AG44" s="7"/>
      <c r="AH44" s="7"/>
    </row>
    <row r="45" spans="1:35" ht="15.75" customHeight="1" x14ac:dyDescent="0.2">
      <c r="A45" s="4" t="s">
        <v>201</v>
      </c>
      <c r="B45" s="59">
        <v>0</v>
      </c>
      <c r="C45" s="59">
        <v>0</v>
      </c>
      <c r="D45" s="59">
        <v>1700</v>
      </c>
      <c r="E45" s="59">
        <v>1700</v>
      </c>
      <c r="F45" s="59">
        <v>1100</v>
      </c>
      <c r="G45" s="59">
        <v>1100</v>
      </c>
      <c r="H45" s="59">
        <v>1100</v>
      </c>
      <c r="I45" s="59">
        <v>1100</v>
      </c>
      <c r="J45" s="59">
        <v>1100</v>
      </c>
      <c r="K45" s="59">
        <v>1100</v>
      </c>
      <c r="L45" s="59">
        <v>1100</v>
      </c>
      <c r="M45" s="59">
        <v>1100</v>
      </c>
      <c r="N45" s="59">
        <v>1100</v>
      </c>
      <c r="O45" s="59">
        <v>1100</v>
      </c>
      <c r="P45" s="59">
        <v>1100</v>
      </c>
      <c r="Q45" s="59">
        <v>1100</v>
      </c>
      <c r="R45" s="59">
        <v>1100</v>
      </c>
      <c r="S45" s="59">
        <v>1100</v>
      </c>
      <c r="T45" s="59">
        <v>1100</v>
      </c>
      <c r="U45" s="59">
        <v>1100</v>
      </c>
      <c r="V45" s="59">
        <v>1100</v>
      </c>
      <c r="W45" s="59">
        <v>0</v>
      </c>
      <c r="X45" s="59">
        <v>1100</v>
      </c>
      <c r="Y45" s="59">
        <v>1100</v>
      </c>
      <c r="Z45" s="59">
        <v>1100</v>
      </c>
      <c r="AA45" s="59">
        <v>1100</v>
      </c>
      <c r="AB45" s="59">
        <v>0</v>
      </c>
      <c r="AC45" s="59">
        <v>0</v>
      </c>
      <c r="AD45" s="59">
        <v>0</v>
      </c>
      <c r="AE45" s="59">
        <v>0</v>
      </c>
      <c r="AF45" s="56">
        <f t="shared" ref="AF45:AF47" si="37">SUM(B45:AE45)</f>
        <v>26500</v>
      </c>
      <c r="AG45" s="7"/>
    </row>
    <row r="46" spans="1:35" ht="15.75" customHeight="1" x14ac:dyDescent="0.2">
      <c r="A46" s="4" t="s">
        <v>202</v>
      </c>
      <c r="B46" s="59">
        <v>0</v>
      </c>
      <c r="C46" s="59">
        <v>0</v>
      </c>
      <c r="D46" s="59">
        <v>0</v>
      </c>
      <c r="E46" s="59">
        <v>700</v>
      </c>
      <c r="F46" s="59">
        <v>0</v>
      </c>
      <c r="G46" s="59">
        <v>0</v>
      </c>
      <c r="H46" s="59">
        <v>1200</v>
      </c>
      <c r="I46" s="59">
        <v>2000</v>
      </c>
      <c r="J46" s="59">
        <v>0</v>
      </c>
      <c r="K46" s="59">
        <v>0</v>
      </c>
      <c r="L46" s="59">
        <v>0</v>
      </c>
      <c r="M46" s="59">
        <v>0</v>
      </c>
      <c r="N46" s="59">
        <v>0</v>
      </c>
      <c r="O46" s="59">
        <v>0</v>
      </c>
      <c r="P46" s="59">
        <v>0</v>
      </c>
      <c r="Q46" s="59">
        <v>0</v>
      </c>
      <c r="R46" s="59">
        <v>0</v>
      </c>
      <c r="S46" s="59">
        <v>0</v>
      </c>
      <c r="T46" s="59">
        <v>0</v>
      </c>
      <c r="U46" s="59">
        <v>0</v>
      </c>
      <c r="V46" s="59">
        <v>0</v>
      </c>
      <c r="W46" s="59">
        <v>0</v>
      </c>
      <c r="X46" s="59">
        <v>1200</v>
      </c>
      <c r="Y46" s="59">
        <v>0</v>
      </c>
      <c r="Z46" s="59">
        <v>0</v>
      </c>
      <c r="AA46" s="59">
        <v>0</v>
      </c>
      <c r="AB46" s="59">
        <v>0</v>
      </c>
      <c r="AC46" s="59">
        <v>0</v>
      </c>
      <c r="AD46" s="59">
        <v>0</v>
      </c>
      <c r="AE46" s="59">
        <v>0</v>
      </c>
      <c r="AF46" s="56">
        <f t="shared" si="37"/>
        <v>5100</v>
      </c>
      <c r="AG46" s="7"/>
    </row>
    <row r="47" spans="1:35" ht="15.75" customHeight="1" x14ac:dyDescent="0.2">
      <c r="A47" s="4" t="s">
        <v>203</v>
      </c>
      <c r="B47" s="59">
        <f t="shared" ref="B47:AE47" si="38">B4+B3+B7+B8+(SUM(B20:B22))+B45+B46</f>
        <v>7412.8275862068967</v>
      </c>
      <c r="C47" s="59">
        <f t="shared" si="38"/>
        <v>7412.8275862068967</v>
      </c>
      <c r="D47" s="59">
        <f t="shared" si="38"/>
        <v>9112.8275862068967</v>
      </c>
      <c r="E47" s="59">
        <f t="shared" si="38"/>
        <v>9812.8275862068967</v>
      </c>
      <c r="F47" s="59">
        <f t="shared" si="38"/>
        <v>8512.8275862068967</v>
      </c>
      <c r="G47" s="59">
        <f t="shared" si="38"/>
        <v>8512.8275862068967</v>
      </c>
      <c r="H47" s="59">
        <f t="shared" si="38"/>
        <v>9712.8275862068967</v>
      </c>
      <c r="I47" s="59">
        <f t="shared" si="38"/>
        <v>10512.827586206897</v>
      </c>
      <c r="J47" s="59">
        <f t="shared" si="38"/>
        <v>8512.8275862068967</v>
      </c>
      <c r="K47" s="59">
        <f t="shared" si="38"/>
        <v>8512.8275862068967</v>
      </c>
      <c r="L47" s="59">
        <f t="shared" si="38"/>
        <v>8512.8275862068967</v>
      </c>
      <c r="M47" s="59">
        <f t="shared" si="38"/>
        <v>8512.8275862068967</v>
      </c>
      <c r="N47" s="59">
        <f t="shared" si="38"/>
        <v>8512.8275862068967</v>
      </c>
      <c r="O47" s="59">
        <f t="shared" si="38"/>
        <v>8512.8275862068967</v>
      </c>
      <c r="P47" s="59">
        <f t="shared" si="38"/>
        <v>8512.8275862068967</v>
      </c>
      <c r="Q47" s="59">
        <f t="shared" si="38"/>
        <v>8512.8275862068967</v>
      </c>
      <c r="R47" s="59">
        <f t="shared" si="38"/>
        <v>8512.8275862068967</v>
      </c>
      <c r="S47" s="59">
        <f t="shared" si="38"/>
        <v>8512.8275862068967</v>
      </c>
      <c r="T47" s="59">
        <f t="shared" si="38"/>
        <v>8512.8275862068967</v>
      </c>
      <c r="U47" s="59">
        <f t="shared" si="38"/>
        <v>8512.8275862068967</v>
      </c>
      <c r="V47" s="59">
        <f t="shared" si="38"/>
        <v>8512.8275862068967</v>
      </c>
      <c r="W47" s="59">
        <f t="shared" si="38"/>
        <v>0</v>
      </c>
      <c r="X47" s="59">
        <f t="shared" si="38"/>
        <v>9712.8275862068967</v>
      </c>
      <c r="Y47" s="59">
        <f t="shared" si="38"/>
        <v>8512.8275862068967</v>
      </c>
      <c r="Z47" s="59">
        <f t="shared" si="38"/>
        <v>8512.8275862068967</v>
      </c>
      <c r="AA47" s="59">
        <f t="shared" si="38"/>
        <v>8512.8275862068967</v>
      </c>
      <c r="AB47" s="59">
        <f t="shared" si="38"/>
        <v>7412.8275862068967</v>
      </c>
      <c r="AC47" s="59">
        <f t="shared" si="38"/>
        <v>7412.8275862068967</v>
      </c>
      <c r="AD47" s="59">
        <f t="shared" si="38"/>
        <v>7412.8275862068967</v>
      </c>
      <c r="AE47" s="59">
        <f t="shared" si="38"/>
        <v>7412.8275862068967</v>
      </c>
      <c r="AF47" s="67">
        <f t="shared" si="37"/>
        <v>246572.00000000003</v>
      </c>
      <c r="AG47" s="7"/>
    </row>
    <row r="48" spans="1:35" ht="15.75" customHeight="1" x14ac:dyDescent="0.2">
      <c r="A48" s="4" t="s">
        <v>204</v>
      </c>
      <c r="B48" s="59">
        <f>B31-B29+B47+11849</f>
        <v>10124.000000000002</v>
      </c>
      <c r="C48" s="59">
        <f t="shared" ref="C48:AE48" si="39">B48+C31-C29+C47</f>
        <v>8639.0000000000036</v>
      </c>
      <c r="D48" s="59">
        <f t="shared" si="39"/>
        <v>5700.0000000000055</v>
      </c>
      <c r="E48" s="59">
        <f t="shared" si="39"/>
        <v>5363.0000000000073</v>
      </c>
      <c r="F48" s="59">
        <f t="shared" si="39"/>
        <v>6193.0000000000091</v>
      </c>
      <c r="G48" s="59">
        <f t="shared" si="39"/>
        <v>4616.0000000000109</v>
      </c>
      <c r="H48" s="59">
        <f t="shared" si="39"/>
        <v>9799.0000000000127</v>
      </c>
      <c r="I48" s="59">
        <f t="shared" si="39"/>
        <v>10787.000000000015</v>
      </c>
      <c r="J48" s="59">
        <f t="shared" si="39"/>
        <v>9060.0000000000164</v>
      </c>
      <c r="K48" s="59">
        <f t="shared" si="39"/>
        <v>8098.0000000000182</v>
      </c>
      <c r="L48" s="59">
        <f t="shared" si="39"/>
        <v>8376.00000000002</v>
      </c>
      <c r="M48" s="59">
        <f t="shared" si="39"/>
        <v>6659.0000000000218</v>
      </c>
      <c r="N48" s="59">
        <f t="shared" si="39"/>
        <v>7147.0000000000236</v>
      </c>
      <c r="O48" s="59">
        <f t="shared" si="39"/>
        <v>8165.0000000000255</v>
      </c>
      <c r="P48" s="59">
        <f t="shared" si="39"/>
        <v>6923.0000000000273</v>
      </c>
      <c r="Q48" s="59">
        <f t="shared" si="39"/>
        <v>8296.0000000000291</v>
      </c>
      <c r="R48" s="59">
        <f t="shared" si="39"/>
        <v>8689.0000000000309</v>
      </c>
      <c r="S48" s="59">
        <f t="shared" si="39"/>
        <v>8362.0000000000327</v>
      </c>
      <c r="T48" s="59">
        <f t="shared" si="39"/>
        <v>6740.0000000000346</v>
      </c>
      <c r="U48" s="59">
        <f t="shared" si="39"/>
        <v>5073.0000000000364</v>
      </c>
      <c r="V48" s="59">
        <f t="shared" si="39"/>
        <v>4591.0000000000382</v>
      </c>
      <c r="W48" s="59">
        <f t="shared" si="39"/>
        <v>4591.0000000000382</v>
      </c>
      <c r="X48" s="59">
        <f t="shared" si="39"/>
        <v>7261.00000000004</v>
      </c>
      <c r="Y48" s="59">
        <f t="shared" si="39"/>
        <v>8674.0000000000418</v>
      </c>
      <c r="Z48" s="59">
        <f t="shared" si="39"/>
        <v>6952.0000000000437</v>
      </c>
      <c r="AA48" s="59">
        <f t="shared" si="39"/>
        <v>10385.000000000045</v>
      </c>
      <c r="AB48" s="59">
        <f t="shared" si="39"/>
        <v>8799.0000000000473</v>
      </c>
      <c r="AC48" s="59">
        <f t="shared" si="39"/>
        <v>8392.0000000000491</v>
      </c>
      <c r="AD48" s="59">
        <f t="shared" si="39"/>
        <v>9771.0000000000509</v>
      </c>
      <c r="AE48" s="59">
        <f t="shared" si="39"/>
        <v>8024.0000000000528</v>
      </c>
      <c r="AF48" s="7"/>
      <c r="AG48" s="7"/>
    </row>
    <row r="49" spans="1:33"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7"/>
      <c r="AG49" s="7"/>
    </row>
    <row r="50" spans="1:33" ht="15.75" customHeight="1" x14ac:dyDescent="0.2">
      <c r="AF50" s="1"/>
      <c r="AG50" s="7"/>
    </row>
    <row r="51" spans="1:33" ht="15.75" customHeight="1" x14ac:dyDescent="0.2">
      <c r="A51" s="4" t="s">
        <v>166</v>
      </c>
      <c r="B51" s="4">
        <v>4500</v>
      </c>
      <c r="AF51" s="1"/>
      <c r="AG51" s="7"/>
    </row>
    <row r="52" spans="1:33" ht="15.75" customHeight="1" x14ac:dyDescent="0.2">
      <c r="A52" s="4" t="s">
        <v>205</v>
      </c>
      <c r="B52" s="4">
        <v>7000</v>
      </c>
      <c r="AF52" s="1"/>
      <c r="AG52" s="7"/>
    </row>
    <row r="53" spans="1:33" ht="15.75" customHeight="1" x14ac:dyDescent="0.2">
      <c r="A53" s="4" t="s">
        <v>179</v>
      </c>
      <c r="B53" s="4">
        <v>22000</v>
      </c>
      <c r="I53" s="14" t="s">
        <v>206</v>
      </c>
      <c r="AF53" s="1"/>
      <c r="AG53" s="7"/>
    </row>
    <row r="54" spans="1:33" ht="15.75" customHeight="1" x14ac:dyDescent="0.2">
      <c r="A54" s="4" t="s">
        <v>180</v>
      </c>
      <c r="B54" s="4">
        <v>0</v>
      </c>
      <c r="AF54" s="1"/>
      <c r="AG54" s="7"/>
    </row>
    <row r="55" spans="1:33" ht="15.75" customHeight="1" x14ac:dyDescent="0.2">
      <c r="A55" s="4" t="s">
        <v>181</v>
      </c>
      <c r="B55" s="4">
        <v>3350</v>
      </c>
      <c r="AF55" s="1"/>
      <c r="AG55" s="7"/>
    </row>
    <row r="56" spans="1:33" ht="15.75" customHeight="1" x14ac:dyDescent="0.2">
      <c r="B56" s="83">
        <f>SUM(B51:B55)</f>
        <v>36850</v>
      </c>
      <c r="J56" s="84" t="s">
        <v>207</v>
      </c>
      <c r="K56" s="59">
        <f>B32</f>
        <v>4470</v>
      </c>
      <c r="L56" s="36">
        <f>I32</f>
        <v>8735</v>
      </c>
      <c r="M56" s="59">
        <f>P32</f>
        <v>4590</v>
      </c>
      <c r="N56" s="59">
        <f>W32</f>
        <v>0</v>
      </c>
      <c r="O56" s="59">
        <f>AD32</f>
        <v>9020</v>
      </c>
      <c r="P56" s="84">
        <f t="shared" ref="P56:P62" si="40">AVERAGEIF(K56:O56,"&lt;&gt;0")</f>
        <v>6703.75</v>
      </c>
      <c r="R56" s="6"/>
      <c r="AF56" s="1"/>
      <c r="AG56" s="7"/>
    </row>
    <row r="57" spans="1:33" ht="15.75" customHeight="1" x14ac:dyDescent="0.2">
      <c r="J57" s="84" t="s">
        <v>208</v>
      </c>
      <c r="K57" s="59">
        <f>C32</f>
        <v>5875</v>
      </c>
      <c r="L57" s="59">
        <f>J32</f>
        <v>4120</v>
      </c>
      <c r="M57" s="59">
        <f>Q32</f>
        <v>10920</v>
      </c>
      <c r="N57" s="59">
        <f>X32</f>
        <v>13040</v>
      </c>
      <c r="O57" s="59">
        <f>AE32</f>
        <v>16630</v>
      </c>
      <c r="P57" s="84">
        <f t="shared" si="40"/>
        <v>10117</v>
      </c>
      <c r="AF57" s="1"/>
      <c r="AG57" s="7"/>
    </row>
    <row r="58" spans="1:33" ht="15.75" customHeight="1" x14ac:dyDescent="0.2">
      <c r="J58" s="84" t="s">
        <v>209</v>
      </c>
      <c r="K58" s="59">
        <f>D32</f>
        <v>5110</v>
      </c>
      <c r="L58" s="59">
        <f>K32</f>
        <v>7955</v>
      </c>
      <c r="M58" s="59">
        <f>R32</f>
        <v>5975</v>
      </c>
      <c r="N58" s="59">
        <f>Y32</f>
        <v>10780</v>
      </c>
      <c r="O58" s="4"/>
      <c r="P58" s="84">
        <f t="shared" si="40"/>
        <v>7455</v>
      </c>
      <c r="AF58" s="1"/>
      <c r="AG58" s="7"/>
    </row>
    <row r="59" spans="1:33" ht="15.75" customHeight="1" x14ac:dyDescent="0.2">
      <c r="A59" s="14" t="s">
        <v>210</v>
      </c>
      <c r="B59" s="14">
        <v>29</v>
      </c>
      <c r="J59" s="84" t="s">
        <v>211</v>
      </c>
      <c r="K59" s="59">
        <f>E32</f>
        <v>4475</v>
      </c>
      <c r="L59" s="59">
        <f>L32</f>
        <v>5975</v>
      </c>
      <c r="M59" s="59">
        <f>S32</f>
        <v>4875</v>
      </c>
      <c r="N59" s="59">
        <f>Z32</f>
        <v>1980</v>
      </c>
      <c r="O59" s="4"/>
      <c r="P59" s="84">
        <f t="shared" si="40"/>
        <v>4326.25</v>
      </c>
      <c r="AF59" s="1"/>
      <c r="AG59" s="7"/>
    </row>
    <row r="60" spans="1:33" ht="15.75" customHeight="1" x14ac:dyDescent="0.2">
      <c r="J60" s="84" t="s">
        <v>212</v>
      </c>
      <c r="K60" s="36">
        <f>F32</f>
        <v>11210</v>
      </c>
      <c r="L60" s="59">
        <f>M32</f>
        <v>4410</v>
      </c>
      <c r="M60" s="59">
        <f>T32</f>
        <v>4280</v>
      </c>
      <c r="N60" s="59">
        <f>AA32</f>
        <v>9710</v>
      </c>
      <c r="O60" s="4"/>
      <c r="P60" s="84">
        <f t="shared" si="40"/>
        <v>7402.5</v>
      </c>
      <c r="AF60" s="1"/>
      <c r="AG60" s="7"/>
    </row>
    <row r="61" spans="1:33" ht="15.75" customHeight="1" x14ac:dyDescent="0.2">
      <c r="J61" s="84" t="s">
        <v>213</v>
      </c>
      <c r="K61" s="36">
        <f>G32</f>
        <v>10745</v>
      </c>
      <c r="L61" s="59">
        <f>N32</f>
        <v>6440</v>
      </c>
      <c r="M61" s="59">
        <f>U32</f>
        <v>5585</v>
      </c>
      <c r="N61" s="59">
        <f>AB32</f>
        <v>8860</v>
      </c>
      <c r="O61" s="4"/>
      <c r="P61" s="84">
        <f t="shared" si="40"/>
        <v>7907.5</v>
      </c>
      <c r="AF61" s="1"/>
      <c r="AG61" s="7"/>
    </row>
    <row r="62" spans="1:33" ht="15.75" customHeight="1" x14ac:dyDescent="0.2">
      <c r="J62" s="84" t="s">
        <v>214</v>
      </c>
      <c r="K62" s="36">
        <f>H32</f>
        <v>14460</v>
      </c>
      <c r="L62" s="59">
        <f>O32</f>
        <v>9705</v>
      </c>
      <c r="M62" s="59">
        <f>V32</f>
        <v>8200</v>
      </c>
      <c r="N62" s="59">
        <f>AC32</f>
        <v>9510</v>
      </c>
      <c r="O62" s="4"/>
      <c r="P62" s="84">
        <f t="shared" si="40"/>
        <v>10468.75</v>
      </c>
      <c r="AF62" s="1"/>
      <c r="AG62" s="7"/>
    </row>
    <row r="63" spans="1:33" ht="15.75" customHeight="1" x14ac:dyDescent="0.2">
      <c r="Q63" s="14" t="s">
        <v>127</v>
      </c>
      <c r="AF63" s="1"/>
      <c r="AG63" s="7"/>
    </row>
    <row r="64" spans="1:33" ht="15.75" customHeight="1" x14ac:dyDescent="0.2">
      <c r="AF64" s="1"/>
      <c r="AG64" s="7"/>
    </row>
    <row r="65" spans="25:33" ht="14" x14ac:dyDescent="0.2">
      <c r="AF65" s="1"/>
      <c r="AG65" s="7"/>
    </row>
    <row r="66" spans="25:33" ht="14" x14ac:dyDescent="0.2">
      <c r="Y66" s="14" t="s">
        <v>206</v>
      </c>
      <c r="AF66" s="1"/>
      <c r="AG66" s="7"/>
    </row>
    <row r="67" spans="25:33" ht="14" x14ac:dyDescent="0.2">
      <c r="AF67" s="1"/>
      <c r="AG67" s="7"/>
    </row>
    <row r="68" spans="25:33" ht="14" x14ac:dyDescent="0.2">
      <c r="AF68" s="1"/>
      <c r="AG68" s="7"/>
    </row>
    <row r="69" spans="25:33" ht="14" x14ac:dyDescent="0.2">
      <c r="AF69" s="1"/>
      <c r="AG69" s="7"/>
    </row>
    <row r="70" spans="25:33" ht="14" x14ac:dyDescent="0.2">
      <c r="AF70" s="1"/>
      <c r="AG70" s="7"/>
    </row>
    <row r="71" spans="25:33" ht="14" x14ac:dyDescent="0.2">
      <c r="AF71" s="1"/>
      <c r="AG71" s="7"/>
    </row>
    <row r="72" spans="25:33" ht="14" x14ac:dyDescent="0.2">
      <c r="AF72" s="1"/>
      <c r="AG72" s="7"/>
    </row>
    <row r="73" spans="25:33" ht="14" x14ac:dyDescent="0.2">
      <c r="AF73" s="1"/>
      <c r="AG73" s="7"/>
    </row>
    <row r="74" spans="25:33" ht="14" x14ac:dyDescent="0.2">
      <c r="AF74" s="1"/>
      <c r="AG74" s="7"/>
    </row>
    <row r="75" spans="25:33" ht="14" x14ac:dyDescent="0.2">
      <c r="AF75" s="1"/>
      <c r="AG75" s="7"/>
    </row>
    <row r="76" spans="25:33" ht="14" x14ac:dyDescent="0.2">
      <c r="AF76" s="1"/>
      <c r="AG76" s="7"/>
    </row>
    <row r="77" spans="25:33" ht="14" x14ac:dyDescent="0.2">
      <c r="AF77" s="1"/>
      <c r="AG77" s="7"/>
    </row>
    <row r="78" spans="25:33" ht="14" x14ac:dyDescent="0.2">
      <c r="AF78" s="1"/>
      <c r="AG78" s="7"/>
    </row>
    <row r="79" spans="25:33" ht="14" x14ac:dyDescent="0.2">
      <c r="AF79" s="1"/>
      <c r="AG79" s="7"/>
    </row>
    <row r="80" spans="25:33" ht="14" x14ac:dyDescent="0.2">
      <c r="AF80" s="1"/>
      <c r="AG80" s="7"/>
    </row>
    <row r="81" spans="32:33" ht="14" x14ac:dyDescent="0.2">
      <c r="AF81" s="1"/>
      <c r="AG81" s="7"/>
    </row>
    <row r="82" spans="32:33" ht="14" x14ac:dyDescent="0.2">
      <c r="AF82" s="1"/>
      <c r="AG82" s="7"/>
    </row>
    <row r="83" spans="32:33" ht="14" x14ac:dyDescent="0.2">
      <c r="AF83" s="1"/>
      <c r="AG83" s="7"/>
    </row>
    <row r="84" spans="32:33" ht="14" x14ac:dyDescent="0.2">
      <c r="AF84" s="1"/>
      <c r="AG84" s="7"/>
    </row>
    <row r="85" spans="32:33" ht="14" x14ac:dyDescent="0.2">
      <c r="AF85" s="1"/>
      <c r="AG85" s="7"/>
    </row>
    <row r="86" spans="32:33" ht="14" x14ac:dyDescent="0.2">
      <c r="AF86" s="1"/>
      <c r="AG86" s="7"/>
    </row>
    <row r="87" spans="32:33" ht="14" x14ac:dyDescent="0.2">
      <c r="AF87" s="1"/>
      <c r="AG87" s="7"/>
    </row>
    <row r="88" spans="32:33" ht="14" x14ac:dyDescent="0.2">
      <c r="AF88" s="1"/>
      <c r="AG88" s="7"/>
    </row>
    <row r="89" spans="32:33" ht="14" x14ac:dyDescent="0.2">
      <c r="AF89" s="1"/>
      <c r="AG89" s="7"/>
    </row>
    <row r="90" spans="32:33" ht="14" x14ac:dyDescent="0.2">
      <c r="AF90" s="1"/>
      <c r="AG90" s="7"/>
    </row>
    <row r="91" spans="32:33" ht="14" x14ac:dyDescent="0.2">
      <c r="AF91" s="1"/>
      <c r="AG91" s="7"/>
    </row>
    <row r="92" spans="32:33" ht="14" x14ac:dyDescent="0.2">
      <c r="AF92" s="1"/>
      <c r="AG92" s="7"/>
    </row>
    <row r="93" spans="32:33" ht="14" x14ac:dyDescent="0.2">
      <c r="AF93" s="1"/>
      <c r="AG93" s="7"/>
    </row>
    <row r="94" spans="32:33" ht="14" x14ac:dyDescent="0.2">
      <c r="AF94" s="1"/>
      <c r="AG94" s="7"/>
    </row>
    <row r="95" spans="32:33" ht="14" x14ac:dyDescent="0.2">
      <c r="AF95" s="1"/>
      <c r="AG95" s="7"/>
    </row>
    <row r="96" spans="32:33" ht="14" x14ac:dyDescent="0.2">
      <c r="AF96" s="1"/>
      <c r="AG96" s="7"/>
    </row>
    <row r="97" spans="32:33" ht="14" x14ac:dyDescent="0.2">
      <c r="AF97" s="1"/>
      <c r="AG97" s="7"/>
    </row>
    <row r="98" spans="32:33" ht="14" x14ac:dyDescent="0.2">
      <c r="AF98" s="1"/>
      <c r="AG98" s="7"/>
    </row>
    <row r="99" spans="32:33" ht="14" x14ac:dyDescent="0.2">
      <c r="AF99" s="1"/>
      <c r="AG99" s="7"/>
    </row>
    <row r="100" spans="32:33" ht="14" x14ac:dyDescent="0.2">
      <c r="AF100" s="1"/>
      <c r="AG100" s="7"/>
    </row>
    <row r="101" spans="32:33" ht="14" x14ac:dyDescent="0.2">
      <c r="AF101" s="1"/>
      <c r="AG101" s="7"/>
    </row>
    <row r="102" spans="32:33" ht="14" x14ac:dyDescent="0.2">
      <c r="AF102" s="1"/>
      <c r="AG102" s="7"/>
    </row>
    <row r="103" spans="32:33" ht="14" x14ac:dyDescent="0.2">
      <c r="AF103" s="1"/>
      <c r="AG103" s="7"/>
    </row>
    <row r="104" spans="32:33" ht="14" x14ac:dyDescent="0.2">
      <c r="AF104" s="1"/>
      <c r="AG104" s="7"/>
    </row>
    <row r="105" spans="32:33" ht="14" x14ac:dyDescent="0.2">
      <c r="AF105" s="1"/>
      <c r="AG105" s="7"/>
    </row>
    <row r="106" spans="32:33" ht="14" x14ac:dyDescent="0.2">
      <c r="AF106" s="1"/>
      <c r="AG106" s="7"/>
    </row>
    <row r="107" spans="32:33" ht="14" x14ac:dyDescent="0.2">
      <c r="AF107" s="1"/>
      <c r="AG107" s="7"/>
    </row>
    <row r="108" spans="32:33" ht="14" x14ac:dyDescent="0.2">
      <c r="AF108" s="1"/>
      <c r="AG108" s="7"/>
    </row>
    <row r="109" spans="32:33" ht="14" x14ac:dyDescent="0.2">
      <c r="AF109" s="1"/>
      <c r="AG109" s="7"/>
    </row>
    <row r="110" spans="32:33" ht="14" x14ac:dyDescent="0.2">
      <c r="AF110" s="1"/>
      <c r="AG110" s="7"/>
    </row>
    <row r="111" spans="32:33" ht="14" x14ac:dyDescent="0.2">
      <c r="AF111" s="1"/>
      <c r="AG111" s="7"/>
    </row>
    <row r="112" spans="32:33" ht="14" x14ac:dyDescent="0.2">
      <c r="AF112" s="1"/>
      <c r="AG112" s="7"/>
    </row>
    <row r="113" spans="32:33" ht="14" x14ac:dyDescent="0.2">
      <c r="AF113" s="1"/>
      <c r="AG113" s="7"/>
    </row>
    <row r="114" spans="32:33" ht="14" x14ac:dyDescent="0.2">
      <c r="AF114" s="1"/>
      <c r="AG114" s="7"/>
    </row>
    <row r="115" spans="32:33" ht="14" x14ac:dyDescent="0.2">
      <c r="AF115" s="1"/>
      <c r="AG115" s="7"/>
    </row>
    <row r="116" spans="32:33" ht="14" x14ac:dyDescent="0.2">
      <c r="AF116" s="1"/>
      <c r="AG116" s="7"/>
    </row>
    <row r="117" spans="32:33" ht="14" x14ac:dyDescent="0.2">
      <c r="AF117" s="1"/>
      <c r="AG117" s="7"/>
    </row>
    <row r="118" spans="32:33" ht="14" x14ac:dyDescent="0.2">
      <c r="AF118" s="1"/>
      <c r="AG118" s="7"/>
    </row>
    <row r="119" spans="32:33" ht="14" x14ac:dyDescent="0.2">
      <c r="AF119" s="1"/>
      <c r="AG119" s="7"/>
    </row>
    <row r="120" spans="32:33" ht="14" x14ac:dyDescent="0.2">
      <c r="AF120" s="1"/>
      <c r="AG120" s="7"/>
    </row>
    <row r="121" spans="32:33" ht="14" x14ac:dyDescent="0.2">
      <c r="AF121" s="1"/>
      <c r="AG121" s="7"/>
    </row>
    <row r="122" spans="32:33" ht="14" x14ac:dyDescent="0.2">
      <c r="AF122" s="1"/>
      <c r="AG122" s="7"/>
    </row>
    <row r="123" spans="32:33" ht="14" x14ac:dyDescent="0.2">
      <c r="AF123" s="1"/>
      <c r="AG123" s="7"/>
    </row>
    <row r="124" spans="32:33" ht="14" x14ac:dyDescent="0.2">
      <c r="AF124" s="1"/>
      <c r="AG124" s="7"/>
    </row>
    <row r="125" spans="32:33" ht="14" x14ac:dyDescent="0.2">
      <c r="AF125" s="1"/>
      <c r="AG125" s="7"/>
    </row>
    <row r="126" spans="32:33" ht="14" x14ac:dyDescent="0.2">
      <c r="AF126" s="1"/>
      <c r="AG126" s="7"/>
    </row>
    <row r="127" spans="32:33" ht="14" x14ac:dyDescent="0.2">
      <c r="AF127" s="1"/>
      <c r="AG127" s="7"/>
    </row>
    <row r="128" spans="32:33" ht="14" x14ac:dyDescent="0.2">
      <c r="AF128" s="1"/>
      <c r="AG128" s="7"/>
    </row>
    <row r="129" spans="32:33" ht="14" x14ac:dyDescent="0.2">
      <c r="AF129" s="1"/>
      <c r="AG129" s="7"/>
    </row>
    <row r="130" spans="32:33" ht="14" x14ac:dyDescent="0.2">
      <c r="AF130" s="1"/>
      <c r="AG130" s="7"/>
    </row>
    <row r="131" spans="32:33" ht="14" x14ac:dyDescent="0.2">
      <c r="AF131" s="1"/>
      <c r="AG131" s="7"/>
    </row>
    <row r="132" spans="32:33" ht="14" x14ac:dyDescent="0.2">
      <c r="AF132" s="1"/>
      <c r="AG132" s="7"/>
    </row>
    <row r="133" spans="32:33" ht="14" x14ac:dyDescent="0.2">
      <c r="AF133" s="1"/>
      <c r="AG133" s="7"/>
    </row>
    <row r="134" spans="32:33" ht="14" x14ac:dyDescent="0.2">
      <c r="AF134" s="1"/>
      <c r="AG134" s="7"/>
    </row>
    <row r="135" spans="32:33" ht="14" x14ac:dyDescent="0.2">
      <c r="AF135" s="1"/>
      <c r="AG135" s="7"/>
    </row>
    <row r="136" spans="32:33" ht="14" x14ac:dyDescent="0.2">
      <c r="AF136" s="1"/>
      <c r="AG136" s="7"/>
    </row>
    <row r="137" spans="32:33" ht="14" x14ac:dyDescent="0.2">
      <c r="AF137" s="1"/>
      <c r="AG137" s="7"/>
    </row>
    <row r="138" spans="32:33" ht="14" x14ac:dyDescent="0.2">
      <c r="AF138" s="1"/>
      <c r="AG138" s="7"/>
    </row>
    <row r="139" spans="32:33" ht="14" x14ac:dyDescent="0.2">
      <c r="AF139" s="1"/>
      <c r="AG139" s="7"/>
    </row>
    <row r="140" spans="32:33" ht="14" x14ac:dyDescent="0.2">
      <c r="AF140" s="1"/>
      <c r="AG140" s="7"/>
    </row>
    <row r="141" spans="32:33" ht="14" x14ac:dyDescent="0.2">
      <c r="AF141" s="1"/>
      <c r="AG141" s="7"/>
    </row>
    <row r="142" spans="32:33" ht="14" x14ac:dyDescent="0.2">
      <c r="AF142" s="1"/>
      <c r="AG142" s="7"/>
    </row>
    <row r="143" spans="32:33" ht="14" x14ac:dyDescent="0.2">
      <c r="AF143" s="1"/>
      <c r="AG143" s="7"/>
    </row>
    <row r="144" spans="32:33" ht="14" x14ac:dyDescent="0.2">
      <c r="AF144" s="1"/>
      <c r="AG144" s="7"/>
    </row>
    <row r="145" spans="32:33" ht="14" x14ac:dyDescent="0.2">
      <c r="AF145" s="1"/>
      <c r="AG145" s="7"/>
    </row>
    <row r="146" spans="32:33" ht="14" x14ac:dyDescent="0.2">
      <c r="AF146" s="1"/>
      <c r="AG146" s="7"/>
    </row>
    <row r="147" spans="32:33" ht="14" x14ac:dyDescent="0.2">
      <c r="AF147" s="1"/>
      <c r="AG147" s="7"/>
    </row>
    <row r="148" spans="32:33" ht="14" x14ac:dyDescent="0.2">
      <c r="AF148" s="1"/>
      <c r="AG148" s="7"/>
    </row>
    <row r="149" spans="32:33" ht="14" x14ac:dyDescent="0.2">
      <c r="AF149" s="1"/>
      <c r="AG149" s="7"/>
    </row>
    <row r="150" spans="32:33" ht="14" x14ac:dyDescent="0.2">
      <c r="AF150" s="1"/>
      <c r="AG150" s="7"/>
    </row>
    <row r="151" spans="32:33" ht="14" x14ac:dyDescent="0.2">
      <c r="AF151" s="1"/>
      <c r="AG151" s="7"/>
    </row>
    <row r="152" spans="32:33" ht="14" x14ac:dyDescent="0.2">
      <c r="AF152" s="1"/>
      <c r="AG152" s="7"/>
    </row>
    <row r="153" spans="32:33" ht="14" x14ac:dyDescent="0.2">
      <c r="AF153" s="1"/>
      <c r="AG153" s="7"/>
    </row>
    <row r="154" spans="32:33" ht="14" x14ac:dyDescent="0.2">
      <c r="AF154" s="1"/>
      <c r="AG154" s="7"/>
    </row>
    <row r="155" spans="32:33" ht="14" x14ac:dyDescent="0.2">
      <c r="AF155" s="1"/>
      <c r="AG155" s="7"/>
    </row>
    <row r="156" spans="32:33" ht="14" x14ac:dyDescent="0.2">
      <c r="AF156" s="1"/>
      <c r="AG156" s="7"/>
    </row>
    <row r="157" spans="32:33" ht="14" x14ac:dyDescent="0.2">
      <c r="AF157" s="1"/>
      <c r="AG157" s="7"/>
    </row>
    <row r="158" spans="32:33" ht="14" x14ac:dyDescent="0.2">
      <c r="AF158" s="1"/>
      <c r="AG158" s="7"/>
    </row>
    <row r="159" spans="32:33" ht="14" x14ac:dyDescent="0.2">
      <c r="AF159" s="1"/>
      <c r="AG159" s="7"/>
    </row>
    <row r="160" spans="32:33" ht="14" x14ac:dyDescent="0.2">
      <c r="AF160" s="1"/>
      <c r="AG160" s="7"/>
    </row>
    <row r="161" spans="32:33" ht="14" x14ac:dyDescent="0.2">
      <c r="AF161" s="1"/>
      <c r="AG161" s="7"/>
    </row>
    <row r="162" spans="32:33" ht="14" x14ac:dyDescent="0.2">
      <c r="AF162" s="1"/>
      <c r="AG162" s="7"/>
    </row>
    <row r="163" spans="32:33" ht="14" x14ac:dyDescent="0.2">
      <c r="AF163" s="1"/>
      <c r="AG163" s="7"/>
    </row>
    <row r="164" spans="32:33" ht="14" x14ac:dyDescent="0.2">
      <c r="AF164" s="1"/>
      <c r="AG164" s="7"/>
    </row>
    <row r="165" spans="32:33" ht="14" x14ac:dyDescent="0.2">
      <c r="AF165" s="1"/>
      <c r="AG165" s="7"/>
    </row>
    <row r="166" spans="32:33" ht="14" x14ac:dyDescent="0.2">
      <c r="AF166" s="1"/>
      <c r="AG166" s="7"/>
    </row>
    <row r="167" spans="32:33" ht="14" x14ac:dyDescent="0.2">
      <c r="AF167" s="1"/>
      <c r="AG167" s="7"/>
    </row>
    <row r="168" spans="32:33" ht="14" x14ac:dyDescent="0.2">
      <c r="AF168" s="1"/>
      <c r="AG168" s="7"/>
    </row>
    <row r="169" spans="32:33" ht="14" x14ac:dyDescent="0.2">
      <c r="AF169" s="1"/>
      <c r="AG169" s="7"/>
    </row>
    <row r="170" spans="32:33" ht="14" x14ac:dyDescent="0.2">
      <c r="AF170" s="1"/>
      <c r="AG170" s="7"/>
    </row>
    <row r="171" spans="32:33" ht="14" x14ac:dyDescent="0.2">
      <c r="AF171" s="1"/>
      <c r="AG171" s="7"/>
    </row>
    <row r="172" spans="32:33" ht="14" x14ac:dyDescent="0.2">
      <c r="AF172" s="1"/>
      <c r="AG172" s="7"/>
    </row>
    <row r="173" spans="32:33" ht="14" x14ac:dyDescent="0.2">
      <c r="AF173" s="1"/>
      <c r="AG173" s="7"/>
    </row>
    <row r="174" spans="32:33" ht="14" x14ac:dyDescent="0.2">
      <c r="AF174" s="1"/>
      <c r="AG174" s="7"/>
    </row>
    <row r="175" spans="32:33" ht="14" x14ac:dyDescent="0.2">
      <c r="AF175" s="1"/>
      <c r="AG175" s="7"/>
    </row>
    <row r="176" spans="32:33" ht="14" x14ac:dyDescent="0.2">
      <c r="AF176" s="1"/>
      <c r="AG176" s="7"/>
    </row>
    <row r="177" spans="32:33" ht="14" x14ac:dyDescent="0.2">
      <c r="AF177" s="1"/>
      <c r="AG177" s="7"/>
    </row>
    <row r="178" spans="32:33" ht="14" x14ac:dyDescent="0.2">
      <c r="AF178" s="1"/>
      <c r="AG178" s="7"/>
    </row>
    <row r="179" spans="32:33" ht="14" x14ac:dyDescent="0.2">
      <c r="AF179" s="1"/>
      <c r="AG179" s="7"/>
    </row>
    <row r="180" spans="32:33" ht="14" x14ac:dyDescent="0.2">
      <c r="AF180" s="1"/>
      <c r="AG180" s="7"/>
    </row>
    <row r="181" spans="32:33" ht="14" x14ac:dyDescent="0.2">
      <c r="AF181" s="1"/>
      <c r="AG181" s="7"/>
    </row>
    <row r="182" spans="32:33" ht="14" x14ac:dyDescent="0.2">
      <c r="AF182" s="1"/>
      <c r="AG182" s="7"/>
    </row>
    <row r="183" spans="32:33" ht="14" x14ac:dyDescent="0.2">
      <c r="AF183" s="1"/>
      <c r="AG183" s="7"/>
    </row>
    <row r="184" spans="32:33" ht="14" x14ac:dyDescent="0.2">
      <c r="AF184" s="1"/>
      <c r="AG184" s="7"/>
    </row>
    <row r="185" spans="32:33" ht="14" x14ac:dyDescent="0.2">
      <c r="AF185" s="1"/>
      <c r="AG185" s="7"/>
    </row>
    <row r="186" spans="32:33" ht="14" x14ac:dyDescent="0.2">
      <c r="AF186" s="1"/>
      <c r="AG186" s="7"/>
    </row>
    <row r="187" spans="32:33" ht="14" x14ac:dyDescent="0.2">
      <c r="AF187" s="1"/>
      <c r="AG187" s="7"/>
    </row>
    <row r="188" spans="32:33" ht="14" x14ac:dyDescent="0.2">
      <c r="AF188" s="1"/>
      <c r="AG188" s="7"/>
    </row>
    <row r="189" spans="32:33" ht="14" x14ac:dyDescent="0.2">
      <c r="AF189" s="1"/>
      <c r="AG189" s="7"/>
    </row>
    <row r="190" spans="32:33" ht="14" x14ac:dyDescent="0.2">
      <c r="AF190" s="1"/>
      <c r="AG190" s="7"/>
    </row>
    <row r="191" spans="32:33" ht="14" x14ac:dyDescent="0.2">
      <c r="AF191" s="1"/>
      <c r="AG191" s="7"/>
    </row>
    <row r="192" spans="32:33" ht="14" x14ac:dyDescent="0.2">
      <c r="AF192" s="1"/>
      <c r="AG192" s="7"/>
    </row>
    <row r="193" spans="32:33" ht="14" x14ac:dyDescent="0.2">
      <c r="AF193" s="1"/>
      <c r="AG193" s="7"/>
    </row>
    <row r="194" spans="32:33" ht="14" x14ac:dyDescent="0.2">
      <c r="AF194" s="1"/>
      <c r="AG194" s="7"/>
    </row>
    <row r="195" spans="32:33" ht="14" x14ac:dyDescent="0.2">
      <c r="AF195" s="1"/>
      <c r="AG195" s="7"/>
    </row>
    <row r="196" spans="32:33" ht="14" x14ac:dyDescent="0.2">
      <c r="AF196" s="1"/>
      <c r="AG196" s="7"/>
    </row>
    <row r="197" spans="32:33" ht="14" x14ac:dyDescent="0.2">
      <c r="AF197" s="1"/>
      <c r="AG197" s="7"/>
    </row>
    <row r="198" spans="32:33" ht="14" x14ac:dyDescent="0.2">
      <c r="AF198" s="1"/>
      <c r="AG198" s="7"/>
    </row>
    <row r="199" spans="32:33" ht="14" x14ac:dyDescent="0.2">
      <c r="AF199" s="1"/>
      <c r="AG199" s="7"/>
    </row>
    <row r="200" spans="32:33" ht="14" x14ac:dyDescent="0.2">
      <c r="AF200" s="1"/>
      <c r="AG200" s="7"/>
    </row>
    <row r="201" spans="32:33" ht="14" x14ac:dyDescent="0.2">
      <c r="AF201" s="1"/>
      <c r="AG201" s="7"/>
    </row>
    <row r="202" spans="32:33" ht="14" x14ac:dyDescent="0.2">
      <c r="AF202" s="1"/>
      <c r="AG202" s="7"/>
    </row>
    <row r="203" spans="32:33" ht="14" x14ac:dyDescent="0.2">
      <c r="AF203" s="1"/>
      <c r="AG203" s="7"/>
    </row>
    <row r="204" spans="32:33" ht="14" x14ac:dyDescent="0.2">
      <c r="AF204" s="1"/>
      <c r="AG204" s="7"/>
    </row>
    <row r="205" spans="32:33" ht="14" x14ac:dyDescent="0.2">
      <c r="AF205" s="1"/>
      <c r="AG205" s="7"/>
    </row>
    <row r="206" spans="32:33" ht="14" x14ac:dyDescent="0.2">
      <c r="AF206" s="1"/>
      <c r="AG206" s="7"/>
    </row>
    <row r="207" spans="32:33" ht="14" x14ac:dyDescent="0.2">
      <c r="AF207" s="1"/>
      <c r="AG207" s="7"/>
    </row>
    <row r="208" spans="32:33" ht="14" x14ac:dyDescent="0.2">
      <c r="AF208" s="1"/>
      <c r="AG208" s="7"/>
    </row>
    <row r="209" spans="32:33" ht="14" x14ac:dyDescent="0.2">
      <c r="AF209" s="1"/>
      <c r="AG209" s="7"/>
    </row>
    <row r="210" spans="32:33" ht="14" x14ac:dyDescent="0.2">
      <c r="AF210" s="1"/>
      <c r="AG210" s="7"/>
    </row>
    <row r="211" spans="32:33" ht="14" x14ac:dyDescent="0.2">
      <c r="AF211" s="1"/>
      <c r="AG211" s="7"/>
    </row>
    <row r="212" spans="32:33" ht="14" x14ac:dyDescent="0.2">
      <c r="AF212" s="1"/>
      <c r="AG212" s="7"/>
    </row>
    <row r="213" spans="32:33" ht="14" x14ac:dyDescent="0.2">
      <c r="AF213" s="1"/>
      <c r="AG213" s="7"/>
    </row>
    <row r="214" spans="32:33" ht="14" x14ac:dyDescent="0.2">
      <c r="AF214" s="1"/>
      <c r="AG214" s="7"/>
    </row>
    <row r="215" spans="32:33" ht="14" x14ac:dyDescent="0.2">
      <c r="AF215" s="1"/>
      <c r="AG215" s="7"/>
    </row>
    <row r="216" spans="32:33" ht="14" x14ac:dyDescent="0.2">
      <c r="AF216" s="1"/>
      <c r="AG216" s="7"/>
    </row>
    <row r="217" spans="32:33" ht="14" x14ac:dyDescent="0.2">
      <c r="AF217" s="1"/>
      <c r="AG217" s="7"/>
    </row>
    <row r="218" spans="32:33" ht="14" x14ac:dyDescent="0.2">
      <c r="AF218" s="1"/>
      <c r="AG218" s="7"/>
    </row>
    <row r="219" spans="32:33" ht="14" x14ac:dyDescent="0.2">
      <c r="AF219" s="1"/>
      <c r="AG219" s="7"/>
    </row>
    <row r="220" spans="32:33" ht="14" x14ac:dyDescent="0.2">
      <c r="AF220" s="1"/>
      <c r="AG220" s="7"/>
    </row>
    <row r="221" spans="32:33" ht="14" x14ac:dyDescent="0.2">
      <c r="AF221" s="1"/>
      <c r="AG221" s="7"/>
    </row>
    <row r="222" spans="32:33" ht="14" x14ac:dyDescent="0.2">
      <c r="AF222" s="1"/>
      <c r="AG222" s="7"/>
    </row>
    <row r="223" spans="32:33" ht="14" x14ac:dyDescent="0.2">
      <c r="AF223" s="1"/>
      <c r="AG223" s="7"/>
    </row>
    <row r="224" spans="32:33" ht="14" x14ac:dyDescent="0.2">
      <c r="AF224" s="1"/>
      <c r="AG224" s="7"/>
    </row>
    <row r="225" spans="32:33" ht="14" x14ac:dyDescent="0.2">
      <c r="AF225" s="1"/>
      <c r="AG225" s="7"/>
    </row>
    <row r="226" spans="32:33" ht="14" x14ac:dyDescent="0.2">
      <c r="AF226" s="1"/>
      <c r="AG226" s="7"/>
    </row>
    <row r="227" spans="32:33" ht="14" x14ac:dyDescent="0.2">
      <c r="AF227" s="1"/>
      <c r="AG227" s="7"/>
    </row>
    <row r="228" spans="32:33" ht="14" x14ac:dyDescent="0.2">
      <c r="AF228" s="1"/>
      <c r="AG228" s="7"/>
    </row>
    <row r="229" spans="32:33" ht="14" x14ac:dyDescent="0.2">
      <c r="AF229" s="1"/>
      <c r="AG229" s="7"/>
    </row>
    <row r="230" spans="32:33" ht="14" x14ac:dyDescent="0.2">
      <c r="AF230" s="1"/>
      <c r="AG230" s="7"/>
    </row>
    <row r="231" spans="32:33" ht="14" x14ac:dyDescent="0.2">
      <c r="AF231" s="1"/>
      <c r="AG231" s="7"/>
    </row>
    <row r="232" spans="32:33" ht="14" x14ac:dyDescent="0.2">
      <c r="AF232" s="1"/>
      <c r="AG232" s="7"/>
    </row>
    <row r="233" spans="32:33" ht="14" x14ac:dyDescent="0.2">
      <c r="AF233" s="1"/>
      <c r="AG233" s="7"/>
    </row>
    <row r="234" spans="32:33" ht="14" x14ac:dyDescent="0.2">
      <c r="AF234" s="1"/>
      <c r="AG234" s="7"/>
    </row>
    <row r="235" spans="32:33" ht="14" x14ac:dyDescent="0.2">
      <c r="AF235" s="1"/>
      <c r="AG235" s="7"/>
    </row>
    <row r="236" spans="32:33" ht="14" x14ac:dyDescent="0.2">
      <c r="AF236" s="1"/>
      <c r="AG236" s="7"/>
    </row>
    <row r="237" spans="32:33" ht="14" x14ac:dyDescent="0.2">
      <c r="AF237" s="1"/>
      <c r="AG237" s="7"/>
    </row>
    <row r="238" spans="32:33" ht="14" x14ac:dyDescent="0.2">
      <c r="AF238" s="1"/>
      <c r="AG238" s="7"/>
    </row>
    <row r="239" spans="32:33" ht="14" x14ac:dyDescent="0.2">
      <c r="AF239" s="1"/>
      <c r="AG239" s="7"/>
    </row>
    <row r="240" spans="32:33" ht="14" x14ac:dyDescent="0.2">
      <c r="AF240" s="1"/>
      <c r="AG240" s="7"/>
    </row>
    <row r="241" spans="32:33" ht="14" x14ac:dyDescent="0.2">
      <c r="AF241" s="1"/>
      <c r="AG241" s="7"/>
    </row>
    <row r="242" spans="32:33" ht="14" x14ac:dyDescent="0.2">
      <c r="AF242" s="1"/>
      <c r="AG242" s="7"/>
    </row>
    <row r="243" spans="32:33" ht="14" x14ac:dyDescent="0.2">
      <c r="AF243" s="1"/>
      <c r="AG243" s="7"/>
    </row>
    <row r="244" spans="32:33" ht="14" x14ac:dyDescent="0.2">
      <c r="AF244" s="1"/>
      <c r="AG244" s="7"/>
    </row>
    <row r="245" spans="32:33" ht="14" x14ac:dyDescent="0.2">
      <c r="AF245" s="1"/>
      <c r="AG245" s="7"/>
    </row>
    <row r="246" spans="32:33" ht="14" x14ac:dyDescent="0.2">
      <c r="AF246" s="1"/>
      <c r="AG246" s="7"/>
    </row>
    <row r="247" spans="32:33" ht="14" x14ac:dyDescent="0.2">
      <c r="AF247" s="1"/>
      <c r="AG247" s="7"/>
    </row>
    <row r="248" spans="32:33" ht="14" x14ac:dyDescent="0.2">
      <c r="AF248" s="1"/>
      <c r="AG248" s="7"/>
    </row>
    <row r="249" spans="32:33" ht="14" x14ac:dyDescent="0.2">
      <c r="AF249" s="1"/>
      <c r="AG249" s="7"/>
    </row>
    <row r="250" spans="32:33" ht="14" x14ac:dyDescent="0.2">
      <c r="AF250" s="1"/>
      <c r="AG250" s="7"/>
    </row>
    <row r="251" spans="32:33" ht="14" x14ac:dyDescent="0.2">
      <c r="AF251" s="1"/>
      <c r="AG251" s="7"/>
    </row>
    <row r="252" spans="32:33" ht="14" x14ac:dyDescent="0.2">
      <c r="AF252" s="1"/>
      <c r="AG252" s="7"/>
    </row>
    <row r="253" spans="32:33" ht="14" x14ac:dyDescent="0.2">
      <c r="AF253" s="1"/>
      <c r="AG253" s="7"/>
    </row>
    <row r="254" spans="32:33" ht="14" x14ac:dyDescent="0.2">
      <c r="AF254" s="1"/>
      <c r="AG254" s="7"/>
    </row>
    <row r="255" spans="32:33" ht="14" x14ac:dyDescent="0.2">
      <c r="AF255" s="1"/>
      <c r="AG255" s="7"/>
    </row>
    <row r="256" spans="32:33" ht="14" x14ac:dyDescent="0.2">
      <c r="AF256" s="1"/>
      <c r="AG256" s="7"/>
    </row>
    <row r="257" spans="32:33" ht="14" x14ac:dyDescent="0.2">
      <c r="AF257" s="1"/>
      <c r="AG257" s="7"/>
    </row>
    <row r="258" spans="32:33" ht="14" x14ac:dyDescent="0.2">
      <c r="AF258" s="1"/>
      <c r="AG258" s="7"/>
    </row>
    <row r="259" spans="32:33" ht="14" x14ac:dyDescent="0.2">
      <c r="AF259" s="1"/>
      <c r="AG259" s="7"/>
    </row>
    <row r="260" spans="32:33" ht="14" x14ac:dyDescent="0.2">
      <c r="AF260" s="1"/>
      <c r="AG260" s="7"/>
    </row>
    <row r="261" spans="32:33" ht="14" x14ac:dyDescent="0.2">
      <c r="AF261" s="1"/>
      <c r="AG261" s="7"/>
    </row>
    <row r="262" spans="32:33" ht="14" x14ac:dyDescent="0.2">
      <c r="AF262" s="1"/>
      <c r="AG262" s="7"/>
    </row>
    <row r="263" spans="32:33" ht="14" x14ac:dyDescent="0.2">
      <c r="AF263" s="1"/>
      <c r="AG263" s="7"/>
    </row>
    <row r="264" spans="32:33" ht="14" x14ac:dyDescent="0.2">
      <c r="AF264" s="1"/>
      <c r="AG264" s="7"/>
    </row>
    <row r="265" spans="32:33" ht="14" x14ac:dyDescent="0.2">
      <c r="AF265" s="1"/>
      <c r="AG265" s="7"/>
    </row>
    <row r="266" spans="32:33" ht="14" x14ac:dyDescent="0.2">
      <c r="AF266" s="1"/>
      <c r="AG266" s="7"/>
    </row>
    <row r="267" spans="32:33" ht="14" x14ac:dyDescent="0.2">
      <c r="AF267" s="1"/>
      <c r="AG267" s="7"/>
    </row>
    <row r="268" spans="32:33" ht="14" x14ac:dyDescent="0.2">
      <c r="AF268" s="1"/>
      <c r="AG268" s="7"/>
    </row>
    <row r="269" spans="32:33" ht="14" x14ac:dyDescent="0.2">
      <c r="AF269" s="1"/>
      <c r="AG269" s="7"/>
    </row>
    <row r="270" spans="32:33" ht="14" x14ac:dyDescent="0.2">
      <c r="AF270" s="1"/>
      <c r="AG270" s="7"/>
    </row>
    <row r="271" spans="32:33" ht="14" x14ac:dyDescent="0.2">
      <c r="AF271" s="1"/>
      <c r="AG271" s="7"/>
    </row>
    <row r="272" spans="32:33" ht="14" x14ac:dyDescent="0.2">
      <c r="AF272" s="1"/>
      <c r="AG272" s="7"/>
    </row>
    <row r="273" spans="32:33" ht="14" x14ac:dyDescent="0.2">
      <c r="AF273" s="1"/>
      <c r="AG273" s="7"/>
    </row>
    <row r="274" spans="32:33" ht="14" x14ac:dyDescent="0.2">
      <c r="AF274" s="1"/>
      <c r="AG274" s="7"/>
    </row>
    <row r="275" spans="32:33" ht="14" x14ac:dyDescent="0.2">
      <c r="AF275" s="1"/>
      <c r="AG275" s="7"/>
    </row>
    <row r="276" spans="32:33" ht="14" x14ac:dyDescent="0.2">
      <c r="AF276" s="1"/>
      <c r="AG276" s="7"/>
    </row>
    <row r="277" spans="32:33" ht="14" x14ac:dyDescent="0.2">
      <c r="AF277" s="1"/>
      <c r="AG277" s="7"/>
    </row>
    <row r="278" spans="32:33" ht="14" x14ac:dyDescent="0.2">
      <c r="AF278" s="1"/>
      <c r="AG278" s="7"/>
    </row>
    <row r="279" spans="32:33" ht="14" x14ac:dyDescent="0.2">
      <c r="AF279" s="1"/>
      <c r="AG279" s="7"/>
    </row>
    <row r="280" spans="32:33" ht="14" x14ac:dyDescent="0.2">
      <c r="AF280" s="1"/>
      <c r="AG280" s="7"/>
    </row>
    <row r="281" spans="32:33" ht="14" x14ac:dyDescent="0.2">
      <c r="AF281" s="1"/>
      <c r="AG281" s="7"/>
    </row>
    <row r="282" spans="32:33" ht="14" x14ac:dyDescent="0.2">
      <c r="AF282" s="1"/>
      <c r="AG282" s="7"/>
    </row>
    <row r="283" spans="32:33" ht="14" x14ac:dyDescent="0.2">
      <c r="AF283" s="1"/>
      <c r="AG283" s="7"/>
    </row>
    <row r="284" spans="32:33" ht="14" x14ac:dyDescent="0.2">
      <c r="AF284" s="1"/>
      <c r="AG284" s="7"/>
    </row>
    <row r="285" spans="32:33" ht="14" x14ac:dyDescent="0.2">
      <c r="AF285" s="1"/>
      <c r="AG285" s="7"/>
    </row>
    <row r="286" spans="32:33" ht="14" x14ac:dyDescent="0.2">
      <c r="AF286" s="1"/>
      <c r="AG286" s="7"/>
    </row>
    <row r="287" spans="32:33" ht="14" x14ac:dyDescent="0.2">
      <c r="AF287" s="1"/>
      <c r="AG287" s="7"/>
    </row>
    <row r="288" spans="32:33" ht="14" x14ac:dyDescent="0.2">
      <c r="AF288" s="1"/>
      <c r="AG288" s="7"/>
    </row>
    <row r="289" spans="32:33" ht="14" x14ac:dyDescent="0.2">
      <c r="AF289" s="1"/>
      <c r="AG289" s="7"/>
    </row>
    <row r="290" spans="32:33" ht="14" x14ac:dyDescent="0.2">
      <c r="AF290" s="1"/>
      <c r="AG290" s="7"/>
    </row>
    <row r="291" spans="32:33" ht="14" x14ac:dyDescent="0.2">
      <c r="AF291" s="1"/>
      <c r="AG291" s="7"/>
    </row>
    <row r="292" spans="32:33" ht="14" x14ac:dyDescent="0.2">
      <c r="AF292" s="1"/>
      <c r="AG292" s="7"/>
    </row>
    <row r="293" spans="32:33" ht="14" x14ac:dyDescent="0.2">
      <c r="AF293" s="1"/>
      <c r="AG293" s="7"/>
    </row>
    <row r="294" spans="32:33" ht="14" x14ac:dyDescent="0.2">
      <c r="AF294" s="1"/>
      <c r="AG294" s="7"/>
    </row>
    <row r="295" spans="32:33" ht="14" x14ac:dyDescent="0.2">
      <c r="AF295" s="1"/>
      <c r="AG295" s="7"/>
    </row>
    <row r="296" spans="32:33" ht="14" x14ac:dyDescent="0.2">
      <c r="AF296" s="1"/>
      <c r="AG296" s="7"/>
    </row>
    <row r="297" spans="32:33" ht="14" x14ac:dyDescent="0.2">
      <c r="AF297" s="1"/>
      <c r="AG297" s="7"/>
    </row>
    <row r="298" spans="32:33" ht="14" x14ac:dyDescent="0.2">
      <c r="AF298" s="1"/>
      <c r="AG298" s="7"/>
    </row>
    <row r="299" spans="32:33" ht="14" x14ac:dyDescent="0.2">
      <c r="AF299" s="1"/>
      <c r="AG299" s="7"/>
    </row>
    <row r="300" spans="32:33" ht="14" x14ac:dyDescent="0.2">
      <c r="AF300" s="1"/>
      <c r="AG300" s="7"/>
    </row>
    <row r="301" spans="32:33" ht="14" x14ac:dyDescent="0.2">
      <c r="AF301" s="1"/>
      <c r="AG301" s="7"/>
    </row>
    <row r="302" spans="32:33" ht="14" x14ac:dyDescent="0.2">
      <c r="AF302" s="1"/>
      <c r="AG302" s="7"/>
    </row>
    <row r="303" spans="32:33" ht="14" x14ac:dyDescent="0.2">
      <c r="AF303" s="1"/>
      <c r="AG303" s="7"/>
    </row>
    <row r="304" spans="32:33" ht="14" x14ac:dyDescent="0.2">
      <c r="AF304" s="1"/>
      <c r="AG304" s="7"/>
    </row>
    <row r="305" spans="32:33" ht="14" x14ac:dyDescent="0.2">
      <c r="AF305" s="1"/>
      <c r="AG305" s="7"/>
    </row>
    <row r="306" spans="32:33" ht="14" x14ac:dyDescent="0.2">
      <c r="AF306" s="1"/>
      <c r="AG306" s="7"/>
    </row>
    <row r="307" spans="32:33" ht="14" x14ac:dyDescent="0.2">
      <c r="AF307" s="1"/>
      <c r="AG307" s="7"/>
    </row>
    <row r="308" spans="32:33" ht="14" x14ac:dyDescent="0.2">
      <c r="AF308" s="1"/>
      <c r="AG308" s="7"/>
    </row>
    <row r="309" spans="32:33" ht="14" x14ac:dyDescent="0.2">
      <c r="AF309" s="1"/>
      <c r="AG309" s="7"/>
    </row>
    <row r="310" spans="32:33" ht="14" x14ac:dyDescent="0.2">
      <c r="AF310" s="1"/>
      <c r="AG310" s="7"/>
    </row>
    <row r="311" spans="32:33" ht="14" x14ac:dyDescent="0.2">
      <c r="AF311" s="1"/>
      <c r="AG311" s="7"/>
    </row>
    <row r="312" spans="32:33" ht="14" x14ac:dyDescent="0.2">
      <c r="AF312" s="1"/>
      <c r="AG312" s="7"/>
    </row>
    <row r="313" spans="32:33" ht="14" x14ac:dyDescent="0.2">
      <c r="AF313" s="1"/>
      <c r="AG313" s="7"/>
    </row>
    <row r="314" spans="32:33" ht="14" x14ac:dyDescent="0.2">
      <c r="AF314" s="1"/>
      <c r="AG314" s="7"/>
    </row>
    <row r="315" spans="32:33" ht="14" x14ac:dyDescent="0.2">
      <c r="AF315" s="1"/>
      <c r="AG315" s="7"/>
    </row>
    <row r="316" spans="32:33" ht="14" x14ac:dyDescent="0.2">
      <c r="AF316" s="1"/>
      <c r="AG316" s="7"/>
    </row>
    <row r="317" spans="32:33" ht="14" x14ac:dyDescent="0.2">
      <c r="AF317" s="1"/>
      <c r="AG317" s="7"/>
    </row>
    <row r="318" spans="32:33" ht="14" x14ac:dyDescent="0.2">
      <c r="AF318" s="1"/>
      <c r="AG318" s="7"/>
    </row>
    <row r="319" spans="32:33" ht="14" x14ac:dyDescent="0.2">
      <c r="AF319" s="1"/>
      <c r="AG319" s="7"/>
    </row>
    <row r="320" spans="32:33" ht="14" x14ac:dyDescent="0.2">
      <c r="AF320" s="1"/>
      <c r="AG320" s="7"/>
    </row>
    <row r="321" spans="32:33" ht="14" x14ac:dyDescent="0.2">
      <c r="AF321" s="1"/>
      <c r="AG321" s="7"/>
    </row>
    <row r="322" spans="32:33" ht="14" x14ac:dyDescent="0.2">
      <c r="AF322" s="1"/>
      <c r="AG322" s="7"/>
    </row>
    <row r="323" spans="32:33" ht="14" x14ac:dyDescent="0.2">
      <c r="AF323" s="1"/>
      <c r="AG323" s="7"/>
    </row>
    <row r="324" spans="32:33" ht="14" x14ac:dyDescent="0.2">
      <c r="AF324" s="1"/>
      <c r="AG324" s="7"/>
    </row>
    <row r="325" spans="32:33" ht="14" x14ac:dyDescent="0.2">
      <c r="AF325" s="1"/>
      <c r="AG325" s="7"/>
    </row>
    <row r="326" spans="32:33" ht="14" x14ac:dyDescent="0.2">
      <c r="AF326" s="1"/>
      <c r="AG326" s="7"/>
    </row>
    <row r="327" spans="32:33" ht="14" x14ac:dyDescent="0.2">
      <c r="AF327" s="1"/>
      <c r="AG327" s="7"/>
    </row>
    <row r="328" spans="32:33" ht="14" x14ac:dyDescent="0.2">
      <c r="AF328" s="1"/>
      <c r="AG328" s="7"/>
    </row>
    <row r="329" spans="32:33" ht="14" x14ac:dyDescent="0.2">
      <c r="AF329" s="1"/>
      <c r="AG329" s="7"/>
    </row>
    <row r="330" spans="32:33" ht="14" x14ac:dyDescent="0.2">
      <c r="AF330" s="1"/>
      <c r="AG330" s="7"/>
    </row>
    <row r="331" spans="32:33" ht="14" x14ac:dyDescent="0.2">
      <c r="AF331" s="1"/>
      <c r="AG331" s="7"/>
    </row>
    <row r="332" spans="32:33" ht="14" x14ac:dyDescent="0.2">
      <c r="AF332" s="1"/>
      <c r="AG332" s="7"/>
    </row>
    <row r="333" spans="32:33" ht="14" x14ac:dyDescent="0.2">
      <c r="AF333" s="1"/>
      <c r="AG333" s="7"/>
    </row>
    <row r="334" spans="32:33" ht="14" x14ac:dyDescent="0.2">
      <c r="AF334" s="1"/>
      <c r="AG334" s="7"/>
    </row>
    <row r="335" spans="32:33" ht="14" x14ac:dyDescent="0.2">
      <c r="AF335" s="1"/>
      <c r="AG335" s="7"/>
    </row>
    <row r="336" spans="32:33" ht="14" x14ac:dyDescent="0.2">
      <c r="AF336" s="1"/>
      <c r="AG336" s="7"/>
    </row>
    <row r="337" spans="32:33" ht="14" x14ac:dyDescent="0.2">
      <c r="AF337" s="1"/>
      <c r="AG337" s="7"/>
    </row>
    <row r="338" spans="32:33" ht="14" x14ac:dyDescent="0.2">
      <c r="AF338" s="1"/>
      <c r="AG338" s="7"/>
    </row>
    <row r="339" spans="32:33" ht="14" x14ac:dyDescent="0.2">
      <c r="AF339" s="1"/>
      <c r="AG339" s="7"/>
    </row>
    <row r="340" spans="32:33" ht="14" x14ac:dyDescent="0.2">
      <c r="AF340" s="1"/>
      <c r="AG340" s="7"/>
    </row>
    <row r="341" spans="32:33" ht="14" x14ac:dyDescent="0.2">
      <c r="AF341" s="1"/>
      <c r="AG341" s="7"/>
    </row>
    <row r="342" spans="32:33" ht="14" x14ac:dyDescent="0.2">
      <c r="AF342" s="1"/>
      <c r="AG342" s="7"/>
    </row>
    <row r="343" spans="32:33" ht="14" x14ac:dyDescent="0.2">
      <c r="AF343" s="1"/>
      <c r="AG343" s="7"/>
    </row>
    <row r="344" spans="32:33" ht="14" x14ac:dyDescent="0.2">
      <c r="AF344" s="1"/>
      <c r="AG344" s="7"/>
    </row>
    <row r="345" spans="32:33" ht="14" x14ac:dyDescent="0.2">
      <c r="AF345" s="1"/>
      <c r="AG345" s="7"/>
    </row>
    <row r="346" spans="32:33" ht="14" x14ac:dyDescent="0.2">
      <c r="AF346" s="1"/>
      <c r="AG346" s="7"/>
    </row>
    <row r="347" spans="32:33" ht="14" x14ac:dyDescent="0.2">
      <c r="AF347" s="1"/>
      <c r="AG347" s="7"/>
    </row>
    <row r="348" spans="32:33" ht="14" x14ac:dyDescent="0.2">
      <c r="AF348" s="1"/>
      <c r="AG348" s="7"/>
    </row>
    <row r="349" spans="32:33" ht="14" x14ac:dyDescent="0.2">
      <c r="AF349" s="1"/>
      <c r="AG349" s="7"/>
    </row>
    <row r="350" spans="32:33" ht="14" x14ac:dyDescent="0.2">
      <c r="AF350" s="1"/>
      <c r="AG350" s="7"/>
    </row>
    <row r="351" spans="32:33" ht="14" x14ac:dyDescent="0.2">
      <c r="AF351" s="1"/>
      <c r="AG351" s="7"/>
    </row>
    <row r="352" spans="32:33" ht="14" x14ac:dyDescent="0.2">
      <c r="AF352" s="1"/>
      <c r="AG352" s="7"/>
    </row>
    <row r="353" spans="32:33" ht="14" x14ac:dyDescent="0.2">
      <c r="AF353" s="1"/>
      <c r="AG353" s="7"/>
    </row>
    <row r="354" spans="32:33" ht="14" x14ac:dyDescent="0.2">
      <c r="AF354" s="1"/>
      <c r="AG354" s="7"/>
    </row>
    <row r="355" spans="32:33" ht="14" x14ac:dyDescent="0.2">
      <c r="AF355" s="1"/>
      <c r="AG355" s="7"/>
    </row>
    <row r="356" spans="32:33" ht="14" x14ac:dyDescent="0.2">
      <c r="AF356" s="1"/>
      <c r="AG356" s="7"/>
    </row>
    <row r="357" spans="32:33" ht="14" x14ac:dyDescent="0.2">
      <c r="AF357" s="1"/>
      <c r="AG357" s="7"/>
    </row>
    <row r="358" spans="32:33" ht="14" x14ac:dyDescent="0.2">
      <c r="AF358" s="1"/>
      <c r="AG358" s="7"/>
    </row>
    <row r="359" spans="32:33" ht="14" x14ac:dyDescent="0.2">
      <c r="AF359" s="1"/>
      <c r="AG359" s="7"/>
    </row>
    <row r="360" spans="32:33" ht="14" x14ac:dyDescent="0.2">
      <c r="AF360" s="1"/>
      <c r="AG360" s="7"/>
    </row>
    <row r="361" spans="32:33" ht="14" x14ac:dyDescent="0.2">
      <c r="AF361" s="1"/>
      <c r="AG361" s="7"/>
    </row>
    <row r="362" spans="32:33" ht="14" x14ac:dyDescent="0.2">
      <c r="AF362" s="1"/>
      <c r="AG362" s="7"/>
    </row>
    <row r="363" spans="32:33" ht="14" x14ac:dyDescent="0.2">
      <c r="AF363" s="1"/>
      <c r="AG363" s="7"/>
    </row>
    <row r="364" spans="32:33" ht="14" x14ac:dyDescent="0.2">
      <c r="AF364" s="1"/>
      <c r="AG364" s="7"/>
    </row>
    <row r="365" spans="32:33" ht="14" x14ac:dyDescent="0.2">
      <c r="AF365" s="1"/>
      <c r="AG365" s="7"/>
    </row>
    <row r="366" spans="32:33" ht="14" x14ac:dyDescent="0.2">
      <c r="AF366" s="1"/>
      <c r="AG366" s="7"/>
    </row>
    <row r="367" spans="32:33" ht="14" x14ac:dyDescent="0.2">
      <c r="AF367" s="1"/>
      <c r="AG367" s="7"/>
    </row>
    <row r="368" spans="32:33" ht="14" x14ac:dyDescent="0.2">
      <c r="AF368" s="1"/>
      <c r="AG368" s="7"/>
    </row>
    <row r="369" spans="32:33" ht="14" x14ac:dyDescent="0.2">
      <c r="AF369" s="1"/>
      <c r="AG369" s="7"/>
    </row>
    <row r="370" spans="32:33" ht="14" x14ac:dyDescent="0.2">
      <c r="AF370" s="1"/>
      <c r="AG370" s="7"/>
    </row>
    <row r="371" spans="32:33" ht="14" x14ac:dyDescent="0.2">
      <c r="AF371" s="1"/>
      <c r="AG371" s="7"/>
    </row>
    <row r="372" spans="32:33" ht="14" x14ac:dyDescent="0.2">
      <c r="AF372" s="1"/>
      <c r="AG372" s="7"/>
    </row>
    <row r="373" spans="32:33" ht="14" x14ac:dyDescent="0.2">
      <c r="AF373" s="1"/>
      <c r="AG373" s="7"/>
    </row>
    <row r="374" spans="32:33" ht="14" x14ac:dyDescent="0.2">
      <c r="AF374" s="1"/>
      <c r="AG374" s="7"/>
    </row>
    <row r="375" spans="32:33" ht="14" x14ac:dyDescent="0.2">
      <c r="AF375" s="1"/>
      <c r="AG375" s="7"/>
    </row>
    <row r="376" spans="32:33" ht="14" x14ac:dyDescent="0.2">
      <c r="AF376" s="1"/>
      <c r="AG376" s="7"/>
    </row>
    <row r="377" spans="32:33" ht="14" x14ac:dyDescent="0.2">
      <c r="AF377" s="1"/>
      <c r="AG377" s="7"/>
    </row>
    <row r="378" spans="32:33" ht="14" x14ac:dyDescent="0.2">
      <c r="AF378" s="1"/>
      <c r="AG378" s="7"/>
    </row>
    <row r="379" spans="32:33" ht="14" x14ac:dyDescent="0.2">
      <c r="AF379" s="1"/>
      <c r="AG379" s="7"/>
    </row>
    <row r="380" spans="32:33" ht="14" x14ac:dyDescent="0.2">
      <c r="AF380" s="1"/>
      <c r="AG380" s="7"/>
    </row>
    <row r="381" spans="32:33" ht="14" x14ac:dyDescent="0.2">
      <c r="AF381" s="1"/>
      <c r="AG381" s="7"/>
    </row>
    <row r="382" spans="32:33" ht="14" x14ac:dyDescent="0.2">
      <c r="AF382" s="1"/>
      <c r="AG382" s="7"/>
    </row>
    <row r="383" spans="32:33" ht="14" x14ac:dyDescent="0.2">
      <c r="AF383" s="1"/>
      <c r="AG383" s="7"/>
    </row>
    <row r="384" spans="32:33" ht="14" x14ac:dyDescent="0.2">
      <c r="AF384" s="1"/>
      <c r="AG384" s="7"/>
    </row>
    <row r="385" spans="32:33" ht="14" x14ac:dyDescent="0.2">
      <c r="AF385" s="1"/>
      <c r="AG385" s="7"/>
    </row>
    <row r="386" spans="32:33" ht="14" x14ac:dyDescent="0.2">
      <c r="AF386" s="1"/>
      <c r="AG386" s="7"/>
    </row>
    <row r="387" spans="32:33" ht="14" x14ac:dyDescent="0.2">
      <c r="AF387" s="1"/>
      <c r="AG387" s="7"/>
    </row>
    <row r="388" spans="32:33" ht="14" x14ac:dyDescent="0.2">
      <c r="AF388" s="1"/>
      <c r="AG388" s="7"/>
    </row>
    <row r="389" spans="32:33" ht="14" x14ac:dyDescent="0.2">
      <c r="AF389" s="1"/>
      <c r="AG389" s="7"/>
    </row>
    <row r="390" spans="32:33" ht="14" x14ac:dyDescent="0.2">
      <c r="AF390" s="1"/>
      <c r="AG390" s="7"/>
    </row>
    <row r="391" spans="32:33" ht="14" x14ac:dyDescent="0.2">
      <c r="AF391" s="1"/>
      <c r="AG391" s="7"/>
    </row>
    <row r="392" spans="32:33" ht="14" x14ac:dyDescent="0.2">
      <c r="AF392" s="1"/>
      <c r="AG392" s="7"/>
    </row>
    <row r="393" spans="32:33" ht="14" x14ac:dyDescent="0.2">
      <c r="AF393" s="1"/>
      <c r="AG393" s="7"/>
    </row>
    <row r="394" spans="32:33" ht="14" x14ac:dyDescent="0.2">
      <c r="AF394" s="1"/>
      <c r="AG394" s="7"/>
    </row>
    <row r="395" spans="32:33" ht="14" x14ac:dyDescent="0.2">
      <c r="AF395" s="1"/>
      <c r="AG395" s="7"/>
    </row>
    <row r="396" spans="32:33" ht="14" x14ac:dyDescent="0.2">
      <c r="AF396" s="1"/>
      <c r="AG396" s="7"/>
    </row>
    <row r="397" spans="32:33" ht="14" x14ac:dyDescent="0.2">
      <c r="AF397" s="1"/>
      <c r="AG397" s="7"/>
    </row>
    <row r="398" spans="32:33" ht="14" x14ac:dyDescent="0.2">
      <c r="AF398" s="1"/>
      <c r="AG398" s="7"/>
    </row>
    <row r="399" spans="32:33" ht="14" x14ac:dyDescent="0.2">
      <c r="AF399" s="1"/>
      <c r="AG399" s="7"/>
    </row>
    <row r="400" spans="32:33" ht="14" x14ac:dyDescent="0.2">
      <c r="AF400" s="1"/>
      <c r="AG400" s="7"/>
    </row>
    <row r="401" spans="32:33" ht="14" x14ac:dyDescent="0.2">
      <c r="AF401" s="1"/>
      <c r="AG401" s="7"/>
    </row>
    <row r="402" spans="32:33" ht="14" x14ac:dyDescent="0.2">
      <c r="AF402" s="1"/>
      <c r="AG402" s="7"/>
    </row>
    <row r="403" spans="32:33" ht="14" x14ac:dyDescent="0.2">
      <c r="AF403" s="1"/>
      <c r="AG403" s="7"/>
    </row>
    <row r="404" spans="32:33" ht="14" x14ac:dyDescent="0.2">
      <c r="AF404" s="1"/>
      <c r="AG404" s="7"/>
    </row>
    <row r="405" spans="32:33" ht="14" x14ac:dyDescent="0.2">
      <c r="AF405" s="1"/>
      <c r="AG405" s="7"/>
    </row>
    <row r="406" spans="32:33" ht="14" x14ac:dyDescent="0.2">
      <c r="AF406" s="1"/>
      <c r="AG406" s="7"/>
    </row>
    <row r="407" spans="32:33" ht="14" x14ac:dyDescent="0.2">
      <c r="AF407" s="1"/>
      <c r="AG407" s="7"/>
    </row>
    <row r="408" spans="32:33" ht="14" x14ac:dyDescent="0.2">
      <c r="AF408" s="1"/>
      <c r="AG408" s="7"/>
    </row>
    <row r="409" spans="32:33" ht="14" x14ac:dyDescent="0.2">
      <c r="AF409" s="1"/>
      <c r="AG409" s="7"/>
    </row>
    <row r="410" spans="32:33" ht="14" x14ac:dyDescent="0.2">
      <c r="AF410" s="1"/>
      <c r="AG410" s="7"/>
    </row>
    <row r="411" spans="32:33" ht="14" x14ac:dyDescent="0.2">
      <c r="AF411" s="1"/>
      <c r="AG411" s="7"/>
    </row>
    <row r="412" spans="32:33" ht="14" x14ac:dyDescent="0.2">
      <c r="AF412" s="1"/>
      <c r="AG412" s="7"/>
    </row>
    <row r="413" spans="32:33" ht="14" x14ac:dyDescent="0.2">
      <c r="AF413" s="1"/>
      <c r="AG413" s="7"/>
    </row>
    <row r="414" spans="32:33" ht="14" x14ac:dyDescent="0.2">
      <c r="AF414" s="1"/>
      <c r="AG414" s="7"/>
    </row>
    <row r="415" spans="32:33" ht="14" x14ac:dyDescent="0.2">
      <c r="AF415" s="1"/>
      <c r="AG415" s="7"/>
    </row>
    <row r="416" spans="32:33" ht="14" x14ac:dyDescent="0.2">
      <c r="AF416" s="1"/>
      <c r="AG416" s="7"/>
    </row>
    <row r="417" spans="32:33" ht="14" x14ac:dyDescent="0.2">
      <c r="AF417" s="1"/>
      <c r="AG417" s="7"/>
    </row>
    <row r="418" spans="32:33" ht="14" x14ac:dyDescent="0.2">
      <c r="AF418" s="1"/>
      <c r="AG418" s="7"/>
    </row>
    <row r="419" spans="32:33" ht="14" x14ac:dyDescent="0.2">
      <c r="AF419" s="1"/>
      <c r="AG419" s="7"/>
    </row>
    <row r="420" spans="32:33" ht="14" x14ac:dyDescent="0.2">
      <c r="AF420" s="1"/>
      <c r="AG420" s="7"/>
    </row>
    <row r="421" spans="32:33" ht="14" x14ac:dyDescent="0.2">
      <c r="AF421" s="1"/>
      <c r="AG421" s="7"/>
    </row>
    <row r="422" spans="32:33" ht="14" x14ac:dyDescent="0.2">
      <c r="AF422" s="1"/>
      <c r="AG422" s="7"/>
    </row>
    <row r="423" spans="32:33" ht="14" x14ac:dyDescent="0.2">
      <c r="AF423" s="1"/>
      <c r="AG423" s="7"/>
    </row>
    <row r="424" spans="32:33" ht="14" x14ac:dyDescent="0.2">
      <c r="AF424" s="1"/>
      <c r="AG424" s="7"/>
    </row>
    <row r="425" spans="32:33" ht="14" x14ac:dyDescent="0.2">
      <c r="AF425" s="1"/>
      <c r="AG425" s="7"/>
    </row>
    <row r="426" spans="32:33" ht="14" x14ac:dyDescent="0.2">
      <c r="AF426" s="1"/>
      <c r="AG426" s="7"/>
    </row>
    <row r="427" spans="32:33" ht="14" x14ac:dyDescent="0.2">
      <c r="AF427" s="1"/>
      <c r="AG427" s="7"/>
    </row>
    <row r="428" spans="32:33" ht="14" x14ac:dyDescent="0.2">
      <c r="AF428" s="1"/>
      <c r="AG428" s="7"/>
    </row>
    <row r="429" spans="32:33" ht="14" x14ac:dyDescent="0.2">
      <c r="AF429" s="1"/>
      <c r="AG429" s="7"/>
    </row>
    <row r="430" spans="32:33" ht="14" x14ac:dyDescent="0.2">
      <c r="AF430" s="1"/>
      <c r="AG430" s="7"/>
    </row>
    <row r="431" spans="32:33" ht="14" x14ac:dyDescent="0.2">
      <c r="AF431" s="1"/>
      <c r="AG431" s="7"/>
    </row>
    <row r="432" spans="32:33" ht="14" x14ac:dyDescent="0.2">
      <c r="AF432" s="1"/>
      <c r="AG432" s="7"/>
    </row>
    <row r="433" spans="32:33" ht="14" x14ac:dyDescent="0.2">
      <c r="AF433" s="1"/>
      <c r="AG433" s="7"/>
    </row>
    <row r="434" spans="32:33" ht="14" x14ac:dyDescent="0.2">
      <c r="AF434" s="1"/>
      <c r="AG434" s="7"/>
    </row>
    <row r="435" spans="32:33" ht="14" x14ac:dyDescent="0.2">
      <c r="AF435" s="1"/>
      <c r="AG435" s="7"/>
    </row>
    <row r="436" spans="32:33" ht="14" x14ac:dyDescent="0.2">
      <c r="AF436" s="1"/>
      <c r="AG436" s="7"/>
    </row>
    <row r="437" spans="32:33" ht="14" x14ac:dyDescent="0.2">
      <c r="AF437" s="1"/>
      <c r="AG437" s="7"/>
    </row>
    <row r="438" spans="32:33" ht="14" x14ac:dyDescent="0.2">
      <c r="AF438" s="1"/>
      <c r="AG438" s="7"/>
    </row>
    <row r="439" spans="32:33" ht="14" x14ac:dyDescent="0.2">
      <c r="AF439" s="1"/>
      <c r="AG439" s="7"/>
    </row>
    <row r="440" spans="32:33" ht="14" x14ac:dyDescent="0.2">
      <c r="AF440" s="1"/>
      <c r="AG440" s="7"/>
    </row>
    <row r="441" spans="32:33" ht="14" x14ac:dyDescent="0.2">
      <c r="AF441" s="1"/>
      <c r="AG441" s="7"/>
    </row>
    <row r="442" spans="32:33" ht="14" x14ac:dyDescent="0.2">
      <c r="AF442" s="1"/>
      <c r="AG442" s="7"/>
    </row>
    <row r="443" spans="32:33" ht="14" x14ac:dyDescent="0.2">
      <c r="AF443" s="1"/>
      <c r="AG443" s="7"/>
    </row>
    <row r="444" spans="32:33" ht="14" x14ac:dyDescent="0.2">
      <c r="AF444" s="1"/>
      <c r="AG444" s="7"/>
    </row>
    <row r="445" spans="32:33" ht="14" x14ac:dyDescent="0.2">
      <c r="AF445" s="1"/>
      <c r="AG445" s="7"/>
    </row>
    <row r="446" spans="32:33" ht="14" x14ac:dyDescent="0.2">
      <c r="AF446" s="1"/>
      <c r="AG446" s="7"/>
    </row>
    <row r="447" spans="32:33" ht="14" x14ac:dyDescent="0.2">
      <c r="AF447" s="1"/>
      <c r="AG447" s="7"/>
    </row>
    <row r="448" spans="32:33" ht="14" x14ac:dyDescent="0.2">
      <c r="AF448" s="1"/>
      <c r="AG448" s="7"/>
    </row>
    <row r="449" spans="32:33" ht="14" x14ac:dyDescent="0.2">
      <c r="AF449" s="1"/>
      <c r="AG449" s="7"/>
    </row>
    <row r="450" spans="32:33" ht="14" x14ac:dyDescent="0.2">
      <c r="AF450" s="1"/>
      <c r="AG450" s="7"/>
    </row>
    <row r="451" spans="32:33" ht="14" x14ac:dyDescent="0.2">
      <c r="AF451" s="1"/>
      <c r="AG451" s="7"/>
    </row>
    <row r="452" spans="32:33" ht="14" x14ac:dyDescent="0.2">
      <c r="AF452" s="1"/>
      <c r="AG452" s="7"/>
    </row>
    <row r="453" spans="32:33" ht="14" x14ac:dyDescent="0.2">
      <c r="AF453" s="1"/>
      <c r="AG453" s="7"/>
    </row>
    <row r="454" spans="32:33" ht="14" x14ac:dyDescent="0.2">
      <c r="AF454" s="1"/>
      <c r="AG454" s="7"/>
    </row>
    <row r="455" spans="32:33" ht="14" x14ac:dyDescent="0.2">
      <c r="AF455" s="1"/>
      <c r="AG455" s="7"/>
    </row>
    <row r="456" spans="32:33" ht="14" x14ac:dyDescent="0.2">
      <c r="AF456" s="1"/>
      <c r="AG456" s="7"/>
    </row>
    <row r="457" spans="32:33" ht="14" x14ac:dyDescent="0.2">
      <c r="AF457" s="1"/>
      <c r="AG457" s="7"/>
    </row>
    <row r="458" spans="32:33" ht="14" x14ac:dyDescent="0.2">
      <c r="AF458" s="1"/>
      <c r="AG458" s="7"/>
    </row>
    <row r="459" spans="32:33" ht="14" x14ac:dyDescent="0.2">
      <c r="AF459" s="1"/>
      <c r="AG459" s="7"/>
    </row>
    <row r="460" spans="32:33" ht="14" x14ac:dyDescent="0.2">
      <c r="AF460" s="1"/>
      <c r="AG460" s="7"/>
    </row>
    <row r="461" spans="32:33" ht="14" x14ac:dyDescent="0.2">
      <c r="AF461" s="1"/>
      <c r="AG461" s="7"/>
    </row>
    <row r="462" spans="32:33" ht="14" x14ac:dyDescent="0.2">
      <c r="AF462" s="1"/>
      <c r="AG462" s="7"/>
    </row>
    <row r="463" spans="32:33" ht="14" x14ac:dyDescent="0.2">
      <c r="AF463" s="1"/>
      <c r="AG463" s="7"/>
    </row>
    <row r="464" spans="32:33" ht="14" x14ac:dyDescent="0.2">
      <c r="AF464" s="1"/>
      <c r="AG464" s="7"/>
    </row>
    <row r="465" spans="32:33" ht="14" x14ac:dyDescent="0.2">
      <c r="AF465" s="1"/>
      <c r="AG465" s="7"/>
    </row>
    <row r="466" spans="32:33" ht="14" x14ac:dyDescent="0.2">
      <c r="AF466" s="1"/>
      <c r="AG466" s="7"/>
    </row>
    <row r="467" spans="32:33" ht="14" x14ac:dyDescent="0.2">
      <c r="AF467" s="1"/>
      <c r="AG467" s="7"/>
    </row>
    <row r="468" spans="32:33" ht="14" x14ac:dyDescent="0.2">
      <c r="AF468" s="1"/>
      <c r="AG468" s="7"/>
    </row>
    <row r="469" spans="32:33" ht="14" x14ac:dyDescent="0.2">
      <c r="AF469" s="1"/>
      <c r="AG469" s="7"/>
    </row>
    <row r="470" spans="32:33" ht="14" x14ac:dyDescent="0.2">
      <c r="AF470" s="1"/>
      <c r="AG470" s="7"/>
    </row>
    <row r="471" spans="32:33" ht="14" x14ac:dyDescent="0.2">
      <c r="AF471" s="1"/>
      <c r="AG471" s="7"/>
    </row>
    <row r="472" spans="32:33" ht="14" x14ac:dyDescent="0.2">
      <c r="AF472" s="1"/>
      <c r="AG472" s="7"/>
    </row>
    <row r="473" spans="32:33" ht="14" x14ac:dyDescent="0.2">
      <c r="AF473" s="1"/>
      <c r="AG473" s="7"/>
    </row>
    <row r="474" spans="32:33" ht="14" x14ac:dyDescent="0.2">
      <c r="AF474" s="1"/>
      <c r="AG474" s="7"/>
    </row>
    <row r="475" spans="32:33" ht="14" x14ac:dyDescent="0.2">
      <c r="AF475" s="1"/>
      <c r="AG475" s="7"/>
    </row>
    <row r="476" spans="32:33" ht="14" x14ac:dyDescent="0.2">
      <c r="AF476" s="1"/>
      <c r="AG476" s="7"/>
    </row>
    <row r="477" spans="32:33" ht="14" x14ac:dyDescent="0.2">
      <c r="AF477" s="1"/>
      <c r="AG477" s="7"/>
    </row>
    <row r="478" spans="32:33" ht="14" x14ac:dyDescent="0.2">
      <c r="AF478" s="1"/>
      <c r="AG478" s="7"/>
    </row>
    <row r="479" spans="32:33" ht="14" x14ac:dyDescent="0.2">
      <c r="AF479" s="1"/>
      <c r="AG479" s="7"/>
    </row>
    <row r="480" spans="32:33" ht="14" x14ac:dyDescent="0.2">
      <c r="AF480" s="1"/>
      <c r="AG480" s="7"/>
    </row>
    <row r="481" spans="32:33" ht="14" x14ac:dyDescent="0.2">
      <c r="AF481" s="1"/>
      <c r="AG481" s="7"/>
    </row>
    <row r="482" spans="32:33" ht="14" x14ac:dyDescent="0.2">
      <c r="AF482" s="1"/>
      <c r="AG482" s="7"/>
    </row>
    <row r="483" spans="32:33" ht="14" x14ac:dyDescent="0.2">
      <c r="AF483" s="1"/>
      <c r="AG483" s="7"/>
    </row>
    <row r="484" spans="32:33" ht="14" x14ac:dyDescent="0.2">
      <c r="AF484" s="1"/>
      <c r="AG484" s="7"/>
    </row>
    <row r="485" spans="32:33" ht="14" x14ac:dyDescent="0.2">
      <c r="AF485" s="1"/>
      <c r="AG485" s="7"/>
    </row>
    <row r="486" spans="32:33" ht="14" x14ac:dyDescent="0.2">
      <c r="AF486" s="1"/>
      <c r="AG486" s="7"/>
    </row>
    <row r="487" spans="32:33" ht="14" x14ac:dyDescent="0.2">
      <c r="AF487" s="1"/>
      <c r="AG487" s="7"/>
    </row>
    <row r="488" spans="32:33" ht="14" x14ac:dyDescent="0.2">
      <c r="AF488" s="1"/>
      <c r="AG488" s="7"/>
    </row>
    <row r="489" spans="32:33" ht="14" x14ac:dyDescent="0.2">
      <c r="AF489" s="1"/>
      <c r="AG489" s="7"/>
    </row>
    <row r="490" spans="32:33" ht="14" x14ac:dyDescent="0.2">
      <c r="AF490" s="1"/>
      <c r="AG490" s="7"/>
    </row>
    <row r="491" spans="32:33" ht="14" x14ac:dyDescent="0.2">
      <c r="AF491" s="1"/>
      <c r="AG491" s="7"/>
    </row>
    <row r="492" spans="32:33" ht="14" x14ac:dyDescent="0.2">
      <c r="AF492" s="1"/>
      <c r="AG492" s="7"/>
    </row>
    <row r="493" spans="32:33" ht="14" x14ac:dyDescent="0.2">
      <c r="AF493" s="1"/>
      <c r="AG493" s="7"/>
    </row>
    <row r="494" spans="32:33" ht="14" x14ac:dyDescent="0.2">
      <c r="AF494" s="1"/>
      <c r="AG494" s="7"/>
    </row>
    <row r="495" spans="32:33" ht="14" x14ac:dyDescent="0.2">
      <c r="AF495" s="1"/>
      <c r="AG495" s="7"/>
    </row>
    <row r="496" spans="32:33" ht="14" x14ac:dyDescent="0.2">
      <c r="AF496" s="1"/>
      <c r="AG496" s="7"/>
    </row>
    <row r="497" spans="32:33" ht="14" x14ac:dyDescent="0.2">
      <c r="AF497" s="1"/>
      <c r="AG497" s="7"/>
    </row>
    <row r="498" spans="32:33" ht="14" x14ac:dyDescent="0.2">
      <c r="AF498" s="1"/>
      <c r="AG498" s="7"/>
    </row>
    <row r="499" spans="32:33" ht="14" x14ac:dyDescent="0.2">
      <c r="AF499" s="1"/>
      <c r="AG499" s="7"/>
    </row>
    <row r="500" spans="32:33" ht="14" x14ac:dyDescent="0.2">
      <c r="AF500" s="1"/>
      <c r="AG500" s="7"/>
    </row>
    <row r="501" spans="32:33" ht="14" x14ac:dyDescent="0.2">
      <c r="AF501" s="1"/>
      <c r="AG501" s="7"/>
    </row>
    <row r="502" spans="32:33" ht="14" x14ac:dyDescent="0.2">
      <c r="AF502" s="1"/>
      <c r="AG502" s="7"/>
    </row>
    <row r="503" spans="32:33" ht="14" x14ac:dyDescent="0.2">
      <c r="AF503" s="1"/>
      <c r="AG503" s="7"/>
    </row>
    <row r="504" spans="32:33" ht="14" x14ac:dyDescent="0.2">
      <c r="AF504" s="1"/>
      <c r="AG504" s="7"/>
    </row>
    <row r="505" spans="32:33" ht="14" x14ac:dyDescent="0.2">
      <c r="AF505" s="1"/>
      <c r="AG505" s="7"/>
    </row>
    <row r="506" spans="32:33" ht="14" x14ac:dyDescent="0.2">
      <c r="AF506" s="1"/>
      <c r="AG506" s="7"/>
    </row>
    <row r="507" spans="32:33" ht="14" x14ac:dyDescent="0.2">
      <c r="AF507" s="1"/>
      <c r="AG507" s="7"/>
    </row>
    <row r="508" spans="32:33" ht="14" x14ac:dyDescent="0.2">
      <c r="AF508" s="1"/>
      <c r="AG508" s="7"/>
    </row>
    <row r="509" spans="32:33" ht="14" x14ac:dyDescent="0.2">
      <c r="AF509" s="1"/>
      <c r="AG509" s="7"/>
    </row>
    <row r="510" spans="32:33" ht="14" x14ac:dyDescent="0.2">
      <c r="AF510" s="1"/>
      <c r="AG510" s="7"/>
    </row>
    <row r="511" spans="32:33" ht="14" x14ac:dyDescent="0.2">
      <c r="AF511" s="1"/>
      <c r="AG511" s="7"/>
    </row>
    <row r="512" spans="32:33" ht="14" x14ac:dyDescent="0.2">
      <c r="AF512" s="1"/>
      <c r="AG512" s="7"/>
    </row>
    <row r="513" spans="32:33" ht="14" x14ac:dyDescent="0.2">
      <c r="AF513" s="1"/>
      <c r="AG513" s="7"/>
    </row>
    <row r="514" spans="32:33" ht="14" x14ac:dyDescent="0.2">
      <c r="AF514" s="1"/>
      <c r="AG514" s="7"/>
    </row>
    <row r="515" spans="32:33" ht="14" x14ac:dyDescent="0.2">
      <c r="AF515" s="1"/>
      <c r="AG515" s="7"/>
    </row>
    <row r="516" spans="32:33" ht="14" x14ac:dyDescent="0.2">
      <c r="AF516" s="1"/>
      <c r="AG516" s="7"/>
    </row>
    <row r="517" spans="32:33" ht="14" x14ac:dyDescent="0.2">
      <c r="AF517" s="1"/>
      <c r="AG517" s="7"/>
    </row>
    <row r="518" spans="32:33" ht="14" x14ac:dyDescent="0.2">
      <c r="AF518" s="1"/>
      <c r="AG518" s="7"/>
    </row>
    <row r="519" spans="32:33" ht="14" x14ac:dyDescent="0.2">
      <c r="AF519" s="1"/>
      <c r="AG519" s="7"/>
    </row>
    <row r="520" spans="32:33" ht="14" x14ac:dyDescent="0.2">
      <c r="AF520" s="1"/>
      <c r="AG520" s="7"/>
    </row>
    <row r="521" spans="32:33" ht="14" x14ac:dyDescent="0.2">
      <c r="AF521" s="1"/>
      <c r="AG521" s="7"/>
    </row>
    <row r="522" spans="32:33" ht="14" x14ac:dyDescent="0.2">
      <c r="AF522" s="1"/>
      <c r="AG522" s="7"/>
    </row>
    <row r="523" spans="32:33" ht="14" x14ac:dyDescent="0.2">
      <c r="AF523" s="1"/>
      <c r="AG523" s="7"/>
    </row>
    <row r="524" spans="32:33" ht="14" x14ac:dyDescent="0.2">
      <c r="AF524" s="1"/>
      <c r="AG524" s="7"/>
    </row>
    <row r="525" spans="32:33" ht="14" x14ac:dyDescent="0.2">
      <c r="AF525" s="1"/>
      <c r="AG525" s="7"/>
    </row>
    <row r="526" spans="32:33" ht="14" x14ac:dyDescent="0.2">
      <c r="AF526" s="1"/>
      <c r="AG526" s="7"/>
    </row>
    <row r="527" spans="32:33" ht="14" x14ac:dyDescent="0.2">
      <c r="AF527" s="1"/>
      <c r="AG527" s="7"/>
    </row>
    <row r="528" spans="32:33" ht="14" x14ac:dyDescent="0.2">
      <c r="AF528" s="1"/>
      <c r="AG528" s="7"/>
    </row>
    <row r="529" spans="32:33" ht="14" x14ac:dyDescent="0.2">
      <c r="AF529" s="1"/>
      <c r="AG529" s="7"/>
    </row>
    <row r="530" spans="32:33" ht="14" x14ac:dyDescent="0.2">
      <c r="AF530" s="1"/>
      <c r="AG530" s="7"/>
    </row>
    <row r="531" spans="32:33" ht="14" x14ac:dyDescent="0.2">
      <c r="AF531" s="1"/>
      <c r="AG531" s="7"/>
    </row>
    <row r="532" spans="32:33" ht="14" x14ac:dyDescent="0.2">
      <c r="AF532" s="1"/>
      <c r="AG532" s="7"/>
    </row>
    <row r="533" spans="32:33" ht="14" x14ac:dyDescent="0.2">
      <c r="AF533" s="1"/>
      <c r="AG533" s="7"/>
    </row>
    <row r="534" spans="32:33" ht="14" x14ac:dyDescent="0.2">
      <c r="AF534" s="1"/>
      <c r="AG534" s="7"/>
    </row>
    <row r="535" spans="32:33" ht="14" x14ac:dyDescent="0.2">
      <c r="AF535" s="1"/>
      <c r="AG535" s="7"/>
    </row>
    <row r="536" spans="32:33" ht="14" x14ac:dyDescent="0.2">
      <c r="AF536" s="1"/>
      <c r="AG536" s="7"/>
    </row>
    <row r="537" spans="32:33" ht="14" x14ac:dyDescent="0.2">
      <c r="AF537" s="1"/>
      <c r="AG537" s="7"/>
    </row>
    <row r="538" spans="32:33" ht="14" x14ac:dyDescent="0.2">
      <c r="AF538" s="1"/>
      <c r="AG538" s="7"/>
    </row>
    <row r="539" spans="32:33" ht="14" x14ac:dyDescent="0.2">
      <c r="AF539" s="1"/>
      <c r="AG539" s="7"/>
    </row>
    <row r="540" spans="32:33" ht="14" x14ac:dyDescent="0.2">
      <c r="AF540" s="1"/>
      <c r="AG540" s="7"/>
    </row>
    <row r="541" spans="32:33" ht="14" x14ac:dyDescent="0.2">
      <c r="AF541" s="1"/>
      <c r="AG541" s="7"/>
    </row>
    <row r="542" spans="32:33" ht="14" x14ac:dyDescent="0.2">
      <c r="AF542" s="1"/>
      <c r="AG542" s="7"/>
    </row>
    <row r="543" spans="32:33" ht="14" x14ac:dyDescent="0.2">
      <c r="AF543" s="1"/>
      <c r="AG543" s="7"/>
    </row>
    <row r="544" spans="32:33" ht="14" x14ac:dyDescent="0.2">
      <c r="AF544" s="1"/>
      <c r="AG544" s="7"/>
    </row>
    <row r="545" spans="32:33" ht="14" x14ac:dyDescent="0.2">
      <c r="AF545" s="1"/>
      <c r="AG545" s="7"/>
    </row>
    <row r="546" spans="32:33" ht="14" x14ac:dyDescent="0.2">
      <c r="AF546" s="1"/>
      <c r="AG546" s="7"/>
    </row>
    <row r="547" spans="32:33" ht="14" x14ac:dyDescent="0.2">
      <c r="AF547" s="1"/>
      <c r="AG547" s="7"/>
    </row>
    <row r="548" spans="32:33" ht="14" x14ac:dyDescent="0.2">
      <c r="AF548" s="1"/>
      <c r="AG548" s="7"/>
    </row>
    <row r="549" spans="32:33" ht="14" x14ac:dyDescent="0.2">
      <c r="AF549" s="1"/>
      <c r="AG549" s="7"/>
    </row>
    <row r="550" spans="32:33" ht="14" x14ac:dyDescent="0.2">
      <c r="AF550" s="1"/>
      <c r="AG550" s="7"/>
    </row>
    <row r="551" spans="32:33" ht="14" x14ac:dyDescent="0.2">
      <c r="AF551" s="1"/>
      <c r="AG551" s="7"/>
    </row>
    <row r="552" spans="32:33" ht="14" x14ac:dyDescent="0.2">
      <c r="AF552" s="1"/>
      <c r="AG552" s="7"/>
    </row>
    <row r="553" spans="32:33" ht="14" x14ac:dyDescent="0.2">
      <c r="AF553" s="1"/>
      <c r="AG553" s="7"/>
    </row>
    <row r="554" spans="32:33" ht="14" x14ac:dyDescent="0.2">
      <c r="AF554" s="1"/>
      <c r="AG554" s="7"/>
    </row>
    <row r="555" spans="32:33" ht="14" x14ac:dyDescent="0.2">
      <c r="AF555" s="1"/>
      <c r="AG555" s="7"/>
    </row>
    <row r="556" spans="32:33" ht="14" x14ac:dyDescent="0.2">
      <c r="AF556" s="1"/>
      <c r="AG556" s="7"/>
    </row>
    <row r="557" spans="32:33" ht="14" x14ac:dyDescent="0.2">
      <c r="AF557" s="1"/>
      <c r="AG557" s="7"/>
    </row>
    <row r="558" spans="32:33" ht="14" x14ac:dyDescent="0.2">
      <c r="AF558" s="1"/>
      <c r="AG558" s="7"/>
    </row>
    <row r="559" spans="32:33" ht="14" x14ac:dyDescent="0.2">
      <c r="AF559" s="1"/>
      <c r="AG559" s="7"/>
    </row>
    <row r="560" spans="32:33" ht="14" x14ac:dyDescent="0.2">
      <c r="AF560" s="1"/>
      <c r="AG560" s="7"/>
    </row>
    <row r="561" spans="32:33" ht="14" x14ac:dyDescent="0.2">
      <c r="AF561" s="1"/>
      <c r="AG561" s="7"/>
    </row>
    <row r="562" spans="32:33" ht="14" x14ac:dyDescent="0.2">
      <c r="AF562" s="1"/>
      <c r="AG562" s="7"/>
    </row>
    <row r="563" spans="32:33" ht="14" x14ac:dyDescent="0.2">
      <c r="AF563" s="1"/>
      <c r="AG563" s="7"/>
    </row>
    <row r="564" spans="32:33" ht="14" x14ac:dyDescent="0.2">
      <c r="AF564" s="1"/>
      <c r="AG564" s="7"/>
    </row>
    <row r="565" spans="32:33" ht="14" x14ac:dyDescent="0.2">
      <c r="AF565" s="1"/>
      <c r="AG565" s="7"/>
    </row>
    <row r="566" spans="32:33" ht="14" x14ac:dyDescent="0.2">
      <c r="AF566" s="1"/>
      <c r="AG566" s="7"/>
    </row>
    <row r="567" spans="32:33" ht="14" x14ac:dyDescent="0.2">
      <c r="AF567" s="1"/>
      <c r="AG567" s="7"/>
    </row>
    <row r="568" spans="32:33" ht="14" x14ac:dyDescent="0.2">
      <c r="AF568" s="1"/>
      <c r="AG568" s="7"/>
    </row>
    <row r="569" spans="32:33" ht="14" x14ac:dyDescent="0.2">
      <c r="AF569" s="1"/>
      <c r="AG569" s="7"/>
    </row>
    <row r="570" spans="32:33" ht="14" x14ac:dyDescent="0.2">
      <c r="AF570" s="1"/>
      <c r="AG570" s="7"/>
    </row>
    <row r="571" spans="32:33" ht="14" x14ac:dyDescent="0.2">
      <c r="AF571" s="1"/>
      <c r="AG571" s="7"/>
    </row>
    <row r="572" spans="32:33" ht="14" x14ac:dyDescent="0.2">
      <c r="AF572" s="1"/>
      <c r="AG572" s="7"/>
    </row>
    <row r="573" spans="32:33" ht="14" x14ac:dyDescent="0.2">
      <c r="AF573" s="1"/>
      <c r="AG573" s="7"/>
    </row>
    <row r="574" spans="32:33" ht="14" x14ac:dyDescent="0.2">
      <c r="AF574" s="1"/>
      <c r="AG574" s="7"/>
    </row>
    <row r="575" spans="32:33" ht="14" x14ac:dyDescent="0.2">
      <c r="AF575" s="1"/>
      <c r="AG575" s="7"/>
    </row>
    <row r="576" spans="32:33" ht="14" x14ac:dyDescent="0.2">
      <c r="AF576" s="1"/>
      <c r="AG576" s="7"/>
    </row>
    <row r="577" spans="32:33" ht="14" x14ac:dyDescent="0.2">
      <c r="AF577" s="1"/>
      <c r="AG577" s="7"/>
    </row>
    <row r="578" spans="32:33" ht="14" x14ac:dyDescent="0.2">
      <c r="AF578" s="1"/>
      <c r="AG578" s="7"/>
    </row>
    <row r="579" spans="32:33" ht="14" x14ac:dyDescent="0.2">
      <c r="AF579" s="1"/>
      <c r="AG579" s="7"/>
    </row>
    <row r="580" spans="32:33" ht="14" x14ac:dyDescent="0.2">
      <c r="AF580" s="1"/>
      <c r="AG580" s="7"/>
    </row>
    <row r="581" spans="32:33" ht="14" x14ac:dyDescent="0.2">
      <c r="AF581" s="1"/>
      <c r="AG581" s="7"/>
    </row>
    <row r="582" spans="32:33" ht="14" x14ac:dyDescent="0.2">
      <c r="AF582" s="1"/>
      <c r="AG582" s="7"/>
    </row>
    <row r="583" spans="32:33" ht="14" x14ac:dyDescent="0.2">
      <c r="AF583" s="1"/>
      <c r="AG583" s="7"/>
    </row>
    <row r="584" spans="32:33" ht="14" x14ac:dyDescent="0.2">
      <c r="AF584" s="1"/>
      <c r="AG584" s="7"/>
    </row>
    <row r="585" spans="32:33" ht="14" x14ac:dyDescent="0.2">
      <c r="AF585" s="1"/>
      <c r="AG585" s="7"/>
    </row>
    <row r="586" spans="32:33" ht="14" x14ac:dyDescent="0.2">
      <c r="AF586" s="1"/>
      <c r="AG586" s="7"/>
    </row>
    <row r="587" spans="32:33" ht="14" x14ac:dyDescent="0.2">
      <c r="AF587" s="1"/>
      <c r="AG587" s="7"/>
    </row>
    <row r="588" spans="32:33" ht="14" x14ac:dyDescent="0.2">
      <c r="AF588" s="1"/>
      <c r="AG588" s="7"/>
    </row>
    <row r="589" spans="32:33" ht="14" x14ac:dyDescent="0.2">
      <c r="AF589" s="1"/>
      <c r="AG589" s="7"/>
    </row>
    <row r="590" spans="32:33" ht="14" x14ac:dyDescent="0.2">
      <c r="AF590" s="1"/>
      <c r="AG590" s="7"/>
    </row>
    <row r="591" spans="32:33" ht="14" x14ac:dyDescent="0.2">
      <c r="AF591" s="1"/>
      <c r="AG591" s="7"/>
    </row>
    <row r="592" spans="32:33" ht="14" x14ac:dyDescent="0.2">
      <c r="AF592" s="1"/>
      <c r="AG592" s="7"/>
    </row>
    <row r="593" spans="32:33" ht="14" x14ac:dyDescent="0.2">
      <c r="AF593" s="1"/>
      <c r="AG593" s="7"/>
    </row>
    <row r="594" spans="32:33" ht="14" x14ac:dyDescent="0.2">
      <c r="AF594" s="1"/>
      <c r="AG594" s="7"/>
    </row>
    <row r="595" spans="32:33" ht="14" x14ac:dyDescent="0.2">
      <c r="AF595" s="1"/>
      <c r="AG595" s="7"/>
    </row>
    <row r="596" spans="32:33" ht="14" x14ac:dyDescent="0.2">
      <c r="AF596" s="1"/>
      <c r="AG596" s="7"/>
    </row>
    <row r="597" spans="32:33" ht="14" x14ac:dyDescent="0.2">
      <c r="AF597" s="1"/>
      <c r="AG597" s="7"/>
    </row>
    <row r="598" spans="32:33" ht="14" x14ac:dyDescent="0.2">
      <c r="AF598" s="1"/>
      <c r="AG598" s="7"/>
    </row>
    <row r="599" spans="32:33" ht="14" x14ac:dyDescent="0.2">
      <c r="AF599" s="1"/>
      <c r="AG599" s="7"/>
    </row>
    <row r="600" spans="32:33" ht="14" x14ac:dyDescent="0.2">
      <c r="AF600" s="1"/>
      <c r="AG600" s="7"/>
    </row>
    <row r="601" spans="32:33" ht="14" x14ac:dyDescent="0.2">
      <c r="AF601" s="1"/>
      <c r="AG601" s="7"/>
    </row>
    <row r="602" spans="32:33" ht="14" x14ac:dyDescent="0.2">
      <c r="AF602" s="1"/>
      <c r="AG602" s="7"/>
    </row>
    <row r="603" spans="32:33" ht="14" x14ac:dyDescent="0.2">
      <c r="AF603" s="1"/>
      <c r="AG603" s="7"/>
    </row>
    <row r="604" spans="32:33" ht="14" x14ac:dyDescent="0.2">
      <c r="AF604" s="1"/>
      <c r="AG604" s="7"/>
    </row>
    <row r="605" spans="32:33" ht="14" x14ac:dyDescent="0.2">
      <c r="AF605" s="1"/>
      <c r="AG605" s="7"/>
    </row>
    <row r="606" spans="32:33" ht="14" x14ac:dyDescent="0.2">
      <c r="AF606" s="1"/>
      <c r="AG606" s="7"/>
    </row>
    <row r="607" spans="32:33" ht="14" x14ac:dyDescent="0.2">
      <c r="AF607" s="1"/>
      <c r="AG607" s="7"/>
    </row>
    <row r="608" spans="32:33" ht="14" x14ac:dyDescent="0.2">
      <c r="AF608" s="1"/>
      <c r="AG608" s="7"/>
    </row>
    <row r="609" spans="32:33" ht="14" x14ac:dyDescent="0.2">
      <c r="AF609" s="1"/>
      <c r="AG609" s="7"/>
    </row>
    <row r="610" spans="32:33" ht="14" x14ac:dyDescent="0.2">
      <c r="AF610" s="1"/>
      <c r="AG610" s="7"/>
    </row>
    <row r="611" spans="32:33" ht="14" x14ac:dyDescent="0.2">
      <c r="AF611" s="1"/>
      <c r="AG611" s="7"/>
    </row>
    <row r="612" spans="32:33" ht="14" x14ac:dyDescent="0.2">
      <c r="AF612" s="1"/>
      <c r="AG612" s="7"/>
    </row>
    <row r="613" spans="32:33" ht="14" x14ac:dyDescent="0.2">
      <c r="AF613" s="1"/>
      <c r="AG613" s="7"/>
    </row>
    <row r="614" spans="32:33" ht="14" x14ac:dyDescent="0.2">
      <c r="AF614" s="1"/>
      <c r="AG614" s="7"/>
    </row>
    <row r="615" spans="32:33" ht="14" x14ac:dyDescent="0.2">
      <c r="AF615" s="1"/>
      <c r="AG615" s="7"/>
    </row>
    <row r="616" spans="32:33" ht="14" x14ac:dyDescent="0.2">
      <c r="AF616" s="1"/>
      <c r="AG616" s="7"/>
    </row>
    <row r="617" spans="32:33" ht="14" x14ac:dyDescent="0.2">
      <c r="AF617" s="1"/>
      <c r="AG617" s="7"/>
    </row>
    <row r="618" spans="32:33" ht="14" x14ac:dyDescent="0.2">
      <c r="AF618" s="1"/>
      <c r="AG618" s="7"/>
    </row>
    <row r="619" spans="32:33" ht="14" x14ac:dyDescent="0.2">
      <c r="AF619" s="1"/>
      <c r="AG619" s="7"/>
    </row>
    <row r="620" spans="32:33" ht="14" x14ac:dyDescent="0.2">
      <c r="AF620" s="1"/>
      <c r="AG620" s="7"/>
    </row>
    <row r="621" spans="32:33" ht="14" x14ac:dyDescent="0.2">
      <c r="AF621" s="1"/>
      <c r="AG621" s="7"/>
    </row>
    <row r="622" spans="32:33" ht="14" x14ac:dyDescent="0.2">
      <c r="AF622" s="1"/>
      <c r="AG622" s="7"/>
    </row>
    <row r="623" spans="32:33" ht="14" x14ac:dyDescent="0.2">
      <c r="AF623" s="1"/>
      <c r="AG623" s="7"/>
    </row>
    <row r="624" spans="32:33" ht="14" x14ac:dyDescent="0.2">
      <c r="AF624" s="1"/>
      <c r="AG624" s="7"/>
    </row>
    <row r="625" spans="32:33" ht="14" x14ac:dyDescent="0.2">
      <c r="AF625" s="1"/>
      <c r="AG625" s="7"/>
    </row>
    <row r="626" spans="32:33" ht="14" x14ac:dyDescent="0.2">
      <c r="AF626" s="1"/>
      <c r="AG626" s="7"/>
    </row>
    <row r="627" spans="32:33" ht="14" x14ac:dyDescent="0.2">
      <c r="AF627" s="1"/>
      <c r="AG627" s="7"/>
    </row>
    <row r="628" spans="32:33" ht="14" x14ac:dyDescent="0.2">
      <c r="AF628" s="1"/>
      <c r="AG628" s="7"/>
    </row>
    <row r="629" spans="32:33" ht="14" x14ac:dyDescent="0.2">
      <c r="AF629" s="1"/>
      <c r="AG629" s="7"/>
    </row>
    <row r="630" spans="32:33" ht="14" x14ac:dyDescent="0.2">
      <c r="AF630" s="1"/>
      <c r="AG630" s="7"/>
    </row>
    <row r="631" spans="32:33" ht="14" x14ac:dyDescent="0.2">
      <c r="AF631" s="1"/>
      <c r="AG631" s="7"/>
    </row>
    <row r="632" spans="32:33" ht="14" x14ac:dyDescent="0.2">
      <c r="AF632" s="1"/>
      <c r="AG632" s="7"/>
    </row>
    <row r="633" spans="32:33" ht="14" x14ac:dyDescent="0.2">
      <c r="AF633" s="1"/>
      <c r="AG633" s="7"/>
    </row>
    <row r="634" spans="32:33" ht="14" x14ac:dyDescent="0.2">
      <c r="AF634" s="1"/>
      <c r="AG634" s="7"/>
    </row>
    <row r="635" spans="32:33" ht="14" x14ac:dyDescent="0.2">
      <c r="AF635" s="1"/>
      <c r="AG635" s="7"/>
    </row>
    <row r="636" spans="32:33" ht="14" x14ac:dyDescent="0.2">
      <c r="AF636" s="1"/>
      <c r="AG636" s="7"/>
    </row>
    <row r="637" spans="32:33" ht="14" x14ac:dyDescent="0.2">
      <c r="AF637" s="1"/>
      <c r="AG637" s="7"/>
    </row>
    <row r="638" spans="32:33" ht="14" x14ac:dyDescent="0.2">
      <c r="AF638" s="1"/>
      <c r="AG638" s="7"/>
    </row>
    <row r="639" spans="32:33" ht="14" x14ac:dyDescent="0.2">
      <c r="AF639" s="1"/>
      <c r="AG639" s="7"/>
    </row>
    <row r="640" spans="32:33" ht="14" x14ac:dyDescent="0.2">
      <c r="AF640" s="1"/>
      <c r="AG640" s="7"/>
    </row>
    <row r="641" spans="32:33" ht="14" x14ac:dyDescent="0.2">
      <c r="AF641" s="1"/>
      <c r="AG641" s="7"/>
    </row>
    <row r="642" spans="32:33" ht="14" x14ac:dyDescent="0.2">
      <c r="AF642" s="1"/>
      <c r="AG642" s="7"/>
    </row>
    <row r="643" spans="32:33" ht="14" x14ac:dyDescent="0.2">
      <c r="AF643" s="1"/>
      <c r="AG643" s="7"/>
    </row>
    <row r="644" spans="32:33" ht="14" x14ac:dyDescent="0.2">
      <c r="AF644" s="1"/>
      <c r="AG644" s="7"/>
    </row>
    <row r="645" spans="32:33" ht="14" x14ac:dyDescent="0.2">
      <c r="AF645" s="1"/>
      <c r="AG645" s="7"/>
    </row>
    <row r="646" spans="32:33" ht="14" x14ac:dyDescent="0.2">
      <c r="AF646" s="1"/>
      <c r="AG646" s="7"/>
    </row>
    <row r="647" spans="32:33" ht="14" x14ac:dyDescent="0.2">
      <c r="AF647" s="1"/>
      <c r="AG647" s="7"/>
    </row>
    <row r="648" spans="32:33" ht="14" x14ac:dyDescent="0.2">
      <c r="AF648" s="1"/>
      <c r="AG648" s="7"/>
    </row>
    <row r="649" spans="32:33" ht="14" x14ac:dyDescent="0.2">
      <c r="AF649" s="1"/>
      <c r="AG649" s="7"/>
    </row>
    <row r="650" spans="32:33" ht="14" x14ac:dyDescent="0.2">
      <c r="AF650" s="1"/>
      <c r="AG650" s="7"/>
    </row>
    <row r="651" spans="32:33" ht="14" x14ac:dyDescent="0.2">
      <c r="AF651" s="1"/>
      <c r="AG651" s="7"/>
    </row>
    <row r="652" spans="32:33" ht="14" x14ac:dyDescent="0.2">
      <c r="AF652" s="1"/>
      <c r="AG652" s="7"/>
    </row>
    <row r="653" spans="32:33" ht="14" x14ac:dyDescent="0.2">
      <c r="AF653" s="1"/>
      <c r="AG653" s="7"/>
    </row>
    <row r="654" spans="32:33" ht="14" x14ac:dyDescent="0.2">
      <c r="AF654" s="1"/>
      <c r="AG654" s="7"/>
    </row>
    <row r="655" spans="32:33" ht="14" x14ac:dyDescent="0.2">
      <c r="AF655" s="1"/>
      <c r="AG655" s="7"/>
    </row>
    <row r="656" spans="32:33" ht="14" x14ac:dyDescent="0.2">
      <c r="AF656" s="1"/>
      <c r="AG656" s="7"/>
    </row>
    <row r="657" spans="32:33" ht="14" x14ac:dyDescent="0.2">
      <c r="AF657" s="1"/>
      <c r="AG657" s="7"/>
    </row>
    <row r="658" spans="32:33" ht="14" x14ac:dyDescent="0.2">
      <c r="AF658" s="1"/>
      <c r="AG658" s="7"/>
    </row>
    <row r="659" spans="32:33" ht="14" x14ac:dyDescent="0.2">
      <c r="AF659" s="1"/>
      <c r="AG659" s="7"/>
    </row>
    <row r="660" spans="32:33" ht="14" x14ac:dyDescent="0.2">
      <c r="AF660" s="1"/>
      <c r="AG660" s="7"/>
    </row>
    <row r="661" spans="32:33" ht="14" x14ac:dyDescent="0.2">
      <c r="AF661" s="1"/>
      <c r="AG661" s="7"/>
    </row>
    <row r="662" spans="32:33" ht="14" x14ac:dyDescent="0.2">
      <c r="AF662" s="1"/>
      <c r="AG662" s="7"/>
    </row>
    <row r="663" spans="32:33" ht="14" x14ac:dyDescent="0.2">
      <c r="AF663" s="1"/>
      <c r="AG663" s="7"/>
    </row>
    <row r="664" spans="32:33" ht="14" x14ac:dyDescent="0.2">
      <c r="AF664" s="1"/>
      <c r="AG664" s="7"/>
    </row>
    <row r="665" spans="32:33" ht="14" x14ac:dyDescent="0.2">
      <c r="AF665" s="1"/>
      <c r="AG665" s="7"/>
    </row>
    <row r="666" spans="32:33" ht="14" x14ac:dyDescent="0.2">
      <c r="AF666" s="1"/>
      <c r="AG666" s="7"/>
    </row>
    <row r="667" spans="32:33" ht="14" x14ac:dyDescent="0.2">
      <c r="AF667" s="1"/>
      <c r="AG667" s="7"/>
    </row>
    <row r="668" spans="32:33" ht="14" x14ac:dyDescent="0.2">
      <c r="AF668" s="1"/>
      <c r="AG668" s="7"/>
    </row>
    <row r="669" spans="32:33" ht="14" x14ac:dyDescent="0.2">
      <c r="AF669" s="1"/>
      <c r="AG669" s="7"/>
    </row>
    <row r="670" spans="32:33" ht="14" x14ac:dyDescent="0.2">
      <c r="AF670" s="1"/>
      <c r="AG670" s="7"/>
    </row>
    <row r="671" spans="32:33" ht="14" x14ac:dyDescent="0.2">
      <c r="AF671" s="1"/>
      <c r="AG671" s="7"/>
    </row>
    <row r="672" spans="32:33" ht="14" x14ac:dyDescent="0.2">
      <c r="AF672" s="1"/>
      <c r="AG672" s="7"/>
    </row>
    <row r="673" spans="32:33" ht="14" x14ac:dyDescent="0.2">
      <c r="AF673" s="1"/>
      <c r="AG673" s="7"/>
    </row>
    <row r="674" spans="32:33" ht="14" x14ac:dyDescent="0.2">
      <c r="AF674" s="1"/>
      <c r="AG674" s="7"/>
    </row>
    <row r="675" spans="32:33" ht="14" x14ac:dyDescent="0.2">
      <c r="AF675" s="1"/>
      <c r="AG675" s="7"/>
    </row>
    <row r="676" spans="32:33" ht="14" x14ac:dyDescent="0.2">
      <c r="AF676" s="1"/>
      <c r="AG676" s="7"/>
    </row>
    <row r="677" spans="32:33" ht="14" x14ac:dyDescent="0.2">
      <c r="AF677" s="1"/>
      <c r="AG677" s="7"/>
    </row>
    <row r="678" spans="32:33" ht="14" x14ac:dyDescent="0.2">
      <c r="AF678" s="1"/>
      <c r="AG678" s="7"/>
    </row>
    <row r="679" spans="32:33" ht="14" x14ac:dyDescent="0.2">
      <c r="AF679" s="1"/>
      <c r="AG679" s="7"/>
    </row>
    <row r="680" spans="32:33" ht="14" x14ac:dyDescent="0.2">
      <c r="AF680" s="1"/>
      <c r="AG680" s="7"/>
    </row>
    <row r="681" spans="32:33" ht="14" x14ac:dyDescent="0.2">
      <c r="AF681" s="1"/>
      <c r="AG681" s="7"/>
    </row>
    <row r="682" spans="32:33" ht="14" x14ac:dyDescent="0.2">
      <c r="AF682" s="1"/>
      <c r="AG682" s="7"/>
    </row>
    <row r="683" spans="32:33" ht="14" x14ac:dyDescent="0.2">
      <c r="AF683" s="1"/>
      <c r="AG683" s="7"/>
    </row>
    <row r="684" spans="32:33" ht="14" x14ac:dyDescent="0.2">
      <c r="AF684" s="1"/>
      <c r="AG684" s="7"/>
    </row>
    <row r="685" spans="32:33" ht="14" x14ac:dyDescent="0.2">
      <c r="AF685" s="1"/>
      <c r="AG685" s="7"/>
    </row>
    <row r="686" spans="32:33" ht="14" x14ac:dyDescent="0.2">
      <c r="AF686" s="1"/>
      <c r="AG686" s="7"/>
    </row>
    <row r="687" spans="32:33" ht="14" x14ac:dyDescent="0.2">
      <c r="AF687" s="1"/>
      <c r="AG687" s="7"/>
    </row>
    <row r="688" spans="32:33" ht="14" x14ac:dyDescent="0.2">
      <c r="AF688" s="1"/>
      <c r="AG688" s="7"/>
    </row>
    <row r="689" spans="32:33" ht="14" x14ac:dyDescent="0.2">
      <c r="AF689" s="1"/>
      <c r="AG689" s="7"/>
    </row>
    <row r="690" spans="32:33" ht="14" x14ac:dyDescent="0.2">
      <c r="AF690" s="1"/>
      <c r="AG690" s="7"/>
    </row>
    <row r="691" spans="32:33" ht="14" x14ac:dyDescent="0.2">
      <c r="AF691" s="1"/>
      <c r="AG691" s="7"/>
    </row>
    <row r="692" spans="32:33" ht="14" x14ac:dyDescent="0.2">
      <c r="AF692" s="1"/>
      <c r="AG692" s="7"/>
    </row>
    <row r="693" spans="32:33" ht="14" x14ac:dyDescent="0.2">
      <c r="AF693" s="1"/>
      <c r="AG693" s="7"/>
    </row>
    <row r="694" spans="32:33" ht="14" x14ac:dyDescent="0.2">
      <c r="AF694" s="1"/>
      <c r="AG694" s="7"/>
    </row>
    <row r="695" spans="32:33" ht="14" x14ac:dyDescent="0.2">
      <c r="AF695" s="1"/>
      <c r="AG695" s="7"/>
    </row>
    <row r="696" spans="32:33" ht="14" x14ac:dyDescent="0.2">
      <c r="AF696" s="1"/>
      <c r="AG696" s="7"/>
    </row>
    <row r="697" spans="32:33" ht="14" x14ac:dyDescent="0.2">
      <c r="AF697" s="1"/>
      <c r="AG697" s="7"/>
    </row>
    <row r="698" spans="32:33" ht="14" x14ac:dyDescent="0.2">
      <c r="AF698" s="1"/>
      <c r="AG698" s="7"/>
    </row>
    <row r="699" spans="32:33" ht="14" x14ac:dyDescent="0.2">
      <c r="AF699" s="1"/>
      <c r="AG699" s="7"/>
    </row>
    <row r="700" spans="32:33" ht="14" x14ac:dyDescent="0.2">
      <c r="AF700" s="1"/>
      <c r="AG700" s="7"/>
    </row>
    <row r="701" spans="32:33" ht="14" x14ac:dyDescent="0.2">
      <c r="AF701" s="1"/>
      <c r="AG701" s="7"/>
    </row>
    <row r="702" spans="32:33" ht="14" x14ac:dyDescent="0.2">
      <c r="AF702" s="1"/>
      <c r="AG702" s="7"/>
    </row>
    <row r="703" spans="32:33" ht="14" x14ac:dyDescent="0.2">
      <c r="AF703" s="1"/>
      <c r="AG703" s="7"/>
    </row>
    <row r="704" spans="32:33" ht="14" x14ac:dyDescent="0.2">
      <c r="AF704" s="1"/>
      <c r="AG704" s="7"/>
    </row>
    <row r="705" spans="32:33" ht="14" x14ac:dyDescent="0.2">
      <c r="AF705" s="1"/>
      <c r="AG705" s="7"/>
    </row>
    <row r="706" spans="32:33" ht="14" x14ac:dyDescent="0.2">
      <c r="AF706" s="1"/>
      <c r="AG706" s="7"/>
    </row>
    <row r="707" spans="32:33" ht="14" x14ac:dyDescent="0.2">
      <c r="AF707" s="1"/>
      <c r="AG707" s="7"/>
    </row>
    <row r="708" spans="32:33" ht="14" x14ac:dyDescent="0.2">
      <c r="AF708" s="1"/>
      <c r="AG708" s="7"/>
    </row>
    <row r="709" spans="32:33" ht="14" x14ac:dyDescent="0.2">
      <c r="AF709" s="1"/>
      <c r="AG709" s="7"/>
    </row>
    <row r="710" spans="32:33" ht="14" x14ac:dyDescent="0.2">
      <c r="AF710" s="1"/>
      <c r="AG710" s="7"/>
    </row>
    <row r="711" spans="32:33" ht="14" x14ac:dyDescent="0.2">
      <c r="AF711" s="1"/>
      <c r="AG711" s="7"/>
    </row>
    <row r="712" spans="32:33" ht="14" x14ac:dyDescent="0.2">
      <c r="AF712" s="1"/>
      <c r="AG712" s="7"/>
    </row>
    <row r="713" spans="32:33" ht="14" x14ac:dyDescent="0.2">
      <c r="AF713" s="1"/>
      <c r="AG713" s="7"/>
    </row>
    <row r="714" spans="32:33" ht="14" x14ac:dyDescent="0.2">
      <c r="AF714" s="1"/>
      <c r="AG714" s="7"/>
    </row>
    <row r="715" spans="32:33" ht="14" x14ac:dyDescent="0.2">
      <c r="AF715" s="1"/>
      <c r="AG715" s="7"/>
    </row>
    <row r="716" spans="32:33" ht="14" x14ac:dyDescent="0.2">
      <c r="AF716" s="1"/>
      <c r="AG716" s="7"/>
    </row>
    <row r="717" spans="32:33" ht="14" x14ac:dyDescent="0.2">
      <c r="AF717" s="1"/>
      <c r="AG717" s="7"/>
    </row>
    <row r="718" spans="32:33" ht="14" x14ac:dyDescent="0.2">
      <c r="AF718" s="1"/>
      <c r="AG718" s="7"/>
    </row>
    <row r="719" spans="32:33" ht="14" x14ac:dyDescent="0.2">
      <c r="AF719" s="1"/>
      <c r="AG719" s="7"/>
    </row>
    <row r="720" spans="32:33" ht="14" x14ac:dyDescent="0.2">
      <c r="AF720" s="1"/>
      <c r="AG720" s="7"/>
    </row>
    <row r="721" spans="32:33" ht="14" x14ac:dyDescent="0.2">
      <c r="AF721" s="1"/>
      <c r="AG721" s="7"/>
    </row>
    <row r="722" spans="32:33" ht="14" x14ac:dyDescent="0.2">
      <c r="AF722" s="1"/>
      <c r="AG722" s="7"/>
    </row>
    <row r="723" spans="32:33" ht="14" x14ac:dyDescent="0.2">
      <c r="AF723" s="1"/>
      <c r="AG723" s="7"/>
    </row>
    <row r="724" spans="32:33" ht="14" x14ac:dyDescent="0.2">
      <c r="AF724" s="1"/>
      <c r="AG724" s="7"/>
    </row>
    <row r="725" spans="32:33" ht="14" x14ac:dyDescent="0.2">
      <c r="AF725" s="1"/>
      <c r="AG725" s="7"/>
    </row>
    <row r="726" spans="32:33" ht="14" x14ac:dyDescent="0.2">
      <c r="AF726" s="1"/>
      <c r="AG726" s="7"/>
    </row>
    <row r="727" spans="32:33" ht="14" x14ac:dyDescent="0.2">
      <c r="AF727" s="1"/>
      <c r="AG727" s="7"/>
    </row>
    <row r="728" spans="32:33" ht="14" x14ac:dyDescent="0.2">
      <c r="AF728" s="1"/>
      <c r="AG728" s="7"/>
    </row>
    <row r="729" spans="32:33" ht="14" x14ac:dyDescent="0.2">
      <c r="AF729" s="1"/>
      <c r="AG729" s="7"/>
    </row>
    <row r="730" spans="32:33" ht="14" x14ac:dyDescent="0.2">
      <c r="AF730" s="1"/>
      <c r="AG730" s="7"/>
    </row>
    <row r="731" spans="32:33" ht="14" x14ac:dyDescent="0.2">
      <c r="AF731" s="1"/>
      <c r="AG731" s="7"/>
    </row>
    <row r="732" spans="32:33" ht="14" x14ac:dyDescent="0.2">
      <c r="AF732" s="1"/>
      <c r="AG732" s="7"/>
    </row>
    <row r="733" spans="32:33" ht="14" x14ac:dyDescent="0.2">
      <c r="AF733" s="1"/>
      <c r="AG733" s="7"/>
    </row>
    <row r="734" spans="32:33" ht="14" x14ac:dyDescent="0.2">
      <c r="AF734" s="1"/>
      <c r="AG734" s="7"/>
    </row>
    <row r="735" spans="32:33" ht="14" x14ac:dyDescent="0.2">
      <c r="AF735" s="1"/>
      <c r="AG735" s="7"/>
    </row>
    <row r="736" spans="32:33" ht="14" x14ac:dyDescent="0.2">
      <c r="AF736" s="1"/>
      <c r="AG736" s="7"/>
    </row>
    <row r="737" spans="32:33" ht="14" x14ac:dyDescent="0.2">
      <c r="AF737" s="1"/>
      <c r="AG737" s="7"/>
    </row>
    <row r="738" spans="32:33" ht="14" x14ac:dyDescent="0.2">
      <c r="AF738" s="1"/>
      <c r="AG738" s="7"/>
    </row>
    <row r="739" spans="32:33" ht="14" x14ac:dyDescent="0.2">
      <c r="AF739" s="1"/>
      <c r="AG739" s="7"/>
    </row>
    <row r="740" spans="32:33" ht="14" x14ac:dyDescent="0.2">
      <c r="AF740" s="1"/>
      <c r="AG740" s="7"/>
    </row>
    <row r="741" spans="32:33" ht="14" x14ac:dyDescent="0.2">
      <c r="AF741" s="1"/>
      <c r="AG741" s="7"/>
    </row>
    <row r="742" spans="32:33" ht="14" x14ac:dyDescent="0.2">
      <c r="AF742" s="1"/>
      <c r="AG742" s="7"/>
    </row>
    <row r="743" spans="32:33" ht="14" x14ac:dyDescent="0.2">
      <c r="AF743" s="1"/>
      <c r="AG743" s="7"/>
    </row>
    <row r="744" spans="32:33" ht="14" x14ac:dyDescent="0.2">
      <c r="AF744" s="1"/>
      <c r="AG744" s="7"/>
    </row>
    <row r="745" spans="32:33" ht="14" x14ac:dyDescent="0.2">
      <c r="AF745" s="1"/>
      <c r="AG745" s="7"/>
    </row>
    <row r="746" spans="32:33" ht="14" x14ac:dyDescent="0.2">
      <c r="AF746" s="1"/>
      <c r="AG746" s="7"/>
    </row>
    <row r="747" spans="32:33" ht="14" x14ac:dyDescent="0.2">
      <c r="AF747" s="1"/>
      <c r="AG747" s="7"/>
    </row>
    <row r="748" spans="32:33" ht="14" x14ac:dyDescent="0.2">
      <c r="AF748" s="1"/>
      <c r="AG748" s="7"/>
    </row>
    <row r="749" spans="32:33" ht="14" x14ac:dyDescent="0.2">
      <c r="AF749" s="1"/>
      <c r="AG749" s="7"/>
    </row>
    <row r="750" spans="32:33" ht="14" x14ac:dyDescent="0.2">
      <c r="AF750" s="1"/>
      <c r="AG750" s="7"/>
    </row>
    <row r="751" spans="32:33" ht="14" x14ac:dyDescent="0.2">
      <c r="AF751" s="1"/>
      <c r="AG751" s="7"/>
    </row>
    <row r="752" spans="32:33" ht="14" x14ac:dyDescent="0.2">
      <c r="AF752" s="1"/>
      <c r="AG752" s="7"/>
    </row>
    <row r="753" spans="32:33" ht="14" x14ac:dyDescent="0.2">
      <c r="AF753" s="1"/>
      <c r="AG753" s="7"/>
    </row>
    <row r="754" spans="32:33" ht="14" x14ac:dyDescent="0.2">
      <c r="AF754" s="1"/>
      <c r="AG754" s="7"/>
    </row>
    <row r="755" spans="32:33" ht="14" x14ac:dyDescent="0.2">
      <c r="AF755" s="1"/>
      <c r="AG755" s="7"/>
    </row>
    <row r="756" spans="32:33" ht="14" x14ac:dyDescent="0.2">
      <c r="AF756" s="1"/>
      <c r="AG756" s="7"/>
    </row>
    <row r="757" spans="32:33" ht="14" x14ac:dyDescent="0.2">
      <c r="AF757" s="1"/>
      <c r="AG757" s="7"/>
    </row>
    <row r="758" spans="32:33" ht="14" x14ac:dyDescent="0.2">
      <c r="AF758" s="1"/>
      <c r="AG758" s="7"/>
    </row>
    <row r="759" spans="32:33" ht="14" x14ac:dyDescent="0.2">
      <c r="AF759" s="1"/>
      <c r="AG759" s="7"/>
    </row>
    <row r="760" spans="32:33" ht="14" x14ac:dyDescent="0.2">
      <c r="AF760" s="1"/>
      <c r="AG760" s="7"/>
    </row>
    <row r="761" spans="32:33" ht="14" x14ac:dyDescent="0.2">
      <c r="AF761" s="1"/>
      <c r="AG761" s="7"/>
    </row>
    <row r="762" spans="32:33" ht="14" x14ac:dyDescent="0.2">
      <c r="AF762" s="1"/>
      <c r="AG762" s="7"/>
    </row>
    <row r="763" spans="32:33" ht="14" x14ac:dyDescent="0.2">
      <c r="AF763" s="1"/>
      <c r="AG763" s="7"/>
    </row>
    <row r="764" spans="32:33" ht="14" x14ac:dyDescent="0.2">
      <c r="AF764" s="1"/>
      <c r="AG764" s="7"/>
    </row>
    <row r="765" spans="32:33" ht="14" x14ac:dyDescent="0.2">
      <c r="AF765" s="1"/>
      <c r="AG765" s="7"/>
    </row>
    <row r="766" spans="32:33" ht="14" x14ac:dyDescent="0.2">
      <c r="AF766" s="1"/>
      <c r="AG766" s="7"/>
    </row>
    <row r="767" spans="32:33" ht="14" x14ac:dyDescent="0.2">
      <c r="AF767" s="1"/>
      <c r="AG767" s="7"/>
    </row>
    <row r="768" spans="32:33" ht="14" x14ac:dyDescent="0.2">
      <c r="AF768" s="1"/>
      <c r="AG768" s="7"/>
    </row>
    <row r="769" spans="32:33" ht="14" x14ac:dyDescent="0.2">
      <c r="AF769" s="1"/>
      <c r="AG769" s="7"/>
    </row>
    <row r="770" spans="32:33" ht="14" x14ac:dyDescent="0.2">
      <c r="AF770" s="1"/>
      <c r="AG770" s="7"/>
    </row>
    <row r="771" spans="32:33" ht="14" x14ac:dyDescent="0.2">
      <c r="AF771" s="1"/>
      <c r="AG771" s="7"/>
    </row>
    <row r="772" spans="32:33" ht="14" x14ac:dyDescent="0.2">
      <c r="AF772" s="1"/>
      <c r="AG772" s="7"/>
    </row>
    <row r="773" spans="32:33" ht="14" x14ac:dyDescent="0.2">
      <c r="AF773" s="1"/>
      <c r="AG773" s="7"/>
    </row>
    <row r="774" spans="32:33" ht="14" x14ac:dyDescent="0.2">
      <c r="AF774" s="1"/>
      <c r="AG774" s="7"/>
    </row>
    <row r="775" spans="32:33" ht="14" x14ac:dyDescent="0.2">
      <c r="AF775" s="1"/>
      <c r="AG775" s="7"/>
    </row>
    <row r="776" spans="32:33" ht="14" x14ac:dyDescent="0.2">
      <c r="AF776" s="1"/>
      <c r="AG776" s="7"/>
    </row>
    <row r="777" spans="32:33" ht="14" x14ac:dyDescent="0.2">
      <c r="AF777" s="1"/>
      <c r="AG777" s="7"/>
    </row>
    <row r="778" spans="32:33" ht="14" x14ac:dyDescent="0.2">
      <c r="AF778" s="1"/>
      <c r="AG778" s="7"/>
    </row>
    <row r="779" spans="32:33" ht="14" x14ac:dyDescent="0.2">
      <c r="AF779" s="1"/>
      <c r="AG779" s="7"/>
    </row>
    <row r="780" spans="32:33" ht="14" x14ac:dyDescent="0.2">
      <c r="AF780" s="1"/>
      <c r="AG780" s="7"/>
    </row>
    <row r="781" spans="32:33" ht="14" x14ac:dyDescent="0.2">
      <c r="AF781" s="1"/>
      <c r="AG781" s="7"/>
    </row>
    <row r="782" spans="32:33" ht="14" x14ac:dyDescent="0.2">
      <c r="AF782" s="1"/>
      <c r="AG782" s="7"/>
    </row>
    <row r="783" spans="32:33" ht="14" x14ac:dyDescent="0.2">
      <c r="AF783" s="1"/>
      <c r="AG783" s="7"/>
    </row>
    <row r="784" spans="32:33" ht="14" x14ac:dyDescent="0.2">
      <c r="AF784" s="1"/>
      <c r="AG784" s="7"/>
    </row>
    <row r="785" spans="32:33" ht="14" x14ac:dyDescent="0.2">
      <c r="AF785" s="1"/>
      <c r="AG785" s="7"/>
    </row>
    <row r="786" spans="32:33" ht="14" x14ac:dyDescent="0.2">
      <c r="AF786" s="1"/>
      <c r="AG786" s="7"/>
    </row>
    <row r="787" spans="32:33" ht="14" x14ac:dyDescent="0.2">
      <c r="AF787" s="1"/>
      <c r="AG787" s="7"/>
    </row>
    <row r="788" spans="32:33" ht="14" x14ac:dyDescent="0.2">
      <c r="AF788" s="1"/>
      <c r="AG788" s="7"/>
    </row>
    <row r="789" spans="32:33" ht="14" x14ac:dyDescent="0.2">
      <c r="AF789" s="1"/>
      <c r="AG789" s="7"/>
    </row>
    <row r="790" spans="32:33" ht="14" x14ac:dyDescent="0.2">
      <c r="AF790" s="1"/>
      <c r="AG790" s="7"/>
    </row>
    <row r="791" spans="32:33" ht="14" x14ac:dyDescent="0.2">
      <c r="AF791" s="1"/>
      <c r="AG791" s="7"/>
    </row>
    <row r="792" spans="32:33" ht="14" x14ac:dyDescent="0.2">
      <c r="AF792" s="1"/>
      <c r="AG792" s="7"/>
    </row>
    <row r="793" spans="32:33" ht="14" x14ac:dyDescent="0.2">
      <c r="AF793" s="1"/>
      <c r="AG793" s="7"/>
    </row>
    <row r="794" spans="32:33" ht="14" x14ac:dyDescent="0.2">
      <c r="AF794" s="1"/>
      <c r="AG794" s="7"/>
    </row>
    <row r="795" spans="32:33" ht="14" x14ac:dyDescent="0.2">
      <c r="AF795" s="1"/>
      <c r="AG795" s="7"/>
    </row>
    <row r="796" spans="32:33" ht="14" x14ac:dyDescent="0.2">
      <c r="AF796" s="1"/>
      <c r="AG796" s="7"/>
    </row>
    <row r="797" spans="32:33" ht="14" x14ac:dyDescent="0.2">
      <c r="AF797" s="1"/>
      <c r="AG797" s="7"/>
    </row>
    <row r="798" spans="32:33" ht="14" x14ac:dyDescent="0.2">
      <c r="AF798" s="1"/>
      <c r="AG798" s="7"/>
    </row>
    <row r="799" spans="32:33" ht="14" x14ac:dyDescent="0.2">
      <c r="AF799" s="1"/>
      <c r="AG799" s="7"/>
    </row>
    <row r="800" spans="32:33" ht="14" x14ac:dyDescent="0.2">
      <c r="AF800" s="1"/>
      <c r="AG800" s="7"/>
    </row>
    <row r="801" spans="32:33" ht="14" x14ac:dyDescent="0.2">
      <c r="AF801" s="1"/>
      <c r="AG801" s="7"/>
    </row>
    <row r="802" spans="32:33" ht="14" x14ac:dyDescent="0.2">
      <c r="AF802" s="1"/>
      <c r="AG802" s="7"/>
    </row>
    <row r="803" spans="32:33" ht="14" x14ac:dyDescent="0.2">
      <c r="AF803" s="1"/>
      <c r="AG803" s="7"/>
    </row>
    <row r="804" spans="32:33" ht="14" x14ac:dyDescent="0.2">
      <c r="AF804" s="1"/>
      <c r="AG804" s="7"/>
    </row>
    <row r="805" spans="32:33" ht="14" x14ac:dyDescent="0.2">
      <c r="AF805" s="1"/>
      <c r="AG805" s="7"/>
    </row>
    <row r="806" spans="32:33" ht="14" x14ac:dyDescent="0.2">
      <c r="AF806" s="1"/>
      <c r="AG806" s="7"/>
    </row>
    <row r="807" spans="32:33" ht="14" x14ac:dyDescent="0.2">
      <c r="AF807" s="1"/>
      <c r="AG807" s="7"/>
    </row>
    <row r="808" spans="32:33" ht="14" x14ac:dyDescent="0.2">
      <c r="AF808" s="1"/>
      <c r="AG808" s="7"/>
    </row>
    <row r="809" spans="32:33" ht="14" x14ac:dyDescent="0.2">
      <c r="AF809" s="1"/>
      <c r="AG809" s="7"/>
    </row>
    <row r="810" spans="32:33" ht="14" x14ac:dyDescent="0.2">
      <c r="AF810" s="1"/>
      <c r="AG810" s="7"/>
    </row>
    <row r="811" spans="32:33" ht="14" x14ac:dyDescent="0.2">
      <c r="AF811" s="1"/>
      <c r="AG811" s="7"/>
    </row>
    <row r="812" spans="32:33" ht="14" x14ac:dyDescent="0.2">
      <c r="AF812" s="1"/>
      <c r="AG812" s="7"/>
    </row>
    <row r="813" spans="32:33" ht="14" x14ac:dyDescent="0.2">
      <c r="AF813" s="1"/>
      <c r="AG813" s="7"/>
    </row>
    <row r="814" spans="32:33" ht="14" x14ac:dyDescent="0.2">
      <c r="AF814" s="1"/>
      <c r="AG814" s="7"/>
    </row>
    <row r="815" spans="32:33" ht="14" x14ac:dyDescent="0.2">
      <c r="AF815" s="1"/>
      <c r="AG815" s="7"/>
    </row>
    <row r="816" spans="32:33" ht="14" x14ac:dyDescent="0.2">
      <c r="AF816" s="1"/>
      <c r="AG816" s="7"/>
    </row>
    <row r="817" spans="32:33" ht="14" x14ac:dyDescent="0.2">
      <c r="AF817" s="1"/>
      <c r="AG817" s="7"/>
    </row>
    <row r="818" spans="32:33" ht="14" x14ac:dyDescent="0.2">
      <c r="AF818" s="1"/>
      <c r="AG818" s="7"/>
    </row>
    <row r="819" spans="32:33" ht="14" x14ac:dyDescent="0.2">
      <c r="AF819" s="1"/>
      <c r="AG819" s="7"/>
    </row>
    <row r="820" spans="32:33" ht="14" x14ac:dyDescent="0.2">
      <c r="AF820" s="1"/>
      <c r="AG820" s="7"/>
    </row>
    <row r="821" spans="32:33" ht="14" x14ac:dyDescent="0.2">
      <c r="AF821" s="1"/>
      <c r="AG821" s="7"/>
    </row>
    <row r="822" spans="32:33" ht="14" x14ac:dyDescent="0.2">
      <c r="AF822" s="1"/>
      <c r="AG822" s="7"/>
    </row>
    <row r="823" spans="32:33" ht="14" x14ac:dyDescent="0.2">
      <c r="AF823" s="1"/>
      <c r="AG823" s="7"/>
    </row>
    <row r="824" spans="32:33" ht="14" x14ac:dyDescent="0.2">
      <c r="AF824" s="1"/>
      <c r="AG824" s="7"/>
    </row>
    <row r="825" spans="32:33" ht="14" x14ac:dyDescent="0.2">
      <c r="AF825" s="1"/>
      <c r="AG825" s="7"/>
    </row>
    <row r="826" spans="32:33" ht="14" x14ac:dyDescent="0.2">
      <c r="AF826" s="1"/>
      <c r="AG826" s="7"/>
    </row>
    <row r="827" spans="32:33" ht="14" x14ac:dyDescent="0.2">
      <c r="AF827" s="1"/>
      <c r="AG827" s="7"/>
    </row>
    <row r="828" spans="32:33" ht="14" x14ac:dyDescent="0.2">
      <c r="AF828" s="1"/>
      <c r="AG828" s="7"/>
    </row>
    <row r="829" spans="32:33" ht="14" x14ac:dyDescent="0.2">
      <c r="AF829" s="1"/>
      <c r="AG829" s="7"/>
    </row>
    <row r="830" spans="32:33" ht="14" x14ac:dyDescent="0.2">
      <c r="AF830" s="1"/>
      <c r="AG830" s="7"/>
    </row>
    <row r="831" spans="32:33" ht="14" x14ac:dyDescent="0.2">
      <c r="AF831" s="1"/>
      <c r="AG831" s="7"/>
    </row>
    <row r="832" spans="32:33" ht="14" x14ac:dyDescent="0.2">
      <c r="AF832" s="1"/>
      <c r="AG832" s="7"/>
    </row>
    <row r="833" spans="32:33" ht="14" x14ac:dyDescent="0.2">
      <c r="AF833" s="1"/>
      <c r="AG833" s="7"/>
    </row>
    <row r="834" spans="32:33" ht="14" x14ac:dyDescent="0.2">
      <c r="AF834" s="1"/>
      <c r="AG834" s="7"/>
    </row>
    <row r="835" spans="32:33" ht="14" x14ac:dyDescent="0.2">
      <c r="AF835" s="1"/>
      <c r="AG835" s="7"/>
    </row>
    <row r="836" spans="32:33" ht="14" x14ac:dyDescent="0.2">
      <c r="AF836" s="1"/>
      <c r="AG836" s="7"/>
    </row>
    <row r="837" spans="32:33" ht="14" x14ac:dyDescent="0.2">
      <c r="AF837" s="1"/>
      <c r="AG837" s="7"/>
    </row>
    <row r="838" spans="32:33" ht="14" x14ac:dyDescent="0.2">
      <c r="AF838" s="1"/>
      <c r="AG838" s="7"/>
    </row>
    <row r="839" spans="32:33" ht="14" x14ac:dyDescent="0.2">
      <c r="AF839" s="1"/>
      <c r="AG839" s="7"/>
    </row>
    <row r="840" spans="32:33" ht="14" x14ac:dyDescent="0.2">
      <c r="AF840" s="1"/>
      <c r="AG840" s="7"/>
    </row>
    <row r="841" spans="32:33" ht="14" x14ac:dyDescent="0.2">
      <c r="AF841" s="1"/>
      <c r="AG841" s="7"/>
    </row>
    <row r="842" spans="32:33" ht="14" x14ac:dyDescent="0.2">
      <c r="AF842" s="1"/>
      <c r="AG842" s="7"/>
    </row>
    <row r="843" spans="32:33" ht="14" x14ac:dyDescent="0.2">
      <c r="AF843" s="1"/>
      <c r="AG843" s="7"/>
    </row>
    <row r="844" spans="32:33" ht="14" x14ac:dyDescent="0.2">
      <c r="AF844" s="1"/>
      <c r="AG844" s="7"/>
    </row>
    <row r="845" spans="32:33" ht="14" x14ac:dyDescent="0.2">
      <c r="AF845" s="1"/>
      <c r="AG845" s="7"/>
    </row>
    <row r="846" spans="32:33" ht="14" x14ac:dyDescent="0.2">
      <c r="AF846" s="1"/>
      <c r="AG846" s="7"/>
    </row>
    <row r="847" spans="32:33" ht="14" x14ac:dyDescent="0.2">
      <c r="AF847" s="1"/>
      <c r="AG847" s="7"/>
    </row>
    <row r="848" spans="32:33" ht="14" x14ac:dyDescent="0.2">
      <c r="AF848" s="1"/>
      <c r="AG848" s="7"/>
    </row>
    <row r="849" spans="32:33" ht="14" x14ac:dyDescent="0.2">
      <c r="AF849" s="1"/>
      <c r="AG849" s="7"/>
    </row>
    <row r="850" spans="32:33" ht="14" x14ac:dyDescent="0.2">
      <c r="AF850" s="1"/>
      <c r="AG850" s="7"/>
    </row>
    <row r="851" spans="32:33" ht="14" x14ac:dyDescent="0.2">
      <c r="AF851" s="1"/>
      <c r="AG851" s="7"/>
    </row>
    <row r="852" spans="32:33" ht="14" x14ac:dyDescent="0.2">
      <c r="AF852" s="1"/>
      <c r="AG852" s="7"/>
    </row>
    <row r="853" spans="32:33" ht="14" x14ac:dyDescent="0.2">
      <c r="AF853" s="1"/>
      <c r="AG853" s="7"/>
    </row>
    <row r="854" spans="32:33" ht="14" x14ac:dyDescent="0.2">
      <c r="AF854" s="1"/>
      <c r="AG854" s="7"/>
    </row>
    <row r="855" spans="32:33" ht="14" x14ac:dyDescent="0.2">
      <c r="AF855" s="1"/>
      <c r="AG855" s="7"/>
    </row>
    <row r="856" spans="32:33" ht="14" x14ac:dyDescent="0.2">
      <c r="AF856" s="1"/>
      <c r="AG856" s="7"/>
    </row>
    <row r="857" spans="32:33" ht="14" x14ac:dyDescent="0.2">
      <c r="AF857" s="1"/>
      <c r="AG857" s="7"/>
    </row>
    <row r="858" spans="32:33" ht="14" x14ac:dyDescent="0.2">
      <c r="AF858" s="1"/>
      <c r="AG858" s="7"/>
    </row>
    <row r="859" spans="32:33" ht="14" x14ac:dyDescent="0.2">
      <c r="AF859" s="1"/>
      <c r="AG859" s="7"/>
    </row>
    <row r="860" spans="32:33" ht="14" x14ac:dyDescent="0.2">
      <c r="AF860" s="1"/>
      <c r="AG860" s="7"/>
    </row>
    <row r="861" spans="32:33" ht="14" x14ac:dyDescent="0.2">
      <c r="AF861" s="1"/>
      <c r="AG861" s="7"/>
    </row>
    <row r="862" spans="32:33" ht="14" x14ac:dyDescent="0.2">
      <c r="AF862" s="1"/>
      <c r="AG862" s="7"/>
    </row>
    <row r="863" spans="32:33" ht="14" x14ac:dyDescent="0.2">
      <c r="AF863" s="1"/>
      <c r="AG863" s="7"/>
    </row>
    <row r="864" spans="32:33" ht="14" x14ac:dyDescent="0.2">
      <c r="AF864" s="1"/>
      <c r="AG864" s="7"/>
    </row>
    <row r="865" spans="32:33" ht="14" x14ac:dyDescent="0.2">
      <c r="AF865" s="1"/>
      <c r="AG865" s="7"/>
    </row>
    <row r="866" spans="32:33" ht="14" x14ac:dyDescent="0.2">
      <c r="AF866" s="1"/>
      <c r="AG866" s="7"/>
    </row>
    <row r="867" spans="32:33" ht="14" x14ac:dyDescent="0.2">
      <c r="AF867" s="1"/>
      <c r="AG867" s="7"/>
    </row>
    <row r="868" spans="32:33" ht="14" x14ac:dyDescent="0.2">
      <c r="AF868" s="1"/>
      <c r="AG868" s="7"/>
    </row>
    <row r="869" spans="32:33" ht="14" x14ac:dyDescent="0.2">
      <c r="AF869" s="1"/>
      <c r="AG869" s="7"/>
    </row>
    <row r="870" spans="32:33" ht="14" x14ac:dyDescent="0.2">
      <c r="AF870" s="1"/>
      <c r="AG870" s="7"/>
    </row>
    <row r="871" spans="32:33" ht="14" x14ac:dyDescent="0.2">
      <c r="AF871" s="1"/>
      <c r="AG871" s="7"/>
    </row>
    <row r="872" spans="32:33" ht="14" x14ac:dyDescent="0.2">
      <c r="AF872" s="1"/>
      <c r="AG872" s="7"/>
    </row>
    <row r="873" spans="32:33" ht="14" x14ac:dyDescent="0.2">
      <c r="AF873" s="1"/>
      <c r="AG873" s="7"/>
    </row>
    <row r="874" spans="32:33" ht="14" x14ac:dyDescent="0.2">
      <c r="AF874" s="1"/>
      <c r="AG874" s="7"/>
    </row>
    <row r="875" spans="32:33" ht="14" x14ac:dyDescent="0.2">
      <c r="AF875" s="1"/>
      <c r="AG875" s="7"/>
    </row>
    <row r="876" spans="32:33" ht="14" x14ac:dyDescent="0.2">
      <c r="AF876" s="1"/>
      <c r="AG876" s="7"/>
    </row>
    <row r="877" spans="32:33" ht="14" x14ac:dyDescent="0.2">
      <c r="AF877" s="1"/>
      <c r="AG877" s="7"/>
    </row>
    <row r="878" spans="32:33" ht="14" x14ac:dyDescent="0.2">
      <c r="AF878" s="1"/>
      <c r="AG878" s="7"/>
    </row>
    <row r="879" spans="32:33" ht="14" x14ac:dyDescent="0.2">
      <c r="AF879" s="1"/>
      <c r="AG879" s="7"/>
    </row>
    <row r="880" spans="32:33" ht="14" x14ac:dyDescent="0.2">
      <c r="AF880" s="1"/>
      <c r="AG880" s="7"/>
    </row>
    <row r="881" spans="32:33" ht="14" x14ac:dyDescent="0.2">
      <c r="AF881" s="1"/>
      <c r="AG881" s="7"/>
    </row>
    <row r="882" spans="32:33" ht="14" x14ac:dyDescent="0.2">
      <c r="AF882" s="1"/>
      <c r="AG882" s="7"/>
    </row>
    <row r="883" spans="32:33" ht="14" x14ac:dyDescent="0.2">
      <c r="AF883" s="1"/>
      <c r="AG883" s="7"/>
    </row>
    <row r="884" spans="32:33" ht="14" x14ac:dyDescent="0.2">
      <c r="AF884" s="1"/>
      <c r="AG884" s="7"/>
    </row>
    <row r="885" spans="32:33" ht="14" x14ac:dyDescent="0.2">
      <c r="AF885" s="1"/>
      <c r="AG885" s="7"/>
    </row>
    <row r="886" spans="32:33" ht="14" x14ac:dyDescent="0.2">
      <c r="AF886" s="1"/>
      <c r="AG886" s="7"/>
    </row>
    <row r="887" spans="32:33" ht="14" x14ac:dyDescent="0.2">
      <c r="AF887" s="1"/>
      <c r="AG887" s="7"/>
    </row>
    <row r="888" spans="32:33" ht="14" x14ac:dyDescent="0.2">
      <c r="AF888" s="1"/>
      <c r="AG888" s="7"/>
    </row>
    <row r="889" spans="32:33" ht="14" x14ac:dyDescent="0.2">
      <c r="AF889" s="1"/>
      <c r="AG889" s="7"/>
    </row>
    <row r="890" spans="32:33" ht="14" x14ac:dyDescent="0.2">
      <c r="AF890" s="1"/>
      <c r="AG890" s="7"/>
    </row>
    <row r="891" spans="32:33" ht="14" x14ac:dyDescent="0.2">
      <c r="AF891" s="1"/>
      <c r="AG891" s="7"/>
    </row>
    <row r="892" spans="32:33" ht="14" x14ac:dyDescent="0.2">
      <c r="AF892" s="1"/>
      <c r="AG892" s="7"/>
    </row>
    <row r="893" spans="32:33" ht="14" x14ac:dyDescent="0.2">
      <c r="AF893" s="1"/>
      <c r="AG893" s="7"/>
    </row>
    <row r="894" spans="32:33" ht="14" x14ac:dyDescent="0.2">
      <c r="AF894" s="1"/>
      <c r="AG894" s="7"/>
    </row>
    <row r="895" spans="32:33" ht="14" x14ac:dyDescent="0.2">
      <c r="AF895" s="1"/>
      <c r="AG895" s="7"/>
    </row>
    <row r="896" spans="32:33" ht="14" x14ac:dyDescent="0.2">
      <c r="AF896" s="1"/>
      <c r="AG896" s="7"/>
    </row>
    <row r="897" spans="32:33" ht="14" x14ac:dyDescent="0.2">
      <c r="AF897" s="1"/>
      <c r="AG897" s="7"/>
    </row>
    <row r="898" spans="32:33" ht="14" x14ac:dyDescent="0.2">
      <c r="AF898" s="1"/>
      <c r="AG898" s="7"/>
    </row>
    <row r="899" spans="32:33" ht="14" x14ac:dyDescent="0.2">
      <c r="AF899" s="1"/>
      <c r="AG899" s="7"/>
    </row>
    <row r="900" spans="32:33" ht="14" x14ac:dyDescent="0.2">
      <c r="AF900" s="1"/>
      <c r="AG900" s="7"/>
    </row>
    <row r="901" spans="32:33" ht="14" x14ac:dyDescent="0.2">
      <c r="AF901" s="1"/>
      <c r="AG901" s="7"/>
    </row>
    <row r="902" spans="32:33" ht="14" x14ac:dyDescent="0.2">
      <c r="AF902" s="1"/>
      <c r="AG902" s="7"/>
    </row>
    <row r="903" spans="32:33" ht="14" x14ac:dyDescent="0.2">
      <c r="AF903" s="1"/>
      <c r="AG903" s="7"/>
    </row>
    <row r="904" spans="32:33" ht="14" x14ac:dyDescent="0.2">
      <c r="AF904" s="1"/>
      <c r="AG904" s="7"/>
    </row>
    <row r="905" spans="32:33" ht="14" x14ac:dyDescent="0.2">
      <c r="AF905" s="1"/>
      <c r="AG905" s="7"/>
    </row>
    <row r="906" spans="32:33" ht="14" x14ac:dyDescent="0.2">
      <c r="AF906" s="1"/>
      <c r="AG906" s="7"/>
    </row>
    <row r="907" spans="32:33" ht="14" x14ac:dyDescent="0.2">
      <c r="AF907" s="1"/>
      <c r="AG907" s="7"/>
    </row>
    <row r="908" spans="32:33" ht="14" x14ac:dyDescent="0.2">
      <c r="AF908" s="1"/>
      <c r="AG908" s="7"/>
    </row>
    <row r="909" spans="32:33" ht="14" x14ac:dyDescent="0.2">
      <c r="AF909" s="1"/>
      <c r="AG909" s="7"/>
    </row>
    <row r="910" spans="32:33" ht="14" x14ac:dyDescent="0.2">
      <c r="AF910" s="1"/>
      <c r="AG910" s="7"/>
    </row>
    <row r="911" spans="32:33" ht="14" x14ac:dyDescent="0.2">
      <c r="AF911" s="1"/>
      <c r="AG911" s="7"/>
    </row>
    <row r="912" spans="32:33" ht="14" x14ac:dyDescent="0.2">
      <c r="AF912" s="1"/>
      <c r="AG912" s="7"/>
    </row>
    <row r="913" spans="32:33" ht="14" x14ac:dyDescent="0.2">
      <c r="AF913" s="1"/>
      <c r="AG913" s="7"/>
    </row>
    <row r="914" spans="32:33" ht="14" x14ac:dyDescent="0.2">
      <c r="AF914" s="1"/>
      <c r="AG914" s="7"/>
    </row>
    <row r="915" spans="32:33" ht="14" x14ac:dyDescent="0.2">
      <c r="AF915" s="1"/>
      <c r="AG915" s="7"/>
    </row>
    <row r="916" spans="32:33" ht="14" x14ac:dyDescent="0.2">
      <c r="AF916" s="1"/>
      <c r="AG916" s="7"/>
    </row>
    <row r="917" spans="32:33" ht="14" x14ac:dyDescent="0.2">
      <c r="AF917" s="1"/>
      <c r="AG917" s="7"/>
    </row>
    <row r="918" spans="32:33" ht="14" x14ac:dyDescent="0.2">
      <c r="AF918" s="1"/>
      <c r="AG918" s="7"/>
    </row>
    <row r="919" spans="32:33" ht="14" x14ac:dyDescent="0.2">
      <c r="AF919" s="1"/>
      <c r="AG919" s="7"/>
    </row>
    <row r="920" spans="32:33" ht="14" x14ac:dyDescent="0.2">
      <c r="AF920" s="1"/>
      <c r="AG920" s="7"/>
    </row>
    <row r="921" spans="32:33" ht="14" x14ac:dyDescent="0.2">
      <c r="AF921" s="1"/>
      <c r="AG921" s="7"/>
    </row>
    <row r="922" spans="32:33" ht="14" x14ac:dyDescent="0.2">
      <c r="AF922" s="1"/>
      <c r="AG922" s="7"/>
    </row>
    <row r="923" spans="32:33" ht="14" x14ac:dyDescent="0.2">
      <c r="AF923" s="1"/>
      <c r="AG923" s="7"/>
    </row>
    <row r="924" spans="32:33" ht="14" x14ac:dyDescent="0.2">
      <c r="AF924" s="1"/>
      <c r="AG924" s="7"/>
    </row>
    <row r="925" spans="32:33" ht="14" x14ac:dyDescent="0.2">
      <c r="AF925" s="1"/>
      <c r="AG925" s="7"/>
    </row>
    <row r="926" spans="32:33" ht="14" x14ac:dyDescent="0.2">
      <c r="AF926" s="1"/>
      <c r="AG926" s="7"/>
    </row>
    <row r="927" spans="32:33" ht="14" x14ac:dyDescent="0.2">
      <c r="AF927" s="1"/>
      <c r="AG927" s="7"/>
    </row>
    <row r="928" spans="32:33" ht="14" x14ac:dyDescent="0.2">
      <c r="AF928" s="1"/>
      <c r="AG928" s="7"/>
    </row>
    <row r="929" spans="32:33" ht="14" x14ac:dyDescent="0.2">
      <c r="AF929" s="1"/>
      <c r="AG929" s="7"/>
    </row>
    <row r="930" spans="32:33" ht="14" x14ac:dyDescent="0.2">
      <c r="AF930" s="1"/>
      <c r="AG930" s="7"/>
    </row>
    <row r="931" spans="32:33" ht="14" x14ac:dyDescent="0.2">
      <c r="AF931" s="1"/>
      <c r="AG931" s="7"/>
    </row>
    <row r="932" spans="32:33" ht="14" x14ac:dyDescent="0.2">
      <c r="AF932" s="1"/>
      <c r="AG932" s="7"/>
    </row>
    <row r="933" spans="32:33" ht="14" x14ac:dyDescent="0.2">
      <c r="AF933" s="1"/>
      <c r="AG933" s="7"/>
    </row>
    <row r="934" spans="32:33" ht="14" x14ac:dyDescent="0.2">
      <c r="AF934" s="1"/>
      <c r="AG934" s="7"/>
    </row>
    <row r="935" spans="32:33" ht="14" x14ac:dyDescent="0.2">
      <c r="AF935" s="1"/>
      <c r="AG935" s="7"/>
    </row>
    <row r="936" spans="32:33" ht="14" x14ac:dyDescent="0.2">
      <c r="AF936" s="1"/>
      <c r="AG936" s="7"/>
    </row>
    <row r="937" spans="32:33" ht="14" x14ac:dyDescent="0.2">
      <c r="AF937" s="1"/>
      <c r="AG937" s="7"/>
    </row>
    <row r="938" spans="32:33" ht="14" x14ac:dyDescent="0.2">
      <c r="AF938" s="1"/>
      <c r="AG938" s="7"/>
    </row>
    <row r="939" spans="32:33" ht="14" x14ac:dyDescent="0.2">
      <c r="AF939" s="1"/>
      <c r="AG939" s="7"/>
    </row>
    <row r="940" spans="32:33" ht="14" x14ac:dyDescent="0.2">
      <c r="AF940" s="1"/>
      <c r="AG940" s="7"/>
    </row>
    <row r="941" spans="32:33" ht="14" x14ac:dyDescent="0.2">
      <c r="AF941" s="1"/>
      <c r="AG941" s="7"/>
    </row>
    <row r="942" spans="32:33" ht="14" x14ac:dyDescent="0.2">
      <c r="AF942" s="1"/>
      <c r="AG942" s="7"/>
    </row>
    <row r="943" spans="32:33" ht="14" x14ac:dyDescent="0.2">
      <c r="AF943" s="1"/>
      <c r="AG943" s="7"/>
    </row>
    <row r="944" spans="32:33" ht="14" x14ac:dyDescent="0.2">
      <c r="AF944" s="1"/>
      <c r="AG944" s="7"/>
    </row>
    <row r="945" spans="32:33" ht="14" x14ac:dyDescent="0.2">
      <c r="AF945" s="1"/>
      <c r="AG945" s="7"/>
    </row>
    <row r="946" spans="32:33" ht="14" x14ac:dyDescent="0.2">
      <c r="AF946" s="1"/>
      <c r="AG946" s="7"/>
    </row>
    <row r="947" spans="32:33" ht="14" x14ac:dyDescent="0.2">
      <c r="AF947" s="1"/>
      <c r="AG947" s="7"/>
    </row>
    <row r="948" spans="32:33" ht="14" x14ac:dyDescent="0.2">
      <c r="AF948" s="1"/>
      <c r="AG948" s="7"/>
    </row>
    <row r="949" spans="32:33" ht="14" x14ac:dyDescent="0.2">
      <c r="AF949" s="1"/>
      <c r="AG949" s="7"/>
    </row>
    <row r="950" spans="32:33" ht="14" x14ac:dyDescent="0.2">
      <c r="AF950" s="1"/>
      <c r="AG950" s="7"/>
    </row>
    <row r="951" spans="32:33" ht="14" x14ac:dyDescent="0.2">
      <c r="AF951" s="1"/>
      <c r="AG951" s="7"/>
    </row>
    <row r="952" spans="32:33" ht="14" x14ac:dyDescent="0.2">
      <c r="AF952" s="1"/>
      <c r="AG952" s="7"/>
    </row>
    <row r="953" spans="32:33" ht="14" x14ac:dyDescent="0.2">
      <c r="AF953" s="1"/>
      <c r="AG953" s="7"/>
    </row>
    <row r="954" spans="32:33" ht="14" x14ac:dyDescent="0.2">
      <c r="AF954" s="1"/>
      <c r="AG954" s="7"/>
    </row>
    <row r="955" spans="32:33" ht="14" x14ac:dyDescent="0.2">
      <c r="AF955" s="1"/>
      <c r="AG955" s="7"/>
    </row>
    <row r="956" spans="32:33" ht="14" x14ac:dyDescent="0.2">
      <c r="AF956" s="1"/>
      <c r="AG956" s="7"/>
    </row>
    <row r="957" spans="32:33" ht="14" x14ac:dyDescent="0.2">
      <c r="AF957" s="1"/>
      <c r="AG957" s="7"/>
    </row>
    <row r="958" spans="32:33" ht="14" x14ac:dyDescent="0.2">
      <c r="AF958" s="1"/>
      <c r="AG958" s="7"/>
    </row>
    <row r="959" spans="32:33" ht="14" x14ac:dyDescent="0.2">
      <c r="AF959" s="1"/>
      <c r="AG959" s="7"/>
    </row>
    <row r="960" spans="32:33" ht="14" x14ac:dyDescent="0.2">
      <c r="AF960" s="1"/>
      <c r="AG960" s="7"/>
    </row>
    <row r="961" spans="32:33" ht="14" x14ac:dyDescent="0.2">
      <c r="AF961" s="1"/>
      <c r="AG961" s="7"/>
    </row>
    <row r="962" spans="32:33" ht="14" x14ac:dyDescent="0.2">
      <c r="AF962" s="1"/>
      <c r="AG962" s="7"/>
    </row>
    <row r="963" spans="32:33" ht="14" x14ac:dyDescent="0.2">
      <c r="AF963" s="1"/>
      <c r="AG963" s="7"/>
    </row>
    <row r="964" spans="32:33" ht="14" x14ac:dyDescent="0.2">
      <c r="AF964" s="1"/>
      <c r="AG964" s="7"/>
    </row>
    <row r="965" spans="32:33" ht="14" x14ac:dyDescent="0.2">
      <c r="AF965" s="1"/>
      <c r="AG965" s="7"/>
    </row>
    <row r="966" spans="32:33" ht="14" x14ac:dyDescent="0.2">
      <c r="AF966" s="1"/>
      <c r="AG966" s="7"/>
    </row>
    <row r="967" spans="32:33" ht="14" x14ac:dyDescent="0.2">
      <c r="AF967" s="1"/>
      <c r="AG967" s="7"/>
    </row>
    <row r="968" spans="32:33" ht="14" x14ac:dyDescent="0.2">
      <c r="AF968" s="1"/>
      <c r="AG968" s="7"/>
    </row>
    <row r="969" spans="32:33" ht="14" x14ac:dyDescent="0.2">
      <c r="AF969" s="1"/>
      <c r="AG969" s="7"/>
    </row>
    <row r="970" spans="32:33" ht="14" x14ac:dyDescent="0.2">
      <c r="AF970" s="1"/>
      <c r="AG970" s="7"/>
    </row>
    <row r="971" spans="32:33" ht="14" x14ac:dyDescent="0.2">
      <c r="AF971" s="1"/>
      <c r="AG971" s="7"/>
    </row>
    <row r="972" spans="32:33" ht="14" x14ac:dyDescent="0.2">
      <c r="AF972" s="1"/>
      <c r="AG972" s="7"/>
    </row>
    <row r="973" spans="32:33" ht="14" x14ac:dyDescent="0.2">
      <c r="AF973" s="1"/>
      <c r="AG973" s="7"/>
    </row>
    <row r="974" spans="32:33" ht="14" x14ac:dyDescent="0.2">
      <c r="AF974" s="1"/>
      <c r="AG974" s="7"/>
    </row>
    <row r="975" spans="32:33" ht="14" x14ac:dyDescent="0.2">
      <c r="AF975" s="1"/>
      <c r="AG975" s="7"/>
    </row>
    <row r="976" spans="32:33" ht="14" x14ac:dyDescent="0.2">
      <c r="AF976" s="1"/>
      <c r="AG976" s="7"/>
    </row>
    <row r="977" spans="32:33" ht="14" x14ac:dyDescent="0.2">
      <c r="AF977" s="1"/>
      <c r="AG977" s="7"/>
    </row>
    <row r="978" spans="32:33" ht="14" x14ac:dyDescent="0.2">
      <c r="AF978" s="1"/>
      <c r="AG978" s="7"/>
    </row>
    <row r="979" spans="32:33" ht="14" x14ac:dyDescent="0.2">
      <c r="AF979" s="1"/>
      <c r="AG979" s="7"/>
    </row>
    <row r="980" spans="32:33" ht="14" x14ac:dyDescent="0.2">
      <c r="AF980" s="1"/>
      <c r="AG980" s="7"/>
    </row>
    <row r="981" spans="32:33" ht="14" x14ac:dyDescent="0.2">
      <c r="AF981" s="1"/>
      <c r="AG981" s="7"/>
    </row>
    <row r="982" spans="32:33" ht="14" x14ac:dyDescent="0.2">
      <c r="AF982" s="1"/>
      <c r="AG982" s="7"/>
    </row>
    <row r="983" spans="32:33" ht="14" x14ac:dyDescent="0.2">
      <c r="AF983" s="1"/>
      <c r="AG983" s="7"/>
    </row>
    <row r="984" spans="32:33" ht="14" x14ac:dyDescent="0.2">
      <c r="AF984" s="1"/>
      <c r="AG984" s="7"/>
    </row>
    <row r="985" spans="32:33" ht="14" x14ac:dyDescent="0.2">
      <c r="AF985" s="1"/>
      <c r="AG985" s="7"/>
    </row>
    <row r="986" spans="32:33" ht="14" x14ac:dyDescent="0.2">
      <c r="AF986" s="1"/>
      <c r="AG986" s="7"/>
    </row>
    <row r="987" spans="32:33" ht="14" x14ac:dyDescent="0.2">
      <c r="AF987" s="1"/>
      <c r="AG987" s="7"/>
    </row>
    <row r="988" spans="32:33" ht="14" x14ac:dyDescent="0.2">
      <c r="AF988" s="1"/>
      <c r="AG988" s="7"/>
    </row>
    <row r="989" spans="32:33" ht="14" x14ac:dyDescent="0.2">
      <c r="AF989" s="1"/>
      <c r="AG989" s="7"/>
    </row>
    <row r="990" spans="32:33" ht="14" x14ac:dyDescent="0.2">
      <c r="AF990" s="1"/>
      <c r="AG990" s="7"/>
    </row>
    <row r="991" spans="32:33" ht="14" x14ac:dyDescent="0.2">
      <c r="AF991" s="1"/>
      <c r="AG991" s="7"/>
    </row>
    <row r="992" spans="32:33" ht="14" x14ac:dyDescent="0.2">
      <c r="AF992" s="1"/>
      <c r="AG992" s="7"/>
    </row>
    <row r="993" spans="32:33" ht="14" x14ac:dyDescent="0.2">
      <c r="AF993" s="1"/>
      <c r="AG993" s="7"/>
    </row>
    <row r="994" spans="32:33" ht="14" x14ac:dyDescent="0.2">
      <c r="AF994" s="1"/>
      <c r="AG994" s="7"/>
    </row>
    <row r="995" spans="32:33" ht="14" x14ac:dyDescent="0.2">
      <c r="AF995" s="1"/>
      <c r="AG995" s="7"/>
    </row>
    <row r="996" spans="32:33" ht="14" x14ac:dyDescent="0.2">
      <c r="AF996" s="1"/>
      <c r="AG996" s="7"/>
    </row>
    <row r="997" spans="32:33" ht="14" x14ac:dyDescent="0.2">
      <c r="AF997" s="1"/>
      <c r="AG997" s="7"/>
    </row>
    <row r="998" spans="32:33" ht="14" x14ac:dyDescent="0.2">
      <c r="AF998" s="1"/>
      <c r="AG998" s="7"/>
    </row>
    <row r="999" spans="32:33" ht="14" x14ac:dyDescent="0.2">
      <c r="AF999" s="1"/>
      <c r="AG999" s="7"/>
    </row>
    <row r="1000" spans="32:33" ht="14" x14ac:dyDescent="0.2">
      <c r="AF1000" s="1"/>
      <c r="AG1000" s="7"/>
    </row>
    <row r="1001" spans="32:33" ht="14" x14ac:dyDescent="0.2">
      <c r="AF1001" s="1"/>
      <c r="AG1001" s="7"/>
    </row>
    <row r="1002" spans="32:33" ht="14" x14ac:dyDescent="0.2">
      <c r="AF1002" s="1"/>
      <c r="AG1002" s="7"/>
    </row>
    <row r="1003" spans="32:33" ht="14" x14ac:dyDescent="0.2">
      <c r="AF1003" s="1"/>
      <c r="AG1003" s="7"/>
    </row>
    <row r="1004" spans="32:33" ht="14" x14ac:dyDescent="0.2">
      <c r="AF1004" s="1"/>
      <c r="AG1004" s="7"/>
    </row>
    <row r="1005" spans="32:33" ht="14" x14ac:dyDescent="0.2">
      <c r="AF1005" s="1"/>
      <c r="AG1005" s="7"/>
    </row>
    <row r="1006" spans="32:33" ht="14" x14ac:dyDescent="0.2">
      <c r="AF1006" s="1"/>
      <c r="AG1006" s="7"/>
    </row>
    <row r="1007" spans="32:33" ht="14" x14ac:dyDescent="0.2">
      <c r="AF1007" s="1"/>
      <c r="AG1007" s="7"/>
    </row>
  </sheetData>
  <conditionalFormatting sqref="B43">
    <cfRule type="cellIs" dxfId="31" priority="3" operator="greaterThanOrEqual">
      <formula>0</formula>
    </cfRule>
    <cfRule type="cellIs" dxfId="30" priority="4" operator="lessThanOrEqual">
      <formula>0</formula>
    </cfRule>
  </conditionalFormatting>
  <conditionalFormatting sqref="B2:V2 X2:AE2 V4">
    <cfRule type="cellIs" dxfId="29" priority="7" operator="greaterThan">
      <formula>4200</formula>
    </cfRule>
  </conditionalFormatting>
  <conditionalFormatting sqref="B33:AF33 AI33:BF33">
    <cfRule type="cellIs" dxfId="28" priority="1" operator="greaterThanOrEqual">
      <formula>0</formula>
    </cfRule>
    <cfRule type="cellIs" dxfId="27" priority="2" operator="lessThanOrEqual">
      <formula>0</formula>
    </cfRule>
  </conditionalFormatting>
  <conditionalFormatting sqref="AG33">
    <cfRule type="cellIs" dxfId="26" priority="5" operator="greaterThanOrEqual">
      <formula>1</formula>
    </cfRule>
    <cfRule type="cellIs" dxfId="25" priority="6" operator="lessThan">
      <formula>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outlinePr summaryBelow="0" summaryRight="0"/>
  </sheetPr>
  <dimension ref="A1:BG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9" width="9" customWidth="1"/>
  </cols>
  <sheetData>
    <row r="1" spans="1:59" ht="15.75" customHeight="1" x14ac:dyDescent="0.2">
      <c r="A1" s="8" t="s">
        <v>127</v>
      </c>
      <c r="B1" s="64">
        <v>45931</v>
      </c>
      <c r="C1" s="64">
        <v>45932</v>
      </c>
      <c r="D1" s="64">
        <v>45933</v>
      </c>
      <c r="E1" s="64">
        <v>45934</v>
      </c>
      <c r="F1" s="64">
        <v>45935</v>
      </c>
      <c r="G1" s="64">
        <v>45936</v>
      </c>
      <c r="H1" s="64">
        <v>45937</v>
      </c>
      <c r="I1" s="64">
        <v>45938</v>
      </c>
      <c r="J1" s="64">
        <v>45939</v>
      </c>
      <c r="K1" s="64">
        <v>45940</v>
      </c>
      <c r="L1" s="64">
        <v>45941</v>
      </c>
      <c r="M1" s="64">
        <v>45942</v>
      </c>
      <c r="N1" s="64">
        <v>45943</v>
      </c>
      <c r="O1" s="64">
        <v>45944</v>
      </c>
      <c r="P1" s="64">
        <v>45945</v>
      </c>
      <c r="Q1" s="64">
        <v>45946</v>
      </c>
      <c r="R1" s="64">
        <v>45947</v>
      </c>
      <c r="S1" s="64">
        <v>45948</v>
      </c>
      <c r="T1" s="64">
        <v>45949</v>
      </c>
      <c r="U1" s="64">
        <v>45950</v>
      </c>
      <c r="V1" s="64">
        <v>45951</v>
      </c>
      <c r="W1" s="64">
        <v>45952</v>
      </c>
      <c r="X1" s="64">
        <v>45953</v>
      </c>
      <c r="Y1" s="64">
        <v>45954</v>
      </c>
      <c r="Z1" s="64">
        <v>45955</v>
      </c>
      <c r="AA1" s="64">
        <v>45956</v>
      </c>
      <c r="AB1" s="64">
        <v>45957</v>
      </c>
      <c r="AC1" s="64">
        <v>45958</v>
      </c>
      <c r="AD1" s="64">
        <v>45959</v>
      </c>
      <c r="AE1" s="64">
        <v>45960</v>
      </c>
      <c r="AF1" s="85">
        <v>45961</v>
      </c>
      <c r="AG1" s="22" t="s">
        <v>0</v>
      </c>
      <c r="AH1" s="22" t="s">
        <v>153</v>
      </c>
      <c r="AI1" s="8" t="s">
        <v>161</v>
      </c>
      <c r="AJ1" s="65"/>
      <c r="AK1" s="65"/>
      <c r="AL1" s="65"/>
      <c r="AM1" s="65"/>
      <c r="AN1" s="65"/>
      <c r="AO1" s="65"/>
      <c r="AP1" s="65"/>
      <c r="AQ1" s="65"/>
      <c r="AR1" s="65"/>
      <c r="AS1" s="65"/>
      <c r="AT1" s="65"/>
      <c r="AU1" s="65"/>
      <c r="AV1" s="65"/>
      <c r="AW1" s="65"/>
      <c r="AX1" s="65"/>
      <c r="AY1" s="65"/>
      <c r="AZ1" s="65"/>
      <c r="BA1" s="65"/>
      <c r="BB1" s="65"/>
      <c r="BC1" s="65"/>
      <c r="BD1" s="65"/>
      <c r="BE1" s="65"/>
      <c r="BF1" s="65"/>
      <c r="BG1" s="65"/>
    </row>
    <row r="2" spans="1:59" ht="15.75" customHeight="1" x14ac:dyDescent="0.2">
      <c r="A2" s="4" t="s">
        <v>162</v>
      </c>
      <c r="B2" s="66">
        <v>1700</v>
      </c>
      <c r="C2" s="66">
        <v>1700</v>
      </c>
      <c r="D2" s="66">
        <v>1700</v>
      </c>
      <c r="E2" s="66">
        <v>1700</v>
      </c>
      <c r="F2" s="66">
        <v>1700</v>
      </c>
      <c r="G2" s="69">
        <v>0</v>
      </c>
      <c r="H2" s="66">
        <v>1700</v>
      </c>
      <c r="I2" s="66">
        <v>1700</v>
      </c>
      <c r="J2" s="66">
        <v>1700</v>
      </c>
      <c r="K2" s="66">
        <v>1700</v>
      </c>
      <c r="L2" s="66">
        <v>1700</v>
      </c>
      <c r="M2" s="66">
        <v>1700</v>
      </c>
      <c r="N2" s="66">
        <v>1700</v>
      </c>
      <c r="O2" s="66">
        <v>1700</v>
      </c>
      <c r="P2" s="66">
        <v>1700</v>
      </c>
      <c r="Q2" s="66">
        <v>1700</v>
      </c>
      <c r="R2" s="66">
        <v>1700</v>
      </c>
      <c r="S2" s="66">
        <v>1700</v>
      </c>
      <c r="T2" s="66">
        <v>1700</v>
      </c>
      <c r="U2" s="66">
        <v>1700</v>
      </c>
      <c r="V2" s="66">
        <v>1700</v>
      </c>
      <c r="W2" s="66">
        <v>1700</v>
      </c>
      <c r="X2" s="66">
        <v>1700</v>
      </c>
      <c r="Y2" s="66">
        <v>1700</v>
      </c>
      <c r="Z2" s="66">
        <v>1700</v>
      </c>
      <c r="AA2" s="66">
        <v>1700</v>
      </c>
      <c r="AB2" s="66">
        <v>1700</v>
      </c>
      <c r="AC2" s="66">
        <v>1700</v>
      </c>
      <c r="AD2" s="66">
        <v>1700</v>
      </c>
      <c r="AE2" s="66">
        <v>1700</v>
      </c>
      <c r="AF2" s="69">
        <v>0</v>
      </c>
      <c r="AG2" s="56">
        <f t="shared" ref="AG2:AG4" si="0">SUM(B2:AF2)</f>
        <v>49300</v>
      </c>
      <c r="AH2" s="67">
        <f t="shared" ref="AH2:AH4" si="1">IFERROR(AVERAGE(B2:AF2),0)</f>
        <v>1590.3225806451612</v>
      </c>
      <c r="AI2" s="68">
        <f t="shared" ref="AI2:AI4" si="2">(AH2/$AH$29)*100</f>
        <v>13.591870434549952</v>
      </c>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ht="15.75" customHeight="1" x14ac:dyDescent="0.2">
      <c r="A3" s="4" t="s">
        <v>163</v>
      </c>
      <c r="B3" s="59">
        <f t="shared" ref="B3:F3" si="3">$B$39/$B$59</f>
        <v>3131.8620689655172</v>
      </c>
      <c r="C3" s="59">
        <f t="shared" si="3"/>
        <v>3131.8620689655172</v>
      </c>
      <c r="D3" s="59">
        <f t="shared" si="3"/>
        <v>3131.8620689655172</v>
      </c>
      <c r="E3" s="59">
        <f t="shared" si="3"/>
        <v>3131.8620689655172</v>
      </c>
      <c r="F3" s="59">
        <f t="shared" si="3"/>
        <v>3131.8620689655172</v>
      </c>
      <c r="G3" s="69">
        <v>0</v>
      </c>
      <c r="H3" s="59">
        <f t="shared" ref="H3:AE3" si="4">$B$39/$B$59</f>
        <v>3131.8620689655172</v>
      </c>
      <c r="I3" s="59">
        <f t="shared" si="4"/>
        <v>3131.8620689655172</v>
      </c>
      <c r="J3" s="59">
        <f t="shared" si="4"/>
        <v>3131.8620689655172</v>
      </c>
      <c r="K3" s="59">
        <f t="shared" si="4"/>
        <v>3131.8620689655172</v>
      </c>
      <c r="L3" s="59">
        <f t="shared" si="4"/>
        <v>3131.8620689655172</v>
      </c>
      <c r="M3" s="59">
        <f t="shared" si="4"/>
        <v>3131.8620689655172</v>
      </c>
      <c r="N3" s="59">
        <f t="shared" si="4"/>
        <v>3131.8620689655172</v>
      </c>
      <c r="O3" s="59">
        <f t="shared" si="4"/>
        <v>3131.8620689655172</v>
      </c>
      <c r="P3" s="59">
        <f t="shared" si="4"/>
        <v>3131.8620689655172</v>
      </c>
      <c r="Q3" s="59">
        <f t="shared" si="4"/>
        <v>3131.8620689655172</v>
      </c>
      <c r="R3" s="59">
        <f t="shared" si="4"/>
        <v>3131.8620689655172</v>
      </c>
      <c r="S3" s="59">
        <f t="shared" si="4"/>
        <v>3131.8620689655172</v>
      </c>
      <c r="T3" s="59">
        <f t="shared" si="4"/>
        <v>3131.8620689655172</v>
      </c>
      <c r="U3" s="59">
        <f t="shared" si="4"/>
        <v>3131.8620689655172</v>
      </c>
      <c r="V3" s="59">
        <f t="shared" si="4"/>
        <v>3131.8620689655172</v>
      </c>
      <c r="W3" s="59">
        <f t="shared" si="4"/>
        <v>3131.8620689655172</v>
      </c>
      <c r="X3" s="59">
        <f t="shared" si="4"/>
        <v>3131.8620689655172</v>
      </c>
      <c r="Y3" s="59">
        <f t="shared" si="4"/>
        <v>3131.8620689655172</v>
      </c>
      <c r="Z3" s="59">
        <f t="shared" si="4"/>
        <v>3131.8620689655172</v>
      </c>
      <c r="AA3" s="59">
        <f t="shared" si="4"/>
        <v>3131.8620689655172</v>
      </c>
      <c r="AB3" s="59">
        <f t="shared" si="4"/>
        <v>3131.8620689655172</v>
      </c>
      <c r="AC3" s="59">
        <f t="shared" si="4"/>
        <v>3131.8620689655172</v>
      </c>
      <c r="AD3" s="59">
        <f t="shared" si="4"/>
        <v>3131.8620689655172</v>
      </c>
      <c r="AE3" s="59">
        <f t="shared" si="4"/>
        <v>3131.8620689655172</v>
      </c>
      <c r="AF3" s="69">
        <v>0</v>
      </c>
      <c r="AG3" s="56">
        <f t="shared" si="0"/>
        <v>90824.000000000015</v>
      </c>
      <c r="AH3" s="67">
        <f t="shared" si="1"/>
        <v>2929.8064516129039</v>
      </c>
      <c r="AI3" s="68">
        <f t="shared" si="2"/>
        <v>25.039919682506394</v>
      </c>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ht="15.75" customHeight="1" x14ac:dyDescent="0.2">
      <c r="A4" s="4" t="s">
        <v>20</v>
      </c>
      <c r="B4" s="69">
        <f t="shared" ref="B4:F4" si="5">$B$42/$B$59</f>
        <v>3124.1034482758619</v>
      </c>
      <c r="C4" s="69">
        <f t="shared" si="5"/>
        <v>3124.1034482758619</v>
      </c>
      <c r="D4" s="69">
        <f t="shared" si="5"/>
        <v>3124.1034482758619</v>
      </c>
      <c r="E4" s="69">
        <f t="shared" si="5"/>
        <v>3124.1034482758619</v>
      </c>
      <c r="F4" s="69">
        <f t="shared" si="5"/>
        <v>3124.1034482758619</v>
      </c>
      <c r="G4" s="69">
        <v>0</v>
      </c>
      <c r="H4" s="69">
        <f t="shared" ref="H4:AE4" si="6">$B$42/$B$59</f>
        <v>3124.1034482758619</v>
      </c>
      <c r="I4" s="69">
        <f t="shared" si="6"/>
        <v>3124.1034482758619</v>
      </c>
      <c r="J4" s="69">
        <f t="shared" si="6"/>
        <v>3124.1034482758619</v>
      </c>
      <c r="K4" s="69">
        <f t="shared" si="6"/>
        <v>3124.1034482758619</v>
      </c>
      <c r="L4" s="69">
        <f t="shared" si="6"/>
        <v>3124.1034482758619</v>
      </c>
      <c r="M4" s="69">
        <f t="shared" si="6"/>
        <v>3124.1034482758619</v>
      </c>
      <c r="N4" s="69">
        <f t="shared" si="6"/>
        <v>3124.1034482758619</v>
      </c>
      <c r="O4" s="69">
        <f t="shared" si="6"/>
        <v>3124.1034482758619</v>
      </c>
      <c r="P4" s="69">
        <f t="shared" si="6"/>
        <v>3124.1034482758619</v>
      </c>
      <c r="Q4" s="69">
        <f t="shared" si="6"/>
        <v>3124.1034482758619</v>
      </c>
      <c r="R4" s="69">
        <f t="shared" si="6"/>
        <v>3124.1034482758619</v>
      </c>
      <c r="S4" s="69">
        <f t="shared" si="6"/>
        <v>3124.1034482758619</v>
      </c>
      <c r="T4" s="69">
        <f t="shared" si="6"/>
        <v>3124.1034482758619</v>
      </c>
      <c r="U4" s="69">
        <f t="shared" si="6"/>
        <v>3124.1034482758619</v>
      </c>
      <c r="V4" s="69">
        <f t="shared" si="6"/>
        <v>3124.1034482758619</v>
      </c>
      <c r="W4" s="69">
        <f t="shared" si="6"/>
        <v>3124.1034482758619</v>
      </c>
      <c r="X4" s="69">
        <f t="shared" si="6"/>
        <v>3124.1034482758619</v>
      </c>
      <c r="Y4" s="69">
        <f t="shared" si="6"/>
        <v>3124.1034482758619</v>
      </c>
      <c r="Z4" s="69">
        <f t="shared" si="6"/>
        <v>3124.1034482758619</v>
      </c>
      <c r="AA4" s="69">
        <f t="shared" si="6"/>
        <v>3124.1034482758619</v>
      </c>
      <c r="AB4" s="69">
        <f t="shared" si="6"/>
        <v>3124.1034482758619</v>
      </c>
      <c r="AC4" s="69">
        <f t="shared" si="6"/>
        <v>3124.1034482758619</v>
      </c>
      <c r="AD4" s="69">
        <f t="shared" si="6"/>
        <v>3124.1034482758619</v>
      </c>
      <c r="AE4" s="69">
        <f t="shared" si="6"/>
        <v>3124.1034482758619</v>
      </c>
      <c r="AF4" s="69">
        <v>0</v>
      </c>
      <c r="AG4" s="56">
        <f t="shared" si="0"/>
        <v>90598.999999999942</v>
      </c>
      <c r="AH4" s="67">
        <f t="shared" si="1"/>
        <v>2922.5483870967723</v>
      </c>
      <c r="AI4" s="68">
        <f t="shared" si="2"/>
        <v>24.977887819468364</v>
      </c>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1"/>
      <c r="AH5" s="71"/>
      <c r="AI5" s="72"/>
      <c r="AJ5" s="14"/>
      <c r="AK5" s="14"/>
      <c r="AL5" s="14"/>
      <c r="AM5" s="14"/>
      <c r="AN5" s="14"/>
      <c r="AO5" s="14"/>
      <c r="AP5" s="14"/>
      <c r="AQ5" s="14"/>
      <c r="AR5" s="14"/>
      <c r="AS5" s="14"/>
      <c r="AT5" s="14"/>
      <c r="AU5" s="14"/>
      <c r="AV5" s="14"/>
      <c r="AW5" s="14"/>
      <c r="AX5" s="14"/>
      <c r="AY5" s="14"/>
      <c r="AZ5" s="14"/>
      <c r="BA5" s="14"/>
      <c r="BB5" s="14"/>
      <c r="BC5" s="14"/>
      <c r="BD5" s="14"/>
      <c r="BE5" s="14"/>
      <c r="BF5" s="14"/>
      <c r="BG5" s="14"/>
    </row>
    <row r="6" spans="1:59" ht="15.75" customHeight="1" x14ac:dyDescent="0.2">
      <c r="A6" s="4" t="s">
        <v>165</v>
      </c>
      <c r="B6" s="69">
        <v>2000</v>
      </c>
      <c r="C6" s="69">
        <v>25000</v>
      </c>
      <c r="D6" s="69">
        <v>2900</v>
      </c>
      <c r="E6" s="69">
        <v>0</v>
      </c>
      <c r="F6" s="69">
        <v>0</v>
      </c>
      <c r="G6" s="69">
        <v>0</v>
      </c>
      <c r="H6" s="69">
        <v>0</v>
      </c>
      <c r="I6" s="69">
        <v>1000</v>
      </c>
      <c r="J6" s="69">
        <v>1000</v>
      </c>
      <c r="K6" s="69">
        <v>1500</v>
      </c>
      <c r="L6" s="69">
        <v>1500</v>
      </c>
      <c r="M6" s="69">
        <v>2000</v>
      </c>
      <c r="N6" s="69">
        <v>1000</v>
      </c>
      <c r="O6" s="69">
        <v>1000</v>
      </c>
      <c r="P6" s="69">
        <v>2000</v>
      </c>
      <c r="Q6" s="69">
        <v>1500</v>
      </c>
      <c r="R6" s="69">
        <v>1000</v>
      </c>
      <c r="S6" s="69">
        <v>1500</v>
      </c>
      <c r="T6" s="69">
        <v>2000</v>
      </c>
      <c r="U6" s="69">
        <v>1500</v>
      </c>
      <c r="V6" s="69">
        <v>1500</v>
      </c>
      <c r="W6" s="69">
        <v>1000</v>
      </c>
      <c r="X6" s="69">
        <v>1000</v>
      </c>
      <c r="Y6" s="69">
        <v>1000</v>
      </c>
      <c r="Z6" s="69">
        <v>1500</v>
      </c>
      <c r="AA6" s="69">
        <v>1500</v>
      </c>
      <c r="AB6" s="69">
        <v>1500</v>
      </c>
      <c r="AC6" s="69">
        <v>1000</v>
      </c>
      <c r="AD6" s="69">
        <v>2000</v>
      </c>
      <c r="AE6" s="69">
        <v>1500</v>
      </c>
      <c r="AF6" s="69">
        <v>0</v>
      </c>
      <c r="AG6" s="56">
        <f t="shared" ref="AG6:AG8" si="7">SUM(B6:AF6)</f>
        <v>61900</v>
      </c>
      <c r="AH6" s="67">
        <f t="shared" ref="AH6:AH8" si="8">IFERROR(AVERAGE(B6:AF6),0)</f>
        <v>1996.7741935483871</v>
      </c>
      <c r="AI6" s="68">
        <f t="shared" ref="AI6:AI8" si="9">(AH6/$AH$29)*100</f>
        <v>17.065654764678335</v>
      </c>
      <c r="AJ6" s="14"/>
      <c r="AK6" s="14"/>
      <c r="AS6" s="14"/>
      <c r="AT6" s="14"/>
      <c r="AU6" s="14"/>
      <c r="AV6" s="14"/>
      <c r="AW6" s="14"/>
      <c r="AX6" s="14"/>
      <c r="AY6" s="14"/>
      <c r="AZ6" s="14"/>
      <c r="BA6" s="14"/>
      <c r="BB6" s="14"/>
      <c r="BC6" s="14"/>
      <c r="BD6" s="14"/>
      <c r="BE6" s="14"/>
      <c r="BF6" s="14"/>
      <c r="BG6" s="14"/>
    </row>
    <row r="7" spans="1:59" ht="15.75" customHeight="1" x14ac:dyDescent="0.2">
      <c r="A7" s="4" t="s">
        <v>166</v>
      </c>
      <c r="B7" s="69">
        <f t="shared" ref="B7:F7" si="10">$B$51/$B$59</f>
        <v>155.17241379310346</v>
      </c>
      <c r="C7" s="69">
        <f t="shared" si="10"/>
        <v>155.17241379310346</v>
      </c>
      <c r="D7" s="69">
        <f t="shared" si="10"/>
        <v>155.17241379310346</v>
      </c>
      <c r="E7" s="69">
        <f t="shared" si="10"/>
        <v>155.17241379310346</v>
      </c>
      <c r="F7" s="69">
        <f t="shared" si="10"/>
        <v>155.17241379310346</v>
      </c>
      <c r="G7" s="69">
        <v>0</v>
      </c>
      <c r="H7" s="69">
        <f t="shared" ref="H7:AE7" si="11">$B$51/$B$59</f>
        <v>155.17241379310346</v>
      </c>
      <c r="I7" s="69">
        <f t="shared" si="11"/>
        <v>155.17241379310346</v>
      </c>
      <c r="J7" s="69">
        <f t="shared" si="11"/>
        <v>155.17241379310346</v>
      </c>
      <c r="K7" s="69">
        <f t="shared" si="11"/>
        <v>155.17241379310346</v>
      </c>
      <c r="L7" s="69">
        <f t="shared" si="11"/>
        <v>155.17241379310346</v>
      </c>
      <c r="M7" s="69">
        <f t="shared" si="11"/>
        <v>155.17241379310346</v>
      </c>
      <c r="N7" s="69">
        <f t="shared" si="11"/>
        <v>155.17241379310346</v>
      </c>
      <c r="O7" s="69">
        <f t="shared" si="11"/>
        <v>155.17241379310346</v>
      </c>
      <c r="P7" s="69">
        <f t="shared" si="11"/>
        <v>155.17241379310346</v>
      </c>
      <c r="Q7" s="69">
        <f t="shared" si="11"/>
        <v>155.17241379310346</v>
      </c>
      <c r="R7" s="69">
        <f t="shared" si="11"/>
        <v>155.17241379310346</v>
      </c>
      <c r="S7" s="69">
        <f t="shared" si="11"/>
        <v>155.17241379310346</v>
      </c>
      <c r="T7" s="69">
        <f t="shared" si="11"/>
        <v>155.17241379310346</v>
      </c>
      <c r="U7" s="69">
        <f t="shared" si="11"/>
        <v>155.17241379310346</v>
      </c>
      <c r="V7" s="69">
        <f t="shared" si="11"/>
        <v>155.17241379310346</v>
      </c>
      <c r="W7" s="69">
        <f t="shared" si="11"/>
        <v>155.17241379310346</v>
      </c>
      <c r="X7" s="69">
        <f t="shared" si="11"/>
        <v>155.17241379310346</v>
      </c>
      <c r="Y7" s="69">
        <f t="shared" si="11"/>
        <v>155.17241379310346</v>
      </c>
      <c r="Z7" s="69">
        <f t="shared" si="11"/>
        <v>155.17241379310346</v>
      </c>
      <c r="AA7" s="69">
        <f t="shared" si="11"/>
        <v>155.17241379310346</v>
      </c>
      <c r="AB7" s="69">
        <f t="shared" si="11"/>
        <v>155.17241379310346</v>
      </c>
      <c r="AC7" s="69">
        <f t="shared" si="11"/>
        <v>155.17241379310346</v>
      </c>
      <c r="AD7" s="69">
        <f t="shared" si="11"/>
        <v>155.17241379310346</v>
      </c>
      <c r="AE7" s="69">
        <f t="shared" si="11"/>
        <v>155.17241379310346</v>
      </c>
      <c r="AF7" s="69">
        <v>0</v>
      </c>
      <c r="AG7" s="56">
        <f t="shared" si="7"/>
        <v>4499.9999999999973</v>
      </c>
      <c r="AH7" s="67">
        <f t="shared" si="8"/>
        <v>145.16129032258056</v>
      </c>
      <c r="AI7" s="68">
        <f t="shared" si="9"/>
        <v>1.2406372607601368</v>
      </c>
      <c r="AJ7" s="14"/>
      <c r="AK7" s="14"/>
      <c r="AS7" s="14"/>
      <c r="AT7" s="14"/>
      <c r="AU7" s="14"/>
      <c r="AV7" s="14"/>
      <c r="AW7" s="14"/>
      <c r="AX7" s="14"/>
      <c r="AY7" s="14"/>
      <c r="AZ7" s="14"/>
      <c r="BA7" s="14"/>
      <c r="BB7" s="14"/>
      <c r="BC7" s="14"/>
      <c r="BD7" s="14"/>
      <c r="BE7" s="14"/>
      <c r="BF7" s="14"/>
      <c r="BG7" s="14"/>
    </row>
    <row r="8" spans="1:59" ht="15.75" customHeight="1" x14ac:dyDescent="0.2">
      <c r="A8" s="4" t="s">
        <v>167</v>
      </c>
      <c r="B8" s="69">
        <f t="shared" ref="B8:F8" si="12">$B$52/$B$59</f>
        <v>193.10344827586206</v>
      </c>
      <c r="C8" s="69">
        <f t="shared" si="12"/>
        <v>193.10344827586206</v>
      </c>
      <c r="D8" s="69">
        <f t="shared" si="12"/>
        <v>193.10344827586206</v>
      </c>
      <c r="E8" s="69">
        <f t="shared" si="12"/>
        <v>193.10344827586206</v>
      </c>
      <c r="F8" s="69">
        <f t="shared" si="12"/>
        <v>193.10344827586206</v>
      </c>
      <c r="G8" s="69">
        <v>0</v>
      </c>
      <c r="H8" s="69">
        <f t="shared" ref="H8:AE8" si="13">$B$52/$B$59</f>
        <v>193.10344827586206</v>
      </c>
      <c r="I8" s="69">
        <f t="shared" si="13"/>
        <v>193.10344827586206</v>
      </c>
      <c r="J8" s="69">
        <f t="shared" si="13"/>
        <v>193.10344827586206</v>
      </c>
      <c r="K8" s="69">
        <f t="shared" si="13"/>
        <v>193.10344827586206</v>
      </c>
      <c r="L8" s="69">
        <f t="shared" si="13"/>
        <v>193.10344827586206</v>
      </c>
      <c r="M8" s="69">
        <f t="shared" si="13"/>
        <v>193.10344827586206</v>
      </c>
      <c r="N8" s="69">
        <f t="shared" si="13"/>
        <v>193.10344827586206</v>
      </c>
      <c r="O8" s="69">
        <f t="shared" si="13"/>
        <v>193.10344827586206</v>
      </c>
      <c r="P8" s="69">
        <f t="shared" si="13"/>
        <v>193.10344827586206</v>
      </c>
      <c r="Q8" s="69">
        <f t="shared" si="13"/>
        <v>193.10344827586206</v>
      </c>
      <c r="R8" s="69">
        <f t="shared" si="13"/>
        <v>193.10344827586206</v>
      </c>
      <c r="S8" s="69">
        <f t="shared" si="13"/>
        <v>193.10344827586206</v>
      </c>
      <c r="T8" s="69">
        <f t="shared" si="13"/>
        <v>193.10344827586206</v>
      </c>
      <c r="U8" s="69">
        <f t="shared" si="13"/>
        <v>193.10344827586206</v>
      </c>
      <c r="V8" s="69">
        <f t="shared" si="13"/>
        <v>193.10344827586206</v>
      </c>
      <c r="W8" s="69">
        <f t="shared" si="13"/>
        <v>193.10344827586206</v>
      </c>
      <c r="X8" s="69">
        <f t="shared" si="13"/>
        <v>193.10344827586206</v>
      </c>
      <c r="Y8" s="69">
        <f t="shared" si="13"/>
        <v>193.10344827586206</v>
      </c>
      <c r="Z8" s="69">
        <f t="shared" si="13"/>
        <v>193.10344827586206</v>
      </c>
      <c r="AA8" s="69">
        <f t="shared" si="13"/>
        <v>193.10344827586206</v>
      </c>
      <c r="AB8" s="69">
        <f t="shared" si="13"/>
        <v>193.10344827586206</v>
      </c>
      <c r="AC8" s="69">
        <f t="shared" si="13"/>
        <v>193.10344827586206</v>
      </c>
      <c r="AD8" s="69">
        <f t="shared" si="13"/>
        <v>193.10344827586206</v>
      </c>
      <c r="AE8" s="69">
        <f t="shared" si="13"/>
        <v>193.10344827586206</v>
      </c>
      <c r="AF8" s="69">
        <v>0</v>
      </c>
      <c r="AG8" s="56">
        <f t="shared" si="7"/>
        <v>5600</v>
      </c>
      <c r="AH8" s="67">
        <f t="shared" si="8"/>
        <v>180.64516129032259</v>
      </c>
      <c r="AI8" s="68">
        <f t="shared" si="9"/>
        <v>1.5439041467237271</v>
      </c>
      <c r="AJ8" s="14"/>
      <c r="AK8" s="14"/>
      <c r="AN8" s="74"/>
      <c r="AS8" s="14"/>
      <c r="AT8" s="14"/>
      <c r="AU8" s="14"/>
      <c r="AV8" s="14"/>
      <c r="AW8" s="14"/>
      <c r="AX8" s="14"/>
      <c r="AY8" s="14"/>
      <c r="AZ8" s="14"/>
      <c r="BA8" s="14"/>
      <c r="BB8" s="14"/>
      <c r="BC8" s="14"/>
      <c r="BD8" s="14"/>
      <c r="BE8" s="14"/>
      <c r="BF8" s="14"/>
      <c r="BG8" s="14"/>
    </row>
    <row r="9" spans="1:59"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1"/>
      <c r="AH9" s="71"/>
      <c r="AI9" s="72"/>
      <c r="AJ9" s="14"/>
      <c r="AK9" s="14"/>
      <c r="AN9" s="74"/>
      <c r="AS9" s="14"/>
      <c r="AT9" s="14"/>
      <c r="AU9" s="14"/>
      <c r="AV9" s="14"/>
      <c r="AW9" s="14"/>
      <c r="AX9" s="14"/>
      <c r="AY9" s="14"/>
      <c r="AZ9" s="14"/>
      <c r="BA9" s="14"/>
      <c r="BB9" s="14"/>
      <c r="BC9" s="14"/>
      <c r="BD9" s="14"/>
      <c r="BE9" s="14"/>
      <c r="BF9" s="14"/>
      <c r="BG9" s="14"/>
    </row>
    <row r="10" spans="1:59" ht="15.75" customHeight="1" x14ac:dyDescent="0.2">
      <c r="A10" s="4" t="s">
        <v>169</v>
      </c>
      <c r="B10" s="69">
        <f>50+50+100+40+30+50+80+60</f>
        <v>460</v>
      </c>
      <c r="C10" s="69">
        <f>360+300+200+200+30+60+100+130+200+30</f>
        <v>1610</v>
      </c>
      <c r="D10" s="69">
        <f>200+40+50+50+100</f>
        <v>440</v>
      </c>
      <c r="E10" s="69">
        <v>45</v>
      </c>
      <c r="F10" s="69">
        <f>50+40+100+30+50+50+50</f>
        <v>370</v>
      </c>
      <c r="G10" s="69">
        <v>0</v>
      </c>
      <c r="H10" s="69">
        <f>40+40+180+40+30+200+40</f>
        <v>570</v>
      </c>
      <c r="I10" s="69">
        <f>50+40+150+50+50+30+30+150+40</f>
        <v>590</v>
      </c>
      <c r="J10" s="69">
        <f>40+20+100+50+50+30+50+50+20</f>
        <v>410</v>
      </c>
      <c r="K10" s="69">
        <f>50+50+100+60+30+50</f>
        <v>340</v>
      </c>
      <c r="L10" s="69">
        <f>50+20+100+60+30+50+60</f>
        <v>370</v>
      </c>
      <c r="M10" s="69">
        <f>40+40+100+60+40+30+50</f>
        <v>360</v>
      </c>
      <c r="N10" s="69">
        <f>40+40+100+50+55+50</f>
        <v>335</v>
      </c>
      <c r="O10" s="69">
        <f>20+20+100+50+30+50+30+20</f>
        <v>320</v>
      </c>
      <c r="P10" s="69">
        <f>20+20+100+50+30+30+20</f>
        <v>270</v>
      </c>
      <c r="Q10" s="69">
        <f>50+20+100+30+50+30+60+200</f>
        <v>540</v>
      </c>
      <c r="R10" s="69">
        <f>50+50+100+30+50+30+60+50</f>
        <v>420</v>
      </c>
      <c r="S10" s="69">
        <f>25+25+100+30+60+50+40</f>
        <v>330</v>
      </c>
      <c r="T10" s="69">
        <f>50+50+100+30+30+50</f>
        <v>310</v>
      </c>
      <c r="U10" s="69">
        <f>50+50+100+30+30+50+60+50</f>
        <v>420</v>
      </c>
      <c r="V10" s="69">
        <f>20+20+100+30+70+50+20+50</f>
        <v>360</v>
      </c>
      <c r="W10" s="69">
        <f>30+30+30+40+80+50</f>
        <v>260</v>
      </c>
      <c r="X10" s="69">
        <f>25+25+80+50+50+100</f>
        <v>330</v>
      </c>
      <c r="Y10" s="69">
        <f>25+25+100+50+50+50+30+50</f>
        <v>380</v>
      </c>
      <c r="Z10" s="69">
        <f>50+50+80+50+50+100+50+40</f>
        <v>470</v>
      </c>
      <c r="AA10" s="69">
        <f>25+25+30+85+50+50</f>
        <v>265</v>
      </c>
      <c r="AB10" s="69">
        <f>25+25+80+50+50+100+30</f>
        <v>360</v>
      </c>
      <c r="AC10" s="69">
        <f>25+25+80+40+60</f>
        <v>230</v>
      </c>
      <c r="AD10" s="69">
        <f>25+25+80+50+50+100+30+50+200+80</f>
        <v>690</v>
      </c>
      <c r="AE10" s="69">
        <f>25+25+45+50+100+30+60</f>
        <v>335</v>
      </c>
      <c r="AF10" s="69">
        <v>0</v>
      </c>
      <c r="AG10" s="56">
        <f t="shared" ref="AG10:AG18" si="14">SUM(B10:AF10)</f>
        <v>12190</v>
      </c>
      <c r="AH10" s="67">
        <f t="shared" ref="AH10:AH18" si="15">IFERROR(AVERAGE(B10:AF10),0)</f>
        <v>393.22580645161293</v>
      </c>
      <c r="AI10" s="68">
        <f t="shared" ref="AI10:AI18" si="16">(AH10/$AH$29)*100</f>
        <v>3.3607484908146841</v>
      </c>
      <c r="AK10" s="14"/>
      <c r="AN10" s="74"/>
      <c r="AS10" s="14"/>
      <c r="AT10" s="14"/>
      <c r="AU10" s="14"/>
      <c r="AV10" s="14"/>
      <c r="AW10" s="14"/>
      <c r="AX10" s="14"/>
      <c r="AY10" s="14"/>
      <c r="AZ10" s="14"/>
      <c r="BA10" s="14"/>
      <c r="BB10" s="14"/>
      <c r="BC10" s="14"/>
      <c r="BD10" s="14"/>
      <c r="BE10" s="14"/>
      <c r="BF10" s="14"/>
      <c r="BG10" s="14"/>
    </row>
    <row r="11" spans="1:59" ht="15.75" customHeight="1" x14ac:dyDescent="0.2">
      <c r="A11" s="4" t="s">
        <v>170</v>
      </c>
      <c r="B11" s="69">
        <v>275</v>
      </c>
      <c r="C11" s="69">
        <v>1912</v>
      </c>
      <c r="D11" s="69">
        <v>275</v>
      </c>
      <c r="E11" s="69">
        <f>110+32</f>
        <v>142</v>
      </c>
      <c r="F11" s="69">
        <v>275</v>
      </c>
      <c r="G11" s="69">
        <v>0</v>
      </c>
      <c r="H11" s="69">
        <v>275</v>
      </c>
      <c r="I11" s="69">
        <v>330</v>
      </c>
      <c r="J11" s="69">
        <v>220</v>
      </c>
      <c r="K11" s="69">
        <v>275</v>
      </c>
      <c r="L11" s="69">
        <v>220</v>
      </c>
      <c r="M11" s="69">
        <v>220</v>
      </c>
      <c r="N11" s="69">
        <v>165</v>
      </c>
      <c r="O11" s="69">
        <v>165</v>
      </c>
      <c r="P11" s="69">
        <v>110</v>
      </c>
      <c r="Q11" s="69">
        <v>165</v>
      </c>
      <c r="R11" s="69">
        <v>165</v>
      </c>
      <c r="S11" s="69">
        <v>165</v>
      </c>
      <c r="T11" s="69">
        <v>220</v>
      </c>
      <c r="U11" s="69">
        <v>220</v>
      </c>
      <c r="V11" s="69">
        <v>165</v>
      </c>
      <c r="W11" s="69">
        <v>165</v>
      </c>
      <c r="X11" s="69">
        <v>165</v>
      </c>
      <c r="Y11" s="69">
        <v>165</v>
      </c>
      <c r="Z11" s="69">
        <v>165</v>
      </c>
      <c r="AA11" s="69">
        <v>165</v>
      </c>
      <c r="AB11" s="69">
        <v>165</v>
      </c>
      <c r="AC11" s="69">
        <v>110</v>
      </c>
      <c r="AD11" s="69">
        <v>165</v>
      </c>
      <c r="AE11" s="69">
        <v>165</v>
      </c>
      <c r="AF11" s="69">
        <v>0</v>
      </c>
      <c r="AG11" s="56">
        <f t="shared" si="14"/>
        <v>7389</v>
      </c>
      <c r="AH11" s="67">
        <f t="shared" si="15"/>
        <v>238.35483870967741</v>
      </c>
      <c r="AI11" s="68">
        <f t="shared" si="16"/>
        <v>2.0371263821681458</v>
      </c>
      <c r="AK11" s="14"/>
      <c r="AN11" s="74"/>
      <c r="AS11" s="14"/>
      <c r="AT11" s="14"/>
      <c r="AU11" s="14"/>
      <c r="AV11" s="14"/>
      <c r="AW11" s="14"/>
      <c r="AX11" s="14"/>
      <c r="AY11" s="14"/>
      <c r="AZ11" s="14"/>
      <c r="BA11" s="14"/>
      <c r="BB11" s="14"/>
      <c r="BC11" s="14"/>
      <c r="BD11" s="14"/>
      <c r="BE11" s="14"/>
      <c r="BF11" s="14"/>
      <c r="BG11" s="14"/>
    </row>
    <row r="12" spans="1:59" ht="15.75" customHeight="1" x14ac:dyDescent="0.2">
      <c r="A12" s="4" t="s">
        <v>171</v>
      </c>
      <c r="B12" s="69">
        <v>32</v>
      </c>
      <c r="C12" s="69">
        <v>32</v>
      </c>
      <c r="D12" s="69">
        <v>32</v>
      </c>
      <c r="E12" s="69">
        <v>0</v>
      </c>
      <c r="F12" s="69">
        <v>32</v>
      </c>
      <c r="G12" s="69">
        <v>0</v>
      </c>
      <c r="H12" s="69">
        <v>32</v>
      </c>
      <c r="I12" s="69">
        <v>70</v>
      </c>
      <c r="J12" s="69">
        <v>32</v>
      </c>
      <c r="K12" s="69">
        <v>52</v>
      </c>
      <c r="L12" s="69">
        <v>32</v>
      </c>
      <c r="M12" s="69">
        <v>32</v>
      </c>
      <c r="N12" s="69">
        <v>32</v>
      </c>
      <c r="O12" s="69">
        <v>32</v>
      </c>
      <c r="P12" s="69">
        <v>32</v>
      </c>
      <c r="Q12" s="69">
        <v>32</v>
      </c>
      <c r="R12" s="69">
        <v>32</v>
      </c>
      <c r="S12" s="69">
        <v>32</v>
      </c>
      <c r="T12" s="69">
        <v>32</v>
      </c>
      <c r="U12" s="69">
        <v>32</v>
      </c>
      <c r="V12" s="69">
        <v>32</v>
      </c>
      <c r="W12" s="69">
        <v>32</v>
      </c>
      <c r="X12" s="69">
        <v>32</v>
      </c>
      <c r="Y12" s="69">
        <v>32</v>
      </c>
      <c r="Z12" s="69">
        <v>32</v>
      </c>
      <c r="AA12" s="69">
        <v>32</v>
      </c>
      <c r="AB12" s="69">
        <v>32</v>
      </c>
      <c r="AC12" s="69">
        <v>32</v>
      </c>
      <c r="AD12" s="69">
        <v>32</v>
      </c>
      <c r="AE12" s="69">
        <v>32</v>
      </c>
      <c r="AF12" s="69">
        <v>0</v>
      </c>
      <c r="AG12" s="56">
        <f t="shared" si="14"/>
        <v>954</v>
      </c>
      <c r="AH12" s="67">
        <f t="shared" si="15"/>
        <v>30.774193548387096</v>
      </c>
      <c r="AI12" s="68">
        <f t="shared" si="16"/>
        <v>0.26301509928114919</v>
      </c>
      <c r="AK12" s="14"/>
      <c r="AN12" s="74"/>
      <c r="AS12" s="14"/>
      <c r="AT12" s="14"/>
      <c r="AU12" s="14"/>
      <c r="AV12" s="14"/>
      <c r="AW12" s="14"/>
      <c r="AX12" s="14"/>
      <c r="AY12" s="14"/>
      <c r="AZ12" s="14"/>
      <c r="BA12" s="14"/>
      <c r="BB12" s="14"/>
      <c r="BC12" s="14"/>
      <c r="BD12" s="14"/>
      <c r="BE12" s="14"/>
      <c r="BF12" s="14"/>
      <c r="BG12" s="14"/>
    </row>
    <row r="13" spans="1:59" ht="15.75" customHeight="1" x14ac:dyDescent="0.2">
      <c r="A13" s="4" t="s">
        <v>172</v>
      </c>
      <c r="B13" s="69">
        <v>370</v>
      </c>
      <c r="C13" s="69">
        <v>0</v>
      </c>
      <c r="D13" s="69">
        <v>370</v>
      </c>
      <c r="E13" s="69">
        <v>370</v>
      </c>
      <c r="F13" s="69">
        <v>370</v>
      </c>
      <c r="G13" s="69">
        <v>0</v>
      </c>
      <c r="H13" s="69">
        <v>740</v>
      </c>
      <c r="I13" s="69">
        <v>0</v>
      </c>
      <c r="J13" s="69">
        <v>0</v>
      </c>
      <c r="K13" s="69">
        <v>0</v>
      </c>
      <c r="L13" s="69">
        <v>370</v>
      </c>
      <c r="M13" s="69">
        <v>0</v>
      </c>
      <c r="N13" s="69">
        <v>370</v>
      </c>
      <c r="O13" s="69">
        <v>0</v>
      </c>
      <c r="P13" s="69">
        <v>0</v>
      </c>
      <c r="Q13" s="69">
        <v>0</v>
      </c>
      <c r="R13" s="69">
        <v>0</v>
      </c>
      <c r="S13" s="69">
        <v>370</v>
      </c>
      <c r="T13" s="69">
        <v>370</v>
      </c>
      <c r="U13" s="69">
        <v>0</v>
      </c>
      <c r="V13" s="69">
        <v>370</v>
      </c>
      <c r="W13" s="69">
        <v>0</v>
      </c>
      <c r="X13" s="69">
        <v>0</v>
      </c>
      <c r="Y13" s="69">
        <v>0</v>
      </c>
      <c r="Z13" s="69">
        <v>370</v>
      </c>
      <c r="AA13" s="69">
        <v>0</v>
      </c>
      <c r="AB13" s="69">
        <v>0</v>
      </c>
      <c r="AC13" s="69">
        <v>370</v>
      </c>
      <c r="AD13" s="69">
        <v>0</v>
      </c>
      <c r="AE13" s="69">
        <v>370</v>
      </c>
      <c r="AF13" s="69">
        <v>0</v>
      </c>
      <c r="AG13" s="56">
        <f t="shared" si="14"/>
        <v>5180</v>
      </c>
      <c r="AH13" s="67">
        <f t="shared" si="15"/>
        <v>167.09677419354838</v>
      </c>
      <c r="AI13" s="68">
        <f t="shared" si="16"/>
        <v>1.4281113357194473</v>
      </c>
      <c r="AK13" s="14"/>
      <c r="AN13" s="74"/>
      <c r="AS13" s="14"/>
      <c r="AT13" s="14"/>
      <c r="AU13" s="14"/>
      <c r="AV13" s="14"/>
      <c r="AW13" s="14"/>
      <c r="AX13" s="14"/>
      <c r="AY13" s="14"/>
      <c r="AZ13" s="14"/>
      <c r="BA13" s="14"/>
      <c r="BB13" s="14"/>
      <c r="BC13" s="14"/>
      <c r="BD13" s="14"/>
      <c r="BE13" s="14"/>
      <c r="BF13" s="14"/>
      <c r="BG13" s="14"/>
    </row>
    <row r="14" spans="1:59" ht="15.75" customHeight="1" x14ac:dyDescent="0.2">
      <c r="A14" s="4" t="s">
        <v>173</v>
      </c>
      <c r="B14" s="69">
        <v>180</v>
      </c>
      <c r="C14" s="69">
        <v>0</v>
      </c>
      <c r="D14" s="69">
        <v>0</v>
      </c>
      <c r="E14" s="69">
        <v>0</v>
      </c>
      <c r="F14" s="69">
        <v>240</v>
      </c>
      <c r="G14" s="69">
        <v>0</v>
      </c>
      <c r="H14" s="69">
        <v>200</v>
      </c>
      <c r="I14" s="69">
        <v>0</v>
      </c>
      <c r="J14" s="69">
        <v>200</v>
      </c>
      <c r="K14" s="69">
        <v>0</v>
      </c>
      <c r="L14" s="69">
        <v>0</v>
      </c>
      <c r="M14" s="69">
        <v>0</v>
      </c>
      <c r="N14" s="69">
        <v>0</v>
      </c>
      <c r="O14" s="69">
        <v>0</v>
      </c>
      <c r="P14" s="69">
        <v>200</v>
      </c>
      <c r="Q14" s="69">
        <v>0</v>
      </c>
      <c r="R14" s="69">
        <v>0</v>
      </c>
      <c r="S14" s="69">
        <v>0</v>
      </c>
      <c r="T14" s="69">
        <v>0</v>
      </c>
      <c r="U14" s="69">
        <v>200</v>
      </c>
      <c r="V14" s="69">
        <v>0</v>
      </c>
      <c r="W14" s="69">
        <v>200</v>
      </c>
      <c r="X14" s="69">
        <v>0</v>
      </c>
      <c r="Y14" s="69">
        <v>0</v>
      </c>
      <c r="Z14" s="69">
        <v>0</v>
      </c>
      <c r="AA14" s="69">
        <v>0</v>
      </c>
      <c r="AB14" s="69">
        <v>0</v>
      </c>
      <c r="AC14" s="69">
        <v>0</v>
      </c>
      <c r="AD14" s="69">
        <v>250</v>
      </c>
      <c r="AE14" s="69">
        <v>0</v>
      </c>
      <c r="AF14" s="69">
        <v>0</v>
      </c>
      <c r="AG14" s="56">
        <f t="shared" si="14"/>
        <v>1670</v>
      </c>
      <c r="AH14" s="67">
        <f t="shared" si="15"/>
        <v>53.87096774193548</v>
      </c>
      <c r="AI14" s="68">
        <f t="shared" si="16"/>
        <v>0.46041427232653992</v>
      </c>
      <c r="AJ14" s="14"/>
      <c r="AK14" s="14"/>
      <c r="AS14" s="14"/>
      <c r="AT14" s="14"/>
      <c r="AU14" s="14"/>
      <c r="AV14" s="14"/>
      <c r="AW14" s="14"/>
      <c r="AX14" s="14"/>
      <c r="AY14" s="14"/>
      <c r="AZ14" s="14"/>
      <c r="BA14" s="14"/>
      <c r="BB14" s="14"/>
      <c r="BC14" s="14"/>
      <c r="BD14" s="14"/>
      <c r="BE14" s="14"/>
      <c r="BF14" s="14"/>
      <c r="BG14" s="14"/>
    </row>
    <row r="15" spans="1:59" ht="15.75" customHeight="1" x14ac:dyDescent="0.2">
      <c r="A15" s="4" t="s">
        <v>174</v>
      </c>
      <c r="B15" s="69">
        <v>80</v>
      </c>
      <c r="C15" s="69">
        <v>0</v>
      </c>
      <c r="D15" s="69">
        <v>0</v>
      </c>
      <c r="E15" s="69">
        <v>0</v>
      </c>
      <c r="F15" s="69">
        <v>0</v>
      </c>
      <c r="G15" s="69">
        <v>0</v>
      </c>
      <c r="H15" s="69">
        <v>0</v>
      </c>
      <c r="I15" s="69">
        <v>0</v>
      </c>
      <c r="J15" s="69">
        <v>80</v>
      </c>
      <c r="K15" s="69">
        <v>0</v>
      </c>
      <c r="L15" s="69">
        <v>0</v>
      </c>
      <c r="M15" s="69">
        <v>105</v>
      </c>
      <c r="N15" s="69">
        <v>0</v>
      </c>
      <c r="O15" s="69">
        <v>0</v>
      </c>
      <c r="P15" s="69">
        <v>0</v>
      </c>
      <c r="Q15" s="69">
        <v>0</v>
      </c>
      <c r="R15" s="69">
        <v>0</v>
      </c>
      <c r="S15" s="69">
        <v>0</v>
      </c>
      <c r="T15" s="69">
        <v>0</v>
      </c>
      <c r="U15" s="69">
        <v>120</v>
      </c>
      <c r="V15" s="69">
        <v>0</v>
      </c>
      <c r="W15" s="69">
        <v>160</v>
      </c>
      <c r="X15" s="69">
        <v>0</v>
      </c>
      <c r="Y15" s="69">
        <v>0</v>
      </c>
      <c r="Z15" s="69">
        <v>0</v>
      </c>
      <c r="AA15" s="69">
        <v>0</v>
      </c>
      <c r="AB15" s="69">
        <v>0</v>
      </c>
      <c r="AC15" s="69">
        <v>0</v>
      </c>
      <c r="AD15" s="69">
        <v>0</v>
      </c>
      <c r="AE15" s="69">
        <v>0</v>
      </c>
      <c r="AF15" s="69">
        <v>0</v>
      </c>
      <c r="AG15" s="56">
        <f t="shared" si="14"/>
        <v>545</v>
      </c>
      <c r="AH15" s="67">
        <f t="shared" si="15"/>
        <v>17.580645161290324</v>
      </c>
      <c r="AI15" s="68">
        <f t="shared" si="16"/>
        <v>0.15025495713650558</v>
      </c>
      <c r="AJ15" s="14"/>
      <c r="AK15" s="14"/>
      <c r="AS15" s="14"/>
      <c r="AT15" s="14"/>
      <c r="AU15" s="14"/>
      <c r="AV15" s="14"/>
      <c r="AW15" s="14"/>
      <c r="AX15" s="14"/>
      <c r="AY15" s="14"/>
      <c r="AZ15" s="14"/>
      <c r="BA15" s="14"/>
      <c r="BB15" s="14"/>
      <c r="BC15" s="14"/>
      <c r="BD15" s="14"/>
      <c r="BE15" s="14"/>
      <c r="BF15" s="14"/>
      <c r="BG15" s="14"/>
    </row>
    <row r="16" spans="1:59" ht="15.75" customHeight="1" x14ac:dyDescent="0.2">
      <c r="A16" s="4" t="s">
        <v>175</v>
      </c>
      <c r="B16" s="69">
        <v>180</v>
      </c>
      <c r="C16" s="69">
        <v>180</v>
      </c>
      <c r="D16" s="69">
        <v>0</v>
      </c>
      <c r="E16" s="69">
        <v>0</v>
      </c>
      <c r="F16" s="69">
        <v>180</v>
      </c>
      <c r="G16" s="69">
        <v>0</v>
      </c>
      <c r="H16" s="69">
        <v>0</v>
      </c>
      <c r="I16" s="69">
        <v>0</v>
      </c>
      <c r="J16" s="69">
        <v>0</v>
      </c>
      <c r="K16" s="69">
        <v>180</v>
      </c>
      <c r="L16" s="69">
        <v>180</v>
      </c>
      <c r="M16" s="69">
        <v>180</v>
      </c>
      <c r="N16" s="69">
        <v>0</v>
      </c>
      <c r="O16" s="69">
        <v>180</v>
      </c>
      <c r="P16" s="69">
        <v>0</v>
      </c>
      <c r="Q16" s="69">
        <v>180</v>
      </c>
      <c r="R16" s="69">
        <v>0</v>
      </c>
      <c r="S16" s="69">
        <v>0</v>
      </c>
      <c r="T16" s="69">
        <v>180</v>
      </c>
      <c r="U16" s="69">
        <v>180</v>
      </c>
      <c r="V16" s="69">
        <v>0</v>
      </c>
      <c r="W16" s="69">
        <v>180</v>
      </c>
      <c r="X16" s="69">
        <v>0</v>
      </c>
      <c r="Y16" s="69">
        <v>0</v>
      </c>
      <c r="Z16" s="69">
        <v>180</v>
      </c>
      <c r="AA16" s="69">
        <v>0</v>
      </c>
      <c r="AB16" s="69">
        <v>190</v>
      </c>
      <c r="AC16" s="69">
        <v>0</v>
      </c>
      <c r="AD16" s="69">
        <v>196</v>
      </c>
      <c r="AE16" s="69">
        <v>0</v>
      </c>
      <c r="AF16" s="69">
        <v>0</v>
      </c>
      <c r="AG16" s="56">
        <f t="shared" si="14"/>
        <v>2546</v>
      </c>
      <c r="AH16" s="67">
        <f t="shared" si="15"/>
        <v>82.129032258064512</v>
      </c>
      <c r="AI16" s="68">
        <f t="shared" si="16"/>
        <v>0.70192499242118012</v>
      </c>
      <c r="AJ16" s="14"/>
      <c r="AK16" s="14"/>
      <c r="AS16" s="14"/>
      <c r="AT16" s="14"/>
      <c r="AU16" s="14"/>
      <c r="AV16" s="14"/>
      <c r="AW16" s="14"/>
      <c r="AX16" s="14"/>
      <c r="AY16" s="14"/>
      <c r="AZ16" s="14"/>
      <c r="BA16" s="14"/>
      <c r="BB16" s="14"/>
      <c r="BC16" s="14"/>
      <c r="BD16" s="14"/>
      <c r="BE16" s="14"/>
      <c r="BF16" s="14"/>
      <c r="BG16" s="14"/>
    </row>
    <row r="17" spans="1:59" ht="15.75" customHeight="1" x14ac:dyDescent="0.2">
      <c r="A17" s="4" t="s">
        <v>176</v>
      </c>
      <c r="B17" s="69">
        <v>0</v>
      </c>
      <c r="C17" s="69">
        <v>0</v>
      </c>
      <c r="D17" s="69">
        <v>70</v>
      </c>
      <c r="E17" s="69">
        <v>0</v>
      </c>
      <c r="F17" s="69">
        <v>210</v>
      </c>
      <c r="G17" s="69">
        <v>0</v>
      </c>
      <c r="H17" s="69">
        <v>0</v>
      </c>
      <c r="I17" s="69">
        <v>10</v>
      </c>
      <c r="J17" s="69">
        <v>140</v>
      </c>
      <c r="K17" s="69">
        <v>0</v>
      </c>
      <c r="L17" s="69">
        <v>0</v>
      </c>
      <c r="M17" s="69">
        <v>0</v>
      </c>
      <c r="N17" s="69">
        <v>0</v>
      </c>
      <c r="O17" s="69">
        <v>90</v>
      </c>
      <c r="P17" s="69">
        <f>35+50</f>
        <v>85</v>
      </c>
      <c r="Q17" s="69">
        <v>0</v>
      </c>
      <c r="R17" s="69">
        <v>0</v>
      </c>
      <c r="S17" s="69">
        <v>0</v>
      </c>
      <c r="T17" s="69">
        <v>60</v>
      </c>
      <c r="U17" s="69">
        <v>70</v>
      </c>
      <c r="V17" s="69">
        <v>160</v>
      </c>
      <c r="W17" s="69">
        <v>0</v>
      </c>
      <c r="X17" s="69">
        <v>0</v>
      </c>
      <c r="Y17" s="69">
        <v>0</v>
      </c>
      <c r="Z17" s="69">
        <v>0</v>
      </c>
      <c r="AA17" s="69">
        <v>0</v>
      </c>
      <c r="AB17" s="69">
        <v>0</v>
      </c>
      <c r="AC17" s="69">
        <v>0</v>
      </c>
      <c r="AD17" s="69">
        <v>160</v>
      </c>
      <c r="AE17" s="69">
        <v>0</v>
      </c>
      <c r="AF17" s="69">
        <v>0</v>
      </c>
      <c r="AG17" s="56">
        <f t="shared" si="14"/>
        <v>1055</v>
      </c>
      <c r="AH17" s="67">
        <f t="shared" si="15"/>
        <v>34.032258064516128</v>
      </c>
      <c r="AI17" s="68">
        <f t="shared" si="16"/>
        <v>0.29086051335598784</v>
      </c>
      <c r="AJ17" s="14"/>
      <c r="AK17" s="14"/>
      <c r="AS17" s="14"/>
      <c r="AT17" s="14"/>
      <c r="AU17" s="14"/>
      <c r="AV17" s="14"/>
      <c r="AW17" s="14"/>
      <c r="AX17" s="14"/>
      <c r="AY17" s="14"/>
      <c r="AZ17" s="14"/>
      <c r="BA17" s="14"/>
      <c r="BB17" s="14"/>
      <c r="BC17" s="14"/>
      <c r="BD17" s="14"/>
      <c r="BE17" s="14"/>
      <c r="BF17" s="14"/>
      <c r="BG17" s="14"/>
    </row>
    <row r="18" spans="1:59" ht="15.75" customHeight="1" x14ac:dyDescent="0.2">
      <c r="A18" s="4" t="s">
        <v>177</v>
      </c>
      <c r="B18" s="69">
        <v>0</v>
      </c>
      <c r="C18" s="69">
        <v>200</v>
      </c>
      <c r="D18" s="69">
        <v>0</v>
      </c>
      <c r="E18" s="69">
        <v>0</v>
      </c>
      <c r="F18" s="69">
        <v>0</v>
      </c>
      <c r="G18" s="69">
        <v>0</v>
      </c>
      <c r="H18" s="69">
        <v>200</v>
      </c>
      <c r="I18" s="69">
        <v>0</v>
      </c>
      <c r="J18" s="69">
        <v>70</v>
      </c>
      <c r="K18" s="69">
        <v>0</v>
      </c>
      <c r="L18" s="69">
        <v>0</v>
      </c>
      <c r="M18" s="69">
        <v>0</v>
      </c>
      <c r="N18" s="69">
        <v>0</v>
      </c>
      <c r="O18" s="69">
        <v>0</v>
      </c>
      <c r="P18" s="69">
        <v>0</v>
      </c>
      <c r="Q18" s="69">
        <v>290</v>
      </c>
      <c r="R18" s="69">
        <v>0</v>
      </c>
      <c r="S18" s="69">
        <v>0</v>
      </c>
      <c r="T18" s="69">
        <v>0</v>
      </c>
      <c r="U18" s="69">
        <v>0</v>
      </c>
      <c r="V18" s="69">
        <v>0</v>
      </c>
      <c r="W18" s="69">
        <v>0</v>
      </c>
      <c r="X18" s="69">
        <v>80</v>
      </c>
      <c r="Y18" s="69">
        <v>0</v>
      </c>
      <c r="Z18" s="69">
        <v>0</v>
      </c>
      <c r="AA18" s="69">
        <v>0</v>
      </c>
      <c r="AB18" s="69">
        <v>0</v>
      </c>
      <c r="AC18" s="69">
        <v>0</v>
      </c>
      <c r="AD18" s="69">
        <v>280</v>
      </c>
      <c r="AE18" s="69">
        <v>0</v>
      </c>
      <c r="AF18" s="69">
        <v>0</v>
      </c>
      <c r="AG18" s="56">
        <f t="shared" si="14"/>
        <v>1120</v>
      </c>
      <c r="AH18" s="67">
        <f t="shared" si="15"/>
        <v>36.12903225806452</v>
      </c>
      <c r="AI18" s="68">
        <f t="shared" si="16"/>
        <v>0.30878082934474538</v>
      </c>
      <c r="AJ18" s="14"/>
      <c r="AK18" s="14"/>
      <c r="AS18" s="14"/>
      <c r="AT18" s="14"/>
      <c r="AU18" s="14"/>
      <c r="AV18" s="14"/>
      <c r="AW18" s="14"/>
      <c r="AX18" s="14"/>
      <c r="AY18" s="14"/>
      <c r="AZ18" s="14"/>
      <c r="BA18" s="14"/>
      <c r="BB18" s="14"/>
      <c r="BC18" s="14"/>
      <c r="BD18" s="14"/>
      <c r="BE18" s="14"/>
      <c r="BF18" s="14"/>
      <c r="BG18" s="14"/>
    </row>
    <row r="19" spans="1:59"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1"/>
      <c r="AH19" s="71"/>
      <c r="AI19" s="72"/>
      <c r="AJ19" s="14"/>
      <c r="AK19" s="14"/>
      <c r="AS19" s="14"/>
      <c r="AT19" s="14"/>
      <c r="AU19" s="14"/>
      <c r="AV19" s="14"/>
      <c r="AW19" s="14"/>
      <c r="AX19" s="14"/>
      <c r="AY19" s="14"/>
      <c r="AZ19" s="14"/>
      <c r="BA19" s="14"/>
      <c r="BB19" s="14"/>
      <c r="BC19" s="14"/>
      <c r="BD19" s="14"/>
      <c r="BE19" s="14"/>
      <c r="BF19" s="14"/>
      <c r="BG19" s="14"/>
    </row>
    <row r="20" spans="1:59" ht="15.75" customHeight="1" x14ac:dyDescent="0.2">
      <c r="A20" s="4" t="s">
        <v>179</v>
      </c>
      <c r="B20" s="69">
        <f t="shared" ref="B20:F20" si="17">$B$53/$B$59</f>
        <v>405.51724137931035</v>
      </c>
      <c r="C20" s="69">
        <f t="shared" si="17"/>
        <v>405.51724137931035</v>
      </c>
      <c r="D20" s="69">
        <f t="shared" si="17"/>
        <v>405.51724137931035</v>
      </c>
      <c r="E20" s="69">
        <f t="shared" si="17"/>
        <v>405.51724137931035</v>
      </c>
      <c r="F20" s="69">
        <f t="shared" si="17"/>
        <v>405.51724137931035</v>
      </c>
      <c r="G20" s="69">
        <v>0</v>
      </c>
      <c r="H20" s="69">
        <f t="shared" ref="H20:AE20" si="18">$B$53/$B$59</f>
        <v>405.51724137931035</v>
      </c>
      <c r="I20" s="69">
        <f t="shared" si="18"/>
        <v>405.51724137931035</v>
      </c>
      <c r="J20" s="69">
        <f t="shared" si="18"/>
        <v>405.51724137931035</v>
      </c>
      <c r="K20" s="69">
        <f t="shared" si="18"/>
        <v>405.51724137931035</v>
      </c>
      <c r="L20" s="69">
        <f t="shared" si="18"/>
        <v>405.51724137931035</v>
      </c>
      <c r="M20" s="69">
        <f t="shared" si="18"/>
        <v>405.51724137931035</v>
      </c>
      <c r="N20" s="69">
        <f t="shared" si="18"/>
        <v>405.51724137931035</v>
      </c>
      <c r="O20" s="69">
        <f t="shared" si="18"/>
        <v>405.51724137931035</v>
      </c>
      <c r="P20" s="69">
        <f t="shared" si="18"/>
        <v>405.51724137931035</v>
      </c>
      <c r="Q20" s="69">
        <f t="shared" si="18"/>
        <v>405.51724137931035</v>
      </c>
      <c r="R20" s="69">
        <f t="shared" si="18"/>
        <v>405.51724137931035</v>
      </c>
      <c r="S20" s="69">
        <f t="shared" si="18"/>
        <v>405.51724137931035</v>
      </c>
      <c r="T20" s="69">
        <f t="shared" si="18"/>
        <v>405.51724137931035</v>
      </c>
      <c r="U20" s="69">
        <f t="shared" si="18"/>
        <v>405.51724137931035</v>
      </c>
      <c r="V20" s="69">
        <f t="shared" si="18"/>
        <v>405.51724137931035</v>
      </c>
      <c r="W20" s="69">
        <f t="shared" si="18"/>
        <v>405.51724137931035</v>
      </c>
      <c r="X20" s="69">
        <f t="shared" si="18"/>
        <v>405.51724137931035</v>
      </c>
      <c r="Y20" s="69">
        <f t="shared" si="18"/>
        <v>405.51724137931035</v>
      </c>
      <c r="Z20" s="69">
        <f t="shared" si="18"/>
        <v>405.51724137931035</v>
      </c>
      <c r="AA20" s="69">
        <f t="shared" si="18"/>
        <v>405.51724137931035</v>
      </c>
      <c r="AB20" s="69">
        <f t="shared" si="18"/>
        <v>405.51724137931035</v>
      </c>
      <c r="AC20" s="69">
        <f t="shared" si="18"/>
        <v>405.51724137931035</v>
      </c>
      <c r="AD20" s="69">
        <f t="shared" si="18"/>
        <v>405.51724137931035</v>
      </c>
      <c r="AE20" s="69">
        <f t="shared" si="18"/>
        <v>405.51724137931035</v>
      </c>
      <c r="AF20" s="69">
        <v>0</v>
      </c>
      <c r="AG20" s="56">
        <f t="shared" ref="AG20:AG22" si="19">SUM(B20:AF20)</f>
        <v>11759.999999999998</v>
      </c>
      <c r="AH20" s="67">
        <f t="shared" ref="AH20:AH22" si="20">IFERROR(AVERAGE(B20:AF20),0)</f>
        <v>379.35483870967738</v>
      </c>
      <c r="AI20" s="68">
        <f t="shared" ref="AI20:AI22" si="21">(AH20/$AH$29)*100</f>
        <v>3.2421987081198265</v>
      </c>
      <c r="AJ20" s="14"/>
      <c r="AK20" s="14"/>
      <c r="AS20" s="14"/>
      <c r="AT20" s="14"/>
      <c r="AU20" s="14"/>
      <c r="AV20" s="14"/>
      <c r="AW20" s="14"/>
      <c r="AX20" s="14"/>
      <c r="AY20" s="14"/>
      <c r="AZ20" s="14"/>
      <c r="BA20" s="14"/>
      <c r="BB20" s="14"/>
      <c r="BC20" s="14"/>
      <c r="BD20" s="14"/>
      <c r="BE20" s="14"/>
      <c r="BF20" s="14"/>
      <c r="BG20" s="14"/>
    </row>
    <row r="21" spans="1:59" ht="15.75" customHeight="1" x14ac:dyDescent="0.2">
      <c r="A21" s="4" t="s">
        <v>180</v>
      </c>
      <c r="B21" s="69">
        <f t="shared" ref="B21:F21" si="22">$B$54/$B$59</f>
        <v>0</v>
      </c>
      <c r="C21" s="69">
        <f t="shared" si="22"/>
        <v>0</v>
      </c>
      <c r="D21" s="69">
        <f t="shared" si="22"/>
        <v>0</v>
      </c>
      <c r="E21" s="69">
        <f t="shared" si="22"/>
        <v>0</v>
      </c>
      <c r="F21" s="69">
        <f t="shared" si="22"/>
        <v>0</v>
      </c>
      <c r="G21" s="69">
        <v>0</v>
      </c>
      <c r="H21" s="69">
        <f t="shared" ref="H21:AE21" si="23">$B$54/$B$59</f>
        <v>0</v>
      </c>
      <c r="I21" s="69">
        <f t="shared" si="23"/>
        <v>0</v>
      </c>
      <c r="J21" s="69">
        <f t="shared" si="23"/>
        <v>0</v>
      </c>
      <c r="K21" s="69">
        <f t="shared" si="23"/>
        <v>0</v>
      </c>
      <c r="L21" s="69">
        <f t="shared" si="23"/>
        <v>0</v>
      </c>
      <c r="M21" s="69">
        <f t="shared" si="23"/>
        <v>0</v>
      </c>
      <c r="N21" s="69">
        <f t="shared" si="23"/>
        <v>0</v>
      </c>
      <c r="O21" s="69">
        <f t="shared" si="23"/>
        <v>0</v>
      </c>
      <c r="P21" s="69">
        <f t="shared" si="23"/>
        <v>0</v>
      </c>
      <c r="Q21" s="69">
        <f t="shared" si="23"/>
        <v>0</v>
      </c>
      <c r="R21" s="69">
        <f t="shared" si="23"/>
        <v>0</v>
      </c>
      <c r="S21" s="69">
        <f t="shared" si="23"/>
        <v>0</v>
      </c>
      <c r="T21" s="69">
        <f t="shared" si="23"/>
        <v>0</v>
      </c>
      <c r="U21" s="69">
        <f t="shared" si="23"/>
        <v>0</v>
      </c>
      <c r="V21" s="69">
        <f t="shared" si="23"/>
        <v>0</v>
      </c>
      <c r="W21" s="69">
        <f t="shared" si="23"/>
        <v>0</v>
      </c>
      <c r="X21" s="69">
        <f t="shared" si="23"/>
        <v>0</v>
      </c>
      <c r="Y21" s="69">
        <f t="shared" si="23"/>
        <v>0</v>
      </c>
      <c r="Z21" s="69">
        <f t="shared" si="23"/>
        <v>0</v>
      </c>
      <c r="AA21" s="69">
        <f t="shared" si="23"/>
        <v>0</v>
      </c>
      <c r="AB21" s="69">
        <f t="shared" si="23"/>
        <v>0</v>
      </c>
      <c r="AC21" s="69">
        <f t="shared" si="23"/>
        <v>0</v>
      </c>
      <c r="AD21" s="69">
        <f t="shared" si="23"/>
        <v>0</v>
      </c>
      <c r="AE21" s="69">
        <f t="shared" si="23"/>
        <v>0</v>
      </c>
      <c r="AF21" s="69">
        <v>0</v>
      </c>
      <c r="AG21" s="56">
        <f t="shared" si="19"/>
        <v>0</v>
      </c>
      <c r="AH21" s="67">
        <f t="shared" si="20"/>
        <v>0</v>
      </c>
      <c r="AI21" s="68">
        <f t="shared" si="21"/>
        <v>0</v>
      </c>
      <c r="AJ21" s="14"/>
      <c r="AK21" s="14"/>
      <c r="AS21" s="14"/>
      <c r="AT21" s="14"/>
      <c r="AU21" s="14"/>
      <c r="AV21" s="14"/>
      <c r="AW21" s="14"/>
      <c r="AX21" s="14"/>
      <c r="AY21" s="14"/>
      <c r="AZ21" s="14"/>
      <c r="BA21" s="14"/>
      <c r="BB21" s="14"/>
      <c r="BC21" s="14"/>
      <c r="BD21" s="14"/>
      <c r="BE21" s="14"/>
      <c r="BF21" s="14"/>
      <c r="BG21" s="14"/>
    </row>
    <row r="22" spans="1:59" ht="15.75" customHeight="1" x14ac:dyDescent="0.2">
      <c r="A22" s="4" t="s">
        <v>181</v>
      </c>
      <c r="B22" s="69">
        <f t="shared" ref="B22:F22" si="24">$B$55/$B$59</f>
        <v>93.965517241379317</v>
      </c>
      <c r="C22" s="69">
        <f t="shared" si="24"/>
        <v>93.965517241379317</v>
      </c>
      <c r="D22" s="69">
        <f t="shared" si="24"/>
        <v>93.965517241379317</v>
      </c>
      <c r="E22" s="69">
        <f t="shared" si="24"/>
        <v>93.965517241379317</v>
      </c>
      <c r="F22" s="69">
        <f t="shared" si="24"/>
        <v>93.965517241379317</v>
      </c>
      <c r="G22" s="69">
        <v>0</v>
      </c>
      <c r="H22" s="69">
        <f t="shared" ref="H22:AE22" si="25">$B$55/$B$59</f>
        <v>93.965517241379317</v>
      </c>
      <c r="I22" s="69">
        <f t="shared" si="25"/>
        <v>93.965517241379317</v>
      </c>
      <c r="J22" s="69">
        <f t="shared" si="25"/>
        <v>93.965517241379317</v>
      </c>
      <c r="K22" s="69">
        <f t="shared" si="25"/>
        <v>93.965517241379317</v>
      </c>
      <c r="L22" s="69">
        <f t="shared" si="25"/>
        <v>93.965517241379317</v>
      </c>
      <c r="M22" s="69">
        <f t="shared" si="25"/>
        <v>93.965517241379317</v>
      </c>
      <c r="N22" s="69">
        <f t="shared" si="25"/>
        <v>93.965517241379317</v>
      </c>
      <c r="O22" s="69">
        <f t="shared" si="25"/>
        <v>93.965517241379317</v>
      </c>
      <c r="P22" s="69">
        <f t="shared" si="25"/>
        <v>93.965517241379317</v>
      </c>
      <c r="Q22" s="69">
        <f t="shared" si="25"/>
        <v>93.965517241379317</v>
      </c>
      <c r="R22" s="69">
        <f t="shared" si="25"/>
        <v>93.965517241379317</v>
      </c>
      <c r="S22" s="69">
        <f t="shared" si="25"/>
        <v>93.965517241379317</v>
      </c>
      <c r="T22" s="69">
        <f t="shared" si="25"/>
        <v>93.965517241379317</v>
      </c>
      <c r="U22" s="69">
        <f t="shared" si="25"/>
        <v>93.965517241379317</v>
      </c>
      <c r="V22" s="69">
        <f t="shared" si="25"/>
        <v>93.965517241379317</v>
      </c>
      <c r="W22" s="69">
        <f t="shared" si="25"/>
        <v>93.965517241379317</v>
      </c>
      <c r="X22" s="69">
        <f t="shared" si="25"/>
        <v>93.965517241379317</v>
      </c>
      <c r="Y22" s="69">
        <f t="shared" si="25"/>
        <v>93.965517241379317</v>
      </c>
      <c r="Z22" s="69">
        <f t="shared" si="25"/>
        <v>93.965517241379317</v>
      </c>
      <c r="AA22" s="69">
        <f t="shared" si="25"/>
        <v>93.965517241379317</v>
      </c>
      <c r="AB22" s="69">
        <f t="shared" si="25"/>
        <v>93.965517241379317</v>
      </c>
      <c r="AC22" s="69">
        <f t="shared" si="25"/>
        <v>93.965517241379317</v>
      </c>
      <c r="AD22" s="69">
        <f t="shared" si="25"/>
        <v>93.965517241379317</v>
      </c>
      <c r="AE22" s="69">
        <f t="shared" si="25"/>
        <v>93.965517241379317</v>
      </c>
      <c r="AF22" s="69">
        <v>0</v>
      </c>
      <c r="AG22" s="56">
        <f t="shared" si="19"/>
        <v>2725.0000000000018</v>
      </c>
      <c r="AH22" s="67">
        <f t="shared" si="20"/>
        <v>87.903225806451672</v>
      </c>
      <c r="AI22" s="68">
        <f t="shared" si="21"/>
        <v>0.75127478568252837</v>
      </c>
      <c r="AJ22" s="14"/>
      <c r="AK22" s="14"/>
      <c r="AS22" s="14"/>
      <c r="AT22" s="14"/>
      <c r="AU22" s="14"/>
      <c r="AV22" s="14"/>
      <c r="AW22" s="14"/>
      <c r="AX22" s="14"/>
      <c r="AY22" s="14"/>
      <c r="AZ22" s="14"/>
      <c r="BA22" s="14"/>
      <c r="BB22" s="14"/>
      <c r="BC22" s="14"/>
      <c r="BD22" s="14"/>
      <c r="BE22" s="14"/>
      <c r="BF22" s="14"/>
      <c r="BG22" s="14"/>
    </row>
    <row r="23" spans="1:59"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1"/>
      <c r="AH23" s="71"/>
      <c r="AI23" s="72"/>
      <c r="AJ23" s="14"/>
      <c r="AK23" s="14"/>
      <c r="AS23" s="14"/>
      <c r="AT23" s="14"/>
      <c r="AU23" s="14"/>
      <c r="AV23" s="14"/>
      <c r="AW23" s="14"/>
      <c r="AX23" s="14"/>
      <c r="AY23" s="14"/>
      <c r="AZ23" s="14"/>
      <c r="BA23" s="14"/>
      <c r="BB23" s="14"/>
      <c r="BC23" s="14"/>
      <c r="BD23" s="14"/>
      <c r="BE23" s="14"/>
      <c r="BF23" s="14"/>
      <c r="BG23" s="14"/>
    </row>
    <row r="24" spans="1:59" ht="15.75" customHeight="1" x14ac:dyDescent="0.2">
      <c r="A24" s="4" t="s">
        <v>183</v>
      </c>
      <c r="B24" s="69">
        <v>0</v>
      </c>
      <c r="C24" s="69">
        <v>210</v>
      </c>
      <c r="D24" s="69">
        <v>0</v>
      </c>
      <c r="E24" s="69">
        <v>0</v>
      </c>
      <c r="F24" s="69">
        <v>0</v>
      </c>
      <c r="G24" s="69">
        <v>0</v>
      </c>
      <c r="H24" s="69">
        <v>0</v>
      </c>
      <c r="I24" s="69">
        <v>0</v>
      </c>
      <c r="J24" s="69">
        <v>0</v>
      </c>
      <c r="K24" s="69">
        <v>0</v>
      </c>
      <c r="L24" s="69">
        <v>260</v>
      </c>
      <c r="M24" s="69">
        <v>0</v>
      </c>
      <c r="N24" s="69">
        <v>0</v>
      </c>
      <c r="O24" s="69">
        <v>0</v>
      </c>
      <c r="P24" s="69">
        <v>0</v>
      </c>
      <c r="Q24" s="69">
        <v>0</v>
      </c>
      <c r="R24" s="69">
        <v>0</v>
      </c>
      <c r="S24" s="69">
        <v>0</v>
      </c>
      <c r="T24" s="69">
        <v>0</v>
      </c>
      <c r="U24" s="69">
        <v>0</v>
      </c>
      <c r="V24" s="69">
        <v>0</v>
      </c>
      <c r="W24" s="69">
        <v>0</v>
      </c>
      <c r="X24" s="69">
        <v>0</v>
      </c>
      <c r="Y24" s="69">
        <v>0</v>
      </c>
      <c r="Z24" s="69">
        <v>0</v>
      </c>
      <c r="AA24" s="69">
        <v>0</v>
      </c>
      <c r="AB24" s="69">
        <v>0</v>
      </c>
      <c r="AC24" s="69">
        <v>0</v>
      </c>
      <c r="AD24" s="69">
        <v>860</v>
      </c>
      <c r="AE24" s="69">
        <v>0</v>
      </c>
      <c r="AF24" s="69">
        <v>0</v>
      </c>
      <c r="AG24" s="56">
        <f t="shared" ref="AG24:AG28" si="26">SUM(B24:AF24)</f>
        <v>1330</v>
      </c>
      <c r="AH24" s="67">
        <f t="shared" ref="AH24:AH28" si="27">IFERROR(AVERAGE(B24:AF24),0)</f>
        <v>42.903225806451616</v>
      </c>
      <c r="AI24" s="68">
        <f t="shared" ref="AI24:AI28" si="28">(AH24/$AH$29)*100</f>
        <v>0.36667723484688514</v>
      </c>
      <c r="AJ24" s="14"/>
      <c r="AK24" s="14"/>
      <c r="AS24" s="14"/>
      <c r="AT24" s="14"/>
      <c r="AU24" s="14"/>
      <c r="AV24" s="14"/>
      <c r="AW24" s="14"/>
      <c r="AX24" s="14"/>
      <c r="AY24" s="14"/>
      <c r="AZ24" s="14"/>
      <c r="BA24" s="14"/>
      <c r="BB24" s="14"/>
      <c r="BC24" s="14"/>
      <c r="BD24" s="14"/>
      <c r="BE24" s="14"/>
      <c r="BF24" s="14"/>
      <c r="BG24" s="14"/>
    </row>
    <row r="25" spans="1:59" ht="15.75" customHeight="1" x14ac:dyDescent="0.2">
      <c r="A25" s="4" t="s">
        <v>184</v>
      </c>
      <c r="B25" s="69">
        <v>0</v>
      </c>
      <c r="C25" s="69">
        <v>0</v>
      </c>
      <c r="D25" s="69">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69">
        <v>2040</v>
      </c>
      <c r="V25" s="69">
        <v>0</v>
      </c>
      <c r="W25" s="69">
        <v>0</v>
      </c>
      <c r="X25" s="69">
        <v>0</v>
      </c>
      <c r="Y25" s="69">
        <v>0</v>
      </c>
      <c r="Z25" s="69">
        <v>0</v>
      </c>
      <c r="AA25" s="69">
        <v>0</v>
      </c>
      <c r="AB25" s="69">
        <v>0</v>
      </c>
      <c r="AC25" s="69">
        <v>0</v>
      </c>
      <c r="AD25" s="69">
        <v>0</v>
      </c>
      <c r="AE25" s="69">
        <v>0</v>
      </c>
      <c r="AF25" s="69">
        <v>0</v>
      </c>
      <c r="AG25" s="56">
        <f t="shared" si="26"/>
        <v>2040</v>
      </c>
      <c r="AH25" s="67">
        <f t="shared" si="27"/>
        <v>65.806451612903231</v>
      </c>
      <c r="AI25" s="68">
        <f t="shared" si="28"/>
        <v>0.56242222487792914</v>
      </c>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row>
    <row r="26" spans="1:59" ht="15.75" customHeight="1" x14ac:dyDescent="0.2">
      <c r="A26" s="4" t="s">
        <v>185</v>
      </c>
      <c r="B26" s="69">
        <v>350</v>
      </c>
      <c r="C26" s="69">
        <v>0</v>
      </c>
      <c r="D26" s="69">
        <v>0</v>
      </c>
      <c r="E26" s="69">
        <v>280</v>
      </c>
      <c r="F26" s="69">
        <v>140</v>
      </c>
      <c r="G26" s="69">
        <v>0</v>
      </c>
      <c r="H26" s="69">
        <v>0</v>
      </c>
      <c r="I26" s="69">
        <v>200</v>
      </c>
      <c r="J26" s="69">
        <v>0</v>
      </c>
      <c r="K26" s="69">
        <v>0</v>
      </c>
      <c r="L26" s="69">
        <v>0</v>
      </c>
      <c r="M26" s="69">
        <v>270</v>
      </c>
      <c r="N26" s="69">
        <v>0</v>
      </c>
      <c r="O26" s="69">
        <v>0</v>
      </c>
      <c r="P26" s="69">
        <v>0</v>
      </c>
      <c r="Q26" s="69">
        <v>0</v>
      </c>
      <c r="R26" s="69">
        <v>0</v>
      </c>
      <c r="S26" s="69">
        <v>100</v>
      </c>
      <c r="T26" s="69">
        <v>0</v>
      </c>
      <c r="U26" s="69">
        <v>400</v>
      </c>
      <c r="V26" s="69">
        <v>280</v>
      </c>
      <c r="W26" s="69">
        <v>0</v>
      </c>
      <c r="X26" s="69">
        <v>0</v>
      </c>
      <c r="Y26" s="69">
        <v>0</v>
      </c>
      <c r="Z26" s="69">
        <v>0</v>
      </c>
      <c r="AA26" s="69">
        <v>0</v>
      </c>
      <c r="AB26" s="69">
        <v>0</v>
      </c>
      <c r="AC26" s="69">
        <v>0</v>
      </c>
      <c r="AD26" s="69">
        <v>200</v>
      </c>
      <c r="AE26" s="69">
        <v>0</v>
      </c>
      <c r="AF26" s="69">
        <v>0</v>
      </c>
      <c r="AG26" s="56">
        <f t="shared" si="26"/>
        <v>2220</v>
      </c>
      <c r="AH26" s="67">
        <f t="shared" si="27"/>
        <v>71.612903225806448</v>
      </c>
      <c r="AI26" s="68">
        <f t="shared" si="28"/>
        <v>0.61204771530833457</v>
      </c>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row>
    <row r="27" spans="1:59" ht="15.75" customHeight="1" x14ac:dyDescent="0.2">
      <c r="A27" s="4" t="s">
        <v>186</v>
      </c>
      <c r="B27" s="69">
        <v>0</v>
      </c>
      <c r="C27" s="69">
        <v>0</v>
      </c>
      <c r="D27" s="69">
        <v>0</v>
      </c>
      <c r="E27" s="69">
        <v>4300</v>
      </c>
      <c r="F27" s="69">
        <v>200</v>
      </c>
      <c r="G27" s="69">
        <v>0</v>
      </c>
      <c r="H27" s="69">
        <v>1000</v>
      </c>
      <c r="I27" s="69">
        <v>0</v>
      </c>
      <c r="J27" s="69">
        <v>230</v>
      </c>
      <c r="K27" s="69">
        <v>0</v>
      </c>
      <c r="L27" s="69">
        <v>0</v>
      </c>
      <c r="M27" s="69">
        <v>0</v>
      </c>
      <c r="N27" s="69">
        <v>0</v>
      </c>
      <c r="O27" s="69">
        <v>0</v>
      </c>
      <c r="P27" s="69">
        <v>0</v>
      </c>
      <c r="Q27" s="69">
        <v>0</v>
      </c>
      <c r="R27" s="69">
        <v>0</v>
      </c>
      <c r="S27" s="69">
        <v>0</v>
      </c>
      <c r="T27" s="69">
        <v>0</v>
      </c>
      <c r="U27" s="69">
        <v>0</v>
      </c>
      <c r="V27" s="69">
        <v>0</v>
      </c>
      <c r="W27" s="69">
        <v>0</v>
      </c>
      <c r="X27" s="69">
        <v>0</v>
      </c>
      <c r="Y27" s="69">
        <v>0</v>
      </c>
      <c r="Z27" s="69">
        <v>0</v>
      </c>
      <c r="AA27" s="69">
        <v>0</v>
      </c>
      <c r="AB27" s="69">
        <v>0</v>
      </c>
      <c r="AC27" s="69">
        <v>0</v>
      </c>
      <c r="AD27" s="69">
        <v>0</v>
      </c>
      <c r="AE27" s="69">
        <f>1870+700</f>
        <v>2570</v>
      </c>
      <c r="AF27" s="69">
        <v>0</v>
      </c>
      <c r="AG27" s="56">
        <f t="shared" si="26"/>
        <v>8300</v>
      </c>
      <c r="AH27" s="67">
        <f t="shared" si="27"/>
        <v>267.74193548387098</v>
      </c>
      <c r="AI27" s="68">
        <f t="shared" si="28"/>
        <v>2.2882865031798092</v>
      </c>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row>
    <row r="28" spans="1:59"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69">
        <v>0</v>
      </c>
      <c r="AG28" s="56">
        <f t="shared" si="26"/>
        <v>0</v>
      </c>
      <c r="AH28" s="67">
        <f t="shared" si="27"/>
        <v>0</v>
      </c>
      <c r="AI28" s="68">
        <f t="shared" si="28"/>
        <v>0</v>
      </c>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row>
    <row r="29" spans="1:59" ht="15.75" customHeight="1" x14ac:dyDescent="0.2">
      <c r="A29" s="10" t="s">
        <v>0</v>
      </c>
      <c r="B29" s="76">
        <f t="shared" ref="B29:AG29" si="29">SUM(B2:B28)</f>
        <v>12730.724137931033</v>
      </c>
      <c r="C29" s="76">
        <f t="shared" si="29"/>
        <v>37947.724137931029</v>
      </c>
      <c r="D29" s="76">
        <f t="shared" si="29"/>
        <v>12890.724137931033</v>
      </c>
      <c r="E29" s="76">
        <f t="shared" si="29"/>
        <v>13940.724137931033</v>
      </c>
      <c r="F29" s="76">
        <f t="shared" si="29"/>
        <v>10820.724137931033</v>
      </c>
      <c r="G29" s="76">
        <f t="shared" si="29"/>
        <v>0</v>
      </c>
      <c r="H29" s="76">
        <f t="shared" si="29"/>
        <v>11820.724137931033</v>
      </c>
      <c r="I29" s="76">
        <f t="shared" si="29"/>
        <v>11003.724137931033</v>
      </c>
      <c r="J29" s="76">
        <f t="shared" si="29"/>
        <v>11185.724137931033</v>
      </c>
      <c r="K29" s="76">
        <f t="shared" si="29"/>
        <v>11150.724137931033</v>
      </c>
      <c r="L29" s="76">
        <f t="shared" si="29"/>
        <v>11735.724137931033</v>
      </c>
      <c r="M29" s="76">
        <f t="shared" si="29"/>
        <v>11970.724137931033</v>
      </c>
      <c r="N29" s="76">
        <f t="shared" si="29"/>
        <v>10705.724137931033</v>
      </c>
      <c r="O29" s="76">
        <f t="shared" si="29"/>
        <v>10590.724137931033</v>
      </c>
      <c r="P29" s="76">
        <f t="shared" si="29"/>
        <v>11500.724137931033</v>
      </c>
      <c r="Q29" s="76">
        <f t="shared" si="29"/>
        <v>11510.724137931033</v>
      </c>
      <c r="R29" s="76">
        <f t="shared" si="29"/>
        <v>10420.724137931033</v>
      </c>
      <c r="S29" s="76">
        <f t="shared" si="29"/>
        <v>11300.724137931033</v>
      </c>
      <c r="T29" s="76">
        <f t="shared" si="29"/>
        <v>11975.724137931033</v>
      </c>
      <c r="U29" s="76">
        <f t="shared" si="29"/>
        <v>13985.724137931033</v>
      </c>
      <c r="V29" s="76">
        <f t="shared" si="29"/>
        <v>11670.724137931033</v>
      </c>
      <c r="W29" s="76">
        <f t="shared" si="29"/>
        <v>10800.724137931033</v>
      </c>
      <c r="X29" s="76">
        <f t="shared" si="29"/>
        <v>10410.724137931033</v>
      </c>
      <c r="Y29" s="76">
        <f t="shared" si="29"/>
        <v>10380.724137931033</v>
      </c>
      <c r="Z29" s="76">
        <f t="shared" si="29"/>
        <v>11520.724137931033</v>
      </c>
      <c r="AA29" s="76">
        <f t="shared" si="29"/>
        <v>10765.724137931033</v>
      </c>
      <c r="AB29" s="76">
        <f t="shared" si="29"/>
        <v>11050.724137931033</v>
      </c>
      <c r="AC29" s="76">
        <f t="shared" si="29"/>
        <v>10545.724137931033</v>
      </c>
      <c r="AD29" s="76">
        <f t="shared" si="29"/>
        <v>13636.724137931033</v>
      </c>
      <c r="AE29" s="76">
        <f t="shared" si="29"/>
        <v>13775.724137931033</v>
      </c>
      <c r="AF29" s="76">
        <f t="shared" si="29"/>
        <v>0</v>
      </c>
      <c r="AG29" s="76">
        <f t="shared" si="29"/>
        <v>363746.99999999994</v>
      </c>
      <c r="AH29" s="28">
        <f>AVERAGE(C29:AF29)</f>
        <v>11700.542528735628</v>
      </c>
      <c r="AI29" s="77">
        <f>(AH29/$AH$29)*100</f>
        <v>100</v>
      </c>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row>
    <row r="30" spans="1:59" ht="15.75" customHeight="1" x14ac:dyDescent="0.2">
      <c r="A30" s="4" t="s">
        <v>188</v>
      </c>
      <c r="B30" s="69">
        <v>7950</v>
      </c>
      <c r="C30" s="69">
        <v>15320</v>
      </c>
      <c r="D30" s="69">
        <v>17760</v>
      </c>
      <c r="E30" s="69">
        <v>11175</v>
      </c>
      <c r="F30" s="69">
        <v>5080</v>
      </c>
      <c r="G30" s="69">
        <v>0</v>
      </c>
      <c r="H30" s="69">
        <v>6485</v>
      </c>
      <c r="I30" s="69">
        <v>3705</v>
      </c>
      <c r="J30" s="69">
        <v>2700</v>
      </c>
      <c r="K30" s="69">
        <v>5275</v>
      </c>
      <c r="L30" s="69">
        <v>3215</v>
      </c>
      <c r="M30" s="69">
        <v>5395</v>
      </c>
      <c r="N30" s="69">
        <v>4102</v>
      </c>
      <c r="O30" s="69">
        <v>3525</v>
      </c>
      <c r="P30" s="69">
        <v>3820</v>
      </c>
      <c r="Q30" s="69">
        <v>2025</v>
      </c>
      <c r="R30" s="69">
        <v>3275</v>
      </c>
      <c r="S30" s="69">
        <v>3685</v>
      </c>
      <c r="T30" s="69">
        <v>5575</v>
      </c>
      <c r="U30" s="69">
        <v>1820</v>
      </c>
      <c r="V30" s="69">
        <v>2350</v>
      </c>
      <c r="W30" s="69">
        <v>3655</v>
      </c>
      <c r="X30" s="69">
        <v>965</v>
      </c>
      <c r="Y30" s="69">
        <v>1945</v>
      </c>
      <c r="Z30" s="69">
        <v>2810</v>
      </c>
      <c r="AA30" s="69">
        <v>7810</v>
      </c>
      <c r="AB30" s="69">
        <v>2860</v>
      </c>
      <c r="AC30" s="69">
        <v>2915</v>
      </c>
      <c r="AD30" s="69">
        <v>4155</v>
      </c>
      <c r="AE30" s="69">
        <v>2110</v>
      </c>
      <c r="AF30" s="69">
        <v>0</v>
      </c>
      <c r="AG30" s="56">
        <f t="shared" ref="AG30:AG32" si="30">SUM(C30:AF30)</f>
        <v>135512</v>
      </c>
      <c r="AH30" s="67">
        <f t="shared" ref="AH30:AH32" si="31">IFERROR(AVERAGE(C30:AF30),0)</f>
        <v>4517.0666666666666</v>
      </c>
      <c r="AI30" s="68">
        <f t="shared" ref="AI30:AI32" si="32">IFERROR((AH30/$AH$32)*100,0)</f>
        <v>42.208344364672719</v>
      </c>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row>
    <row r="31" spans="1:59" ht="15.75" customHeight="1" x14ac:dyDescent="0.2">
      <c r="A31" s="4" t="s">
        <v>189</v>
      </c>
      <c r="B31" s="78">
        <f t="shared" ref="B31:AF31" si="33">B32-B30</f>
        <v>7845</v>
      </c>
      <c r="C31" s="78">
        <f t="shared" si="33"/>
        <v>50960</v>
      </c>
      <c r="D31" s="78">
        <f t="shared" si="33"/>
        <v>30545</v>
      </c>
      <c r="E31" s="78">
        <f t="shared" si="33"/>
        <v>5585</v>
      </c>
      <c r="F31" s="78">
        <f t="shared" si="33"/>
        <v>14470</v>
      </c>
      <c r="G31" s="78">
        <f t="shared" si="33"/>
        <v>0</v>
      </c>
      <c r="H31" s="78">
        <f t="shared" si="33"/>
        <v>3860</v>
      </c>
      <c r="I31" s="78">
        <f t="shared" si="33"/>
        <v>4565</v>
      </c>
      <c r="J31" s="78">
        <f t="shared" si="33"/>
        <v>3915</v>
      </c>
      <c r="K31" s="78">
        <f t="shared" si="33"/>
        <v>3345</v>
      </c>
      <c r="L31" s="78">
        <f t="shared" si="33"/>
        <v>5680</v>
      </c>
      <c r="M31" s="78">
        <f t="shared" si="33"/>
        <v>5635</v>
      </c>
      <c r="N31" s="78">
        <f t="shared" si="33"/>
        <v>1443</v>
      </c>
      <c r="O31" s="78">
        <f t="shared" si="33"/>
        <v>935</v>
      </c>
      <c r="P31" s="78">
        <f t="shared" si="33"/>
        <v>3535</v>
      </c>
      <c r="Q31" s="78">
        <f t="shared" si="33"/>
        <v>2580</v>
      </c>
      <c r="R31" s="78">
        <f t="shared" si="33"/>
        <v>2065</v>
      </c>
      <c r="S31" s="78">
        <f t="shared" si="33"/>
        <v>4880</v>
      </c>
      <c r="T31" s="78">
        <f t="shared" si="33"/>
        <v>6195</v>
      </c>
      <c r="U31" s="78">
        <f t="shared" si="33"/>
        <v>3050</v>
      </c>
      <c r="V31" s="78">
        <f t="shared" si="33"/>
        <v>4620</v>
      </c>
      <c r="W31" s="78">
        <f t="shared" si="33"/>
        <v>1635</v>
      </c>
      <c r="X31" s="78">
        <f t="shared" si="33"/>
        <v>5160</v>
      </c>
      <c r="Y31" s="78">
        <f t="shared" si="33"/>
        <v>2465</v>
      </c>
      <c r="Z31" s="78">
        <f t="shared" si="33"/>
        <v>3230</v>
      </c>
      <c r="AA31" s="78">
        <f t="shared" si="33"/>
        <v>7560</v>
      </c>
      <c r="AB31" s="78">
        <f t="shared" si="33"/>
        <v>1215</v>
      </c>
      <c r="AC31" s="78">
        <f t="shared" si="33"/>
        <v>1645</v>
      </c>
      <c r="AD31" s="78">
        <f t="shared" si="33"/>
        <v>1475</v>
      </c>
      <c r="AE31" s="78">
        <f t="shared" si="33"/>
        <v>3295</v>
      </c>
      <c r="AF31" s="78">
        <f t="shared" si="33"/>
        <v>0</v>
      </c>
      <c r="AG31" s="56">
        <f t="shared" si="30"/>
        <v>185543</v>
      </c>
      <c r="AH31" s="67">
        <f t="shared" si="31"/>
        <v>6184.7666666666664</v>
      </c>
      <c r="AI31" s="68">
        <f t="shared" si="32"/>
        <v>57.791655635327274</v>
      </c>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row>
    <row r="32" spans="1:59" ht="15.75" customHeight="1" x14ac:dyDescent="0.2">
      <c r="A32" s="4" t="s">
        <v>190</v>
      </c>
      <c r="B32" s="69">
        <v>15795</v>
      </c>
      <c r="C32" s="69">
        <v>66280</v>
      </c>
      <c r="D32" s="69">
        <v>48305</v>
      </c>
      <c r="E32" s="69">
        <v>16760</v>
      </c>
      <c r="F32" s="69">
        <v>19550</v>
      </c>
      <c r="G32" s="69">
        <v>0</v>
      </c>
      <c r="H32" s="69">
        <v>10345</v>
      </c>
      <c r="I32" s="69">
        <v>8270</v>
      </c>
      <c r="J32" s="69">
        <v>6615</v>
      </c>
      <c r="K32" s="69">
        <v>8620</v>
      </c>
      <c r="L32" s="69">
        <v>8895</v>
      </c>
      <c r="M32" s="69">
        <v>11030</v>
      </c>
      <c r="N32" s="69">
        <v>5545</v>
      </c>
      <c r="O32" s="69">
        <v>4460</v>
      </c>
      <c r="P32" s="69">
        <v>7355</v>
      </c>
      <c r="Q32" s="69">
        <v>4605</v>
      </c>
      <c r="R32" s="69">
        <v>5340</v>
      </c>
      <c r="S32" s="69">
        <v>8565</v>
      </c>
      <c r="T32" s="69">
        <v>11770</v>
      </c>
      <c r="U32" s="69">
        <v>4870</v>
      </c>
      <c r="V32" s="69">
        <v>6970</v>
      </c>
      <c r="W32" s="69">
        <v>5290</v>
      </c>
      <c r="X32" s="69">
        <v>6125</v>
      </c>
      <c r="Y32" s="69">
        <v>4410</v>
      </c>
      <c r="Z32" s="69">
        <v>6040</v>
      </c>
      <c r="AA32" s="69">
        <v>15370</v>
      </c>
      <c r="AB32" s="69">
        <v>4075</v>
      </c>
      <c r="AC32" s="69">
        <v>4560</v>
      </c>
      <c r="AD32" s="69">
        <v>5630</v>
      </c>
      <c r="AE32" s="69">
        <v>5405</v>
      </c>
      <c r="AF32" s="69">
        <v>0</v>
      </c>
      <c r="AG32" s="56">
        <f t="shared" si="30"/>
        <v>321055</v>
      </c>
      <c r="AH32" s="67">
        <f t="shared" si="31"/>
        <v>10701.833333333334</v>
      </c>
      <c r="AI32" s="68">
        <f t="shared" si="32"/>
        <v>100</v>
      </c>
      <c r="AJ32" s="75"/>
      <c r="AK32" s="75"/>
      <c r="AL32" s="75"/>
      <c r="AM32" s="75"/>
      <c r="AN32" s="75"/>
      <c r="AO32" s="75"/>
      <c r="AP32" s="75"/>
      <c r="AQ32" s="75"/>
      <c r="AR32" s="75"/>
      <c r="AS32" s="75"/>
      <c r="AT32" s="75"/>
      <c r="AU32" s="75"/>
      <c r="AV32" s="14"/>
      <c r="AW32" s="14"/>
      <c r="AX32" s="14"/>
      <c r="AY32" s="14"/>
      <c r="AZ32" s="14"/>
      <c r="BA32" s="14"/>
      <c r="BB32" s="14"/>
      <c r="BC32" s="14"/>
      <c r="BD32" s="14"/>
      <c r="BE32" s="14"/>
      <c r="BF32" s="14"/>
      <c r="BG32" s="14"/>
    </row>
    <row r="33" spans="1:35" ht="15.75" customHeight="1" x14ac:dyDescent="0.2">
      <c r="A33" s="4" t="s">
        <v>191</v>
      </c>
      <c r="B33" s="69">
        <f t="shared" ref="B33:AF33" si="34">B32-B29</f>
        <v>3064.2758620689674</v>
      </c>
      <c r="C33" s="69">
        <f t="shared" si="34"/>
        <v>28332.275862068971</v>
      </c>
      <c r="D33" s="69">
        <f t="shared" si="34"/>
        <v>35414.275862068971</v>
      </c>
      <c r="E33" s="69">
        <f t="shared" si="34"/>
        <v>2819.2758620689674</v>
      </c>
      <c r="F33" s="69">
        <f t="shared" si="34"/>
        <v>8729.2758620689674</v>
      </c>
      <c r="G33" s="69">
        <f t="shared" si="34"/>
        <v>0</v>
      </c>
      <c r="H33" s="69">
        <f t="shared" si="34"/>
        <v>-1475.7241379310326</v>
      </c>
      <c r="I33" s="69">
        <f t="shared" si="34"/>
        <v>-2733.7241379310326</v>
      </c>
      <c r="J33" s="69">
        <f t="shared" si="34"/>
        <v>-4570.7241379310326</v>
      </c>
      <c r="K33" s="69">
        <f t="shared" si="34"/>
        <v>-2530.7241379310326</v>
      </c>
      <c r="L33" s="69">
        <f t="shared" si="34"/>
        <v>-2840.7241379310326</v>
      </c>
      <c r="M33" s="69">
        <f t="shared" si="34"/>
        <v>-940.7241379310326</v>
      </c>
      <c r="N33" s="69">
        <f t="shared" si="34"/>
        <v>-5160.7241379310326</v>
      </c>
      <c r="O33" s="69">
        <f t="shared" si="34"/>
        <v>-6130.7241379310326</v>
      </c>
      <c r="P33" s="69">
        <f t="shared" si="34"/>
        <v>-4145.7241379310326</v>
      </c>
      <c r="Q33" s="69">
        <f t="shared" si="34"/>
        <v>-6905.7241379310326</v>
      </c>
      <c r="R33" s="69">
        <f t="shared" si="34"/>
        <v>-5080.7241379310326</v>
      </c>
      <c r="S33" s="69">
        <f t="shared" si="34"/>
        <v>-2735.7241379310326</v>
      </c>
      <c r="T33" s="69">
        <f t="shared" si="34"/>
        <v>-205.7241379310326</v>
      </c>
      <c r="U33" s="69">
        <f t="shared" si="34"/>
        <v>-9115.7241379310326</v>
      </c>
      <c r="V33" s="59">
        <f t="shared" si="34"/>
        <v>-4700.7241379310326</v>
      </c>
      <c r="W33" s="59">
        <f t="shared" si="34"/>
        <v>-5510.7241379310326</v>
      </c>
      <c r="X33" s="59">
        <f t="shared" si="34"/>
        <v>-4285.7241379310326</v>
      </c>
      <c r="Y33" s="59">
        <f t="shared" si="34"/>
        <v>-5970.7241379310326</v>
      </c>
      <c r="Z33" s="59">
        <f t="shared" si="34"/>
        <v>-5480.7241379310326</v>
      </c>
      <c r="AA33" s="59">
        <f t="shared" si="34"/>
        <v>4604.2758620689674</v>
      </c>
      <c r="AB33" s="59">
        <f t="shared" si="34"/>
        <v>-6975.7241379310326</v>
      </c>
      <c r="AC33" s="59">
        <f t="shared" si="34"/>
        <v>-5985.7241379310326</v>
      </c>
      <c r="AD33" s="59">
        <f t="shared" si="34"/>
        <v>-8006.7241379310326</v>
      </c>
      <c r="AE33" s="59">
        <f t="shared" si="34"/>
        <v>-8370.7241379310326</v>
      </c>
      <c r="AF33" s="59">
        <f t="shared" si="34"/>
        <v>0</v>
      </c>
      <c r="AG33" s="81">
        <f>SUM(B33:AF33)+B40+B41</f>
        <v>19198.00000000012</v>
      </c>
      <c r="AH33" s="5">
        <f>AVERAGE(C33:AF33,C40,C41)</f>
        <v>-998.70919540229522</v>
      </c>
      <c r="AI33" s="68"/>
    </row>
    <row r="34" spans="1:35"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7"/>
      <c r="AH34" s="7"/>
    </row>
    <row r="35" spans="1:35" ht="15.75" customHeight="1" x14ac:dyDescent="0.2">
      <c r="A35" s="4" t="s">
        <v>13</v>
      </c>
      <c r="B35" s="59">
        <f t="shared" ref="B35:B38" si="35">SUM(B29:AF29)</f>
        <v>363746.99999999988</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7"/>
      <c r="AH35" s="7"/>
    </row>
    <row r="36" spans="1:35" ht="15.75" customHeight="1" x14ac:dyDescent="0.2">
      <c r="A36" s="4" t="s">
        <v>14</v>
      </c>
      <c r="B36" s="59">
        <f t="shared" si="35"/>
        <v>143462</v>
      </c>
      <c r="C36" s="6"/>
      <c r="M36" s="6"/>
      <c r="N36" s="6"/>
      <c r="O36" s="6"/>
      <c r="P36" s="6"/>
      <c r="Q36" s="6"/>
      <c r="R36" s="6"/>
      <c r="S36" s="6"/>
      <c r="T36" s="6"/>
      <c r="U36" s="6"/>
      <c r="V36" s="6"/>
      <c r="W36" s="6"/>
      <c r="X36" s="6"/>
      <c r="Y36" s="6"/>
      <c r="Z36" s="6"/>
      <c r="AA36" s="6"/>
      <c r="AB36" s="6"/>
      <c r="AC36" s="6"/>
      <c r="AD36" s="6"/>
      <c r="AE36" s="6"/>
      <c r="AF36" s="6"/>
      <c r="AG36" s="7"/>
      <c r="AH36" s="7"/>
    </row>
    <row r="37" spans="1:35" ht="15.75" customHeight="1" x14ac:dyDescent="0.2">
      <c r="A37" s="4" t="s">
        <v>15</v>
      </c>
      <c r="B37" s="59">
        <f t="shared" si="35"/>
        <v>193388</v>
      </c>
      <c r="C37" s="6"/>
      <c r="M37" s="6"/>
      <c r="N37" s="6"/>
      <c r="O37" s="6"/>
      <c r="P37" s="6"/>
      <c r="Q37" s="6"/>
      <c r="R37" s="6"/>
      <c r="S37" s="6"/>
      <c r="T37" s="6"/>
      <c r="U37" s="6"/>
      <c r="V37" s="6"/>
      <c r="W37" s="6"/>
      <c r="X37" s="6"/>
      <c r="Y37" s="6"/>
      <c r="Z37" s="6"/>
      <c r="AA37" s="6"/>
      <c r="AB37" s="6"/>
      <c r="AC37" s="6"/>
      <c r="AD37" s="6"/>
      <c r="AE37" s="6" t="s">
        <v>242</v>
      </c>
      <c r="AF37" s="6"/>
      <c r="AG37" s="7"/>
      <c r="AH37" s="7"/>
    </row>
    <row r="38" spans="1:35" ht="15.75" customHeight="1" x14ac:dyDescent="0.2">
      <c r="A38" s="4" t="s">
        <v>16</v>
      </c>
      <c r="B38" s="59">
        <f t="shared" si="35"/>
        <v>336850</v>
      </c>
      <c r="C38" s="6"/>
      <c r="N38" s="6"/>
      <c r="O38" s="6"/>
      <c r="P38" s="6"/>
      <c r="Q38" s="6"/>
      <c r="R38" s="6"/>
      <c r="S38" s="6"/>
      <c r="T38" s="6"/>
      <c r="U38" s="6"/>
      <c r="V38" s="6"/>
      <c r="W38" s="6"/>
      <c r="X38" s="6"/>
      <c r="Y38" s="6"/>
      <c r="Z38" s="6"/>
      <c r="AA38" s="6"/>
      <c r="AB38" s="6"/>
      <c r="AC38" s="6"/>
      <c r="AD38" s="6"/>
      <c r="AE38" s="6" t="s">
        <v>243</v>
      </c>
      <c r="AF38" s="6"/>
      <c r="AG38" s="7"/>
      <c r="AH38" s="7"/>
    </row>
    <row r="39" spans="1:35" ht="15.75" customHeight="1" x14ac:dyDescent="0.2">
      <c r="A39" s="4" t="s">
        <v>17</v>
      </c>
      <c r="B39" s="80">
        <f>Expenses!N20</f>
        <v>90824</v>
      </c>
      <c r="C39" s="6"/>
      <c r="J39" s="14" t="s">
        <v>244</v>
      </c>
      <c r="O39" s="6"/>
      <c r="P39" s="6"/>
      <c r="Q39" s="6"/>
      <c r="R39" s="6"/>
      <c r="S39" s="6" t="s">
        <v>245</v>
      </c>
      <c r="T39" s="6"/>
      <c r="U39" s="6" t="s">
        <v>246</v>
      </c>
      <c r="V39" s="6"/>
      <c r="AD39" s="14" t="s">
        <v>247</v>
      </c>
      <c r="AH39" s="6"/>
    </row>
    <row r="40" spans="1:35" ht="15.75" customHeight="1" x14ac:dyDescent="0.2">
      <c r="A40" s="4" t="s">
        <v>18</v>
      </c>
      <c r="B40" s="59">
        <f>3530+7109+6954+5576+5684</f>
        <v>28853</v>
      </c>
      <c r="C40" s="6"/>
      <c r="M40" s="6"/>
      <c r="N40" s="6"/>
      <c r="O40" s="6"/>
      <c r="P40" s="6"/>
      <c r="Q40" s="6"/>
      <c r="R40" s="6"/>
      <c r="S40" s="6"/>
      <c r="T40" s="6"/>
      <c r="U40" s="6"/>
      <c r="V40" s="6"/>
      <c r="W40" s="6"/>
      <c r="X40" s="6"/>
      <c r="Y40" s="6"/>
      <c r="Z40" s="6"/>
      <c r="AA40" s="6"/>
      <c r="AB40" s="6"/>
      <c r="AC40" s="6"/>
      <c r="AD40" s="6"/>
      <c r="AE40" s="6"/>
      <c r="AF40" s="6"/>
      <c r="AG40" s="7"/>
      <c r="AH40" s="7"/>
    </row>
    <row r="41" spans="1:35" ht="15.75" customHeight="1" x14ac:dyDescent="0.2">
      <c r="A41" s="4" t="s">
        <v>19</v>
      </c>
      <c r="B41" s="59">
        <f>5052+3764+4057+4369</f>
        <v>17242</v>
      </c>
      <c r="C41" s="6"/>
      <c r="M41" s="6"/>
      <c r="N41" s="6"/>
      <c r="O41" s="6"/>
      <c r="P41" s="6"/>
      <c r="Q41" s="6"/>
      <c r="R41" s="6"/>
      <c r="S41" s="6"/>
      <c r="T41" s="6"/>
      <c r="U41" s="6"/>
      <c r="V41" s="6"/>
      <c r="W41" s="6"/>
      <c r="X41" s="6"/>
      <c r="Y41" s="6"/>
      <c r="Z41" s="6"/>
      <c r="AA41" s="6"/>
      <c r="AB41" s="6"/>
      <c r="AC41" s="6"/>
      <c r="AD41" s="6"/>
      <c r="AE41" s="6"/>
      <c r="AF41" s="6"/>
      <c r="AG41" s="7"/>
      <c r="AH41" s="7"/>
    </row>
    <row r="42" spans="1:35" ht="15.75" customHeight="1" x14ac:dyDescent="0.2">
      <c r="A42" s="4" t="s">
        <v>20</v>
      </c>
      <c r="B42" s="59">
        <f>Stock!AV72</f>
        <v>90599</v>
      </c>
      <c r="C42" s="6"/>
      <c r="M42" s="6"/>
      <c r="N42" s="6"/>
      <c r="O42" s="6"/>
      <c r="P42" s="6"/>
      <c r="Q42" s="6"/>
      <c r="R42" s="6"/>
      <c r="S42" s="6"/>
      <c r="T42" s="6"/>
      <c r="U42" s="6"/>
      <c r="V42" s="6"/>
      <c r="W42" s="6"/>
      <c r="X42" s="6"/>
      <c r="Y42" s="6"/>
      <c r="Z42" s="6"/>
      <c r="AA42" s="6"/>
      <c r="AB42" s="6"/>
      <c r="AC42" s="6"/>
      <c r="AD42" s="6"/>
      <c r="AE42" s="6"/>
      <c r="AF42" s="6"/>
      <c r="AG42" s="7"/>
      <c r="AH42" s="7"/>
    </row>
    <row r="43" spans="1:35" ht="15.75" customHeight="1" x14ac:dyDescent="0.2">
      <c r="A43" s="4" t="s">
        <v>21</v>
      </c>
      <c r="B43" s="59">
        <f>B38-B35+B40+B41</f>
        <v>19198.000000000116</v>
      </c>
      <c r="C43" s="6"/>
      <c r="M43" s="6"/>
      <c r="N43" s="6"/>
      <c r="O43" s="6"/>
      <c r="P43" s="6"/>
      <c r="Q43" s="6"/>
      <c r="R43" s="6"/>
      <c r="S43" s="6"/>
      <c r="T43" s="6"/>
      <c r="U43" s="6"/>
      <c r="V43" s="6"/>
      <c r="W43" s="6"/>
      <c r="X43" s="6"/>
      <c r="Y43" s="6"/>
      <c r="Z43" s="6"/>
      <c r="AA43" s="6"/>
      <c r="AB43" s="6"/>
      <c r="AC43" s="6"/>
      <c r="AD43" s="6"/>
      <c r="AE43" s="6"/>
      <c r="AF43" s="6"/>
      <c r="AG43" s="7"/>
      <c r="AH43" s="7"/>
    </row>
    <row r="44" spans="1:35" ht="15.75" customHeight="1" x14ac:dyDescent="0.2">
      <c r="B44" s="6"/>
      <c r="C44" s="6"/>
      <c r="M44" s="6"/>
      <c r="N44" s="6"/>
      <c r="O44" s="6"/>
      <c r="P44" s="6"/>
      <c r="Q44" s="6"/>
      <c r="R44" s="6"/>
      <c r="S44" s="6"/>
      <c r="T44" s="6"/>
      <c r="U44" s="6"/>
      <c r="V44" s="6"/>
      <c r="W44" s="6"/>
      <c r="X44" s="6"/>
      <c r="Y44" s="6"/>
      <c r="Z44" s="6"/>
      <c r="AA44" s="6"/>
      <c r="AB44" s="6"/>
      <c r="AC44" s="6"/>
      <c r="AD44" s="6"/>
      <c r="AE44" s="6"/>
      <c r="AF44" s="6"/>
      <c r="AG44" s="7"/>
      <c r="AH44" s="7"/>
    </row>
    <row r="45" spans="1:35" ht="15.75" customHeight="1" x14ac:dyDescent="0.2">
      <c r="A45" s="4" t="s">
        <v>201</v>
      </c>
      <c r="B45" s="59">
        <v>0</v>
      </c>
      <c r="C45" s="59">
        <v>0</v>
      </c>
      <c r="D45" s="59">
        <v>0</v>
      </c>
      <c r="E45" s="59">
        <v>0</v>
      </c>
      <c r="F45" s="59">
        <v>0</v>
      </c>
      <c r="G45" s="59">
        <v>0</v>
      </c>
      <c r="H45" s="59">
        <v>1100</v>
      </c>
      <c r="I45" s="59">
        <v>1100</v>
      </c>
      <c r="J45" s="59">
        <v>1100</v>
      </c>
      <c r="K45" s="59">
        <v>1100</v>
      </c>
      <c r="L45" s="59">
        <v>1100</v>
      </c>
      <c r="M45" s="59">
        <v>1100</v>
      </c>
      <c r="N45" s="59">
        <v>1100</v>
      </c>
      <c r="O45" s="59">
        <v>1100</v>
      </c>
      <c r="P45" s="59">
        <v>1100</v>
      </c>
      <c r="Q45" s="59">
        <v>100</v>
      </c>
      <c r="R45" s="59">
        <v>0</v>
      </c>
      <c r="S45" s="59">
        <v>0</v>
      </c>
      <c r="T45" s="59">
        <v>0</v>
      </c>
      <c r="U45" s="59">
        <v>0</v>
      </c>
      <c r="V45" s="59">
        <v>0</v>
      </c>
      <c r="W45" s="59">
        <v>0</v>
      </c>
      <c r="X45" s="59">
        <v>0</v>
      </c>
      <c r="Y45" s="59">
        <v>0</v>
      </c>
      <c r="Z45" s="59">
        <v>0</v>
      </c>
      <c r="AA45" s="59">
        <v>0</v>
      </c>
      <c r="AB45" s="59">
        <v>0</v>
      </c>
      <c r="AC45" s="59">
        <v>0</v>
      </c>
      <c r="AD45" s="59">
        <v>0</v>
      </c>
      <c r="AE45" s="59">
        <v>0</v>
      </c>
      <c r="AF45" s="59">
        <v>0</v>
      </c>
      <c r="AG45" s="56">
        <f t="shared" ref="AG45:AG47" si="36">SUM(B45:AE45)</f>
        <v>10000</v>
      </c>
      <c r="AH45" s="7"/>
    </row>
    <row r="46" spans="1:35" ht="15.75" customHeight="1" x14ac:dyDescent="0.2">
      <c r="A46" s="4" t="s">
        <v>202</v>
      </c>
      <c r="B46" s="59">
        <v>0</v>
      </c>
      <c r="C46" s="59">
        <v>0</v>
      </c>
      <c r="D46" s="59">
        <v>1000</v>
      </c>
      <c r="E46" s="59">
        <v>0</v>
      </c>
      <c r="F46" s="59">
        <v>0</v>
      </c>
      <c r="G46" s="59">
        <v>0</v>
      </c>
      <c r="H46" s="59">
        <f>-15000-500-13000+1300</f>
        <v>-27200</v>
      </c>
      <c r="I46" s="59">
        <f>-7500+1250</f>
        <v>-6250</v>
      </c>
      <c r="J46" s="59">
        <f>-3060-500</f>
        <v>-3560</v>
      </c>
      <c r="K46" s="59">
        <v>0</v>
      </c>
      <c r="L46" s="59">
        <v>0</v>
      </c>
      <c r="M46" s="59">
        <v>0</v>
      </c>
      <c r="N46" s="59">
        <v>0</v>
      </c>
      <c r="O46" s="59">
        <v>0</v>
      </c>
      <c r="P46" s="59">
        <v>0</v>
      </c>
      <c r="Q46" s="59">
        <v>0</v>
      </c>
      <c r="R46" s="59">
        <v>0</v>
      </c>
      <c r="S46" s="59">
        <v>0</v>
      </c>
      <c r="T46" s="59">
        <v>-1000</v>
      </c>
      <c r="U46" s="59">
        <v>0</v>
      </c>
      <c r="V46" s="59">
        <v>0</v>
      </c>
      <c r="W46" s="59">
        <v>0</v>
      </c>
      <c r="X46" s="59">
        <v>0</v>
      </c>
      <c r="Y46" s="59">
        <v>0</v>
      </c>
      <c r="Z46" s="59">
        <v>0</v>
      </c>
      <c r="AA46" s="59">
        <v>0</v>
      </c>
      <c r="AB46" s="59">
        <v>0</v>
      </c>
      <c r="AC46" s="59">
        <v>0</v>
      </c>
      <c r="AD46" s="59">
        <v>0</v>
      </c>
      <c r="AE46" s="59">
        <v>0</v>
      </c>
      <c r="AF46" s="59">
        <v>0</v>
      </c>
      <c r="AG46" s="56">
        <f t="shared" si="36"/>
        <v>-37010</v>
      </c>
      <c r="AH46" s="7"/>
    </row>
    <row r="47" spans="1:35" ht="15.75" customHeight="1" x14ac:dyDescent="0.2">
      <c r="A47" s="4" t="s">
        <v>203</v>
      </c>
      <c r="B47" s="59">
        <f t="shared" ref="B47:AF47" si="37">B4+B3+B7+B8+(SUM(B20:B22))+B45+B46</f>
        <v>7103.7241379310335</v>
      </c>
      <c r="C47" s="59">
        <f t="shared" si="37"/>
        <v>7103.7241379310335</v>
      </c>
      <c r="D47" s="59">
        <f t="shared" si="37"/>
        <v>8103.7241379310335</v>
      </c>
      <c r="E47" s="59">
        <f t="shared" si="37"/>
        <v>7103.7241379310335</v>
      </c>
      <c r="F47" s="59">
        <f t="shared" si="37"/>
        <v>7103.7241379310335</v>
      </c>
      <c r="G47" s="59">
        <f t="shared" si="37"/>
        <v>0</v>
      </c>
      <c r="H47" s="59">
        <f t="shared" si="37"/>
        <v>-18996.275862068967</v>
      </c>
      <c r="I47" s="59">
        <f t="shared" si="37"/>
        <v>1953.7241379310326</v>
      </c>
      <c r="J47" s="59">
        <f t="shared" si="37"/>
        <v>4643.7241379310326</v>
      </c>
      <c r="K47" s="59">
        <f t="shared" si="37"/>
        <v>8203.7241379310326</v>
      </c>
      <c r="L47" s="59">
        <f t="shared" si="37"/>
        <v>8203.7241379310326</v>
      </c>
      <c r="M47" s="59">
        <f t="shared" si="37"/>
        <v>8203.7241379310326</v>
      </c>
      <c r="N47" s="59">
        <f t="shared" si="37"/>
        <v>8203.7241379310326</v>
      </c>
      <c r="O47" s="59">
        <f t="shared" si="37"/>
        <v>8203.7241379310326</v>
      </c>
      <c r="P47" s="59">
        <f t="shared" si="37"/>
        <v>8203.7241379310326</v>
      </c>
      <c r="Q47" s="59">
        <f t="shared" si="37"/>
        <v>7203.7241379310335</v>
      </c>
      <c r="R47" s="59">
        <f t="shared" si="37"/>
        <v>7103.7241379310335</v>
      </c>
      <c r="S47" s="59">
        <f t="shared" si="37"/>
        <v>7103.7241379310335</v>
      </c>
      <c r="T47" s="59">
        <f t="shared" si="37"/>
        <v>6103.7241379310335</v>
      </c>
      <c r="U47" s="59">
        <f t="shared" si="37"/>
        <v>7103.7241379310335</v>
      </c>
      <c r="V47" s="59">
        <f t="shared" si="37"/>
        <v>7103.7241379310335</v>
      </c>
      <c r="W47" s="59">
        <f t="shared" si="37"/>
        <v>7103.7241379310335</v>
      </c>
      <c r="X47" s="59">
        <f t="shared" si="37"/>
        <v>7103.7241379310335</v>
      </c>
      <c r="Y47" s="59">
        <f t="shared" si="37"/>
        <v>7103.7241379310335</v>
      </c>
      <c r="Z47" s="59">
        <f t="shared" si="37"/>
        <v>7103.7241379310335</v>
      </c>
      <c r="AA47" s="59">
        <f t="shared" si="37"/>
        <v>7103.7241379310335</v>
      </c>
      <c r="AB47" s="59">
        <f t="shared" si="37"/>
        <v>7103.7241379310335</v>
      </c>
      <c r="AC47" s="59">
        <f t="shared" si="37"/>
        <v>7103.7241379310335</v>
      </c>
      <c r="AD47" s="59">
        <f t="shared" si="37"/>
        <v>7103.7241379310335</v>
      </c>
      <c r="AE47" s="59">
        <f t="shared" si="37"/>
        <v>7103.7241379310335</v>
      </c>
      <c r="AF47" s="59">
        <f t="shared" si="37"/>
        <v>0</v>
      </c>
      <c r="AG47" s="67">
        <f t="shared" si="36"/>
        <v>178997.99999999997</v>
      </c>
      <c r="AH47" s="7"/>
    </row>
    <row r="48" spans="1:35" ht="15.75" customHeight="1" x14ac:dyDescent="0.2">
      <c r="A48" s="4" t="s">
        <v>204</v>
      </c>
      <c r="B48" s="59">
        <f>B31-B29+B47+8024</f>
        <v>10242</v>
      </c>
      <c r="C48" s="59">
        <f t="shared" ref="C48:AF48" si="38">B48+C31-C29+C47</f>
        <v>30358.000000000004</v>
      </c>
      <c r="D48" s="59">
        <f t="shared" si="38"/>
        <v>56116.000000000007</v>
      </c>
      <c r="E48" s="59">
        <f t="shared" si="38"/>
        <v>54864.000000000007</v>
      </c>
      <c r="F48" s="59">
        <f t="shared" si="38"/>
        <v>65617</v>
      </c>
      <c r="G48" s="59">
        <f t="shared" si="38"/>
        <v>65617</v>
      </c>
      <c r="H48" s="59">
        <f t="shared" si="38"/>
        <v>38660</v>
      </c>
      <c r="I48" s="59">
        <f t="shared" si="38"/>
        <v>34175</v>
      </c>
      <c r="J48" s="59">
        <f t="shared" si="38"/>
        <v>31548</v>
      </c>
      <c r="K48" s="59">
        <f t="shared" si="38"/>
        <v>31946</v>
      </c>
      <c r="L48" s="59">
        <f t="shared" si="38"/>
        <v>34094</v>
      </c>
      <c r="M48" s="59">
        <f t="shared" si="38"/>
        <v>35962</v>
      </c>
      <c r="N48" s="59">
        <f t="shared" si="38"/>
        <v>34903</v>
      </c>
      <c r="O48" s="59">
        <f t="shared" si="38"/>
        <v>33451</v>
      </c>
      <c r="P48" s="59">
        <f t="shared" si="38"/>
        <v>33689</v>
      </c>
      <c r="Q48" s="59">
        <f t="shared" si="38"/>
        <v>31962</v>
      </c>
      <c r="R48" s="59">
        <f t="shared" si="38"/>
        <v>30710</v>
      </c>
      <c r="S48" s="59">
        <f t="shared" si="38"/>
        <v>31393</v>
      </c>
      <c r="T48" s="59">
        <f t="shared" si="38"/>
        <v>31716</v>
      </c>
      <c r="U48" s="59">
        <f t="shared" si="38"/>
        <v>27884</v>
      </c>
      <c r="V48" s="59">
        <f t="shared" si="38"/>
        <v>27937</v>
      </c>
      <c r="W48" s="59">
        <f t="shared" si="38"/>
        <v>25875</v>
      </c>
      <c r="X48" s="59">
        <f t="shared" si="38"/>
        <v>27728</v>
      </c>
      <c r="Y48" s="59">
        <f t="shared" si="38"/>
        <v>26916</v>
      </c>
      <c r="Z48" s="59">
        <f t="shared" si="38"/>
        <v>25729</v>
      </c>
      <c r="AA48" s="59">
        <f t="shared" si="38"/>
        <v>29627</v>
      </c>
      <c r="AB48" s="59">
        <f t="shared" si="38"/>
        <v>26895</v>
      </c>
      <c r="AC48" s="59">
        <f t="shared" si="38"/>
        <v>25098</v>
      </c>
      <c r="AD48" s="59">
        <f t="shared" si="38"/>
        <v>20040</v>
      </c>
      <c r="AE48" s="59">
        <f t="shared" si="38"/>
        <v>16663</v>
      </c>
      <c r="AF48" s="59">
        <f t="shared" si="38"/>
        <v>16663</v>
      </c>
      <c r="AG48" s="7"/>
      <c r="AH48" s="7"/>
    </row>
    <row r="49" spans="1:34"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7"/>
      <c r="AH49" s="7"/>
    </row>
    <row r="50" spans="1:34" ht="15.75" customHeight="1" x14ac:dyDescent="0.2">
      <c r="AG50" s="1"/>
      <c r="AH50" s="7"/>
    </row>
    <row r="51" spans="1:34" ht="15.75" customHeight="1" x14ac:dyDescent="0.2">
      <c r="A51" s="4" t="s">
        <v>166</v>
      </c>
      <c r="B51" s="4">
        <f>2250+2250</f>
        <v>4500</v>
      </c>
      <c r="AG51" s="1"/>
      <c r="AH51" s="7"/>
    </row>
    <row r="52" spans="1:34" ht="15.75" customHeight="1" x14ac:dyDescent="0.2">
      <c r="A52" s="4" t="s">
        <v>205</v>
      </c>
      <c r="B52" s="4">
        <f>1000+1600+3000</f>
        <v>5600</v>
      </c>
      <c r="AG52" s="1"/>
      <c r="AH52" s="7"/>
    </row>
    <row r="53" spans="1:34" ht="15.75" customHeight="1" x14ac:dyDescent="0.2">
      <c r="A53" s="4" t="s">
        <v>179</v>
      </c>
      <c r="B53" s="4">
        <f>7970+3790</f>
        <v>11760</v>
      </c>
      <c r="I53" s="14" t="s">
        <v>206</v>
      </c>
      <c r="AG53" s="1"/>
      <c r="AH53" s="7"/>
    </row>
    <row r="54" spans="1:34" ht="15.75" customHeight="1" x14ac:dyDescent="0.2">
      <c r="A54" s="4" t="s">
        <v>180</v>
      </c>
      <c r="B54" s="4">
        <v>0</v>
      </c>
      <c r="AG54" s="1"/>
      <c r="AH54" s="7"/>
    </row>
    <row r="55" spans="1:34" ht="15.75" customHeight="1" x14ac:dyDescent="0.2">
      <c r="A55" s="4" t="s">
        <v>181</v>
      </c>
      <c r="B55" s="4">
        <v>2725</v>
      </c>
      <c r="AG55" s="1"/>
      <c r="AH55" s="7"/>
    </row>
    <row r="56" spans="1:34" ht="15.75" customHeight="1" x14ac:dyDescent="0.2">
      <c r="B56" s="83">
        <f>SUM(B51:B55)</f>
        <v>24585</v>
      </c>
      <c r="J56" s="84" t="s">
        <v>207</v>
      </c>
      <c r="K56" s="4"/>
      <c r="L56" s="36">
        <f>G32</f>
        <v>0</v>
      </c>
      <c r="M56" s="59">
        <f>N32</f>
        <v>5545</v>
      </c>
      <c r="N56" s="59">
        <f>U32</f>
        <v>4870</v>
      </c>
      <c r="O56" s="59">
        <f>AB32</f>
        <v>4075</v>
      </c>
      <c r="P56" s="84">
        <f t="shared" ref="P56:P62" si="39">AVERAGEIF(K56:O56,"&lt;&gt;0")</f>
        <v>4830</v>
      </c>
      <c r="R56" s="6"/>
      <c r="AG56" s="1"/>
      <c r="AH56" s="7"/>
    </row>
    <row r="57" spans="1:34" ht="15.75" customHeight="1" x14ac:dyDescent="0.2">
      <c r="J57" s="84" t="s">
        <v>208</v>
      </c>
      <c r="K57" s="4"/>
      <c r="L57" s="36">
        <f>H32</f>
        <v>10345</v>
      </c>
      <c r="M57" s="59">
        <f>O32</f>
        <v>4460</v>
      </c>
      <c r="N57" s="59">
        <f>V32</f>
        <v>6970</v>
      </c>
      <c r="O57" s="59">
        <f>AC32</f>
        <v>4560</v>
      </c>
      <c r="P57" s="84">
        <f t="shared" si="39"/>
        <v>6583.75</v>
      </c>
      <c r="AG57" s="1"/>
      <c r="AH57" s="7"/>
    </row>
    <row r="58" spans="1:34" ht="15.75" customHeight="1" x14ac:dyDescent="0.2">
      <c r="J58" s="84" t="s">
        <v>209</v>
      </c>
      <c r="K58" s="59">
        <f>B32</f>
        <v>15795</v>
      </c>
      <c r="L58" s="36">
        <f>I32</f>
        <v>8270</v>
      </c>
      <c r="M58" s="59">
        <f>P32</f>
        <v>7355</v>
      </c>
      <c r="N58" s="59">
        <f>W32</f>
        <v>5290</v>
      </c>
      <c r="O58" s="59">
        <f>AD32</f>
        <v>5630</v>
      </c>
      <c r="P58" s="84">
        <f t="shared" si="39"/>
        <v>8468</v>
      </c>
      <c r="AG58" s="1"/>
      <c r="AH58" s="7"/>
    </row>
    <row r="59" spans="1:34" ht="15.75" customHeight="1" x14ac:dyDescent="0.2">
      <c r="A59" s="14" t="s">
        <v>210</v>
      </c>
      <c r="B59" s="14">
        <v>29</v>
      </c>
      <c r="J59" s="84" t="s">
        <v>211</v>
      </c>
      <c r="K59" s="59">
        <f>C32</f>
        <v>66280</v>
      </c>
      <c r="L59" s="59">
        <f>J32</f>
        <v>6615</v>
      </c>
      <c r="M59" s="59">
        <f>Q32</f>
        <v>4605</v>
      </c>
      <c r="N59" s="59">
        <f>X32</f>
        <v>6125</v>
      </c>
      <c r="O59" s="59">
        <f>AE32</f>
        <v>5405</v>
      </c>
      <c r="P59" s="84">
        <f t="shared" si="39"/>
        <v>17806</v>
      </c>
      <c r="AG59" s="1"/>
      <c r="AH59" s="7"/>
    </row>
    <row r="60" spans="1:34" ht="15.75" customHeight="1" x14ac:dyDescent="0.2">
      <c r="J60" s="84" t="s">
        <v>212</v>
      </c>
      <c r="K60" s="59">
        <f>D32</f>
        <v>48305</v>
      </c>
      <c r="L60" s="59">
        <f>K32</f>
        <v>8620</v>
      </c>
      <c r="M60" s="59">
        <f>R32</f>
        <v>5340</v>
      </c>
      <c r="N60" s="59">
        <f>Y32</f>
        <v>4410</v>
      </c>
      <c r="O60" s="59">
        <f>AF32</f>
        <v>0</v>
      </c>
      <c r="P60" s="84">
        <f t="shared" si="39"/>
        <v>16668.75</v>
      </c>
      <c r="AG60" s="1"/>
      <c r="AH60" s="7"/>
    </row>
    <row r="61" spans="1:34" ht="15.75" customHeight="1" x14ac:dyDescent="0.2">
      <c r="J61" s="84" t="s">
        <v>213</v>
      </c>
      <c r="K61" s="59">
        <f>E32</f>
        <v>16760</v>
      </c>
      <c r="L61" s="59">
        <f>L32</f>
        <v>8895</v>
      </c>
      <c r="M61" s="59">
        <f>S32</f>
        <v>8565</v>
      </c>
      <c r="N61" s="59">
        <f>Z32</f>
        <v>6040</v>
      </c>
      <c r="O61" s="4"/>
      <c r="P61" s="84">
        <f t="shared" si="39"/>
        <v>10065</v>
      </c>
      <c r="AG61" s="1"/>
      <c r="AH61" s="7"/>
    </row>
    <row r="62" spans="1:34" ht="15.75" customHeight="1" x14ac:dyDescent="0.2">
      <c r="J62" s="84" t="s">
        <v>214</v>
      </c>
      <c r="K62" s="36">
        <f>F32</f>
        <v>19550</v>
      </c>
      <c r="L62" s="59">
        <f>M32</f>
        <v>11030</v>
      </c>
      <c r="M62" s="59">
        <f>T32</f>
        <v>11770</v>
      </c>
      <c r="N62" s="59">
        <f>AA32</f>
        <v>15370</v>
      </c>
      <c r="O62" s="4"/>
      <c r="P62" s="84">
        <f t="shared" si="39"/>
        <v>14430</v>
      </c>
      <c r="AG62" s="1"/>
      <c r="AH62" s="7"/>
    </row>
    <row r="63" spans="1:34" ht="15.75" customHeight="1" x14ac:dyDescent="0.2">
      <c r="Q63" s="14" t="s">
        <v>127</v>
      </c>
      <c r="AG63" s="1"/>
      <c r="AH63" s="7"/>
    </row>
    <row r="64" spans="1:34" ht="15.75" customHeight="1" x14ac:dyDescent="0.2">
      <c r="AG64" s="1"/>
      <c r="AH64" s="7"/>
    </row>
    <row r="65" spans="25:34" ht="14" x14ac:dyDescent="0.2">
      <c r="AG65" s="1"/>
      <c r="AH65" s="7"/>
    </row>
    <row r="66" spans="25:34" ht="14" x14ac:dyDescent="0.2">
      <c r="Y66" s="14" t="s">
        <v>206</v>
      </c>
      <c r="AG66" s="1"/>
      <c r="AH66" s="7"/>
    </row>
    <row r="67" spans="25:34" ht="14" x14ac:dyDescent="0.2">
      <c r="AG67" s="1"/>
      <c r="AH67" s="7"/>
    </row>
    <row r="68" spans="25:34" ht="14" x14ac:dyDescent="0.2">
      <c r="AG68" s="1"/>
      <c r="AH68" s="7"/>
    </row>
    <row r="69" spans="25:34" ht="14" x14ac:dyDescent="0.2">
      <c r="AG69" s="1"/>
      <c r="AH69" s="7"/>
    </row>
    <row r="70" spans="25:34" ht="14" x14ac:dyDescent="0.2">
      <c r="AG70" s="1"/>
      <c r="AH70" s="7"/>
    </row>
    <row r="71" spans="25:34" ht="14" x14ac:dyDescent="0.2">
      <c r="AG71" s="1"/>
      <c r="AH71" s="7"/>
    </row>
    <row r="72" spans="25:34" ht="14" x14ac:dyDescent="0.2">
      <c r="AG72" s="1"/>
      <c r="AH72" s="7"/>
    </row>
    <row r="73" spans="25:34" ht="14" x14ac:dyDescent="0.2">
      <c r="AG73" s="1"/>
      <c r="AH73" s="7"/>
    </row>
    <row r="74" spans="25:34" ht="14" x14ac:dyDescent="0.2">
      <c r="AG74" s="1"/>
      <c r="AH74" s="7"/>
    </row>
    <row r="75" spans="25:34" ht="14" x14ac:dyDescent="0.2">
      <c r="AG75" s="1"/>
      <c r="AH75" s="7"/>
    </row>
    <row r="76" spans="25:34" ht="14" x14ac:dyDescent="0.2">
      <c r="AG76" s="1"/>
      <c r="AH76" s="7"/>
    </row>
    <row r="77" spans="25:34" ht="14" x14ac:dyDescent="0.2">
      <c r="AG77" s="1"/>
      <c r="AH77" s="7"/>
    </row>
    <row r="78" spans="25:34" ht="14" x14ac:dyDescent="0.2">
      <c r="AG78" s="1"/>
      <c r="AH78" s="7"/>
    </row>
    <row r="79" spans="25:34" ht="14" x14ac:dyDescent="0.2">
      <c r="AG79" s="1"/>
      <c r="AH79" s="7"/>
    </row>
    <row r="80" spans="25:34" ht="14" x14ac:dyDescent="0.2">
      <c r="AG80" s="1"/>
      <c r="AH80" s="7"/>
    </row>
    <row r="81" spans="33:34" ht="14" x14ac:dyDescent="0.2">
      <c r="AG81" s="1"/>
      <c r="AH81" s="7"/>
    </row>
    <row r="82" spans="33:34" ht="14" x14ac:dyDescent="0.2">
      <c r="AG82" s="1"/>
      <c r="AH82" s="7"/>
    </row>
    <row r="83" spans="33:34" ht="14" x14ac:dyDescent="0.2">
      <c r="AG83" s="1"/>
      <c r="AH83" s="7"/>
    </row>
    <row r="84" spans="33:34" ht="14" x14ac:dyDescent="0.2">
      <c r="AG84" s="1"/>
      <c r="AH84" s="7"/>
    </row>
    <row r="85" spans="33:34" ht="14" x14ac:dyDescent="0.2">
      <c r="AG85" s="1"/>
      <c r="AH85" s="7"/>
    </row>
    <row r="86" spans="33:34" ht="14" x14ac:dyDescent="0.2">
      <c r="AG86" s="1"/>
      <c r="AH86" s="7"/>
    </row>
    <row r="87" spans="33:34" ht="14" x14ac:dyDescent="0.2">
      <c r="AG87" s="1"/>
      <c r="AH87" s="7"/>
    </row>
    <row r="88" spans="33:34" ht="14" x14ac:dyDescent="0.2">
      <c r="AG88" s="1"/>
      <c r="AH88" s="7"/>
    </row>
    <row r="89" spans="33:34" ht="14" x14ac:dyDescent="0.2">
      <c r="AG89" s="1"/>
      <c r="AH89" s="7"/>
    </row>
    <row r="90" spans="33:34" ht="14" x14ac:dyDescent="0.2">
      <c r="AG90" s="1"/>
      <c r="AH90" s="7"/>
    </row>
    <row r="91" spans="33:34" ht="14" x14ac:dyDescent="0.2">
      <c r="AG91" s="1"/>
      <c r="AH91" s="7"/>
    </row>
    <row r="92" spans="33:34" ht="14" x14ac:dyDescent="0.2">
      <c r="AG92" s="1"/>
      <c r="AH92" s="7"/>
    </row>
    <row r="93" spans="33:34" ht="14" x14ac:dyDescent="0.2">
      <c r="AG93" s="1"/>
      <c r="AH93" s="7"/>
    </row>
    <row r="94" spans="33:34" ht="14" x14ac:dyDescent="0.2">
      <c r="AG94" s="1"/>
      <c r="AH94" s="7"/>
    </row>
    <row r="95" spans="33:34" ht="14" x14ac:dyDescent="0.2">
      <c r="AG95" s="1"/>
      <c r="AH95" s="7"/>
    </row>
    <row r="96" spans="33:34" ht="14" x14ac:dyDescent="0.2">
      <c r="AG96" s="1"/>
      <c r="AH96" s="7"/>
    </row>
    <row r="97" spans="33:34" ht="14" x14ac:dyDescent="0.2">
      <c r="AG97" s="1"/>
      <c r="AH97" s="7"/>
    </row>
    <row r="98" spans="33:34" ht="14" x14ac:dyDescent="0.2">
      <c r="AG98" s="1"/>
      <c r="AH98" s="7"/>
    </row>
    <row r="99" spans="33:34" ht="14" x14ac:dyDescent="0.2">
      <c r="AG99" s="1"/>
      <c r="AH99" s="7"/>
    </row>
    <row r="100" spans="33:34" ht="14" x14ac:dyDescent="0.2">
      <c r="AG100" s="1"/>
      <c r="AH100" s="7"/>
    </row>
    <row r="101" spans="33:34" ht="14" x14ac:dyDescent="0.2">
      <c r="AG101" s="1"/>
      <c r="AH101" s="7"/>
    </row>
    <row r="102" spans="33:34" ht="14" x14ac:dyDescent="0.2">
      <c r="AG102" s="1"/>
      <c r="AH102" s="7"/>
    </row>
    <row r="103" spans="33:34" ht="14" x14ac:dyDescent="0.2">
      <c r="AG103" s="1"/>
      <c r="AH103" s="7"/>
    </row>
    <row r="104" spans="33:34" ht="14" x14ac:dyDescent="0.2">
      <c r="AG104" s="1"/>
      <c r="AH104" s="7"/>
    </row>
    <row r="105" spans="33:34" ht="14" x14ac:dyDescent="0.2">
      <c r="AG105" s="1"/>
      <c r="AH105" s="7"/>
    </row>
    <row r="106" spans="33:34" ht="14" x14ac:dyDescent="0.2">
      <c r="AG106" s="1"/>
      <c r="AH106" s="7"/>
    </row>
    <row r="107" spans="33:34" ht="14" x14ac:dyDescent="0.2">
      <c r="AG107" s="1"/>
      <c r="AH107" s="7"/>
    </row>
    <row r="108" spans="33:34" ht="14" x14ac:dyDescent="0.2">
      <c r="AG108" s="1"/>
      <c r="AH108" s="7"/>
    </row>
    <row r="109" spans="33:34" ht="14" x14ac:dyDescent="0.2">
      <c r="AG109" s="1"/>
      <c r="AH109" s="7"/>
    </row>
    <row r="110" spans="33:34" ht="14" x14ac:dyDescent="0.2">
      <c r="AG110" s="1"/>
      <c r="AH110" s="7"/>
    </row>
    <row r="111" spans="33:34" ht="14" x14ac:dyDescent="0.2">
      <c r="AG111" s="1"/>
      <c r="AH111" s="7"/>
    </row>
    <row r="112" spans="33:34" ht="14" x14ac:dyDescent="0.2">
      <c r="AG112" s="1"/>
      <c r="AH112" s="7"/>
    </row>
    <row r="113" spans="33:34" ht="14" x14ac:dyDescent="0.2">
      <c r="AG113" s="1"/>
      <c r="AH113" s="7"/>
    </row>
    <row r="114" spans="33:34" ht="14" x14ac:dyDescent="0.2">
      <c r="AG114" s="1"/>
      <c r="AH114" s="7"/>
    </row>
    <row r="115" spans="33:34" ht="14" x14ac:dyDescent="0.2">
      <c r="AG115" s="1"/>
      <c r="AH115" s="7"/>
    </row>
    <row r="116" spans="33:34" ht="14" x14ac:dyDescent="0.2">
      <c r="AG116" s="1"/>
      <c r="AH116" s="7"/>
    </row>
    <row r="117" spans="33:34" ht="14" x14ac:dyDescent="0.2">
      <c r="AG117" s="1"/>
      <c r="AH117" s="7"/>
    </row>
    <row r="118" spans="33:34" ht="14" x14ac:dyDescent="0.2">
      <c r="AG118" s="1"/>
      <c r="AH118" s="7"/>
    </row>
    <row r="119" spans="33:34" ht="14" x14ac:dyDescent="0.2">
      <c r="AG119" s="1"/>
      <c r="AH119" s="7"/>
    </row>
    <row r="120" spans="33:34" ht="14" x14ac:dyDescent="0.2">
      <c r="AG120" s="1"/>
      <c r="AH120" s="7"/>
    </row>
    <row r="121" spans="33:34" ht="14" x14ac:dyDescent="0.2">
      <c r="AG121" s="1"/>
      <c r="AH121" s="7"/>
    </row>
    <row r="122" spans="33:34" ht="14" x14ac:dyDescent="0.2">
      <c r="AG122" s="1"/>
      <c r="AH122" s="7"/>
    </row>
    <row r="123" spans="33:34" ht="14" x14ac:dyDescent="0.2">
      <c r="AG123" s="1"/>
      <c r="AH123" s="7"/>
    </row>
    <row r="124" spans="33:34" ht="14" x14ac:dyDescent="0.2">
      <c r="AG124" s="1"/>
      <c r="AH124" s="7"/>
    </row>
    <row r="125" spans="33:34" ht="14" x14ac:dyDescent="0.2">
      <c r="AG125" s="1"/>
      <c r="AH125" s="7"/>
    </row>
    <row r="126" spans="33:34" ht="14" x14ac:dyDescent="0.2">
      <c r="AG126" s="1"/>
      <c r="AH126" s="7"/>
    </row>
    <row r="127" spans="33:34" ht="14" x14ac:dyDescent="0.2">
      <c r="AG127" s="1"/>
      <c r="AH127" s="7"/>
    </row>
    <row r="128" spans="33:34" ht="14" x14ac:dyDescent="0.2">
      <c r="AG128" s="1"/>
      <c r="AH128" s="7"/>
    </row>
    <row r="129" spans="33:34" ht="14" x14ac:dyDescent="0.2">
      <c r="AG129" s="1"/>
      <c r="AH129" s="7"/>
    </row>
    <row r="130" spans="33:34" ht="14" x14ac:dyDescent="0.2">
      <c r="AG130" s="1"/>
      <c r="AH130" s="7"/>
    </row>
    <row r="131" spans="33:34" ht="14" x14ac:dyDescent="0.2">
      <c r="AG131" s="1"/>
      <c r="AH131" s="7"/>
    </row>
    <row r="132" spans="33:34" ht="14" x14ac:dyDescent="0.2">
      <c r="AG132" s="1"/>
      <c r="AH132" s="7"/>
    </row>
    <row r="133" spans="33:34" ht="14" x14ac:dyDescent="0.2">
      <c r="AG133" s="1"/>
      <c r="AH133" s="7"/>
    </row>
    <row r="134" spans="33:34" ht="14" x14ac:dyDescent="0.2">
      <c r="AG134" s="1"/>
      <c r="AH134" s="7"/>
    </row>
    <row r="135" spans="33:34" ht="14" x14ac:dyDescent="0.2">
      <c r="AG135" s="1"/>
      <c r="AH135" s="7"/>
    </row>
    <row r="136" spans="33:34" ht="14" x14ac:dyDescent="0.2">
      <c r="AG136" s="1"/>
      <c r="AH136" s="7"/>
    </row>
    <row r="137" spans="33:34" ht="14" x14ac:dyDescent="0.2">
      <c r="AG137" s="1"/>
      <c r="AH137" s="7"/>
    </row>
    <row r="138" spans="33:34" ht="14" x14ac:dyDescent="0.2">
      <c r="AG138" s="1"/>
      <c r="AH138" s="7"/>
    </row>
    <row r="139" spans="33:34" ht="14" x14ac:dyDescent="0.2">
      <c r="AG139" s="1"/>
      <c r="AH139" s="7"/>
    </row>
    <row r="140" spans="33:34" ht="14" x14ac:dyDescent="0.2">
      <c r="AG140" s="1"/>
      <c r="AH140" s="7"/>
    </row>
    <row r="141" spans="33:34" ht="14" x14ac:dyDescent="0.2">
      <c r="AG141" s="1"/>
      <c r="AH141" s="7"/>
    </row>
    <row r="142" spans="33:34" ht="14" x14ac:dyDescent="0.2">
      <c r="AG142" s="1"/>
      <c r="AH142" s="7"/>
    </row>
    <row r="143" spans="33:34" ht="14" x14ac:dyDescent="0.2">
      <c r="AG143" s="1"/>
      <c r="AH143" s="7"/>
    </row>
    <row r="144" spans="33:34" ht="14" x14ac:dyDescent="0.2">
      <c r="AG144" s="1"/>
      <c r="AH144" s="7"/>
    </row>
    <row r="145" spans="33:34" ht="14" x14ac:dyDescent="0.2">
      <c r="AG145" s="1"/>
      <c r="AH145" s="7"/>
    </row>
    <row r="146" spans="33:34" ht="14" x14ac:dyDescent="0.2">
      <c r="AG146" s="1"/>
      <c r="AH146" s="7"/>
    </row>
    <row r="147" spans="33:34" ht="14" x14ac:dyDescent="0.2">
      <c r="AG147" s="1"/>
      <c r="AH147" s="7"/>
    </row>
    <row r="148" spans="33:34" ht="14" x14ac:dyDescent="0.2">
      <c r="AG148" s="1"/>
      <c r="AH148" s="7"/>
    </row>
    <row r="149" spans="33:34" ht="14" x14ac:dyDescent="0.2">
      <c r="AG149" s="1"/>
      <c r="AH149" s="7"/>
    </row>
    <row r="150" spans="33:34" ht="14" x14ac:dyDescent="0.2">
      <c r="AG150" s="1"/>
      <c r="AH150" s="7"/>
    </row>
    <row r="151" spans="33:34" ht="14" x14ac:dyDescent="0.2">
      <c r="AG151" s="1"/>
      <c r="AH151" s="7"/>
    </row>
    <row r="152" spans="33:34" ht="14" x14ac:dyDescent="0.2">
      <c r="AG152" s="1"/>
      <c r="AH152" s="7"/>
    </row>
    <row r="153" spans="33:34" ht="14" x14ac:dyDescent="0.2">
      <c r="AG153" s="1"/>
      <c r="AH153" s="7"/>
    </row>
    <row r="154" spans="33:34" ht="14" x14ac:dyDescent="0.2">
      <c r="AG154" s="1"/>
      <c r="AH154" s="7"/>
    </row>
    <row r="155" spans="33:34" ht="14" x14ac:dyDescent="0.2">
      <c r="AG155" s="1"/>
      <c r="AH155" s="7"/>
    </row>
    <row r="156" spans="33:34" ht="14" x14ac:dyDescent="0.2">
      <c r="AG156" s="1"/>
      <c r="AH156" s="7"/>
    </row>
    <row r="157" spans="33:34" ht="14" x14ac:dyDescent="0.2">
      <c r="AG157" s="1"/>
      <c r="AH157" s="7"/>
    </row>
    <row r="158" spans="33:34" ht="14" x14ac:dyDescent="0.2">
      <c r="AG158" s="1"/>
      <c r="AH158" s="7"/>
    </row>
    <row r="159" spans="33:34" ht="14" x14ac:dyDescent="0.2">
      <c r="AG159" s="1"/>
      <c r="AH159" s="7"/>
    </row>
    <row r="160" spans="33:34" ht="14" x14ac:dyDescent="0.2">
      <c r="AG160" s="1"/>
      <c r="AH160" s="7"/>
    </row>
    <row r="161" spans="33:34" ht="14" x14ac:dyDescent="0.2">
      <c r="AG161" s="1"/>
      <c r="AH161" s="7"/>
    </row>
    <row r="162" spans="33:34" ht="14" x14ac:dyDescent="0.2">
      <c r="AG162" s="1"/>
      <c r="AH162" s="7"/>
    </row>
    <row r="163" spans="33:34" ht="14" x14ac:dyDescent="0.2">
      <c r="AG163" s="1"/>
      <c r="AH163" s="7"/>
    </row>
    <row r="164" spans="33:34" ht="14" x14ac:dyDescent="0.2">
      <c r="AG164" s="1"/>
      <c r="AH164" s="7"/>
    </row>
    <row r="165" spans="33:34" ht="14" x14ac:dyDescent="0.2">
      <c r="AG165" s="1"/>
      <c r="AH165" s="7"/>
    </row>
    <row r="166" spans="33:34" ht="14" x14ac:dyDescent="0.2">
      <c r="AG166" s="1"/>
      <c r="AH166" s="7"/>
    </row>
    <row r="167" spans="33:34" ht="14" x14ac:dyDescent="0.2">
      <c r="AG167" s="1"/>
      <c r="AH167" s="7"/>
    </row>
    <row r="168" spans="33:34" ht="14" x14ac:dyDescent="0.2">
      <c r="AG168" s="1"/>
      <c r="AH168" s="7"/>
    </row>
    <row r="169" spans="33:34" ht="14" x14ac:dyDescent="0.2">
      <c r="AG169" s="1"/>
      <c r="AH169" s="7"/>
    </row>
    <row r="170" spans="33:34" ht="14" x14ac:dyDescent="0.2">
      <c r="AG170" s="1"/>
      <c r="AH170" s="7"/>
    </row>
    <row r="171" spans="33:34" ht="14" x14ac:dyDescent="0.2">
      <c r="AG171" s="1"/>
      <c r="AH171" s="7"/>
    </row>
    <row r="172" spans="33:34" ht="14" x14ac:dyDescent="0.2">
      <c r="AG172" s="1"/>
      <c r="AH172" s="7"/>
    </row>
    <row r="173" spans="33:34" ht="14" x14ac:dyDescent="0.2">
      <c r="AG173" s="1"/>
      <c r="AH173" s="7"/>
    </row>
    <row r="174" spans="33:34" ht="14" x14ac:dyDescent="0.2">
      <c r="AG174" s="1"/>
      <c r="AH174" s="7"/>
    </row>
    <row r="175" spans="33:34" ht="14" x14ac:dyDescent="0.2">
      <c r="AG175" s="1"/>
      <c r="AH175" s="7"/>
    </row>
    <row r="176" spans="33:34" ht="14" x14ac:dyDescent="0.2">
      <c r="AG176" s="1"/>
      <c r="AH176" s="7"/>
    </row>
    <row r="177" spans="33:34" ht="14" x14ac:dyDescent="0.2">
      <c r="AG177" s="1"/>
      <c r="AH177" s="7"/>
    </row>
    <row r="178" spans="33:34" ht="14" x14ac:dyDescent="0.2">
      <c r="AG178" s="1"/>
      <c r="AH178" s="7"/>
    </row>
    <row r="179" spans="33:34" ht="14" x14ac:dyDescent="0.2">
      <c r="AG179" s="1"/>
      <c r="AH179" s="7"/>
    </row>
    <row r="180" spans="33:34" ht="14" x14ac:dyDescent="0.2">
      <c r="AG180" s="1"/>
      <c r="AH180" s="7"/>
    </row>
    <row r="181" spans="33:34" ht="14" x14ac:dyDescent="0.2">
      <c r="AG181" s="1"/>
      <c r="AH181" s="7"/>
    </row>
    <row r="182" spans="33:34" ht="14" x14ac:dyDescent="0.2">
      <c r="AG182" s="1"/>
      <c r="AH182" s="7"/>
    </row>
    <row r="183" spans="33:34" ht="14" x14ac:dyDescent="0.2">
      <c r="AG183" s="1"/>
      <c r="AH183" s="7"/>
    </row>
    <row r="184" spans="33:34" ht="14" x14ac:dyDescent="0.2">
      <c r="AG184" s="1"/>
      <c r="AH184" s="7"/>
    </row>
    <row r="185" spans="33:34" ht="14" x14ac:dyDescent="0.2">
      <c r="AG185" s="1"/>
      <c r="AH185" s="7"/>
    </row>
    <row r="186" spans="33:34" ht="14" x14ac:dyDescent="0.2">
      <c r="AG186" s="1"/>
      <c r="AH186" s="7"/>
    </row>
    <row r="187" spans="33:34" ht="14" x14ac:dyDescent="0.2">
      <c r="AG187" s="1"/>
      <c r="AH187" s="7"/>
    </row>
    <row r="188" spans="33:34" ht="14" x14ac:dyDescent="0.2">
      <c r="AG188" s="1"/>
      <c r="AH188" s="7"/>
    </row>
    <row r="189" spans="33:34" ht="14" x14ac:dyDescent="0.2">
      <c r="AG189" s="1"/>
      <c r="AH189" s="7"/>
    </row>
    <row r="190" spans="33:34" ht="14" x14ac:dyDescent="0.2">
      <c r="AG190" s="1"/>
      <c r="AH190" s="7"/>
    </row>
    <row r="191" spans="33:34" ht="14" x14ac:dyDescent="0.2">
      <c r="AG191" s="1"/>
      <c r="AH191" s="7"/>
    </row>
    <row r="192" spans="33:34" ht="14" x14ac:dyDescent="0.2">
      <c r="AG192" s="1"/>
      <c r="AH192" s="7"/>
    </row>
    <row r="193" spans="33:34" ht="14" x14ac:dyDescent="0.2">
      <c r="AG193" s="1"/>
      <c r="AH193" s="7"/>
    </row>
    <row r="194" spans="33:34" ht="14" x14ac:dyDescent="0.2">
      <c r="AG194" s="1"/>
      <c r="AH194" s="7"/>
    </row>
    <row r="195" spans="33:34" ht="14" x14ac:dyDescent="0.2">
      <c r="AG195" s="1"/>
      <c r="AH195" s="7"/>
    </row>
    <row r="196" spans="33:34" ht="14" x14ac:dyDescent="0.2">
      <c r="AG196" s="1"/>
      <c r="AH196" s="7"/>
    </row>
    <row r="197" spans="33:34" ht="14" x14ac:dyDescent="0.2">
      <c r="AG197" s="1"/>
      <c r="AH197" s="7"/>
    </row>
    <row r="198" spans="33:34" ht="14" x14ac:dyDescent="0.2">
      <c r="AG198" s="1"/>
      <c r="AH198" s="7"/>
    </row>
    <row r="199" spans="33:34" ht="14" x14ac:dyDescent="0.2">
      <c r="AG199" s="1"/>
      <c r="AH199" s="7"/>
    </row>
    <row r="200" spans="33:34" ht="14" x14ac:dyDescent="0.2">
      <c r="AG200" s="1"/>
      <c r="AH200" s="7"/>
    </row>
    <row r="201" spans="33:34" ht="14" x14ac:dyDescent="0.2">
      <c r="AG201" s="1"/>
      <c r="AH201" s="7"/>
    </row>
    <row r="202" spans="33:34" ht="14" x14ac:dyDescent="0.2">
      <c r="AG202" s="1"/>
      <c r="AH202" s="7"/>
    </row>
    <row r="203" spans="33:34" ht="14" x14ac:dyDescent="0.2">
      <c r="AG203" s="1"/>
      <c r="AH203" s="7"/>
    </row>
    <row r="204" spans="33:34" ht="14" x14ac:dyDescent="0.2">
      <c r="AG204" s="1"/>
      <c r="AH204" s="7"/>
    </row>
    <row r="205" spans="33:34" ht="14" x14ac:dyDescent="0.2">
      <c r="AG205" s="1"/>
      <c r="AH205" s="7"/>
    </row>
    <row r="206" spans="33:34" ht="14" x14ac:dyDescent="0.2">
      <c r="AG206" s="1"/>
      <c r="AH206" s="7"/>
    </row>
    <row r="207" spans="33:34" ht="14" x14ac:dyDescent="0.2">
      <c r="AG207" s="1"/>
      <c r="AH207" s="7"/>
    </row>
    <row r="208" spans="33:34" ht="14" x14ac:dyDescent="0.2">
      <c r="AG208" s="1"/>
      <c r="AH208" s="7"/>
    </row>
    <row r="209" spans="33:34" ht="14" x14ac:dyDescent="0.2">
      <c r="AG209" s="1"/>
      <c r="AH209" s="7"/>
    </row>
    <row r="210" spans="33:34" ht="14" x14ac:dyDescent="0.2">
      <c r="AG210" s="1"/>
      <c r="AH210" s="7"/>
    </row>
    <row r="211" spans="33:34" ht="14" x14ac:dyDescent="0.2">
      <c r="AG211" s="1"/>
      <c r="AH211" s="7"/>
    </row>
    <row r="212" spans="33:34" ht="14" x14ac:dyDescent="0.2">
      <c r="AG212" s="1"/>
      <c r="AH212" s="7"/>
    </row>
    <row r="213" spans="33:34" ht="14" x14ac:dyDescent="0.2">
      <c r="AG213" s="1"/>
      <c r="AH213" s="7"/>
    </row>
    <row r="214" spans="33:34" ht="14" x14ac:dyDescent="0.2">
      <c r="AG214" s="1"/>
      <c r="AH214" s="7"/>
    </row>
    <row r="215" spans="33:34" ht="14" x14ac:dyDescent="0.2">
      <c r="AG215" s="1"/>
      <c r="AH215" s="7"/>
    </row>
    <row r="216" spans="33:34" ht="14" x14ac:dyDescent="0.2">
      <c r="AG216" s="1"/>
      <c r="AH216" s="7"/>
    </row>
    <row r="217" spans="33:34" ht="14" x14ac:dyDescent="0.2">
      <c r="AG217" s="1"/>
      <c r="AH217" s="7"/>
    </row>
    <row r="218" spans="33:34" ht="14" x14ac:dyDescent="0.2">
      <c r="AG218" s="1"/>
      <c r="AH218" s="7"/>
    </row>
    <row r="219" spans="33:34" ht="14" x14ac:dyDescent="0.2">
      <c r="AG219" s="1"/>
      <c r="AH219" s="7"/>
    </row>
    <row r="220" spans="33:34" ht="14" x14ac:dyDescent="0.2">
      <c r="AG220" s="1"/>
      <c r="AH220" s="7"/>
    </row>
    <row r="221" spans="33:34" ht="14" x14ac:dyDescent="0.2">
      <c r="AG221" s="1"/>
      <c r="AH221" s="7"/>
    </row>
    <row r="222" spans="33:34" ht="14" x14ac:dyDescent="0.2">
      <c r="AG222" s="1"/>
      <c r="AH222" s="7"/>
    </row>
    <row r="223" spans="33:34" ht="14" x14ac:dyDescent="0.2">
      <c r="AG223" s="1"/>
      <c r="AH223" s="7"/>
    </row>
    <row r="224" spans="33:34" ht="14" x14ac:dyDescent="0.2">
      <c r="AG224" s="1"/>
      <c r="AH224" s="7"/>
    </row>
    <row r="225" spans="33:34" ht="14" x14ac:dyDescent="0.2">
      <c r="AG225" s="1"/>
      <c r="AH225" s="7"/>
    </row>
    <row r="226" spans="33:34" ht="14" x14ac:dyDescent="0.2">
      <c r="AG226" s="1"/>
      <c r="AH226" s="7"/>
    </row>
    <row r="227" spans="33:34" ht="14" x14ac:dyDescent="0.2">
      <c r="AG227" s="1"/>
      <c r="AH227" s="7"/>
    </row>
    <row r="228" spans="33:34" ht="14" x14ac:dyDescent="0.2">
      <c r="AG228" s="1"/>
      <c r="AH228" s="7"/>
    </row>
    <row r="229" spans="33:34" ht="14" x14ac:dyDescent="0.2">
      <c r="AG229" s="1"/>
      <c r="AH229" s="7"/>
    </row>
    <row r="230" spans="33:34" ht="14" x14ac:dyDescent="0.2">
      <c r="AG230" s="1"/>
      <c r="AH230" s="7"/>
    </row>
    <row r="231" spans="33:34" ht="14" x14ac:dyDescent="0.2">
      <c r="AG231" s="1"/>
      <c r="AH231" s="7"/>
    </row>
    <row r="232" spans="33:34" ht="14" x14ac:dyDescent="0.2">
      <c r="AG232" s="1"/>
      <c r="AH232" s="7"/>
    </row>
    <row r="233" spans="33:34" ht="14" x14ac:dyDescent="0.2">
      <c r="AG233" s="1"/>
      <c r="AH233" s="7"/>
    </row>
    <row r="234" spans="33:34" ht="14" x14ac:dyDescent="0.2">
      <c r="AG234" s="1"/>
      <c r="AH234" s="7"/>
    </row>
    <row r="235" spans="33:34" ht="14" x14ac:dyDescent="0.2">
      <c r="AG235" s="1"/>
      <c r="AH235" s="7"/>
    </row>
    <row r="236" spans="33:34" ht="14" x14ac:dyDescent="0.2">
      <c r="AG236" s="1"/>
      <c r="AH236" s="7"/>
    </row>
    <row r="237" spans="33:34" ht="14" x14ac:dyDescent="0.2">
      <c r="AG237" s="1"/>
      <c r="AH237" s="7"/>
    </row>
    <row r="238" spans="33:34" ht="14" x14ac:dyDescent="0.2">
      <c r="AG238" s="1"/>
      <c r="AH238" s="7"/>
    </row>
    <row r="239" spans="33:34" ht="14" x14ac:dyDescent="0.2">
      <c r="AG239" s="1"/>
      <c r="AH239" s="7"/>
    </row>
    <row r="240" spans="33:34" ht="14" x14ac:dyDescent="0.2">
      <c r="AG240" s="1"/>
      <c r="AH240" s="7"/>
    </row>
    <row r="241" spans="33:34" ht="14" x14ac:dyDescent="0.2">
      <c r="AG241" s="1"/>
      <c r="AH241" s="7"/>
    </row>
    <row r="242" spans="33:34" ht="14" x14ac:dyDescent="0.2">
      <c r="AG242" s="1"/>
      <c r="AH242" s="7"/>
    </row>
    <row r="243" spans="33:34" ht="14" x14ac:dyDescent="0.2">
      <c r="AG243" s="1"/>
      <c r="AH243" s="7"/>
    </row>
    <row r="244" spans="33:34" ht="14" x14ac:dyDescent="0.2">
      <c r="AG244" s="1"/>
      <c r="AH244" s="7"/>
    </row>
    <row r="245" spans="33:34" ht="14" x14ac:dyDescent="0.2">
      <c r="AG245" s="1"/>
      <c r="AH245" s="7"/>
    </row>
    <row r="246" spans="33:34" ht="14" x14ac:dyDescent="0.2">
      <c r="AG246" s="1"/>
      <c r="AH246" s="7"/>
    </row>
    <row r="247" spans="33:34" ht="14" x14ac:dyDescent="0.2">
      <c r="AG247" s="1"/>
      <c r="AH247" s="7"/>
    </row>
    <row r="248" spans="33:34" ht="14" x14ac:dyDescent="0.2">
      <c r="AG248" s="1"/>
      <c r="AH248" s="7"/>
    </row>
    <row r="249" spans="33:34" ht="14" x14ac:dyDescent="0.2">
      <c r="AG249" s="1"/>
      <c r="AH249" s="7"/>
    </row>
    <row r="250" spans="33:34" ht="14" x14ac:dyDescent="0.2">
      <c r="AG250" s="1"/>
      <c r="AH250" s="7"/>
    </row>
    <row r="251" spans="33:34" ht="14" x14ac:dyDescent="0.2">
      <c r="AG251" s="1"/>
      <c r="AH251" s="7"/>
    </row>
    <row r="252" spans="33:34" ht="14" x14ac:dyDescent="0.2">
      <c r="AG252" s="1"/>
      <c r="AH252" s="7"/>
    </row>
    <row r="253" spans="33:34" ht="14" x14ac:dyDescent="0.2">
      <c r="AG253" s="1"/>
      <c r="AH253" s="7"/>
    </row>
    <row r="254" spans="33:34" ht="14" x14ac:dyDescent="0.2">
      <c r="AG254" s="1"/>
      <c r="AH254" s="7"/>
    </row>
    <row r="255" spans="33:34" ht="14" x14ac:dyDescent="0.2">
      <c r="AG255" s="1"/>
      <c r="AH255" s="7"/>
    </row>
    <row r="256" spans="33:34" ht="14" x14ac:dyDescent="0.2">
      <c r="AG256" s="1"/>
      <c r="AH256" s="7"/>
    </row>
    <row r="257" spans="33:34" ht="14" x14ac:dyDescent="0.2">
      <c r="AG257" s="1"/>
      <c r="AH257" s="7"/>
    </row>
    <row r="258" spans="33:34" ht="14" x14ac:dyDescent="0.2">
      <c r="AG258" s="1"/>
      <c r="AH258" s="7"/>
    </row>
    <row r="259" spans="33:34" ht="14" x14ac:dyDescent="0.2">
      <c r="AG259" s="1"/>
      <c r="AH259" s="7"/>
    </row>
    <row r="260" spans="33:34" ht="14" x14ac:dyDescent="0.2">
      <c r="AG260" s="1"/>
      <c r="AH260" s="7"/>
    </row>
    <row r="261" spans="33:34" ht="14" x14ac:dyDescent="0.2">
      <c r="AG261" s="1"/>
      <c r="AH261" s="7"/>
    </row>
    <row r="262" spans="33:34" ht="14" x14ac:dyDescent="0.2">
      <c r="AG262" s="1"/>
      <c r="AH262" s="7"/>
    </row>
    <row r="263" spans="33:34" ht="14" x14ac:dyDescent="0.2">
      <c r="AG263" s="1"/>
      <c r="AH263" s="7"/>
    </row>
    <row r="264" spans="33:34" ht="14" x14ac:dyDescent="0.2">
      <c r="AG264" s="1"/>
      <c r="AH264" s="7"/>
    </row>
    <row r="265" spans="33:34" ht="14" x14ac:dyDescent="0.2">
      <c r="AG265" s="1"/>
      <c r="AH265" s="7"/>
    </row>
    <row r="266" spans="33:34" ht="14" x14ac:dyDescent="0.2">
      <c r="AG266" s="1"/>
      <c r="AH266" s="7"/>
    </row>
    <row r="267" spans="33:34" ht="14" x14ac:dyDescent="0.2">
      <c r="AG267" s="1"/>
      <c r="AH267" s="7"/>
    </row>
    <row r="268" spans="33:34" ht="14" x14ac:dyDescent="0.2">
      <c r="AG268" s="1"/>
      <c r="AH268" s="7"/>
    </row>
    <row r="269" spans="33:34" ht="14" x14ac:dyDescent="0.2">
      <c r="AG269" s="1"/>
      <c r="AH269" s="7"/>
    </row>
    <row r="270" spans="33:34" ht="14" x14ac:dyDescent="0.2">
      <c r="AG270" s="1"/>
      <c r="AH270" s="7"/>
    </row>
    <row r="271" spans="33:34" ht="14" x14ac:dyDescent="0.2">
      <c r="AG271" s="1"/>
      <c r="AH271" s="7"/>
    </row>
    <row r="272" spans="33:34" ht="14" x14ac:dyDescent="0.2">
      <c r="AG272" s="1"/>
      <c r="AH272" s="7"/>
    </row>
    <row r="273" spans="33:34" ht="14" x14ac:dyDescent="0.2">
      <c r="AG273" s="1"/>
      <c r="AH273" s="7"/>
    </row>
    <row r="274" spans="33:34" ht="14" x14ac:dyDescent="0.2">
      <c r="AG274" s="1"/>
      <c r="AH274" s="7"/>
    </row>
    <row r="275" spans="33:34" ht="14" x14ac:dyDescent="0.2">
      <c r="AG275" s="1"/>
      <c r="AH275" s="7"/>
    </row>
    <row r="276" spans="33:34" ht="14" x14ac:dyDescent="0.2">
      <c r="AG276" s="1"/>
      <c r="AH276" s="7"/>
    </row>
    <row r="277" spans="33:34" ht="14" x14ac:dyDescent="0.2">
      <c r="AG277" s="1"/>
      <c r="AH277" s="7"/>
    </row>
    <row r="278" spans="33:34" ht="14" x14ac:dyDescent="0.2">
      <c r="AG278" s="1"/>
      <c r="AH278" s="7"/>
    </row>
    <row r="279" spans="33:34" ht="14" x14ac:dyDescent="0.2">
      <c r="AG279" s="1"/>
      <c r="AH279" s="7"/>
    </row>
    <row r="280" spans="33:34" ht="14" x14ac:dyDescent="0.2">
      <c r="AG280" s="1"/>
      <c r="AH280" s="7"/>
    </row>
    <row r="281" spans="33:34" ht="14" x14ac:dyDescent="0.2">
      <c r="AG281" s="1"/>
      <c r="AH281" s="7"/>
    </row>
    <row r="282" spans="33:34" ht="14" x14ac:dyDescent="0.2">
      <c r="AG282" s="1"/>
      <c r="AH282" s="7"/>
    </row>
    <row r="283" spans="33:34" ht="14" x14ac:dyDescent="0.2">
      <c r="AG283" s="1"/>
      <c r="AH283" s="7"/>
    </row>
    <row r="284" spans="33:34" ht="14" x14ac:dyDescent="0.2">
      <c r="AG284" s="1"/>
      <c r="AH284" s="7"/>
    </row>
    <row r="285" spans="33:34" ht="14" x14ac:dyDescent="0.2">
      <c r="AG285" s="1"/>
      <c r="AH285" s="7"/>
    </row>
    <row r="286" spans="33:34" ht="14" x14ac:dyDescent="0.2">
      <c r="AG286" s="1"/>
      <c r="AH286" s="7"/>
    </row>
    <row r="287" spans="33:34" ht="14" x14ac:dyDescent="0.2">
      <c r="AG287" s="1"/>
      <c r="AH287" s="7"/>
    </row>
    <row r="288" spans="33:34" ht="14" x14ac:dyDescent="0.2">
      <c r="AG288" s="1"/>
      <c r="AH288" s="7"/>
    </row>
    <row r="289" spans="33:34" ht="14" x14ac:dyDescent="0.2">
      <c r="AG289" s="1"/>
      <c r="AH289" s="7"/>
    </row>
    <row r="290" spans="33:34" ht="14" x14ac:dyDescent="0.2">
      <c r="AG290" s="1"/>
      <c r="AH290" s="7"/>
    </row>
    <row r="291" spans="33:34" ht="14" x14ac:dyDescent="0.2">
      <c r="AG291" s="1"/>
      <c r="AH291" s="7"/>
    </row>
    <row r="292" spans="33:34" ht="14" x14ac:dyDescent="0.2">
      <c r="AG292" s="1"/>
      <c r="AH292" s="7"/>
    </row>
    <row r="293" spans="33:34" ht="14" x14ac:dyDescent="0.2">
      <c r="AG293" s="1"/>
      <c r="AH293" s="7"/>
    </row>
    <row r="294" spans="33:34" ht="14" x14ac:dyDescent="0.2">
      <c r="AG294" s="1"/>
      <c r="AH294" s="7"/>
    </row>
    <row r="295" spans="33:34" ht="14" x14ac:dyDescent="0.2">
      <c r="AG295" s="1"/>
      <c r="AH295" s="7"/>
    </row>
    <row r="296" spans="33:34" ht="14" x14ac:dyDescent="0.2">
      <c r="AG296" s="1"/>
      <c r="AH296" s="7"/>
    </row>
    <row r="297" spans="33:34" ht="14" x14ac:dyDescent="0.2">
      <c r="AG297" s="1"/>
      <c r="AH297" s="7"/>
    </row>
    <row r="298" spans="33:34" ht="14" x14ac:dyDescent="0.2">
      <c r="AG298" s="1"/>
      <c r="AH298" s="7"/>
    </row>
    <row r="299" spans="33:34" ht="14" x14ac:dyDescent="0.2">
      <c r="AG299" s="1"/>
      <c r="AH299" s="7"/>
    </row>
    <row r="300" spans="33:34" ht="14" x14ac:dyDescent="0.2">
      <c r="AG300" s="1"/>
      <c r="AH300" s="7"/>
    </row>
    <row r="301" spans="33:34" ht="14" x14ac:dyDescent="0.2">
      <c r="AG301" s="1"/>
      <c r="AH301" s="7"/>
    </row>
    <row r="302" spans="33:34" ht="14" x14ac:dyDescent="0.2">
      <c r="AG302" s="1"/>
      <c r="AH302" s="7"/>
    </row>
    <row r="303" spans="33:34" ht="14" x14ac:dyDescent="0.2">
      <c r="AG303" s="1"/>
      <c r="AH303" s="7"/>
    </row>
    <row r="304" spans="33:34" ht="14" x14ac:dyDescent="0.2">
      <c r="AG304" s="1"/>
      <c r="AH304" s="7"/>
    </row>
    <row r="305" spans="33:34" ht="14" x14ac:dyDescent="0.2">
      <c r="AG305" s="1"/>
      <c r="AH305" s="7"/>
    </row>
    <row r="306" spans="33:34" ht="14" x14ac:dyDescent="0.2">
      <c r="AG306" s="1"/>
      <c r="AH306" s="7"/>
    </row>
    <row r="307" spans="33:34" ht="14" x14ac:dyDescent="0.2">
      <c r="AG307" s="1"/>
      <c r="AH307" s="7"/>
    </row>
    <row r="308" spans="33:34" ht="14" x14ac:dyDescent="0.2">
      <c r="AG308" s="1"/>
      <c r="AH308" s="7"/>
    </row>
    <row r="309" spans="33:34" ht="14" x14ac:dyDescent="0.2">
      <c r="AG309" s="1"/>
      <c r="AH309" s="7"/>
    </row>
    <row r="310" spans="33:34" ht="14" x14ac:dyDescent="0.2">
      <c r="AG310" s="1"/>
      <c r="AH310" s="7"/>
    </row>
    <row r="311" spans="33:34" ht="14" x14ac:dyDescent="0.2">
      <c r="AG311" s="1"/>
      <c r="AH311" s="7"/>
    </row>
    <row r="312" spans="33:34" ht="14" x14ac:dyDescent="0.2">
      <c r="AG312" s="1"/>
      <c r="AH312" s="7"/>
    </row>
    <row r="313" spans="33:34" ht="14" x14ac:dyDescent="0.2">
      <c r="AG313" s="1"/>
      <c r="AH313" s="7"/>
    </row>
    <row r="314" spans="33:34" ht="14" x14ac:dyDescent="0.2">
      <c r="AG314" s="1"/>
      <c r="AH314" s="7"/>
    </row>
    <row r="315" spans="33:34" ht="14" x14ac:dyDescent="0.2">
      <c r="AG315" s="1"/>
      <c r="AH315" s="7"/>
    </row>
    <row r="316" spans="33:34" ht="14" x14ac:dyDescent="0.2">
      <c r="AG316" s="1"/>
      <c r="AH316" s="7"/>
    </row>
    <row r="317" spans="33:34" ht="14" x14ac:dyDescent="0.2">
      <c r="AG317" s="1"/>
      <c r="AH317" s="7"/>
    </row>
    <row r="318" spans="33:34" ht="14" x14ac:dyDescent="0.2">
      <c r="AG318" s="1"/>
      <c r="AH318" s="7"/>
    </row>
    <row r="319" spans="33:34" ht="14" x14ac:dyDescent="0.2">
      <c r="AG319" s="1"/>
      <c r="AH319" s="7"/>
    </row>
    <row r="320" spans="33:34" ht="14" x14ac:dyDescent="0.2">
      <c r="AG320" s="1"/>
      <c r="AH320" s="7"/>
    </row>
    <row r="321" spans="33:34" ht="14" x14ac:dyDescent="0.2">
      <c r="AG321" s="1"/>
      <c r="AH321" s="7"/>
    </row>
    <row r="322" spans="33:34" ht="14" x14ac:dyDescent="0.2">
      <c r="AG322" s="1"/>
      <c r="AH322" s="7"/>
    </row>
    <row r="323" spans="33:34" ht="14" x14ac:dyDescent="0.2">
      <c r="AG323" s="1"/>
      <c r="AH323" s="7"/>
    </row>
    <row r="324" spans="33:34" ht="14" x14ac:dyDescent="0.2">
      <c r="AG324" s="1"/>
      <c r="AH324" s="7"/>
    </row>
    <row r="325" spans="33:34" ht="14" x14ac:dyDescent="0.2">
      <c r="AG325" s="1"/>
      <c r="AH325" s="7"/>
    </row>
    <row r="326" spans="33:34" ht="14" x14ac:dyDescent="0.2">
      <c r="AG326" s="1"/>
      <c r="AH326" s="7"/>
    </row>
    <row r="327" spans="33:34" ht="14" x14ac:dyDescent="0.2">
      <c r="AG327" s="1"/>
      <c r="AH327" s="7"/>
    </row>
    <row r="328" spans="33:34" ht="14" x14ac:dyDescent="0.2">
      <c r="AG328" s="1"/>
      <c r="AH328" s="7"/>
    </row>
    <row r="329" spans="33:34" ht="14" x14ac:dyDescent="0.2">
      <c r="AG329" s="1"/>
      <c r="AH329" s="7"/>
    </row>
    <row r="330" spans="33:34" ht="14" x14ac:dyDescent="0.2">
      <c r="AG330" s="1"/>
      <c r="AH330" s="7"/>
    </row>
    <row r="331" spans="33:34" ht="14" x14ac:dyDescent="0.2">
      <c r="AG331" s="1"/>
      <c r="AH331" s="7"/>
    </row>
    <row r="332" spans="33:34" ht="14" x14ac:dyDescent="0.2">
      <c r="AG332" s="1"/>
      <c r="AH332" s="7"/>
    </row>
    <row r="333" spans="33:34" ht="14" x14ac:dyDescent="0.2">
      <c r="AG333" s="1"/>
      <c r="AH333" s="7"/>
    </row>
    <row r="334" spans="33:34" ht="14" x14ac:dyDescent="0.2">
      <c r="AG334" s="1"/>
      <c r="AH334" s="7"/>
    </row>
    <row r="335" spans="33:34" ht="14" x14ac:dyDescent="0.2">
      <c r="AG335" s="1"/>
      <c r="AH335" s="7"/>
    </row>
    <row r="336" spans="33:34" ht="14" x14ac:dyDescent="0.2">
      <c r="AG336" s="1"/>
      <c r="AH336" s="7"/>
    </row>
    <row r="337" spans="33:34" ht="14" x14ac:dyDescent="0.2">
      <c r="AG337" s="1"/>
      <c r="AH337" s="7"/>
    </row>
    <row r="338" spans="33:34" ht="14" x14ac:dyDescent="0.2">
      <c r="AG338" s="1"/>
      <c r="AH338" s="7"/>
    </row>
    <row r="339" spans="33:34" ht="14" x14ac:dyDescent="0.2">
      <c r="AG339" s="1"/>
      <c r="AH339" s="7"/>
    </row>
    <row r="340" spans="33:34" ht="14" x14ac:dyDescent="0.2">
      <c r="AG340" s="1"/>
      <c r="AH340" s="7"/>
    </row>
    <row r="341" spans="33:34" ht="14" x14ac:dyDescent="0.2">
      <c r="AG341" s="1"/>
      <c r="AH341" s="7"/>
    </row>
    <row r="342" spans="33:34" ht="14" x14ac:dyDescent="0.2">
      <c r="AG342" s="1"/>
      <c r="AH342" s="7"/>
    </row>
    <row r="343" spans="33:34" ht="14" x14ac:dyDescent="0.2">
      <c r="AG343" s="1"/>
      <c r="AH343" s="7"/>
    </row>
    <row r="344" spans="33:34" ht="14" x14ac:dyDescent="0.2">
      <c r="AG344" s="1"/>
      <c r="AH344" s="7"/>
    </row>
    <row r="345" spans="33:34" ht="14" x14ac:dyDescent="0.2">
      <c r="AG345" s="1"/>
      <c r="AH345" s="7"/>
    </row>
    <row r="346" spans="33:34" ht="14" x14ac:dyDescent="0.2">
      <c r="AG346" s="1"/>
      <c r="AH346" s="7"/>
    </row>
    <row r="347" spans="33:34" ht="14" x14ac:dyDescent="0.2">
      <c r="AG347" s="1"/>
      <c r="AH347" s="7"/>
    </row>
    <row r="348" spans="33:34" ht="14" x14ac:dyDescent="0.2">
      <c r="AG348" s="1"/>
      <c r="AH348" s="7"/>
    </row>
    <row r="349" spans="33:34" ht="14" x14ac:dyDescent="0.2">
      <c r="AG349" s="1"/>
      <c r="AH349" s="7"/>
    </row>
    <row r="350" spans="33:34" ht="14" x14ac:dyDescent="0.2">
      <c r="AG350" s="1"/>
      <c r="AH350" s="7"/>
    </row>
    <row r="351" spans="33:34" ht="14" x14ac:dyDescent="0.2">
      <c r="AG351" s="1"/>
      <c r="AH351" s="7"/>
    </row>
    <row r="352" spans="33:34" ht="14" x14ac:dyDescent="0.2">
      <c r="AG352" s="1"/>
      <c r="AH352" s="7"/>
    </row>
    <row r="353" spans="33:34" ht="14" x14ac:dyDescent="0.2">
      <c r="AG353" s="1"/>
      <c r="AH353" s="7"/>
    </row>
    <row r="354" spans="33:34" ht="14" x14ac:dyDescent="0.2">
      <c r="AG354" s="1"/>
      <c r="AH354" s="7"/>
    </row>
    <row r="355" spans="33:34" ht="14" x14ac:dyDescent="0.2">
      <c r="AG355" s="1"/>
      <c r="AH355" s="7"/>
    </row>
    <row r="356" spans="33:34" ht="14" x14ac:dyDescent="0.2">
      <c r="AG356" s="1"/>
      <c r="AH356" s="7"/>
    </row>
    <row r="357" spans="33:34" ht="14" x14ac:dyDescent="0.2">
      <c r="AG357" s="1"/>
      <c r="AH357" s="7"/>
    </row>
    <row r="358" spans="33:34" ht="14" x14ac:dyDescent="0.2">
      <c r="AG358" s="1"/>
      <c r="AH358" s="7"/>
    </row>
    <row r="359" spans="33:34" ht="14" x14ac:dyDescent="0.2">
      <c r="AG359" s="1"/>
      <c r="AH359" s="7"/>
    </row>
    <row r="360" spans="33:34" ht="14" x14ac:dyDescent="0.2">
      <c r="AG360" s="1"/>
      <c r="AH360" s="7"/>
    </row>
    <row r="361" spans="33:34" ht="14" x14ac:dyDescent="0.2">
      <c r="AG361" s="1"/>
      <c r="AH361" s="7"/>
    </row>
    <row r="362" spans="33:34" ht="14" x14ac:dyDescent="0.2">
      <c r="AG362" s="1"/>
      <c r="AH362" s="7"/>
    </row>
    <row r="363" spans="33:34" ht="14" x14ac:dyDescent="0.2">
      <c r="AG363" s="1"/>
      <c r="AH363" s="7"/>
    </row>
    <row r="364" spans="33:34" ht="14" x14ac:dyDescent="0.2">
      <c r="AG364" s="1"/>
      <c r="AH364" s="7"/>
    </row>
    <row r="365" spans="33:34" ht="14" x14ac:dyDescent="0.2">
      <c r="AG365" s="1"/>
      <c r="AH365" s="7"/>
    </row>
    <row r="366" spans="33:34" ht="14" x14ac:dyDescent="0.2">
      <c r="AG366" s="1"/>
      <c r="AH366" s="7"/>
    </row>
    <row r="367" spans="33:34" ht="14" x14ac:dyDescent="0.2">
      <c r="AG367" s="1"/>
      <c r="AH367" s="7"/>
    </row>
    <row r="368" spans="33:34" ht="14" x14ac:dyDescent="0.2">
      <c r="AG368" s="1"/>
      <c r="AH368" s="7"/>
    </row>
    <row r="369" spans="33:34" ht="14" x14ac:dyDescent="0.2">
      <c r="AG369" s="1"/>
      <c r="AH369" s="7"/>
    </row>
    <row r="370" spans="33:34" ht="14" x14ac:dyDescent="0.2">
      <c r="AG370" s="1"/>
      <c r="AH370" s="7"/>
    </row>
    <row r="371" spans="33:34" ht="14" x14ac:dyDescent="0.2">
      <c r="AG371" s="1"/>
      <c r="AH371" s="7"/>
    </row>
    <row r="372" spans="33:34" ht="14" x14ac:dyDescent="0.2">
      <c r="AG372" s="1"/>
      <c r="AH372" s="7"/>
    </row>
    <row r="373" spans="33:34" ht="14" x14ac:dyDescent="0.2">
      <c r="AG373" s="1"/>
      <c r="AH373" s="7"/>
    </row>
    <row r="374" spans="33:34" ht="14" x14ac:dyDescent="0.2">
      <c r="AG374" s="1"/>
      <c r="AH374" s="7"/>
    </row>
    <row r="375" spans="33:34" ht="14" x14ac:dyDescent="0.2">
      <c r="AG375" s="1"/>
      <c r="AH375" s="7"/>
    </row>
    <row r="376" spans="33:34" ht="14" x14ac:dyDescent="0.2">
      <c r="AG376" s="1"/>
      <c r="AH376" s="7"/>
    </row>
    <row r="377" spans="33:34" ht="14" x14ac:dyDescent="0.2">
      <c r="AG377" s="1"/>
      <c r="AH377" s="7"/>
    </row>
    <row r="378" spans="33:34" ht="14" x14ac:dyDescent="0.2">
      <c r="AG378" s="1"/>
      <c r="AH378" s="7"/>
    </row>
    <row r="379" spans="33:34" ht="14" x14ac:dyDescent="0.2">
      <c r="AG379" s="1"/>
      <c r="AH379" s="7"/>
    </row>
    <row r="380" spans="33:34" ht="14" x14ac:dyDescent="0.2">
      <c r="AG380" s="1"/>
      <c r="AH380" s="7"/>
    </row>
    <row r="381" spans="33:34" ht="14" x14ac:dyDescent="0.2">
      <c r="AG381" s="1"/>
      <c r="AH381" s="7"/>
    </row>
    <row r="382" spans="33:34" ht="14" x14ac:dyDescent="0.2">
      <c r="AG382" s="1"/>
      <c r="AH382" s="7"/>
    </row>
    <row r="383" spans="33:34" ht="14" x14ac:dyDescent="0.2">
      <c r="AG383" s="1"/>
      <c r="AH383" s="7"/>
    </row>
    <row r="384" spans="33:34" ht="14" x14ac:dyDescent="0.2">
      <c r="AG384" s="1"/>
      <c r="AH384" s="7"/>
    </row>
    <row r="385" spans="33:34" ht="14" x14ac:dyDescent="0.2">
      <c r="AG385" s="1"/>
      <c r="AH385" s="7"/>
    </row>
    <row r="386" spans="33:34" ht="14" x14ac:dyDescent="0.2">
      <c r="AG386" s="1"/>
      <c r="AH386" s="7"/>
    </row>
    <row r="387" spans="33:34" ht="14" x14ac:dyDescent="0.2">
      <c r="AG387" s="1"/>
      <c r="AH387" s="7"/>
    </row>
    <row r="388" spans="33:34" ht="14" x14ac:dyDescent="0.2">
      <c r="AG388" s="1"/>
      <c r="AH388" s="7"/>
    </row>
    <row r="389" spans="33:34" ht="14" x14ac:dyDescent="0.2">
      <c r="AG389" s="1"/>
      <c r="AH389" s="7"/>
    </row>
    <row r="390" spans="33:34" ht="14" x14ac:dyDescent="0.2">
      <c r="AG390" s="1"/>
      <c r="AH390" s="7"/>
    </row>
    <row r="391" spans="33:34" ht="14" x14ac:dyDescent="0.2">
      <c r="AG391" s="1"/>
      <c r="AH391" s="7"/>
    </row>
    <row r="392" spans="33:34" ht="14" x14ac:dyDescent="0.2">
      <c r="AG392" s="1"/>
      <c r="AH392" s="7"/>
    </row>
    <row r="393" spans="33:34" ht="14" x14ac:dyDescent="0.2">
      <c r="AG393" s="1"/>
      <c r="AH393" s="7"/>
    </row>
    <row r="394" spans="33:34" ht="14" x14ac:dyDescent="0.2">
      <c r="AG394" s="1"/>
      <c r="AH394" s="7"/>
    </row>
    <row r="395" spans="33:34" ht="14" x14ac:dyDescent="0.2">
      <c r="AG395" s="1"/>
      <c r="AH395" s="7"/>
    </row>
    <row r="396" spans="33:34" ht="14" x14ac:dyDescent="0.2">
      <c r="AG396" s="1"/>
      <c r="AH396" s="7"/>
    </row>
    <row r="397" spans="33:34" ht="14" x14ac:dyDescent="0.2">
      <c r="AG397" s="1"/>
      <c r="AH397" s="7"/>
    </row>
    <row r="398" spans="33:34" ht="14" x14ac:dyDescent="0.2">
      <c r="AG398" s="1"/>
      <c r="AH398" s="7"/>
    </row>
    <row r="399" spans="33:34" ht="14" x14ac:dyDescent="0.2">
      <c r="AG399" s="1"/>
      <c r="AH399" s="7"/>
    </row>
    <row r="400" spans="33:34" ht="14" x14ac:dyDescent="0.2">
      <c r="AG400" s="1"/>
      <c r="AH400" s="7"/>
    </row>
    <row r="401" spans="33:34" ht="14" x14ac:dyDescent="0.2">
      <c r="AG401" s="1"/>
      <c r="AH401" s="7"/>
    </row>
    <row r="402" spans="33:34" ht="14" x14ac:dyDescent="0.2">
      <c r="AG402" s="1"/>
      <c r="AH402" s="7"/>
    </row>
    <row r="403" spans="33:34" ht="14" x14ac:dyDescent="0.2">
      <c r="AG403" s="1"/>
      <c r="AH403" s="7"/>
    </row>
    <row r="404" spans="33:34" ht="14" x14ac:dyDescent="0.2">
      <c r="AG404" s="1"/>
      <c r="AH404" s="7"/>
    </row>
    <row r="405" spans="33:34" ht="14" x14ac:dyDescent="0.2">
      <c r="AG405" s="1"/>
      <c r="AH405" s="7"/>
    </row>
    <row r="406" spans="33:34" ht="14" x14ac:dyDescent="0.2">
      <c r="AG406" s="1"/>
      <c r="AH406" s="7"/>
    </row>
    <row r="407" spans="33:34" ht="14" x14ac:dyDescent="0.2">
      <c r="AG407" s="1"/>
      <c r="AH407" s="7"/>
    </row>
    <row r="408" spans="33:34" ht="14" x14ac:dyDescent="0.2">
      <c r="AG408" s="1"/>
      <c r="AH408" s="7"/>
    </row>
    <row r="409" spans="33:34" ht="14" x14ac:dyDescent="0.2">
      <c r="AG409" s="1"/>
      <c r="AH409" s="7"/>
    </row>
    <row r="410" spans="33:34" ht="14" x14ac:dyDescent="0.2">
      <c r="AG410" s="1"/>
      <c r="AH410" s="7"/>
    </row>
    <row r="411" spans="33:34" ht="14" x14ac:dyDescent="0.2">
      <c r="AG411" s="1"/>
      <c r="AH411" s="7"/>
    </row>
    <row r="412" spans="33:34" ht="14" x14ac:dyDescent="0.2">
      <c r="AG412" s="1"/>
      <c r="AH412" s="7"/>
    </row>
    <row r="413" spans="33:34" ht="14" x14ac:dyDescent="0.2">
      <c r="AG413" s="1"/>
      <c r="AH413" s="7"/>
    </row>
    <row r="414" spans="33:34" ht="14" x14ac:dyDescent="0.2">
      <c r="AG414" s="1"/>
      <c r="AH414" s="7"/>
    </row>
    <row r="415" spans="33:34" ht="14" x14ac:dyDescent="0.2">
      <c r="AG415" s="1"/>
      <c r="AH415" s="7"/>
    </row>
    <row r="416" spans="33:34" ht="14" x14ac:dyDescent="0.2">
      <c r="AG416" s="1"/>
      <c r="AH416" s="7"/>
    </row>
    <row r="417" spans="33:34" ht="14" x14ac:dyDescent="0.2">
      <c r="AG417" s="1"/>
      <c r="AH417" s="7"/>
    </row>
    <row r="418" spans="33:34" ht="14" x14ac:dyDescent="0.2">
      <c r="AG418" s="1"/>
      <c r="AH418" s="7"/>
    </row>
    <row r="419" spans="33:34" ht="14" x14ac:dyDescent="0.2">
      <c r="AG419" s="1"/>
      <c r="AH419" s="7"/>
    </row>
    <row r="420" spans="33:34" ht="14" x14ac:dyDescent="0.2">
      <c r="AG420" s="1"/>
      <c r="AH420" s="7"/>
    </row>
    <row r="421" spans="33:34" ht="14" x14ac:dyDescent="0.2">
      <c r="AG421" s="1"/>
      <c r="AH421" s="7"/>
    </row>
    <row r="422" spans="33:34" ht="14" x14ac:dyDescent="0.2">
      <c r="AG422" s="1"/>
      <c r="AH422" s="7"/>
    </row>
    <row r="423" spans="33:34" ht="14" x14ac:dyDescent="0.2">
      <c r="AG423" s="1"/>
      <c r="AH423" s="7"/>
    </row>
    <row r="424" spans="33:34" ht="14" x14ac:dyDescent="0.2">
      <c r="AG424" s="1"/>
      <c r="AH424" s="7"/>
    </row>
    <row r="425" spans="33:34" ht="14" x14ac:dyDescent="0.2">
      <c r="AG425" s="1"/>
      <c r="AH425" s="7"/>
    </row>
    <row r="426" spans="33:34" ht="14" x14ac:dyDescent="0.2">
      <c r="AG426" s="1"/>
      <c r="AH426" s="7"/>
    </row>
    <row r="427" spans="33:34" ht="14" x14ac:dyDescent="0.2">
      <c r="AG427" s="1"/>
      <c r="AH427" s="7"/>
    </row>
    <row r="428" spans="33:34" ht="14" x14ac:dyDescent="0.2">
      <c r="AG428" s="1"/>
      <c r="AH428" s="7"/>
    </row>
    <row r="429" spans="33:34" ht="14" x14ac:dyDescent="0.2">
      <c r="AG429" s="1"/>
      <c r="AH429" s="7"/>
    </row>
    <row r="430" spans="33:34" ht="14" x14ac:dyDescent="0.2">
      <c r="AG430" s="1"/>
      <c r="AH430" s="7"/>
    </row>
    <row r="431" spans="33:34" ht="14" x14ac:dyDescent="0.2">
      <c r="AG431" s="1"/>
      <c r="AH431" s="7"/>
    </row>
    <row r="432" spans="33:34" ht="14" x14ac:dyDescent="0.2">
      <c r="AG432" s="1"/>
      <c r="AH432" s="7"/>
    </row>
    <row r="433" spans="33:34" ht="14" x14ac:dyDescent="0.2">
      <c r="AG433" s="1"/>
      <c r="AH433" s="7"/>
    </row>
    <row r="434" spans="33:34" ht="14" x14ac:dyDescent="0.2">
      <c r="AG434" s="1"/>
      <c r="AH434" s="7"/>
    </row>
    <row r="435" spans="33:34" ht="14" x14ac:dyDescent="0.2">
      <c r="AG435" s="1"/>
      <c r="AH435" s="7"/>
    </row>
    <row r="436" spans="33:34" ht="14" x14ac:dyDescent="0.2">
      <c r="AG436" s="1"/>
      <c r="AH436" s="7"/>
    </row>
    <row r="437" spans="33:34" ht="14" x14ac:dyDescent="0.2">
      <c r="AG437" s="1"/>
      <c r="AH437" s="7"/>
    </row>
    <row r="438" spans="33:34" ht="14" x14ac:dyDescent="0.2">
      <c r="AG438" s="1"/>
      <c r="AH438" s="7"/>
    </row>
    <row r="439" spans="33:34" ht="14" x14ac:dyDescent="0.2">
      <c r="AG439" s="1"/>
      <c r="AH439" s="7"/>
    </row>
    <row r="440" spans="33:34" ht="14" x14ac:dyDescent="0.2">
      <c r="AG440" s="1"/>
      <c r="AH440" s="7"/>
    </row>
    <row r="441" spans="33:34" ht="14" x14ac:dyDescent="0.2">
      <c r="AG441" s="1"/>
      <c r="AH441" s="7"/>
    </row>
    <row r="442" spans="33:34" ht="14" x14ac:dyDescent="0.2">
      <c r="AG442" s="1"/>
      <c r="AH442" s="7"/>
    </row>
    <row r="443" spans="33:34" ht="14" x14ac:dyDescent="0.2">
      <c r="AG443" s="1"/>
      <c r="AH443" s="7"/>
    </row>
    <row r="444" spans="33:34" ht="14" x14ac:dyDescent="0.2">
      <c r="AG444" s="1"/>
      <c r="AH444" s="7"/>
    </row>
    <row r="445" spans="33:34" ht="14" x14ac:dyDescent="0.2">
      <c r="AG445" s="1"/>
      <c r="AH445" s="7"/>
    </row>
    <row r="446" spans="33:34" ht="14" x14ac:dyDescent="0.2">
      <c r="AG446" s="1"/>
      <c r="AH446" s="7"/>
    </row>
    <row r="447" spans="33:34" ht="14" x14ac:dyDescent="0.2">
      <c r="AG447" s="1"/>
      <c r="AH447" s="7"/>
    </row>
    <row r="448" spans="33:34" ht="14" x14ac:dyDescent="0.2">
      <c r="AG448" s="1"/>
      <c r="AH448" s="7"/>
    </row>
    <row r="449" spans="33:34" ht="14" x14ac:dyDescent="0.2">
      <c r="AG449" s="1"/>
      <c r="AH449" s="7"/>
    </row>
    <row r="450" spans="33:34" ht="14" x14ac:dyDescent="0.2">
      <c r="AG450" s="1"/>
      <c r="AH450" s="7"/>
    </row>
    <row r="451" spans="33:34" ht="14" x14ac:dyDescent="0.2">
      <c r="AG451" s="1"/>
      <c r="AH451" s="7"/>
    </row>
    <row r="452" spans="33:34" ht="14" x14ac:dyDescent="0.2">
      <c r="AG452" s="1"/>
      <c r="AH452" s="7"/>
    </row>
    <row r="453" spans="33:34" ht="14" x14ac:dyDescent="0.2">
      <c r="AG453" s="1"/>
      <c r="AH453" s="7"/>
    </row>
    <row r="454" spans="33:34" ht="14" x14ac:dyDescent="0.2">
      <c r="AG454" s="1"/>
      <c r="AH454" s="7"/>
    </row>
    <row r="455" spans="33:34" ht="14" x14ac:dyDescent="0.2">
      <c r="AG455" s="1"/>
      <c r="AH455" s="7"/>
    </row>
    <row r="456" spans="33:34" ht="14" x14ac:dyDescent="0.2">
      <c r="AG456" s="1"/>
      <c r="AH456" s="7"/>
    </row>
    <row r="457" spans="33:34" ht="14" x14ac:dyDescent="0.2">
      <c r="AG457" s="1"/>
      <c r="AH457" s="7"/>
    </row>
    <row r="458" spans="33:34" ht="14" x14ac:dyDescent="0.2">
      <c r="AG458" s="1"/>
      <c r="AH458" s="7"/>
    </row>
    <row r="459" spans="33:34" ht="14" x14ac:dyDescent="0.2">
      <c r="AG459" s="1"/>
      <c r="AH459" s="7"/>
    </row>
    <row r="460" spans="33:34" ht="14" x14ac:dyDescent="0.2">
      <c r="AG460" s="1"/>
      <c r="AH460" s="7"/>
    </row>
    <row r="461" spans="33:34" ht="14" x14ac:dyDescent="0.2">
      <c r="AG461" s="1"/>
      <c r="AH461" s="7"/>
    </row>
    <row r="462" spans="33:34" ht="14" x14ac:dyDescent="0.2">
      <c r="AG462" s="1"/>
      <c r="AH462" s="7"/>
    </row>
    <row r="463" spans="33:34" ht="14" x14ac:dyDescent="0.2">
      <c r="AG463" s="1"/>
      <c r="AH463" s="7"/>
    </row>
    <row r="464" spans="33:34" ht="14" x14ac:dyDescent="0.2">
      <c r="AG464" s="1"/>
      <c r="AH464" s="7"/>
    </row>
    <row r="465" spans="33:34" ht="14" x14ac:dyDescent="0.2">
      <c r="AG465" s="1"/>
      <c r="AH465" s="7"/>
    </row>
    <row r="466" spans="33:34" ht="14" x14ac:dyDescent="0.2">
      <c r="AG466" s="1"/>
      <c r="AH466" s="7"/>
    </row>
    <row r="467" spans="33:34" ht="14" x14ac:dyDescent="0.2">
      <c r="AG467" s="1"/>
      <c r="AH467" s="7"/>
    </row>
    <row r="468" spans="33:34" ht="14" x14ac:dyDescent="0.2">
      <c r="AG468" s="1"/>
      <c r="AH468" s="7"/>
    </row>
    <row r="469" spans="33:34" ht="14" x14ac:dyDescent="0.2">
      <c r="AG469" s="1"/>
      <c r="AH469" s="7"/>
    </row>
    <row r="470" spans="33:34" ht="14" x14ac:dyDescent="0.2">
      <c r="AG470" s="1"/>
      <c r="AH470" s="7"/>
    </row>
    <row r="471" spans="33:34" ht="14" x14ac:dyDescent="0.2">
      <c r="AG471" s="1"/>
      <c r="AH471" s="7"/>
    </row>
    <row r="472" spans="33:34" ht="14" x14ac:dyDescent="0.2">
      <c r="AG472" s="1"/>
      <c r="AH472" s="7"/>
    </row>
    <row r="473" spans="33:34" ht="14" x14ac:dyDescent="0.2">
      <c r="AG473" s="1"/>
      <c r="AH473" s="7"/>
    </row>
    <row r="474" spans="33:34" ht="14" x14ac:dyDescent="0.2">
      <c r="AG474" s="1"/>
      <c r="AH474" s="7"/>
    </row>
    <row r="475" spans="33:34" ht="14" x14ac:dyDescent="0.2">
      <c r="AG475" s="1"/>
      <c r="AH475" s="7"/>
    </row>
    <row r="476" spans="33:34" ht="14" x14ac:dyDescent="0.2">
      <c r="AG476" s="1"/>
      <c r="AH476" s="7"/>
    </row>
    <row r="477" spans="33:34" ht="14" x14ac:dyDescent="0.2">
      <c r="AG477" s="1"/>
      <c r="AH477" s="7"/>
    </row>
    <row r="478" spans="33:34" ht="14" x14ac:dyDescent="0.2">
      <c r="AG478" s="1"/>
      <c r="AH478" s="7"/>
    </row>
    <row r="479" spans="33:34" ht="14" x14ac:dyDescent="0.2">
      <c r="AG479" s="1"/>
      <c r="AH479" s="7"/>
    </row>
    <row r="480" spans="33:34" ht="14" x14ac:dyDescent="0.2">
      <c r="AG480" s="1"/>
      <c r="AH480" s="7"/>
    </row>
    <row r="481" spans="33:34" ht="14" x14ac:dyDescent="0.2">
      <c r="AG481" s="1"/>
      <c r="AH481" s="7"/>
    </row>
    <row r="482" spans="33:34" ht="14" x14ac:dyDescent="0.2">
      <c r="AG482" s="1"/>
      <c r="AH482" s="7"/>
    </row>
    <row r="483" spans="33:34" ht="14" x14ac:dyDescent="0.2">
      <c r="AG483" s="1"/>
      <c r="AH483" s="7"/>
    </row>
    <row r="484" spans="33:34" ht="14" x14ac:dyDescent="0.2">
      <c r="AG484" s="1"/>
      <c r="AH484" s="7"/>
    </row>
    <row r="485" spans="33:34" ht="14" x14ac:dyDescent="0.2">
      <c r="AG485" s="1"/>
      <c r="AH485" s="7"/>
    </row>
    <row r="486" spans="33:34" ht="14" x14ac:dyDescent="0.2">
      <c r="AG486" s="1"/>
      <c r="AH486" s="7"/>
    </row>
    <row r="487" spans="33:34" ht="14" x14ac:dyDescent="0.2">
      <c r="AG487" s="1"/>
      <c r="AH487" s="7"/>
    </row>
    <row r="488" spans="33:34" ht="14" x14ac:dyDescent="0.2">
      <c r="AG488" s="1"/>
      <c r="AH488" s="7"/>
    </row>
    <row r="489" spans="33:34" ht="14" x14ac:dyDescent="0.2">
      <c r="AG489" s="1"/>
      <c r="AH489" s="7"/>
    </row>
    <row r="490" spans="33:34" ht="14" x14ac:dyDescent="0.2">
      <c r="AG490" s="1"/>
      <c r="AH490" s="7"/>
    </row>
    <row r="491" spans="33:34" ht="14" x14ac:dyDescent="0.2">
      <c r="AG491" s="1"/>
      <c r="AH491" s="7"/>
    </row>
    <row r="492" spans="33:34" ht="14" x14ac:dyDescent="0.2">
      <c r="AG492" s="1"/>
      <c r="AH492" s="7"/>
    </row>
    <row r="493" spans="33:34" ht="14" x14ac:dyDescent="0.2">
      <c r="AG493" s="1"/>
      <c r="AH493" s="7"/>
    </row>
    <row r="494" spans="33:34" ht="14" x14ac:dyDescent="0.2">
      <c r="AG494" s="1"/>
      <c r="AH494" s="7"/>
    </row>
    <row r="495" spans="33:34" ht="14" x14ac:dyDescent="0.2">
      <c r="AG495" s="1"/>
      <c r="AH495" s="7"/>
    </row>
    <row r="496" spans="33:34" ht="14" x14ac:dyDescent="0.2">
      <c r="AG496" s="1"/>
      <c r="AH496" s="7"/>
    </row>
    <row r="497" spans="33:34" ht="14" x14ac:dyDescent="0.2">
      <c r="AG497" s="1"/>
      <c r="AH497" s="7"/>
    </row>
    <row r="498" spans="33:34" ht="14" x14ac:dyDescent="0.2">
      <c r="AG498" s="1"/>
      <c r="AH498" s="7"/>
    </row>
    <row r="499" spans="33:34" ht="14" x14ac:dyDescent="0.2">
      <c r="AG499" s="1"/>
      <c r="AH499" s="7"/>
    </row>
    <row r="500" spans="33:34" ht="14" x14ac:dyDescent="0.2">
      <c r="AG500" s="1"/>
      <c r="AH500" s="7"/>
    </row>
    <row r="501" spans="33:34" ht="14" x14ac:dyDescent="0.2">
      <c r="AG501" s="1"/>
      <c r="AH501" s="7"/>
    </row>
    <row r="502" spans="33:34" ht="14" x14ac:dyDescent="0.2">
      <c r="AG502" s="1"/>
      <c r="AH502" s="7"/>
    </row>
    <row r="503" spans="33:34" ht="14" x14ac:dyDescent="0.2">
      <c r="AG503" s="1"/>
      <c r="AH503" s="7"/>
    </row>
    <row r="504" spans="33:34" ht="14" x14ac:dyDescent="0.2">
      <c r="AG504" s="1"/>
      <c r="AH504" s="7"/>
    </row>
    <row r="505" spans="33:34" ht="14" x14ac:dyDescent="0.2">
      <c r="AG505" s="1"/>
      <c r="AH505" s="7"/>
    </row>
    <row r="506" spans="33:34" ht="14" x14ac:dyDescent="0.2">
      <c r="AG506" s="1"/>
      <c r="AH506" s="7"/>
    </row>
    <row r="507" spans="33:34" ht="14" x14ac:dyDescent="0.2">
      <c r="AG507" s="1"/>
      <c r="AH507" s="7"/>
    </row>
    <row r="508" spans="33:34" ht="14" x14ac:dyDescent="0.2">
      <c r="AG508" s="1"/>
      <c r="AH508" s="7"/>
    </row>
    <row r="509" spans="33:34" ht="14" x14ac:dyDescent="0.2">
      <c r="AG509" s="1"/>
      <c r="AH509" s="7"/>
    </row>
    <row r="510" spans="33:34" ht="14" x14ac:dyDescent="0.2">
      <c r="AG510" s="1"/>
      <c r="AH510" s="7"/>
    </row>
    <row r="511" spans="33:34" ht="14" x14ac:dyDescent="0.2">
      <c r="AG511" s="1"/>
      <c r="AH511" s="7"/>
    </row>
    <row r="512" spans="33:34" ht="14" x14ac:dyDescent="0.2">
      <c r="AG512" s="1"/>
      <c r="AH512" s="7"/>
    </row>
    <row r="513" spans="33:34" ht="14" x14ac:dyDescent="0.2">
      <c r="AG513" s="1"/>
      <c r="AH513" s="7"/>
    </row>
    <row r="514" spans="33:34" ht="14" x14ac:dyDescent="0.2">
      <c r="AG514" s="1"/>
      <c r="AH514" s="7"/>
    </row>
    <row r="515" spans="33:34" ht="14" x14ac:dyDescent="0.2">
      <c r="AG515" s="1"/>
      <c r="AH515" s="7"/>
    </row>
    <row r="516" spans="33:34" ht="14" x14ac:dyDescent="0.2">
      <c r="AG516" s="1"/>
      <c r="AH516" s="7"/>
    </row>
    <row r="517" spans="33:34" ht="14" x14ac:dyDescent="0.2">
      <c r="AG517" s="1"/>
      <c r="AH517" s="7"/>
    </row>
    <row r="518" spans="33:34" ht="14" x14ac:dyDescent="0.2">
      <c r="AG518" s="1"/>
      <c r="AH518" s="7"/>
    </row>
    <row r="519" spans="33:34" ht="14" x14ac:dyDescent="0.2">
      <c r="AG519" s="1"/>
      <c r="AH519" s="7"/>
    </row>
    <row r="520" spans="33:34" ht="14" x14ac:dyDescent="0.2">
      <c r="AG520" s="1"/>
      <c r="AH520" s="7"/>
    </row>
    <row r="521" spans="33:34" ht="14" x14ac:dyDescent="0.2">
      <c r="AG521" s="1"/>
      <c r="AH521" s="7"/>
    </row>
    <row r="522" spans="33:34" ht="14" x14ac:dyDescent="0.2">
      <c r="AG522" s="1"/>
      <c r="AH522" s="7"/>
    </row>
    <row r="523" spans="33:34" ht="14" x14ac:dyDescent="0.2">
      <c r="AG523" s="1"/>
      <c r="AH523" s="7"/>
    </row>
    <row r="524" spans="33:34" ht="14" x14ac:dyDescent="0.2">
      <c r="AG524" s="1"/>
      <c r="AH524" s="7"/>
    </row>
    <row r="525" spans="33:34" ht="14" x14ac:dyDescent="0.2">
      <c r="AG525" s="1"/>
      <c r="AH525" s="7"/>
    </row>
    <row r="526" spans="33:34" ht="14" x14ac:dyDescent="0.2">
      <c r="AG526" s="1"/>
      <c r="AH526" s="7"/>
    </row>
    <row r="527" spans="33:34" ht="14" x14ac:dyDescent="0.2">
      <c r="AG527" s="1"/>
      <c r="AH527" s="7"/>
    </row>
    <row r="528" spans="33:34" ht="14" x14ac:dyDescent="0.2">
      <c r="AG528" s="1"/>
      <c r="AH528" s="7"/>
    </row>
    <row r="529" spans="33:34" ht="14" x14ac:dyDescent="0.2">
      <c r="AG529" s="1"/>
      <c r="AH529" s="7"/>
    </row>
    <row r="530" spans="33:34" ht="14" x14ac:dyDescent="0.2">
      <c r="AG530" s="1"/>
      <c r="AH530" s="7"/>
    </row>
    <row r="531" spans="33:34" ht="14" x14ac:dyDescent="0.2">
      <c r="AG531" s="1"/>
      <c r="AH531" s="7"/>
    </row>
    <row r="532" spans="33:34" ht="14" x14ac:dyDescent="0.2">
      <c r="AG532" s="1"/>
      <c r="AH532" s="7"/>
    </row>
    <row r="533" spans="33:34" ht="14" x14ac:dyDescent="0.2">
      <c r="AG533" s="1"/>
      <c r="AH533" s="7"/>
    </row>
    <row r="534" spans="33:34" ht="14" x14ac:dyDescent="0.2">
      <c r="AG534" s="1"/>
      <c r="AH534" s="7"/>
    </row>
    <row r="535" spans="33:34" ht="14" x14ac:dyDescent="0.2">
      <c r="AG535" s="1"/>
      <c r="AH535" s="7"/>
    </row>
    <row r="536" spans="33:34" ht="14" x14ac:dyDescent="0.2">
      <c r="AG536" s="1"/>
      <c r="AH536" s="7"/>
    </row>
    <row r="537" spans="33:34" ht="14" x14ac:dyDescent="0.2">
      <c r="AG537" s="1"/>
      <c r="AH537" s="7"/>
    </row>
    <row r="538" spans="33:34" ht="14" x14ac:dyDescent="0.2">
      <c r="AG538" s="1"/>
      <c r="AH538" s="7"/>
    </row>
    <row r="539" spans="33:34" ht="14" x14ac:dyDescent="0.2">
      <c r="AG539" s="1"/>
      <c r="AH539" s="7"/>
    </row>
    <row r="540" spans="33:34" ht="14" x14ac:dyDescent="0.2">
      <c r="AG540" s="1"/>
      <c r="AH540" s="7"/>
    </row>
    <row r="541" spans="33:34" ht="14" x14ac:dyDescent="0.2">
      <c r="AG541" s="1"/>
      <c r="AH541" s="7"/>
    </row>
    <row r="542" spans="33:34" ht="14" x14ac:dyDescent="0.2">
      <c r="AG542" s="1"/>
      <c r="AH542" s="7"/>
    </row>
    <row r="543" spans="33:34" ht="14" x14ac:dyDescent="0.2">
      <c r="AG543" s="1"/>
      <c r="AH543" s="7"/>
    </row>
    <row r="544" spans="33:34" ht="14" x14ac:dyDescent="0.2">
      <c r="AG544" s="1"/>
      <c r="AH544" s="7"/>
    </row>
    <row r="545" spans="33:34" ht="14" x14ac:dyDescent="0.2">
      <c r="AG545" s="1"/>
      <c r="AH545" s="7"/>
    </row>
    <row r="546" spans="33:34" ht="14" x14ac:dyDescent="0.2">
      <c r="AG546" s="1"/>
      <c r="AH546" s="7"/>
    </row>
    <row r="547" spans="33:34" ht="14" x14ac:dyDescent="0.2">
      <c r="AG547" s="1"/>
      <c r="AH547" s="7"/>
    </row>
    <row r="548" spans="33:34" ht="14" x14ac:dyDescent="0.2">
      <c r="AG548" s="1"/>
      <c r="AH548" s="7"/>
    </row>
    <row r="549" spans="33:34" ht="14" x14ac:dyDescent="0.2">
      <c r="AG549" s="1"/>
      <c r="AH549" s="7"/>
    </row>
    <row r="550" spans="33:34" ht="14" x14ac:dyDescent="0.2">
      <c r="AG550" s="1"/>
      <c r="AH550" s="7"/>
    </row>
    <row r="551" spans="33:34" ht="14" x14ac:dyDescent="0.2">
      <c r="AG551" s="1"/>
      <c r="AH551" s="7"/>
    </row>
    <row r="552" spans="33:34" ht="14" x14ac:dyDescent="0.2">
      <c r="AG552" s="1"/>
      <c r="AH552" s="7"/>
    </row>
    <row r="553" spans="33:34" ht="14" x14ac:dyDescent="0.2">
      <c r="AG553" s="1"/>
      <c r="AH553" s="7"/>
    </row>
    <row r="554" spans="33:34" ht="14" x14ac:dyDescent="0.2">
      <c r="AG554" s="1"/>
      <c r="AH554" s="7"/>
    </row>
    <row r="555" spans="33:34" ht="14" x14ac:dyDescent="0.2">
      <c r="AG555" s="1"/>
      <c r="AH555" s="7"/>
    </row>
    <row r="556" spans="33:34" ht="14" x14ac:dyDescent="0.2">
      <c r="AG556" s="1"/>
      <c r="AH556" s="7"/>
    </row>
    <row r="557" spans="33:34" ht="14" x14ac:dyDescent="0.2">
      <c r="AG557" s="1"/>
      <c r="AH557" s="7"/>
    </row>
    <row r="558" spans="33:34" ht="14" x14ac:dyDescent="0.2">
      <c r="AG558" s="1"/>
      <c r="AH558" s="7"/>
    </row>
    <row r="559" spans="33:34" ht="14" x14ac:dyDescent="0.2">
      <c r="AG559" s="1"/>
      <c r="AH559" s="7"/>
    </row>
    <row r="560" spans="33:34" ht="14" x14ac:dyDescent="0.2">
      <c r="AG560" s="1"/>
      <c r="AH560" s="7"/>
    </row>
    <row r="561" spans="33:34" ht="14" x14ac:dyDescent="0.2">
      <c r="AG561" s="1"/>
      <c r="AH561" s="7"/>
    </row>
    <row r="562" spans="33:34" ht="14" x14ac:dyDescent="0.2">
      <c r="AG562" s="1"/>
      <c r="AH562" s="7"/>
    </row>
    <row r="563" spans="33:34" ht="14" x14ac:dyDescent="0.2">
      <c r="AG563" s="1"/>
      <c r="AH563" s="7"/>
    </row>
    <row r="564" spans="33:34" ht="14" x14ac:dyDescent="0.2">
      <c r="AG564" s="1"/>
      <c r="AH564" s="7"/>
    </row>
    <row r="565" spans="33:34" ht="14" x14ac:dyDescent="0.2">
      <c r="AG565" s="1"/>
      <c r="AH565" s="7"/>
    </row>
    <row r="566" spans="33:34" ht="14" x14ac:dyDescent="0.2">
      <c r="AG566" s="1"/>
      <c r="AH566" s="7"/>
    </row>
    <row r="567" spans="33:34" ht="14" x14ac:dyDescent="0.2">
      <c r="AG567" s="1"/>
      <c r="AH567" s="7"/>
    </row>
    <row r="568" spans="33:34" ht="14" x14ac:dyDescent="0.2">
      <c r="AG568" s="1"/>
      <c r="AH568" s="7"/>
    </row>
    <row r="569" spans="33:34" ht="14" x14ac:dyDescent="0.2">
      <c r="AG569" s="1"/>
      <c r="AH569" s="7"/>
    </row>
    <row r="570" spans="33:34" ht="14" x14ac:dyDescent="0.2">
      <c r="AG570" s="1"/>
      <c r="AH570" s="7"/>
    </row>
    <row r="571" spans="33:34" ht="14" x14ac:dyDescent="0.2">
      <c r="AG571" s="1"/>
      <c r="AH571" s="7"/>
    </row>
    <row r="572" spans="33:34" ht="14" x14ac:dyDescent="0.2">
      <c r="AG572" s="1"/>
      <c r="AH572" s="7"/>
    </row>
    <row r="573" spans="33:34" ht="14" x14ac:dyDescent="0.2">
      <c r="AG573" s="1"/>
      <c r="AH573" s="7"/>
    </row>
    <row r="574" spans="33:34" ht="14" x14ac:dyDescent="0.2">
      <c r="AG574" s="1"/>
      <c r="AH574" s="7"/>
    </row>
    <row r="575" spans="33:34" ht="14" x14ac:dyDescent="0.2">
      <c r="AG575" s="1"/>
      <c r="AH575" s="7"/>
    </row>
    <row r="576" spans="33:34" ht="14" x14ac:dyDescent="0.2">
      <c r="AG576" s="1"/>
      <c r="AH576" s="7"/>
    </row>
    <row r="577" spans="33:34" ht="14" x14ac:dyDescent="0.2">
      <c r="AG577" s="1"/>
      <c r="AH577" s="7"/>
    </row>
    <row r="578" spans="33:34" ht="14" x14ac:dyDescent="0.2">
      <c r="AG578" s="1"/>
      <c r="AH578" s="7"/>
    </row>
    <row r="579" spans="33:34" ht="14" x14ac:dyDescent="0.2">
      <c r="AG579" s="1"/>
      <c r="AH579" s="7"/>
    </row>
    <row r="580" spans="33:34" ht="14" x14ac:dyDescent="0.2">
      <c r="AG580" s="1"/>
      <c r="AH580" s="7"/>
    </row>
    <row r="581" spans="33:34" ht="14" x14ac:dyDescent="0.2">
      <c r="AG581" s="1"/>
      <c r="AH581" s="7"/>
    </row>
    <row r="582" spans="33:34" ht="14" x14ac:dyDescent="0.2">
      <c r="AG582" s="1"/>
      <c r="AH582" s="7"/>
    </row>
    <row r="583" spans="33:34" ht="14" x14ac:dyDescent="0.2">
      <c r="AG583" s="1"/>
      <c r="AH583" s="7"/>
    </row>
    <row r="584" spans="33:34" ht="14" x14ac:dyDescent="0.2">
      <c r="AG584" s="1"/>
      <c r="AH584" s="7"/>
    </row>
    <row r="585" spans="33:34" ht="14" x14ac:dyDescent="0.2">
      <c r="AG585" s="1"/>
      <c r="AH585" s="7"/>
    </row>
    <row r="586" spans="33:34" ht="14" x14ac:dyDescent="0.2">
      <c r="AG586" s="1"/>
      <c r="AH586" s="7"/>
    </row>
    <row r="587" spans="33:34" ht="14" x14ac:dyDescent="0.2">
      <c r="AG587" s="1"/>
      <c r="AH587" s="7"/>
    </row>
    <row r="588" spans="33:34" ht="14" x14ac:dyDescent="0.2">
      <c r="AG588" s="1"/>
      <c r="AH588" s="7"/>
    </row>
    <row r="589" spans="33:34" ht="14" x14ac:dyDescent="0.2">
      <c r="AG589" s="1"/>
      <c r="AH589" s="7"/>
    </row>
    <row r="590" spans="33:34" ht="14" x14ac:dyDescent="0.2">
      <c r="AG590" s="1"/>
      <c r="AH590" s="7"/>
    </row>
    <row r="591" spans="33:34" ht="14" x14ac:dyDescent="0.2">
      <c r="AG591" s="1"/>
      <c r="AH591" s="7"/>
    </row>
    <row r="592" spans="33:34" ht="14" x14ac:dyDescent="0.2">
      <c r="AG592" s="1"/>
      <c r="AH592" s="7"/>
    </row>
    <row r="593" spans="33:34" ht="14" x14ac:dyDescent="0.2">
      <c r="AG593" s="1"/>
      <c r="AH593" s="7"/>
    </row>
    <row r="594" spans="33:34" ht="14" x14ac:dyDescent="0.2">
      <c r="AG594" s="1"/>
      <c r="AH594" s="7"/>
    </row>
    <row r="595" spans="33:34" ht="14" x14ac:dyDescent="0.2">
      <c r="AG595" s="1"/>
      <c r="AH595" s="7"/>
    </row>
    <row r="596" spans="33:34" ht="14" x14ac:dyDescent="0.2">
      <c r="AG596" s="1"/>
      <c r="AH596" s="7"/>
    </row>
    <row r="597" spans="33:34" ht="14" x14ac:dyDescent="0.2">
      <c r="AG597" s="1"/>
      <c r="AH597" s="7"/>
    </row>
    <row r="598" spans="33:34" ht="14" x14ac:dyDescent="0.2">
      <c r="AG598" s="1"/>
      <c r="AH598" s="7"/>
    </row>
    <row r="599" spans="33:34" ht="14" x14ac:dyDescent="0.2">
      <c r="AG599" s="1"/>
      <c r="AH599" s="7"/>
    </row>
    <row r="600" spans="33:34" ht="14" x14ac:dyDescent="0.2">
      <c r="AG600" s="1"/>
      <c r="AH600" s="7"/>
    </row>
    <row r="601" spans="33:34" ht="14" x14ac:dyDescent="0.2">
      <c r="AG601" s="1"/>
      <c r="AH601" s="7"/>
    </row>
    <row r="602" spans="33:34" ht="14" x14ac:dyDescent="0.2">
      <c r="AG602" s="1"/>
      <c r="AH602" s="7"/>
    </row>
    <row r="603" spans="33:34" ht="14" x14ac:dyDescent="0.2">
      <c r="AG603" s="1"/>
      <c r="AH603" s="7"/>
    </row>
    <row r="604" spans="33:34" ht="14" x14ac:dyDescent="0.2">
      <c r="AG604" s="1"/>
      <c r="AH604" s="7"/>
    </row>
    <row r="605" spans="33:34" ht="14" x14ac:dyDescent="0.2">
      <c r="AG605" s="1"/>
      <c r="AH605" s="7"/>
    </row>
    <row r="606" spans="33:34" ht="14" x14ac:dyDescent="0.2">
      <c r="AG606" s="1"/>
      <c r="AH606" s="7"/>
    </row>
    <row r="607" spans="33:34" ht="14" x14ac:dyDescent="0.2">
      <c r="AG607" s="1"/>
      <c r="AH607" s="7"/>
    </row>
    <row r="608" spans="33:34" ht="14" x14ac:dyDescent="0.2">
      <c r="AG608" s="1"/>
      <c r="AH608" s="7"/>
    </row>
    <row r="609" spans="33:34" ht="14" x14ac:dyDescent="0.2">
      <c r="AG609" s="1"/>
      <c r="AH609" s="7"/>
    </row>
    <row r="610" spans="33:34" ht="14" x14ac:dyDescent="0.2">
      <c r="AG610" s="1"/>
      <c r="AH610" s="7"/>
    </row>
    <row r="611" spans="33:34" ht="14" x14ac:dyDescent="0.2">
      <c r="AG611" s="1"/>
      <c r="AH611" s="7"/>
    </row>
    <row r="612" spans="33:34" ht="14" x14ac:dyDescent="0.2">
      <c r="AG612" s="1"/>
      <c r="AH612" s="7"/>
    </row>
    <row r="613" spans="33:34" ht="14" x14ac:dyDescent="0.2">
      <c r="AG613" s="1"/>
      <c r="AH613" s="7"/>
    </row>
    <row r="614" spans="33:34" ht="14" x14ac:dyDescent="0.2">
      <c r="AG614" s="1"/>
      <c r="AH614" s="7"/>
    </row>
    <row r="615" spans="33:34" ht="14" x14ac:dyDescent="0.2">
      <c r="AG615" s="1"/>
      <c r="AH615" s="7"/>
    </row>
    <row r="616" spans="33:34" ht="14" x14ac:dyDescent="0.2">
      <c r="AG616" s="1"/>
      <c r="AH616" s="7"/>
    </row>
    <row r="617" spans="33:34" ht="14" x14ac:dyDescent="0.2">
      <c r="AG617" s="1"/>
      <c r="AH617" s="7"/>
    </row>
    <row r="618" spans="33:34" ht="14" x14ac:dyDescent="0.2">
      <c r="AG618" s="1"/>
      <c r="AH618" s="7"/>
    </row>
    <row r="619" spans="33:34" ht="14" x14ac:dyDescent="0.2">
      <c r="AG619" s="1"/>
      <c r="AH619" s="7"/>
    </row>
    <row r="620" spans="33:34" ht="14" x14ac:dyDescent="0.2">
      <c r="AG620" s="1"/>
      <c r="AH620" s="7"/>
    </row>
    <row r="621" spans="33:34" ht="14" x14ac:dyDescent="0.2">
      <c r="AG621" s="1"/>
      <c r="AH621" s="7"/>
    </row>
    <row r="622" spans="33:34" ht="14" x14ac:dyDescent="0.2">
      <c r="AG622" s="1"/>
      <c r="AH622" s="7"/>
    </row>
    <row r="623" spans="33:34" ht="14" x14ac:dyDescent="0.2">
      <c r="AG623" s="1"/>
      <c r="AH623" s="7"/>
    </row>
    <row r="624" spans="33:34" ht="14" x14ac:dyDescent="0.2">
      <c r="AG624" s="1"/>
      <c r="AH624" s="7"/>
    </row>
    <row r="625" spans="33:34" ht="14" x14ac:dyDescent="0.2">
      <c r="AG625" s="1"/>
      <c r="AH625" s="7"/>
    </row>
    <row r="626" spans="33:34" ht="14" x14ac:dyDescent="0.2">
      <c r="AG626" s="1"/>
      <c r="AH626" s="7"/>
    </row>
    <row r="627" spans="33:34" ht="14" x14ac:dyDescent="0.2">
      <c r="AG627" s="1"/>
      <c r="AH627" s="7"/>
    </row>
    <row r="628" spans="33:34" ht="14" x14ac:dyDescent="0.2">
      <c r="AG628" s="1"/>
      <c r="AH628" s="7"/>
    </row>
    <row r="629" spans="33:34" ht="14" x14ac:dyDescent="0.2">
      <c r="AG629" s="1"/>
      <c r="AH629" s="7"/>
    </row>
    <row r="630" spans="33:34" ht="14" x14ac:dyDescent="0.2">
      <c r="AG630" s="1"/>
      <c r="AH630" s="7"/>
    </row>
    <row r="631" spans="33:34" ht="14" x14ac:dyDescent="0.2">
      <c r="AG631" s="1"/>
      <c r="AH631" s="7"/>
    </row>
    <row r="632" spans="33:34" ht="14" x14ac:dyDescent="0.2">
      <c r="AG632" s="1"/>
      <c r="AH632" s="7"/>
    </row>
    <row r="633" spans="33:34" ht="14" x14ac:dyDescent="0.2">
      <c r="AG633" s="1"/>
      <c r="AH633" s="7"/>
    </row>
    <row r="634" spans="33:34" ht="14" x14ac:dyDescent="0.2">
      <c r="AG634" s="1"/>
      <c r="AH634" s="7"/>
    </row>
    <row r="635" spans="33:34" ht="14" x14ac:dyDescent="0.2">
      <c r="AG635" s="1"/>
      <c r="AH635" s="7"/>
    </row>
    <row r="636" spans="33:34" ht="14" x14ac:dyDescent="0.2">
      <c r="AG636" s="1"/>
      <c r="AH636" s="7"/>
    </row>
    <row r="637" spans="33:34" ht="14" x14ac:dyDescent="0.2">
      <c r="AG637" s="1"/>
      <c r="AH637" s="7"/>
    </row>
    <row r="638" spans="33:34" ht="14" x14ac:dyDescent="0.2">
      <c r="AG638" s="1"/>
      <c r="AH638" s="7"/>
    </row>
    <row r="639" spans="33:34" ht="14" x14ac:dyDescent="0.2">
      <c r="AG639" s="1"/>
      <c r="AH639" s="7"/>
    </row>
    <row r="640" spans="33:34" ht="14" x14ac:dyDescent="0.2">
      <c r="AG640" s="1"/>
      <c r="AH640" s="7"/>
    </row>
    <row r="641" spans="33:34" ht="14" x14ac:dyDescent="0.2">
      <c r="AG641" s="1"/>
      <c r="AH641" s="7"/>
    </row>
    <row r="642" spans="33:34" ht="14" x14ac:dyDescent="0.2">
      <c r="AG642" s="1"/>
      <c r="AH642" s="7"/>
    </row>
    <row r="643" spans="33:34" ht="14" x14ac:dyDescent="0.2">
      <c r="AG643" s="1"/>
      <c r="AH643" s="7"/>
    </row>
    <row r="644" spans="33:34" ht="14" x14ac:dyDescent="0.2">
      <c r="AG644" s="1"/>
      <c r="AH644" s="7"/>
    </row>
    <row r="645" spans="33:34" ht="14" x14ac:dyDescent="0.2">
      <c r="AG645" s="1"/>
      <c r="AH645" s="7"/>
    </row>
    <row r="646" spans="33:34" ht="14" x14ac:dyDescent="0.2">
      <c r="AG646" s="1"/>
      <c r="AH646" s="7"/>
    </row>
    <row r="647" spans="33:34" ht="14" x14ac:dyDescent="0.2">
      <c r="AG647" s="1"/>
      <c r="AH647" s="7"/>
    </row>
    <row r="648" spans="33:34" ht="14" x14ac:dyDescent="0.2">
      <c r="AG648" s="1"/>
      <c r="AH648" s="7"/>
    </row>
    <row r="649" spans="33:34" ht="14" x14ac:dyDescent="0.2">
      <c r="AG649" s="1"/>
      <c r="AH649" s="7"/>
    </row>
    <row r="650" spans="33:34" ht="14" x14ac:dyDescent="0.2">
      <c r="AG650" s="1"/>
      <c r="AH650" s="7"/>
    </row>
    <row r="651" spans="33:34" ht="14" x14ac:dyDescent="0.2">
      <c r="AG651" s="1"/>
      <c r="AH651" s="7"/>
    </row>
    <row r="652" spans="33:34" ht="14" x14ac:dyDescent="0.2">
      <c r="AG652" s="1"/>
      <c r="AH652" s="7"/>
    </row>
    <row r="653" spans="33:34" ht="14" x14ac:dyDescent="0.2">
      <c r="AG653" s="1"/>
      <c r="AH653" s="7"/>
    </row>
    <row r="654" spans="33:34" ht="14" x14ac:dyDescent="0.2">
      <c r="AG654" s="1"/>
      <c r="AH654" s="7"/>
    </row>
    <row r="655" spans="33:34" ht="14" x14ac:dyDescent="0.2">
      <c r="AG655" s="1"/>
      <c r="AH655" s="7"/>
    </row>
    <row r="656" spans="33:34" ht="14" x14ac:dyDescent="0.2">
      <c r="AG656" s="1"/>
      <c r="AH656" s="7"/>
    </row>
    <row r="657" spans="33:34" ht="14" x14ac:dyDescent="0.2">
      <c r="AG657" s="1"/>
      <c r="AH657" s="7"/>
    </row>
    <row r="658" spans="33:34" ht="14" x14ac:dyDescent="0.2">
      <c r="AG658" s="1"/>
      <c r="AH658" s="7"/>
    </row>
    <row r="659" spans="33:34" ht="14" x14ac:dyDescent="0.2">
      <c r="AG659" s="1"/>
      <c r="AH659" s="7"/>
    </row>
    <row r="660" spans="33:34" ht="14" x14ac:dyDescent="0.2">
      <c r="AG660" s="1"/>
      <c r="AH660" s="7"/>
    </row>
    <row r="661" spans="33:34" ht="14" x14ac:dyDescent="0.2">
      <c r="AG661" s="1"/>
      <c r="AH661" s="7"/>
    </row>
    <row r="662" spans="33:34" ht="14" x14ac:dyDescent="0.2">
      <c r="AG662" s="1"/>
      <c r="AH662" s="7"/>
    </row>
    <row r="663" spans="33:34" ht="14" x14ac:dyDescent="0.2">
      <c r="AG663" s="1"/>
      <c r="AH663" s="7"/>
    </row>
    <row r="664" spans="33:34" ht="14" x14ac:dyDescent="0.2">
      <c r="AG664" s="1"/>
      <c r="AH664" s="7"/>
    </row>
    <row r="665" spans="33:34" ht="14" x14ac:dyDescent="0.2">
      <c r="AG665" s="1"/>
      <c r="AH665" s="7"/>
    </row>
    <row r="666" spans="33:34" ht="14" x14ac:dyDescent="0.2">
      <c r="AG666" s="1"/>
      <c r="AH666" s="7"/>
    </row>
    <row r="667" spans="33:34" ht="14" x14ac:dyDescent="0.2">
      <c r="AG667" s="1"/>
      <c r="AH667" s="7"/>
    </row>
    <row r="668" spans="33:34" ht="14" x14ac:dyDescent="0.2">
      <c r="AG668" s="1"/>
      <c r="AH668" s="7"/>
    </row>
    <row r="669" spans="33:34" ht="14" x14ac:dyDescent="0.2">
      <c r="AG669" s="1"/>
      <c r="AH669" s="7"/>
    </row>
    <row r="670" spans="33:34" ht="14" x14ac:dyDescent="0.2">
      <c r="AG670" s="1"/>
      <c r="AH670" s="7"/>
    </row>
    <row r="671" spans="33:34" ht="14" x14ac:dyDescent="0.2">
      <c r="AG671" s="1"/>
      <c r="AH671" s="7"/>
    </row>
    <row r="672" spans="33:34" ht="14" x14ac:dyDescent="0.2">
      <c r="AG672" s="1"/>
      <c r="AH672" s="7"/>
    </row>
    <row r="673" spans="33:34" ht="14" x14ac:dyDescent="0.2">
      <c r="AG673" s="1"/>
      <c r="AH673" s="7"/>
    </row>
    <row r="674" spans="33:34" ht="14" x14ac:dyDescent="0.2">
      <c r="AG674" s="1"/>
      <c r="AH674" s="7"/>
    </row>
    <row r="675" spans="33:34" ht="14" x14ac:dyDescent="0.2">
      <c r="AG675" s="1"/>
      <c r="AH675" s="7"/>
    </row>
    <row r="676" spans="33:34" ht="14" x14ac:dyDescent="0.2">
      <c r="AG676" s="1"/>
      <c r="AH676" s="7"/>
    </row>
    <row r="677" spans="33:34" ht="14" x14ac:dyDescent="0.2">
      <c r="AG677" s="1"/>
      <c r="AH677" s="7"/>
    </row>
    <row r="678" spans="33:34" ht="14" x14ac:dyDescent="0.2">
      <c r="AG678" s="1"/>
      <c r="AH678" s="7"/>
    </row>
    <row r="679" spans="33:34" ht="14" x14ac:dyDescent="0.2">
      <c r="AG679" s="1"/>
      <c r="AH679" s="7"/>
    </row>
    <row r="680" spans="33:34" ht="14" x14ac:dyDescent="0.2">
      <c r="AG680" s="1"/>
      <c r="AH680" s="7"/>
    </row>
    <row r="681" spans="33:34" ht="14" x14ac:dyDescent="0.2">
      <c r="AG681" s="1"/>
      <c r="AH681" s="7"/>
    </row>
    <row r="682" spans="33:34" ht="14" x14ac:dyDescent="0.2">
      <c r="AG682" s="1"/>
      <c r="AH682" s="7"/>
    </row>
    <row r="683" spans="33:34" ht="14" x14ac:dyDescent="0.2">
      <c r="AG683" s="1"/>
      <c r="AH683" s="7"/>
    </row>
    <row r="684" spans="33:34" ht="14" x14ac:dyDescent="0.2">
      <c r="AG684" s="1"/>
      <c r="AH684" s="7"/>
    </row>
    <row r="685" spans="33:34" ht="14" x14ac:dyDescent="0.2">
      <c r="AG685" s="1"/>
      <c r="AH685" s="7"/>
    </row>
    <row r="686" spans="33:34" ht="14" x14ac:dyDescent="0.2">
      <c r="AG686" s="1"/>
      <c r="AH686" s="7"/>
    </row>
    <row r="687" spans="33:34" ht="14" x14ac:dyDescent="0.2">
      <c r="AG687" s="1"/>
      <c r="AH687" s="7"/>
    </row>
    <row r="688" spans="33:34" ht="14" x14ac:dyDescent="0.2">
      <c r="AG688" s="1"/>
      <c r="AH688" s="7"/>
    </row>
    <row r="689" spans="33:34" ht="14" x14ac:dyDescent="0.2">
      <c r="AG689" s="1"/>
      <c r="AH689" s="7"/>
    </row>
    <row r="690" spans="33:34" ht="14" x14ac:dyDescent="0.2">
      <c r="AG690" s="1"/>
      <c r="AH690" s="7"/>
    </row>
    <row r="691" spans="33:34" ht="14" x14ac:dyDescent="0.2">
      <c r="AG691" s="1"/>
      <c r="AH691" s="7"/>
    </row>
    <row r="692" spans="33:34" ht="14" x14ac:dyDescent="0.2">
      <c r="AG692" s="1"/>
      <c r="AH692" s="7"/>
    </row>
    <row r="693" spans="33:34" ht="14" x14ac:dyDescent="0.2">
      <c r="AG693" s="1"/>
      <c r="AH693" s="7"/>
    </row>
    <row r="694" spans="33:34" ht="14" x14ac:dyDescent="0.2">
      <c r="AG694" s="1"/>
      <c r="AH694" s="7"/>
    </row>
    <row r="695" spans="33:34" ht="14" x14ac:dyDescent="0.2">
      <c r="AG695" s="1"/>
      <c r="AH695" s="7"/>
    </row>
    <row r="696" spans="33:34" ht="14" x14ac:dyDescent="0.2">
      <c r="AG696" s="1"/>
      <c r="AH696" s="7"/>
    </row>
    <row r="697" spans="33:34" ht="14" x14ac:dyDescent="0.2">
      <c r="AG697" s="1"/>
      <c r="AH697" s="7"/>
    </row>
    <row r="698" spans="33:34" ht="14" x14ac:dyDescent="0.2">
      <c r="AG698" s="1"/>
      <c r="AH698" s="7"/>
    </row>
    <row r="699" spans="33:34" ht="14" x14ac:dyDescent="0.2">
      <c r="AG699" s="1"/>
      <c r="AH699" s="7"/>
    </row>
    <row r="700" spans="33:34" ht="14" x14ac:dyDescent="0.2">
      <c r="AG700" s="1"/>
      <c r="AH700" s="7"/>
    </row>
    <row r="701" spans="33:34" ht="14" x14ac:dyDescent="0.2">
      <c r="AG701" s="1"/>
      <c r="AH701" s="7"/>
    </row>
    <row r="702" spans="33:34" ht="14" x14ac:dyDescent="0.2">
      <c r="AG702" s="1"/>
      <c r="AH702" s="7"/>
    </row>
    <row r="703" spans="33:34" ht="14" x14ac:dyDescent="0.2">
      <c r="AG703" s="1"/>
      <c r="AH703" s="7"/>
    </row>
    <row r="704" spans="33:34" ht="14" x14ac:dyDescent="0.2">
      <c r="AG704" s="1"/>
      <c r="AH704" s="7"/>
    </row>
    <row r="705" spans="33:34" ht="14" x14ac:dyDescent="0.2">
      <c r="AG705" s="1"/>
      <c r="AH705" s="7"/>
    </row>
    <row r="706" spans="33:34" ht="14" x14ac:dyDescent="0.2">
      <c r="AG706" s="1"/>
      <c r="AH706" s="7"/>
    </row>
    <row r="707" spans="33:34" ht="14" x14ac:dyDescent="0.2">
      <c r="AG707" s="1"/>
      <c r="AH707" s="7"/>
    </row>
    <row r="708" spans="33:34" ht="14" x14ac:dyDescent="0.2">
      <c r="AG708" s="1"/>
      <c r="AH708" s="7"/>
    </row>
    <row r="709" spans="33:34" ht="14" x14ac:dyDescent="0.2">
      <c r="AG709" s="1"/>
      <c r="AH709" s="7"/>
    </row>
    <row r="710" spans="33:34" ht="14" x14ac:dyDescent="0.2">
      <c r="AG710" s="1"/>
      <c r="AH710" s="7"/>
    </row>
    <row r="711" spans="33:34" ht="14" x14ac:dyDescent="0.2">
      <c r="AG711" s="1"/>
      <c r="AH711" s="7"/>
    </row>
    <row r="712" spans="33:34" ht="14" x14ac:dyDescent="0.2">
      <c r="AG712" s="1"/>
      <c r="AH712" s="7"/>
    </row>
    <row r="713" spans="33:34" ht="14" x14ac:dyDescent="0.2">
      <c r="AG713" s="1"/>
      <c r="AH713" s="7"/>
    </row>
    <row r="714" spans="33:34" ht="14" x14ac:dyDescent="0.2">
      <c r="AG714" s="1"/>
      <c r="AH714" s="7"/>
    </row>
    <row r="715" spans="33:34" ht="14" x14ac:dyDescent="0.2">
      <c r="AG715" s="1"/>
      <c r="AH715" s="7"/>
    </row>
    <row r="716" spans="33:34" ht="14" x14ac:dyDescent="0.2">
      <c r="AG716" s="1"/>
      <c r="AH716" s="7"/>
    </row>
    <row r="717" spans="33:34" ht="14" x14ac:dyDescent="0.2">
      <c r="AG717" s="1"/>
      <c r="AH717" s="7"/>
    </row>
    <row r="718" spans="33:34" ht="14" x14ac:dyDescent="0.2">
      <c r="AG718" s="1"/>
      <c r="AH718" s="7"/>
    </row>
    <row r="719" spans="33:34" ht="14" x14ac:dyDescent="0.2">
      <c r="AG719" s="1"/>
      <c r="AH719" s="7"/>
    </row>
    <row r="720" spans="33:34" ht="14" x14ac:dyDescent="0.2">
      <c r="AG720" s="1"/>
      <c r="AH720" s="7"/>
    </row>
    <row r="721" spans="33:34" ht="14" x14ac:dyDescent="0.2">
      <c r="AG721" s="1"/>
      <c r="AH721" s="7"/>
    </row>
    <row r="722" spans="33:34" ht="14" x14ac:dyDescent="0.2">
      <c r="AG722" s="1"/>
      <c r="AH722" s="7"/>
    </row>
    <row r="723" spans="33:34" ht="14" x14ac:dyDescent="0.2">
      <c r="AG723" s="1"/>
      <c r="AH723" s="7"/>
    </row>
    <row r="724" spans="33:34" ht="14" x14ac:dyDescent="0.2">
      <c r="AG724" s="1"/>
      <c r="AH724" s="7"/>
    </row>
    <row r="725" spans="33:34" ht="14" x14ac:dyDescent="0.2">
      <c r="AG725" s="1"/>
      <c r="AH725" s="7"/>
    </row>
    <row r="726" spans="33:34" ht="14" x14ac:dyDescent="0.2">
      <c r="AG726" s="1"/>
      <c r="AH726" s="7"/>
    </row>
    <row r="727" spans="33:34" ht="14" x14ac:dyDescent="0.2">
      <c r="AG727" s="1"/>
      <c r="AH727" s="7"/>
    </row>
    <row r="728" spans="33:34" ht="14" x14ac:dyDescent="0.2">
      <c r="AG728" s="1"/>
      <c r="AH728" s="7"/>
    </row>
    <row r="729" spans="33:34" ht="14" x14ac:dyDescent="0.2">
      <c r="AG729" s="1"/>
      <c r="AH729" s="7"/>
    </row>
    <row r="730" spans="33:34" ht="14" x14ac:dyDescent="0.2">
      <c r="AG730" s="1"/>
      <c r="AH730" s="7"/>
    </row>
    <row r="731" spans="33:34" ht="14" x14ac:dyDescent="0.2">
      <c r="AG731" s="1"/>
      <c r="AH731" s="7"/>
    </row>
    <row r="732" spans="33:34" ht="14" x14ac:dyDescent="0.2">
      <c r="AG732" s="1"/>
      <c r="AH732" s="7"/>
    </row>
    <row r="733" spans="33:34" ht="14" x14ac:dyDescent="0.2">
      <c r="AG733" s="1"/>
      <c r="AH733" s="7"/>
    </row>
    <row r="734" spans="33:34" ht="14" x14ac:dyDescent="0.2">
      <c r="AG734" s="1"/>
      <c r="AH734" s="7"/>
    </row>
    <row r="735" spans="33:34" ht="14" x14ac:dyDescent="0.2">
      <c r="AG735" s="1"/>
      <c r="AH735" s="7"/>
    </row>
    <row r="736" spans="33:34" ht="14" x14ac:dyDescent="0.2">
      <c r="AG736" s="1"/>
      <c r="AH736" s="7"/>
    </row>
    <row r="737" spans="33:34" ht="14" x14ac:dyDescent="0.2">
      <c r="AG737" s="1"/>
      <c r="AH737" s="7"/>
    </row>
    <row r="738" spans="33:34" ht="14" x14ac:dyDescent="0.2">
      <c r="AG738" s="1"/>
      <c r="AH738" s="7"/>
    </row>
    <row r="739" spans="33:34" ht="14" x14ac:dyDescent="0.2">
      <c r="AG739" s="1"/>
      <c r="AH739" s="7"/>
    </row>
    <row r="740" spans="33:34" ht="14" x14ac:dyDescent="0.2">
      <c r="AG740" s="1"/>
      <c r="AH740" s="7"/>
    </row>
    <row r="741" spans="33:34" ht="14" x14ac:dyDescent="0.2">
      <c r="AG741" s="1"/>
      <c r="AH741" s="7"/>
    </row>
    <row r="742" spans="33:34" ht="14" x14ac:dyDescent="0.2">
      <c r="AG742" s="1"/>
      <c r="AH742" s="7"/>
    </row>
    <row r="743" spans="33:34" ht="14" x14ac:dyDescent="0.2">
      <c r="AG743" s="1"/>
      <c r="AH743" s="7"/>
    </row>
    <row r="744" spans="33:34" ht="14" x14ac:dyDescent="0.2">
      <c r="AG744" s="1"/>
      <c r="AH744" s="7"/>
    </row>
    <row r="745" spans="33:34" ht="14" x14ac:dyDescent="0.2">
      <c r="AG745" s="1"/>
      <c r="AH745" s="7"/>
    </row>
    <row r="746" spans="33:34" ht="14" x14ac:dyDescent="0.2">
      <c r="AG746" s="1"/>
      <c r="AH746" s="7"/>
    </row>
    <row r="747" spans="33:34" ht="14" x14ac:dyDescent="0.2">
      <c r="AG747" s="1"/>
      <c r="AH747" s="7"/>
    </row>
    <row r="748" spans="33:34" ht="14" x14ac:dyDescent="0.2">
      <c r="AG748" s="1"/>
      <c r="AH748" s="7"/>
    </row>
    <row r="749" spans="33:34" ht="14" x14ac:dyDescent="0.2">
      <c r="AG749" s="1"/>
      <c r="AH749" s="7"/>
    </row>
    <row r="750" spans="33:34" ht="14" x14ac:dyDescent="0.2">
      <c r="AG750" s="1"/>
      <c r="AH750" s="7"/>
    </row>
    <row r="751" spans="33:34" ht="14" x14ac:dyDescent="0.2">
      <c r="AG751" s="1"/>
      <c r="AH751" s="7"/>
    </row>
    <row r="752" spans="33:34" ht="14" x14ac:dyDescent="0.2">
      <c r="AG752" s="1"/>
      <c r="AH752" s="7"/>
    </row>
    <row r="753" spans="33:34" ht="14" x14ac:dyDescent="0.2">
      <c r="AG753" s="1"/>
      <c r="AH753" s="7"/>
    </row>
    <row r="754" spans="33:34" ht="14" x14ac:dyDescent="0.2">
      <c r="AG754" s="1"/>
      <c r="AH754" s="7"/>
    </row>
    <row r="755" spans="33:34" ht="14" x14ac:dyDescent="0.2">
      <c r="AG755" s="1"/>
      <c r="AH755" s="7"/>
    </row>
    <row r="756" spans="33:34" ht="14" x14ac:dyDescent="0.2">
      <c r="AG756" s="1"/>
      <c r="AH756" s="7"/>
    </row>
    <row r="757" spans="33:34" ht="14" x14ac:dyDescent="0.2">
      <c r="AG757" s="1"/>
      <c r="AH757" s="7"/>
    </row>
    <row r="758" spans="33:34" ht="14" x14ac:dyDescent="0.2">
      <c r="AG758" s="1"/>
      <c r="AH758" s="7"/>
    </row>
    <row r="759" spans="33:34" ht="14" x14ac:dyDescent="0.2">
      <c r="AG759" s="1"/>
      <c r="AH759" s="7"/>
    </row>
    <row r="760" spans="33:34" ht="14" x14ac:dyDescent="0.2">
      <c r="AG760" s="1"/>
      <c r="AH760" s="7"/>
    </row>
    <row r="761" spans="33:34" ht="14" x14ac:dyDescent="0.2">
      <c r="AG761" s="1"/>
      <c r="AH761" s="7"/>
    </row>
    <row r="762" spans="33:34" ht="14" x14ac:dyDescent="0.2">
      <c r="AG762" s="1"/>
      <c r="AH762" s="7"/>
    </row>
    <row r="763" spans="33:34" ht="14" x14ac:dyDescent="0.2">
      <c r="AG763" s="1"/>
      <c r="AH763" s="7"/>
    </row>
    <row r="764" spans="33:34" ht="14" x14ac:dyDescent="0.2">
      <c r="AG764" s="1"/>
      <c r="AH764" s="7"/>
    </row>
    <row r="765" spans="33:34" ht="14" x14ac:dyDescent="0.2">
      <c r="AG765" s="1"/>
      <c r="AH765" s="7"/>
    </row>
    <row r="766" spans="33:34" ht="14" x14ac:dyDescent="0.2">
      <c r="AG766" s="1"/>
      <c r="AH766" s="7"/>
    </row>
    <row r="767" spans="33:34" ht="14" x14ac:dyDescent="0.2">
      <c r="AG767" s="1"/>
      <c r="AH767" s="7"/>
    </row>
    <row r="768" spans="33:34" ht="14" x14ac:dyDescent="0.2">
      <c r="AG768" s="1"/>
      <c r="AH768" s="7"/>
    </row>
    <row r="769" spans="33:34" ht="14" x14ac:dyDescent="0.2">
      <c r="AG769" s="1"/>
      <c r="AH769" s="7"/>
    </row>
    <row r="770" spans="33:34" ht="14" x14ac:dyDescent="0.2">
      <c r="AG770" s="1"/>
      <c r="AH770" s="7"/>
    </row>
    <row r="771" spans="33:34" ht="14" x14ac:dyDescent="0.2">
      <c r="AG771" s="1"/>
      <c r="AH771" s="7"/>
    </row>
    <row r="772" spans="33:34" ht="14" x14ac:dyDescent="0.2">
      <c r="AG772" s="1"/>
      <c r="AH772" s="7"/>
    </row>
    <row r="773" spans="33:34" ht="14" x14ac:dyDescent="0.2">
      <c r="AG773" s="1"/>
      <c r="AH773" s="7"/>
    </row>
    <row r="774" spans="33:34" ht="14" x14ac:dyDescent="0.2">
      <c r="AG774" s="1"/>
      <c r="AH774" s="7"/>
    </row>
    <row r="775" spans="33:34" ht="14" x14ac:dyDescent="0.2">
      <c r="AG775" s="1"/>
      <c r="AH775" s="7"/>
    </row>
    <row r="776" spans="33:34" ht="14" x14ac:dyDescent="0.2">
      <c r="AG776" s="1"/>
      <c r="AH776" s="7"/>
    </row>
    <row r="777" spans="33:34" ht="14" x14ac:dyDescent="0.2">
      <c r="AG777" s="1"/>
      <c r="AH777" s="7"/>
    </row>
    <row r="778" spans="33:34" ht="14" x14ac:dyDescent="0.2">
      <c r="AG778" s="1"/>
      <c r="AH778" s="7"/>
    </row>
    <row r="779" spans="33:34" ht="14" x14ac:dyDescent="0.2">
      <c r="AG779" s="1"/>
      <c r="AH779" s="7"/>
    </row>
    <row r="780" spans="33:34" ht="14" x14ac:dyDescent="0.2">
      <c r="AG780" s="1"/>
      <c r="AH780" s="7"/>
    </row>
    <row r="781" spans="33:34" ht="14" x14ac:dyDescent="0.2">
      <c r="AG781" s="1"/>
      <c r="AH781" s="7"/>
    </row>
    <row r="782" spans="33:34" ht="14" x14ac:dyDescent="0.2">
      <c r="AG782" s="1"/>
      <c r="AH782" s="7"/>
    </row>
    <row r="783" spans="33:34" ht="14" x14ac:dyDescent="0.2">
      <c r="AG783" s="1"/>
      <c r="AH783" s="7"/>
    </row>
    <row r="784" spans="33:34" ht="14" x14ac:dyDescent="0.2">
      <c r="AG784" s="1"/>
      <c r="AH784" s="7"/>
    </row>
    <row r="785" spans="33:34" ht="14" x14ac:dyDescent="0.2">
      <c r="AG785" s="1"/>
      <c r="AH785" s="7"/>
    </row>
    <row r="786" spans="33:34" ht="14" x14ac:dyDescent="0.2">
      <c r="AG786" s="1"/>
      <c r="AH786" s="7"/>
    </row>
    <row r="787" spans="33:34" ht="14" x14ac:dyDescent="0.2">
      <c r="AG787" s="1"/>
      <c r="AH787" s="7"/>
    </row>
    <row r="788" spans="33:34" ht="14" x14ac:dyDescent="0.2">
      <c r="AG788" s="1"/>
      <c r="AH788" s="7"/>
    </row>
    <row r="789" spans="33:34" ht="14" x14ac:dyDescent="0.2">
      <c r="AG789" s="1"/>
      <c r="AH789" s="7"/>
    </row>
    <row r="790" spans="33:34" ht="14" x14ac:dyDescent="0.2">
      <c r="AG790" s="1"/>
      <c r="AH790" s="7"/>
    </row>
    <row r="791" spans="33:34" ht="14" x14ac:dyDescent="0.2">
      <c r="AG791" s="1"/>
      <c r="AH791" s="7"/>
    </row>
    <row r="792" spans="33:34" ht="14" x14ac:dyDescent="0.2">
      <c r="AG792" s="1"/>
      <c r="AH792" s="7"/>
    </row>
    <row r="793" spans="33:34" ht="14" x14ac:dyDescent="0.2">
      <c r="AG793" s="1"/>
      <c r="AH793" s="7"/>
    </row>
    <row r="794" spans="33:34" ht="14" x14ac:dyDescent="0.2">
      <c r="AG794" s="1"/>
      <c r="AH794" s="7"/>
    </row>
    <row r="795" spans="33:34" ht="14" x14ac:dyDescent="0.2">
      <c r="AG795" s="1"/>
      <c r="AH795" s="7"/>
    </row>
    <row r="796" spans="33:34" ht="14" x14ac:dyDescent="0.2">
      <c r="AG796" s="1"/>
      <c r="AH796" s="7"/>
    </row>
    <row r="797" spans="33:34" ht="14" x14ac:dyDescent="0.2">
      <c r="AG797" s="1"/>
      <c r="AH797" s="7"/>
    </row>
    <row r="798" spans="33:34" ht="14" x14ac:dyDescent="0.2">
      <c r="AG798" s="1"/>
      <c r="AH798" s="7"/>
    </row>
    <row r="799" spans="33:34" ht="14" x14ac:dyDescent="0.2">
      <c r="AG799" s="1"/>
      <c r="AH799" s="7"/>
    </row>
    <row r="800" spans="33:34" ht="14" x14ac:dyDescent="0.2">
      <c r="AG800" s="1"/>
      <c r="AH800" s="7"/>
    </row>
    <row r="801" spans="33:34" ht="14" x14ac:dyDescent="0.2">
      <c r="AG801" s="1"/>
      <c r="AH801" s="7"/>
    </row>
    <row r="802" spans="33:34" ht="14" x14ac:dyDescent="0.2">
      <c r="AG802" s="1"/>
      <c r="AH802" s="7"/>
    </row>
    <row r="803" spans="33:34" ht="14" x14ac:dyDescent="0.2">
      <c r="AG803" s="1"/>
      <c r="AH803" s="7"/>
    </row>
    <row r="804" spans="33:34" ht="14" x14ac:dyDescent="0.2">
      <c r="AG804" s="1"/>
      <c r="AH804" s="7"/>
    </row>
    <row r="805" spans="33:34" ht="14" x14ac:dyDescent="0.2">
      <c r="AG805" s="1"/>
      <c r="AH805" s="7"/>
    </row>
    <row r="806" spans="33:34" ht="14" x14ac:dyDescent="0.2">
      <c r="AG806" s="1"/>
      <c r="AH806" s="7"/>
    </row>
    <row r="807" spans="33:34" ht="14" x14ac:dyDescent="0.2">
      <c r="AG807" s="1"/>
      <c r="AH807" s="7"/>
    </row>
    <row r="808" spans="33:34" ht="14" x14ac:dyDescent="0.2">
      <c r="AG808" s="1"/>
      <c r="AH808" s="7"/>
    </row>
    <row r="809" spans="33:34" ht="14" x14ac:dyDescent="0.2">
      <c r="AG809" s="1"/>
      <c r="AH809" s="7"/>
    </row>
    <row r="810" spans="33:34" ht="14" x14ac:dyDescent="0.2">
      <c r="AG810" s="1"/>
      <c r="AH810" s="7"/>
    </row>
    <row r="811" spans="33:34" ht="14" x14ac:dyDescent="0.2">
      <c r="AG811" s="1"/>
      <c r="AH811" s="7"/>
    </row>
    <row r="812" spans="33:34" ht="14" x14ac:dyDescent="0.2">
      <c r="AG812" s="1"/>
      <c r="AH812" s="7"/>
    </row>
    <row r="813" spans="33:34" ht="14" x14ac:dyDescent="0.2">
      <c r="AG813" s="1"/>
      <c r="AH813" s="7"/>
    </row>
    <row r="814" spans="33:34" ht="14" x14ac:dyDescent="0.2">
      <c r="AG814" s="1"/>
      <c r="AH814" s="7"/>
    </row>
    <row r="815" spans="33:34" ht="14" x14ac:dyDescent="0.2">
      <c r="AG815" s="1"/>
      <c r="AH815" s="7"/>
    </row>
    <row r="816" spans="33:34" ht="14" x14ac:dyDescent="0.2">
      <c r="AG816" s="1"/>
      <c r="AH816" s="7"/>
    </row>
    <row r="817" spans="33:34" ht="14" x14ac:dyDescent="0.2">
      <c r="AG817" s="1"/>
      <c r="AH817" s="7"/>
    </row>
    <row r="818" spans="33:34" ht="14" x14ac:dyDescent="0.2">
      <c r="AG818" s="1"/>
      <c r="AH818" s="7"/>
    </row>
    <row r="819" spans="33:34" ht="14" x14ac:dyDescent="0.2">
      <c r="AG819" s="1"/>
      <c r="AH819" s="7"/>
    </row>
    <row r="820" spans="33:34" ht="14" x14ac:dyDescent="0.2">
      <c r="AG820" s="1"/>
      <c r="AH820" s="7"/>
    </row>
    <row r="821" spans="33:34" ht="14" x14ac:dyDescent="0.2">
      <c r="AG821" s="1"/>
      <c r="AH821" s="7"/>
    </row>
    <row r="822" spans="33:34" ht="14" x14ac:dyDescent="0.2">
      <c r="AG822" s="1"/>
      <c r="AH822" s="7"/>
    </row>
    <row r="823" spans="33:34" ht="14" x14ac:dyDescent="0.2">
      <c r="AG823" s="1"/>
      <c r="AH823" s="7"/>
    </row>
    <row r="824" spans="33:34" ht="14" x14ac:dyDescent="0.2">
      <c r="AG824" s="1"/>
      <c r="AH824" s="7"/>
    </row>
    <row r="825" spans="33:34" ht="14" x14ac:dyDescent="0.2">
      <c r="AG825" s="1"/>
      <c r="AH825" s="7"/>
    </row>
    <row r="826" spans="33:34" ht="14" x14ac:dyDescent="0.2">
      <c r="AG826" s="1"/>
      <c r="AH826" s="7"/>
    </row>
    <row r="827" spans="33:34" ht="14" x14ac:dyDescent="0.2">
      <c r="AG827" s="1"/>
      <c r="AH827" s="7"/>
    </row>
    <row r="828" spans="33:34" ht="14" x14ac:dyDescent="0.2">
      <c r="AG828" s="1"/>
      <c r="AH828" s="7"/>
    </row>
    <row r="829" spans="33:34" ht="14" x14ac:dyDescent="0.2">
      <c r="AG829" s="1"/>
      <c r="AH829" s="7"/>
    </row>
    <row r="830" spans="33:34" ht="14" x14ac:dyDescent="0.2">
      <c r="AG830" s="1"/>
      <c r="AH830" s="7"/>
    </row>
    <row r="831" spans="33:34" ht="14" x14ac:dyDescent="0.2">
      <c r="AG831" s="1"/>
      <c r="AH831" s="7"/>
    </row>
    <row r="832" spans="33:34" ht="14" x14ac:dyDescent="0.2">
      <c r="AG832" s="1"/>
      <c r="AH832" s="7"/>
    </row>
    <row r="833" spans="33:34" ht="14" x14ac:dyDescent="0.2">
      <c r="AG833" s="1"/>
      <c r="AH833" s="7"/>
    </row>
    <row r="834" spans="33:34" ht="14" x14ac:dyDescent="0.2">
      <c r="AG834" s="1"/>
      <c r="AH834" s="7"/>
    </row>
    <row r="835" spans="33:34" ht="14" x14ac:dyDescent="0.2">
      <c r="AG835" s="1"/>
      <c r="AH835" s="7"/>
    </row>
    <row r="836" spans="33:34" ht="14" x14ac:dyDescent="0.2">
      <c r="AG836" s="1"/>
      <c r="AH836" s="7"/>
    </row>
    <row r="837" spans="33:34" ht="14" x14ac:dyDescent="0.2">
      <c r="AG837" s="1"/>
      <c r="AH837" s="7"/>
    </row>
    <row r="838" spans="33:34" ht="14" x14ac:dyDescent="0.2">
      <c r="AG838" s="1"/>
      <c r="AH838" s="7"/>
    </row>
    <row r="839" spans="33:34" ht="14" x14ac:dyDescent="0.2">
      <c r="AG839" s="1"/>
      <c r="AH839" s="7"/>
    </row>
    <row r="840" spans="33:34" ht="14" x14ac:dyDescent="0.2">
      <c r="AG840" s="1"/>
      <c r="AH840" s="7"/>
    </row>
    <row r="841" spans="33:34" ht="14" x14ac:dyDescent="0.2">
      <c r="AG841" s="1"/>
      <c r="AH841" s="7"/>
    </row>
    <row r="842" spans="33:34" ht="14" x14ac:dyDescent="0.2">
      <c r="AG842" s="1"/>
      <c r="AH842" s="7"/>
    </row>
    <row r="843" spans="33:34" ht="14" x14ac:dyDescent="0.2">
      <c r="AG843" s="1"/>
      <c r="AH843" s="7"/>
    </row>
    <row r="844" spans="33:34" ht="14" x14ac:dyDescent="0.2">
      <c r="AG844" s="1"/>
      <c r="AH844" s="7"/>
    </row>
    <row r="845" spans="33:34" ht="14" x14ac:dyDescent="0.2">
      <c r="AG845" s="1"/>
      <c r="AH845" s="7"/>
    </row>
    <row r="846" spans="33:34" ht="14" x14ac:dyDescent="0.2">
      <c r="AG846" s="1"/>
      <c r="AH846" s="7"/>
    </row>
    <row r="847" spans="33:34" ht="14" x14ac:dyDescent="0.2">
      <c r="AG847" s="1"/>
      <c r="AH847" s="7"/>
    </row>
    <row r="848" spans="33:34" ht="14" x14ac:dyDescent="0.2">
      <c r="AG848" s="1"/>
      <c r="AH848" s="7"/>
    </row>
    <row r="849" spans="33:34" ht="14" x14ac:dyDescent="0.2">
      <c r="AG849" s="1"/>
      <c r="AH849" s="7"/>
    </row>
    <row r="850" spans="33:34" ht="14" x14ac:dyDescent="0.2">
      <c r="AG850" s="1"/>
      <c r="AH850" s="7"/>
    </row>
    <row r="851" spans="33:34" ht="14" x14ac:dyDescent="0.2">
      <c r="AG851" s="1"/>
      <c r="AH851" s="7"/>
    </row>
    <row r="852" spans="33:34" ht="14" x14ac:dyDescent="0.2">
      <c r="AG852" s="1"/>
      <c r="AH852" s="7"/>
    </row>
    <row r="853" spans="33:34" ht="14" x14ac:dyDescent="0.2">
      <c r="AG853" s="1"/>
      <c r="AH853" s="7"/>
    </row>
    <row r="854" spans="33:34" ht="14" x14ac:dyDescent="0.2">
      <c r="AG854" s="1"/>
      <c r="AH854" s="7"/>
    </row>
    <row r="855" spans="33:34" ht="14" x14ac:dyDescent="0.2">
      <c r="AG855" s="1"/>
      <c r="AH855" s="7"/>
    </row>
    <row r="856" spans="33:34" ht="14" x14ac:dyDescent="0.2">
      <c r="AG856" s="1"/>
      <c r="AH856" s="7"/>
    </row>
    <row r="857" spans="33:34" ht="14" x14ac:dyDescent="0.2">
      <c r="AG857" s="1"/>
      <c r="AH857" s="7"/>
    </row>
    <row r="858" spans="33:34" ht="14" x14ac:dyDescent="0.2">
      <c r="AG858" s="1"/>
      <c r="AH858" s="7"/>
    </row>
    <row r="859" spans="33:34" ht="14" x14ac:dyDescent="0.2">
      <c r="AG859" s="1"/>
      <c r="AH859" s="7"/>
    </row>
    <row r="860" spans="33:34" ht="14" x14ac:dyDescent="0.2">
      <c r="AG860" s="1"/>
      <c r="AH860" s="7"/>
    </row>
    <row r="861" spans="33:34" ht="14" x14ac:dyDescent="0.2">
      <c r="AG861" s="1"/>
      <c r="AH861" s="7"/>
    </row>
    <row r="862" spans="33:34" ht="14" x14ac:dyDescent="0.2">
      <c r="AG862" s="1"/>
      <c r="AH862" s="7"/>
    </row>
    <row r="863" spans="33:34" ht="14" x14ac:dyDescent="0.2">
      <c r="AG863" s="1"/>
      <c r="AH863" s="7"/>
    </row>
    <row r="864" spans="33:34" ht="14" x14ac:dyDescent="0.2">
      <c r="AG864" s="1"/>
      <c r="AH864" s="7"/>
    </row>
    <row r="865" spans="33:34" ht="14" x14ac:dyDescent="0.2">
      <c r="AG865" s="1"/>
      <c r="AH865" s="7"/>
    </row>
    <row r="866" spans="33:34" ht="14" x14ac:dyDescent="0.2">
      <c r="AG866" s="1"/>
      <c r="AH866" s="7"/>
    </row>
    <row r="867" spans="33:34" ht="14" x14ac:dyDescent="0.2">
      <c r="AG867" s="1"/>
      <c r="AH867" s="7"/>
    </row>
    <row r="868" spans="33:34" ht="14" x14ac:dyDescent="0.2">
      <c r="AG868" s="1"/>
      <c r="AH868" s="7"/>
    </row>
    <row r="869" spans="33:34" ht="14" x14ac:dyDescent="0.2">
      <c r="AG869" s="1"/>
      <c r="AH869" s="7"/>
    </row>
    <row r="870" spans="33:34" ht="14" x14ac:dyDescent="0.2">
      <c r="AG870" s="1"/>
      <c r="AH870" s="7"/>
    </row>
    <row r="871" spans="33:34" ht="14" x14ac:dyDescent="0.2">
      <c r="AG871" s="1"/>
      <c r="AH871" s="7"/>
    </row>
    <row r="872" spans="33:34" ht="14" x14ac:dyDescent="0.2">
      <c r="AG872" s="1"/>
      <c r="AH872" s="7"/>
    </row>
    <row r="873" spans="33:34" ht="14" x14ac:dyDescent="0.2">
      <c r="AG873" s="1"/>
      <c r="AH873" s="7"/>
    </row>
    <row r="874" spans="33:34" ht="14" x14ac:dyDescent="0.2">
      <c r="AG874" s="1"/>
      <c r="AH874" s="7"/>
    </row>
    <row r="875" spans="33:34" ht="14" x14ac:dyDescent="0.2">
      <c r="AG875" s="1"/>
      <c r="AH875" s="7"/>
    </row>
    <row r="876" spans="33:34" ht="14" x14ac:dyDescent="0.2">
      <c r="AG876" s="1"/>
      <c r="AH876" s="7"/>
    </row>
    <row r="877" spans="33:34" ht="14" x14ac:dyDescent="0.2">
      <c r="AG877" s="1"/>
      <c r="AH877" s="7"/>
    </row>
    <row r="878" spans="33:34" ht="14" x14ac:dyDescent="0.2">
      <c r="AG878" s="1"/>
      <c r="AH878" s="7"/>
    </row>
    <row r="879" spans="33:34" ht="14" x14ac:dyDescent="0.2">
      <c r="AG879" s="1"/>
      <c r="AH879" s="7"/>
    </row>
    <row r="880" spans="33:34" ht="14" x14ac:dyDescent="0.2">
      <c r="AG880" s="1"/>
      <c r="AH880" s="7"/>
    </row>
    <row r="881" spans="33:34" ht="14" x14ac:dyDescent="0.2">
      <c r="AG881" s="1"/>
      <c r="AH881" s="7"/>
    </row>
    <row r="882" spans="33:34" ht="14" x14ac:dyDescent="0.2">
      <c r="AG882" s="1"/>
      <c r="AH882" s="7"/>
    </row>
    <row r="883" spans="33:34" ht="14" x14ac:dyDescent="0.2">
      <c r="AG883" s="1"/>
      <c r="AH883" s="7"/>
    </row>
    <row r="884" spans="33:34" ht="14" x14ac:dyDescent="0.2">
      <c r="AG884" s="1"/>
      <c r="AH884" s="7"/>
    </row>
    <row r="885" spans="33:34" ht="14" x14ac:dyDescent="0.2">
      <c r="AG885" s="1"/>
      <c r="AH885" s="7"/>
    </row>
    <row r="886" spans="33:34" ht="14" x14ac:dyDescent="0.2">
      <c r="AG886" s="1"/>
      <c r="AH886" s="7"/>
    </row>
    <row r="887" spans="33:34" ht="14" x14ac:dyDescent="0.2">
      <c r="AG887" s="1"/>
      <c r="AH887" s="7"/>
    </row>
    <row r="888" spans="33:34" ht="14" x14ac:dyDescent="0.2">
      <c r="AG888" s="1"/>
      <c r="AH888" s="7"/>
    </row>
    <row r="889" spans="33:34" ht="14" x14ac:dyDescent="0.2">
      <c r="AG889" s="1"/>
      <c r="AH889" s="7"/>
    </row>
    <row r="890" spans="33:34" ht="14" x14ac:dyDescent="0.2">
      <c r="AG890" s="1"/>
      <c r="AH890" s="7"/>
    </row>
    <row r="891" spans="33:34" ht="14" x14ac:dyDescent="0.2">
      <c r="AG891" s="1"/>
      <c r="AH891" s="7"/>
    </row>
    <row r="892" spans="33:34" ht="14" x14ac:dyDescent="0.2">
      <c r="AG892" s="1"/>
      <c r="AH892" s="7"/>
    </row>
    <row r="893" spans="33:34" ht="14" x14ac:dyDescent="0.2">
      <c r="AG893" s="1"/>
      <c r="AH893" s="7"/>
    </row>
    <row r="894" spans="33:34" ht="14" x14ac:dyDescent="0.2">
      <c r="AG894" s="1"/>
      <c r="AH894" s="7"/>
    </row>
    <row r="895" spans="33:34" ht="14" x14ac:dyDescent="0.2">
      <c r="AG895" s="1"/>
      <c r="AH895" s="7"/>
    </row>
    <row r="896" spans="33:34" ht="14" x14ac:dyDescent="0.2">
      <c r="AG896" s="1"/>
      <c r="AH896" s="7"/>
    </row>
    <row r="897" spans="33:34" ht="14" x14ac:dyDescent="0.2">
      <c r="AG897" s="1"/>
      <c r="AH897" s="7"/>
    </row>
    <row r="898" spans="33:34" ht="14" x14ac:dyDescent="0.2">
      <c r="AG898" s="1"/>
      <c r="AH898" s="7"/>
    </row>
    <row r="899" spans="33:34" ht="14" x14ac:dyDescent="0.2">
      <c r="AG899" s="1"/>
      <c r="AH899" s="7"/>
    </row>
    <row r="900" spans="33:34" ht="14" x14ac:dyDescent="0.2">
      <c r="AG900" s="1"/>
      <c r="AH900" s="7"/>
    </row>
    <row r="901" spans="33:34" ht="14" x14ac:dyDescent="0.2">
      <c r="AG901" s="1"/>
      <c r="AH901" s="7"/>
    </row>
    <row r="902" spans="33:34" ht="14" x14ac:dyDescent="0.2">
      <c r="AG902" s="1"/>
      <c r="AH902" s="7"/>
    </row>
    <row r="903" spans="33:34" ht="14" x14ac:dyDescent="0.2">
      <c r="AG903" s="1"/>
      <c r="AH903" s="7"/>
    </row>
    <row r="904" spans="33:34" ht="14" x14ac:dyDescent="0.2">
      <c r="AG904" s="1"/>
      <c r="AH904" s="7"/>
    </row>
    <row r="905" spans="33:34" ht="14" x14ac:dyDescent="0.2">
      <c r="AG905" s="1"/>
      <c r="AH905" s="7"/>
    </row>
    <row r="906" spans="33:34" ht="14" x14ac:dyDescent="0.2">
      <c r="AG906" s="1"/>
      <c r="AH906" s="7"/>
    </row>
    <row r="907" spans="33:34" ht="14" x14ac:dyDescent="0.2">
      <c r="AG907" s="1"/>
      <c r="AH907" s="7"/>
    </row>
    <row r="908" spans="33:34" ht="14" x14ac:dyDescent="0.2">
      <c r="AG908" s="1"/>
      <c r="AH908" s="7"/>
    </row>
    <row r="909" spans="33:34" ht="14" x14ac:dyDescent="0.2">
      <c r="AG909" s="1"/>
      <c r="AH909" s="7"/>
    </row>
    <row r="910" spans="33:34" ht="14" x14ac:dyDescent="0.2">
      <c r="AG910" s="1"/>
      <c r="AH910" s="7"/>
    </row>
    <row r="911" spans="33:34" ht="14" x14ac:dyDescent="0.2">
      <c r="AG911" s="1"/>
      <c r="AH911" s="7"/>
    </row>
    <row r="912" spans="33:34" ht="14" x14ac:dyDescent="0.2">
      <c r="AG912" s="1"/>
      <c r="AH912" s="7"/>
    </row>
    <row r="913" spans="33:34" ht="14" x14ac:dyDescent="0.2">
      <c r="AG913" s="1"/>
      <c r="AH913" s="7"/>
    </row>
    <row r="914" spans="33:34" ht="14" x14ac:dyDescent="0.2">
      <c r="AG914" s="1"/>
      <c r="AH914" s="7"/>
    </row>
    <row r="915" spans="33:34" ht="14" x14ac:dyDescent="0.2">
      <c r="AG915" s="1"/>
      <c r="AH915" s="7"/>
    </row>
    <row r="916" spans="33:34" ht="14" x14ac:dyDescent="0.2">
      <c r="AG916" s="1"/>
      <c r="AH916" s="7"/>
    </row>
    <row r="917" spans="33:34" ht="14" x14ac:dyDescent="0.2">
      <c r="AG917" s="1"/>
      <c r="AH917" s="7"/>
    </row>
    <row r="918" spans="33:34" ht="14" x14ac:dyDescent="0.2">
      <c r="AG918" s="1"/>
      <c r="AH918" s="7"/>
    </row>
    <row r="919" spans="33:34" ht="14" x14ac:dyDescent="0.2">
      <c r="AG919" s="1"/>
      <c r="AH919" s="7"/>
    </row>
    <row r="920" spans="33:34" ht="14" x14ac:dyDescent="0.2">
      <c r="AG920" s="1"/>
      <c r="AH920" s="7"/>
    </row>
    <row r="921" spans="33:34" ht="14" x14ac:dyDescent="0.2">
      <c r="AG921" s="1"/>
      <c r="AH921" s="7"/>
    </row>
    <row r="922" spans="33:34" ht="14" x14ac:dyDescent="0.2">
      <c r="AG922" s="1"/>
      <c r="AH922" s="7"/>
    </row>
    <row r="923" spans="33:34" ht="14" x14ac:dyDescent="0.2">
      <c r="AG923" s="1"/>
      <c r="AH923" s="7"/>
    </row>
    <row r="924" spans="33:34" ht="14" x14ac:dyDescent="0.2">
      <c r="AG924" s="1"/>
      <c r="AH924" s="7"/>
    </row>
    <row r="925" spans="33:34" ht="14" x14ac:dyDescent="0.2">
      <c r="AG925" s="1"/>
      <c r="AH925" s="7"/>
    </row>
    <row r="926" spans="33:34" ht="14" x14ac:dyDescent="0.2">
      <c r="AG926" s="1"/>
      <c r="AH926" s="7"/>
    </row>
    <row r="927" spans="33:34" ht="14" x14ac:dyDescent="0.2">
      <c r="AG927" s="1"/>
      <c r="AH927" s="7"/>
    </row>
    <row r="928" spans="33:34" ht="14" x14ac:dyDescent="0.2">
      <c r="AG928" s="1"/>
      <c r="AH928" s="7"/>
    </row>
    <row r="929" spans="33:34" ht="14" x14ac:dyDescent="0.2">
      <c r="AG929" s="1"/>
      <c r="AH929" s="7"/>
    </row>
    <row r="930" spans="33:34" ht="14" x14ac:dyDescent="0.2">
      <c r="AG930" s="1"/>
      <c r="AH930" s="7"/>
    </row>
    <row r="931" spans="33:34" ht="14" x14ac:dyDescent="0.2">
      <c r="AG931" s="1"/>
      <c r="AH931" s="7"/>
    </row>
    <row r="932" spans="33:34" ht="14" x14ac:dyDescent="0.2">
      <c r="AG932" s="1"/>
      <c r="AH932" s="7"/>
    </row>
    <row r="933" spans="33:34" ht="14" x14ac:dyDescent="0.2">
      <c r="AG933" s="1"/>
      <c r="AH933" s="7"/>
    </row>
    <row r="934" spans="33:34" ht="14" x14ac:dyDescent="0.2">
      <c r="AG934" s="1"/>
      <c r="AH934" s="7"/>
    </row>
    <row r="935" spans="33:34" ht="14" x14ac:dyDescent="0.2">
      <c r="AG935" s="1"/>
      <c r="AH935" s="7"/>
    </row>
    <row r="936" spans="33:34" ht="14" x14ac:dyDescent="0.2">
      <c r="AG936" s="1"/>
      <c r="AH936" s="7"/>
    </row>
    <row r="937" spans="33:34" ht="14" x14ac:dyDescent="0.2">
      <c r="AG937" s="1"/>
      <c r="AH937" s="7"/>
    </row>
    <row r="938" spans="33:34" ht="14" x14ac:dyDescent="0.2">
      <c r="AG938" s="1"/>
      <c r="AH938" s="7"/>
    </row>
    <row r="939" spans="33:34" ht="14" x14ac:dyDescent="0.2">
      <c r="AG939" s="1"/>
      <c r="AH939" s="7"/>
    </row>
    <row r="940" spans="33:34" ht="14" x14ac:dyDescent="0.2">
      <c r="AG940" s="1"/>
      <c r="AH940" s="7"/>
    </row>
    <row r="941" spans="33:34" ht="14" x14ac:dyDescent="0.2">
      <c r="AG941" s="1"/>
      <c r="AH941" s="7"/>
    </row>
    <row r="942" spans="33:34" ht="14" x14ac:dyDescent="0.2">
      <c r="AG942" s="1"/>
      <c r="AH942" s="7"/>
    </row>
    <row r="943" spans="33:34" ht="14" x14ac:dyDescent="0.2">
      <c r="AG943" s="1"/>
      <c r="AH943" s="7"/>
    </row>
    <row r="944" spans="33:34" ht="14" x14ac:dyDescent="0.2">
      <c r="AG944" s="1"/>
      <c r="AH944" s="7"/>
    </row>
    <row r="945" spans="33:34" ht="14" x14ac:dyDescent="0.2">
      <c r="AG945" s="1"/>
      <c r="AH945" s="7"/>
    </row>
    <row r="946" spans="33:34" ht="14" x14ac:dyDescent="0.2">
      <c r="AG946" s="1"/>
      <c r="AH946" s="7"/>
    </row>
    <row r="947" spans="33:34" ht="14" x14ac:dyDescent="0.2">
      <c r="AG947" s="1"/>
      <c r="AH947" s="7"/>
    </row>
    <row r="948" spans="33:34" ht="14" x14ac:dyDescent="0.2">
      <c r="AG948" s="1"/>
      <c r="AH948" s="7"/>
    </row>
    <row r="949" spans="33:34" ht="14" x14ac:dyDescent="0.2">
      <c r="AG949" s="1"/>
      <c r="AH949" s="7"/>
    </row>
    <row r="950" spans="33:34" ht="14" x14ac:dyDescent="0.2">
      <c r="AG950" s="1"/>
      <c r="AH950" s="7"/>
    </row>
    <row r="951" spans="33:34" ht="14" x14ac:dyDescent="0.2">
      <c r="AG951" s="1"/>
      <c r="AH951" s="7"/>
    </row>
    <row r="952" spans="33:34" ht="14" x14ac:dyDescent="0.2">
      <c r="AG952" s="1"/>
      <c r="AH952" s="7"/>
    </row>
    <row r="953" spans="33:34" ht="14" x14ac:dyDescent="0.2">
      <c r="AG953" s="1"/>
      <c r="AH953" s="7"/>
    </row>
    <row r="954" spans="33:34" ht="14" x14ac:dyDescent="0.2">
      <c r="AG954" s="1"/>
      <c r="AH954" s="7"/>
    </row>
    <row r="955" spans="33:34" ht="14" x14ac:dyDescent="0.2">
      <c r="AG955" s="1"/>
      <c r="AH955" s="7"/>
    </row>
    <row r="956" spans="33:34" ht="14" x14ac:dyDescent="0.2">
      <c r="AG956" s="1"/>
      <c r="AH956" s="7"/>
    </row>
    <row r="957" spans="33:34" ht="14" x14ac:dyDescent="0.2">
      <c r="AG957" s="1"/>
      <c r="AH957" s="7"/>
    </row>
    <row r="958" spans="33:34" ht="14" x14ac:dyDescent="0.2">
      <c r="AG958" s="1"/>
      <c r="AH958" s="7"/>
    </row>
    <row r="959" spans="33:34" ht="14" x14ac:dyDescent="0.2">
      <c r="AG959" s="1"/>
      <c r="AH959" s="7"/>
    </row>
    <row r="960" spans="33:34" ht="14" x14ac:dyDescent="0.2">
      <c r="AG960" s="1"/>
      <c r="AH960" s="7"/>
    </row>
    <row r="961" spans="33:34" ht="14" x14ac:dyDescent="0.2">
      <c r="AG961" s="1"/>
      <c r="AH961" s="7"/>
    </row>
    <row r="962" spans="33:34" ht="14" x14ac:dyDescent="0.2">
      <c r="AG962" s="1"/>
      <c r="AH962" s="7"/>
    </row>
    <row r="963" spans="33:34" ht="14" x14ac:dyDescent="0.2">
      <c r="AG963" s="1"/>
      <c r="AH963" s="7"/>
    </row>
    <row r="964" spans="33:34" ht="14" x14ac:dyDescent="0.2">
      <c r="AG964" s="1"/>
      <c r="AH964" s="7"/>
    </row>
    <row r="965" spans="33:34" ht="14" x14ac:dyDescent="0.2">
      <c r="AG965" s="1"/>
      <c r="AH965" s="7"/>
    </row>
    <row r="966" spans="33:34" ht="14" x14ac:dyDescent="0.2">
      <c r="AG966" s="1"/>
      <c r="AH966" s="7"/>
    </row>
    <row r="967" spans="33:34" ht="14" x14ac:dyDescent="0.2">
      <c r="AG967" s="1"/>
      <c r="AH967" s="7"/>
    </row>
    <row r="968" spans="33:34" ht="14" x14ac:dyDescent="0.2">
      <c r="AG968" s="1"/>
      <c r="AH968" s="7"/>
    </row>
    <row r="969" spans="33:34" ht="14" x14ac:dyDescent="0.2">
      <c r="AG969" s="1"/>
      <c r="AH969" s="7"/>
    </row>
    <row r="970" spans="33:34" ht="14" x14ac:dyDescent="0.2">
      <c r="AG970" s="1"/>
      <c r="AH970" s="7"/>
    </row>
    <row r="971" spans="33:34" ht="14" x14ac:dyDescent="0.2">
      <c r="AG971" s="1"/>
      <c r="AH971" s="7"/>
    </row>
    <row r="972" spans="33:34" ht="14" x14ac:dyDescent="0.2">
      <c r="AG972" s="1"/>
      <c r="AH972" s="7"/>
    </row>
    <row r="973" spans="33:34" ht="14" x14ac:dyDescent="0.2">
      <c r="AG973" s="1"/>
      <c r="AH973" s="7"/>
    </row>
    <row r="974" spans="33:34" ht="14" x14ac:dyDescent="0.2">
      <c r="AG974" s="1"/>
      <c r="AH974" s="7"/>
    </row>
    <row r="975" spans="33:34" ht="14" x14ac:dyDescent="0.2">
      <c r="AG975" s="1"/>
      <c r="AH975" s="7"/>
    </row>
    <row r="976" spans="33:34" ht="14" x14ac:dyDescent="0.2">
      <c r="AG976" s="1"/>
      <c r="AH976" s="7"/>
    </row>
    <row r="977" spans="33:34" ht="14" x14ac:dyDescent="0.2">
      <c r="AG977" s="1"/>
      <c r="AH977" s="7"/>
    </row>
    <row r="978" spans="33:34" ht="14" x14ac:dyDescent="0.2">
      <c r="AG978" s="1"/>
      <c r="AH978" s="7"/>
    </row>
    <row r="979" spans="33:34" ht="14" x14ac:dyDescent="0.2">
      <c r="AG979" s="1"/>
      <c r="AH979" s="7"/>
    </row>
    <row r="980" spans="33:34" ht="14" x14ac:dyDescent="0.2">
      <c r="AG980" s="1"/>
      <c r="AH980" s="7"/>
    </row>
    <row r="981" spans="33:34" ht="14" x14ac:dyDescent="0.2">
      <c r="AG981" s="1"/>
      <c r="AH981" s="7"/>
    </row>
    <row r="982" spans="33:34" ht="14" x14ac:dyDescent="0.2">
      <c r="AG982" s="1"/>
      <c r="AH982" s="7"/>
    </row>
    <row r="983" spans="33:34" ht="14" x14ac:dyDescent="0.2">
      <c r="AG983" s="1"/>
      <c r="AH983" s="7"/>
    </row>
    <row r="984" spans="33:34" ht="14" x14ac:dyDescent="0.2">
      <c r="AG984" s="1"/>
      <c r="AH984" s="7"/>
    </row>
    <row r="985" spans="33:34" ht="14" x14ac:dyDescent="0.2">
      <c r="AG985" s="1"/>
      <c r="AH985" s="7"/>
    </row>
    <row r="986" spans="33:34" ht="14" x14ac:dyDescent="0.2">
      <c r="AG986" s="1"/>
      <c r="AH986" s="7"/>
    </row>
    <row r="987" spans="33:34" ht="14" x14ac:dyDescent="0.2">
      <c r="AG987" s="1"/>
      <c r="AH987" s="7"/>
    </row>
    <row r="988" spans="33:34" ht="14" x14ac:dyDescent="0.2">
      <c r="AG988" s="1"/>
      <c r="AH988" s="7"/>
    </row>
    <row r="989" spans="33:34" ht="14" x14ac:dyDescent="0.2">
      <c r="AG989" s="1"/>
      <c r="AH989" s="7"/>
    </row>
    <row r="990" spans="33:34" ht="14" x14ac:dyDescent="0.2">
      <c r="AG990" s="1"/>
      <c r="AH990" s="7"/>
    </row>
    <row r="991" spans="33:34" ht="14" x14ac:dyDescent="0.2">
      <c r="AG991" s="1"/>
      <c r="AH991" s="7"/>
    </row>
    <row r="992" spans="33:34" ht="14" x14ac:dyDescent="0.2">
      <c r="AG992" s="1"/>
      <c r="AH992" s="7"/>
    </row>
    <row r="993" spans="33:34" ht="14" x14ac:dyDescent="0.2">
      <c r="AG993" s="1"/>
      <c r="AH993" s="7"/>
    </row>
    <row r="994" spans="33:34" ht="14" x14ac:dyDescent="0.2">
      <c r="AG994" s="1"/>
      <c r="AH994" s="7"/>
    </row>
    <row r="995" spans="33:34" ht="14" x14ac:dyDescent="0.2">
      <c r="AG995" s="1"/>
      <c r="AH995" s="7"/>
    </row>
    <row r="996" spans="33:34" ht="14" x14ac:dyDescent="0.2">
      <c r="AG996" s="1"/>
      <c r="AH996" s="7"/>
    </row>
    <row r="997" spans="33:34" ht="14" x14ac:dyDescent="0.2">
      <c r="AG997" s="1"/>
      <c r="AH997" s="7"/>
    </row>
    <row r="998" spans="33:34" ht="14" x14ac:dyDescent="0.2">
      <c r="AG998" s="1"/>
      <c r="AH998" s="7"/>
    </row>
    <row r="999" spans="33:34" ht="14" x14ac:dyDescent="0.2">
      <c r="AG999" s="1"/>
      <c r="AH999" s="7"/>
    </row>
    <row r="1000" spans="33:34" ht="14" x14ac:dyDescent="0.2">
      <c r="AG1000" s="1"/>
      <c r="AH1000" s="7"/>
    </row>
    <row r="1001" spans="33:34" ht="14" x14ac:dyDescent="0.2">
      <c r="AG1001" s="1"/>
      <c r="AH1001" s="7"/>
    </row>
    <row r="1002" spans="33:34" ht="14" x14ac:dyDescent="0.2">
      <c r="AG1002" s="1"/>
      <c r="AH1002" s="7"/>
    </row>
    <row r="1003" spans="33:34" ht="14" x14ac:dyDescent="0.2">
      <c r="AG1003" s="1"/>
      <c r="AH1003" s="7"/>
    </row>
    <row r="1004" spans="33:34" ht="14" x14ac:dyDescent="0.2">
      <c r="AG1004" s="1"/>
      <c r="AH1004" s="7"/>
    </row>
    <row r="1005" spans="33:34" ht="14" x14ac:dyDescent="0.2">
      <c r="AG1005" s="1"/>
      <c r="AH1005" s="7"/>
    </row>
    <row r="1006" spans="33:34" ht="14" x14ac:dyDescent="0.2">
      <c r="AG1006" s="1"/>
      <c r="AH1006" s="7"/>
    </row>
    <row r="1007" spans="33:34" ht="14" x14ac:dyDescent="0.2">
      <c r="AG1007" s="1"/>
      <c r="AH1007" s="7"/>
    </row>
  </sheetData>
  <conditionalFormatting sqref="B43">
    <cfRule type="cellIs" dxfId="24" priority="3" operator="greaterThanOrEqual">
      <formula>0</formula>
    </cfRule>
    <cfRule type="cellIs" dxfId="23" priority="4" operator="lessThanOrEqual">
      <formula>0</formula>
    </cfRule>
  </conditionalFormatting>
  <conditionalFormatting sqref="B2:F2 H2:AE2 V4">
    <cfRule type="cellIs" dxfId="22" priority="7" operator="greaterThan">
      <formula>4200</formula>
    </cfRule>
  </conditionalFormatting>
  <conditionalFormatting sqref="B33:AG33 AJ33:BG33">
    <cfRule type="cellIs" dxfId="21" priority="1" operator="greaterThanOrEqual">
      <formula>0</formula>
    </cfRule>
    <cfRule type="cellIs" dxfId="20" priority="2" operator="lessThanOrEqual">
      <formula>0</formula>
    </cfRule>
  </conditionalFormatting>
  <conditionalFormatting sqref="AH33">
    <cfRule type="cellIs" dxfId="19" priority="5" operator="greaterThanOrEqual">
      <formula>1</formula>
    </cfRule>
    <cfRule type="cellIs" dxfId="18" priority="6" operator="lessThan">
      <formula>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outlinePr summaryBelow="0" summaryRight="0"/>
  </sheetPr>
  <dimension ref="A1:BF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8" width="9" customWidth="1"/>
  </cols>
  <sheetData>
    <row r="1" spans="1:58" ht="15.75" customHeight="1" x14ac:dyDescent="0.2">
      <c r="A1" s="8" t="s">
        <v>127</v>
      </c>
      <c r="B1" s="64">
        <v>45962</v>
      </c>
      <c r="C1" s="64">
        <v>45963</v>
      </c>
      <c r="D1" s="64">
        <v>45964</v>
      </c>
      <c r="E1" s="64">
        <v>45965</v>
      </c>
      <c r="F1" s="85">
        <v>45966</v>
      </c>
      <c r="G1" s="64">
        <v>45967</v>
      </c>
      <c r="H1" s="64">
        <v>45968</v>
      </c>
      <c r="I1" s="64">
        <v>45969</v>
      </c>
      <c r="J1" s="64">
        <v>45970</v>
      </c>
      <c r="K1" s="64">
        <v>45971</v>
      </c>
      <c r="L1" s="64">
        <v>45972</v>
      </c>
      <c r="M1" s="64">
        <v>45973</v>
      </c>
      <c r="N1" s="64">
        <v>45974</v>
      </c>
      <c r="O1" s="64">
        <v>45975</v>
      </c>
      <c r="P1" s="85">
        <v>45976</v>
      </c>
      <c r="Q1" s="64">
        <v>45977</v>
      </c>
      <c r="R1" s="64">
        <v>45978</v>
      </c>
      <c r="S1" s="64">
        <v>45979</v>
      </c>
      <c r="T1" s="64">
        <v>45980</v>
      </c>
      <c r="U1" s="64">
        <v>45981</v>
      </c>
      <c r="V1" s="64">
        <v>45982</v>
      </c>
      <c r="W1" s="64">
        <v>45983</v>
      </c>
      <c r="X1" s="64">
        <v>45984</v>
      </c>
      <c r="Y1" s="64">
        <v>45985</v>
      </c>
      <c r="Z1" s="64">
        <v>45986</v>
      </c>
      <c r="AA1" s="64">
        <v>45987</v>
      </c>
      <c r="AB1" s="64">
        <v>45988</v>
      </c>
      <c r="AC1" s="64">
        <v>45989</v>
      </c>
      <c r="AD1" s="64">
        <v>45990</v>
      </c>
      <c r="AE1" s="64">
        <v>45991</v>
      </c>
      <c r="AF1" s="22" t="s">
        <v>0</v>
      </c>
      <c r="AG1" s="22" t="s">
        <v>153</v>
      </c>
      <c r="AH1" s="8" t="s">
        <v>161</v>
      </c>
      <c r="AI1" s="65"/>
      <c r="AJ1" s="65"/>
      <c r="AK1" s="65"/>
      <c r="AL1" s="65"/>
      <c r="AM1" s="65"/>
      <c r="AN1" s="65"/>
      <c r="AO1" s="65"/>
      <c r="AP1" s="65"/>
      <c r="AQ1" s="65"/>
      <c r="AR1" s="65"/>
      <c r="AS1" s="65"/>
      <c r="AT1" s="65"/>
      <c r="AU1" s="65"/>
      <c r="AV1" s="65"/>
      <c r="AW1" s="65"/>
      <c r="AX1" s="65"/>
      <c r="AY1" s="65"/>
      <c r="AZ1" s="65"/>
      <c r="BA1" s="65"/>
      <c r="BB1" s="65"/>
      <c r="BC1" s="65"/>
      <c r="BD1" s="65"/>
      <c r="BE1" s="65"/>
      <c r="BF1" s="65"/>
    </row>
    <row r="2" spans="1:58" ht="15.75" customHeight="1" x14ac:dyDescent="0.2">
      <c r="A2" s="4" t="s">
        <v>162</v>
      </c>
      <c r="B2" s="66">
        <v>1700</v>
      </c>
      <c r="C2" s="66">
        <v>1700</v>
      </c>
      <c r="D2" s="66">
        <v>1700</v>
      </c>
      <c r="E2" s="66">
        <v>1700</v>
      </c>
      <c r="F2" s="69">
        <v>0</v>
      </c>
      <c r="G2" s="66">
        <v>1700</v>
      </c>
      <c r="H2" s="66">
        <v>1700</v>
      </c>
      <c r="I2" s="66">
        <v>1700</v>
      </c>
      <c r="J2" s="66">
        <v>1700</v>
      </c>
      <c r="K2" s="66">
        <v>1700</v>
      </c>
      <c r="L2" s="66">
        <v>1700</v>
      </c>
      <c r="M2" s="66">
        <v>1700</v>
      </c>
      <c r="N2" s="66">
        <v>1700</v>
      </c>
      <c r="O2" s="66">
        <v>1700</v>
      </c>
      <c r="P2" s="69">
        <v>0</v>
      </c>
      <c r="Q2" s="66">
        <v>1700</v>
      </c>
      <c r="R2" s="66">
        <v>1700</v>
      </c>
      <c r="S2" s="66">
        <v>1700</v>
      </c>
      <c r="T2" s="66">
        <v>1700</v>
      </c>
      <c r="U2" s="66">
        <v>1700</v>
      </c>
      <c r="V2" s="66">
        <v>1700</v>
      </c>
      <c r="W2" s="66">
        <v>1700</v>
      </c>
      <c r="X2" s="66">
        <v>1700</v>
      </c>
      <c r="Y2" s="66">
        <v>1700</v>
      </c>
      <c r="Z2" s="66">
        <v>1700</v>
      </c>
      <c r="AA2" s="66">
        <v>1700</v>
      </c>
      <c r="AB2" s="66">
        <v>1700</v>
      </c>
      <c r="AC2" s="66">
        <v>1700</v>
      </c>
      <c r="AD2" s="66">
        <v>1700</v>
      </c>
      <c r="AE2" s="66">
        <v>1700</v>
      </c>
      <c r="AF2" s="56">
        <f t="shared" ref="AF2:AF4" si="0">SUM(B2:AE2)</f>
        <v>47600</v>
      </c>
      <c r="AG2" s="67">
        <f t="shared" ref="AG2:AG4" si="1">IFERROR(AVERAGE(B2:AE2),0)</f>
        <v>1586.6666666666667</v>
      </c>
      <c r="AH2" s="68">
        <f t="shared" ref="AH2:AH4" si="2">(AG2/$AG$29)*100</f>
        <v>19.826713237734101</v>
      </c>
      <c r="AI2" s="14"/>
      <c r="AJ2" s="14"/>
      <c r="AK2" s="14"/>
      <c r="AL2" s="14"/>
      <c r="AM2" s="14"/>
      <c r="AN2" s="14"/>
      <c r="AO2" s="14"/>
      <c r="AP2" s="14"/>
      <c r="AQ2" s="14"/>
      <c r="AR2" s="14"/>
      <c r="AS2" s="14"/>
      <c r="AT2" s="14"/>
      <c r="AU2" s="14"/>
      <c r="AV2" s="14"/>
      <c r="AW2" s="14"/>
      <c r="AX2" s="14"/>
      <c r="AY2" s="14"/>
      <c r="AZ2" s="14"/>
      <c r="BA2" s="14"/>
      <c r="BB2" s="14"/>
      <c r="BC2" s="14"/>
      <c r="BD2" s="14"/>
      <c r="BE2" s="14"/>
      <c r="BF2" s="14"/>
    </row>
    <row r="3" spans="1:58" ht="15.75" customHeight="1" x14ac:dyDescent="0.2">
      <c r="A3" s="4" t="s">
        <v>163</v>
      </c>
      <c r="B3" s="59">
        <f t="shared" ref="B3:E3" si="3">$B$39/$B$59</f>
        <v>2555.5714285714284</v>
      </c>
      <c r="C3" s="59">
        <f t="shared" si="3"/>
        <v>2555.5714285714284</v>
      </c>
      <c r="D3" s="59">
        <f t="shared" si="3"/>
        <v>2555.5714285714284</v>
      </c>
      <c r="E3" s="59">
        <f t="shared" si="3"/>
        <v>2555.5714285714284</v>
      </c>
      <c r="F3" s="69">
        <v>0</v>
      </c>
      <c r="G3" s="59">
        <f t="shared" ref="G3:O3" si="4">$B$39/$B$59</f>
        <v>2555.5714285714284</v>
      </c>
      <c r="H3" s="59">
        <f t="shared" si="4"/>
        <v>2555.5714285714284</v>
      </c>
      <c r="I3" s="59">
        <f t="shared" si="4"/>
        <v>2555.5714285714284</v>
      </c>
      <c r="J3" s="59">
        <f t="shared" si="4"/>
        <v>2555.5714285714284</v>
      </c>
      <c r="K3" s="59">
        <f t="shared" si="4"/>
        <v>2555.5714285714284</v>
      </c>
      <c r="L3" s="59">
        <f t="shared" si="4"/>
        <v>2555.5714285714284</v>
      </c>
      <c r="M3" s="59">
        <f t="shared" si="4"/>
        <v>2555.5714285714284</v>
      </c>
      <c r="N3" s="59">
        <f t="shared" si="4"/>
        <v>2555.5714285714284</v>
      </c>
      <c r="O3" s="59">
        <f t="shared" si="4"/>
        <v>2555.5714285714284</v>
      </c>
      <c r="P3" s="69">
        <v>0</v>
      </c>
      <c r="Q3" s="59">
        <f t="shared" ref="Q3:AE3" si="5">$B$39/$B$59</f>
        <v>2555.5714285714284</v>
      </c>
      <c r="R3" s="59">
        <f t="shared" si="5"/>
        <v>2555.5714285714284</v>
      </c>
      <c r="S3" s="59">
        <f t="shared" si="5"/>
        <v>2555.5714285714284</v>
      </c>
      <c r="T3" s="59">
        <f t="shared" si="5"/>
        <v>2555.5714285714284</v>
      </c>
      <c r="U3" s="59">
        <f t="shared" si="5"/>
        <v>2555.5714285714284</v>
      </c>
      <c r="V3" s="59">
        <f t="shared" si="5"/>
        <v>2555.5714285714284</v>
      </c>
      <c r="W3" s="59">
        <f t="shared" si="5"/>
        <v>2555.5714285714284</v>
      </c>
      <c r="X3" s="59">
        <f t="shared" si="5"/>
        <v>2555.5714285714284</v>
      </c>
      <c r="Y3" s="59">
        <f t="shared" si="5"/>
        <v>2555.5714285714284</v>
      </c>
      <c r="Z3" s="59">
        <f t="shared" si="5"/>
        <v>2555.5714285714284</v>
      </c>
      <c r="AA3" s="59">
        <f t="shared" si="5"/>
        <v>2555.5714285714284</v>
      </c>
      <c r="AB3" s="59">
        <f t="shared" si="5"/>
        <v>2555.5714285714284</v>
      </c>
      <c r="AC3" s="59">
        <f t="shared" si="5"/>
        <v>2555.5714285714284</v>
      </c>
      <c r="AD3" s="59">
        <f t="shared" si="5"/>
        <v>2555.5714285714284</v>
      </c>
      <c r="AE3" s="59">
        <f t="shared" si="5"/>
        <v>2555.5714285714284</v>
      </c>
      <c r="AF3" s="56">
        <f t="shared" si="0"/>
        <v>71556</v>
      </c>
      <c r="AG3" s="67">
        <f t="shared" si="1"/>
        <v>2385.1999999999998</v>
      </c>
      <c r="AH3" s="68">
        <f t="shared" si="2"/>
        <v>29.805048160489523</v>
      </c>
      <c r="AI3" s="14"/>
      <c r="AJ3" s="14"/>
      <c r="AK3" s="14"/>
      <c r="AL3" s="14"/>
      <c r="AM3" s="14"/>
      <c r="AN3" s="14"/>
      <c r="AO3" s="14"/>
      <c r="AP3" s="14"/>
      <c r="AQ3" s="14"/>
      <c r="AR3" s="14"/>
      <c r="AS3" s="14"/>
      <c r="AT3" s="14"/>
      <c r="AU3" s="14"/>
      <c r="AV3" s="14"/>
      <c r="AW3" s="14"/>
      <c r="AX3" s="14"/>
      <c r="AY3" s="14"/>
      <c r="AZ3" s="14"/>
      <c r="BA3" s="14"/>
      <c r="BB3" s="14"/>
      <c r="BC3" s="14"/>
      <c r="BD3" s="14"/>
      <c r="BE3" s="14"/>
      <c r="BF3" s="14"/>
    </row>
    <row r="4" spans="1:58" ht="15.75" customHeight="1" x14ac:dyDescent="0.2">
      <c r="A4" s="4" t="s">
        <v>20</v>
      </c>
      <c r="B4" s="69">
        <f t="shared" ref="B4:E4" si="6">$B$42/$B$59</f>
        <v>966.92857142857144</v>
      </c>
      <c r="C4" s="69">
        <f t="shared" si="6"/>
        <v>966.92857142857144</v>
      </c>
      <c r="D4" s="69">
        <f t="shared" si="6"/>
        <v>966.92857142857144</v>
      </c>
      <c r="E4" s="69">
        <f t="shared" si="6"/>
        <v>966.92857142857144</v>
      </c>
      <c r="F4" s="69">
        <v>0</v>
      </c>
      <c r="G4" s="69">
        <f t="shared" ref="G4:O4" si="7">$B$42/$B$59</f>
        <v>966.92857142857144</v>
      </c>
      <c r="H4" s="69">
        <f t="shared" si="7"/>
        <v>966.92857142857144</v>
      </c>
      <c r="I4" s="69">
        <f t="shared" si="7"/>
        <v>966.92857142857144</v>
      </c>
      <c r="J4" s="69">
        <f t="shared" si="7"/>
        <v>966.92857142857144</v>
      </c>
      <c r="K4" s="69">
        <f t="shared" si="7"/>
        <v>966.92857142857144</v>
      </c>
      <c r="L4" s="69">
        <f t="shared" si="7"/>
        <v>966.92857142857144</v>
      </c>
      <c r="M4" s="69">
        <f t="shared" si="7"/>
        <v>966.92857142857144</v>
      </c>
      <c r="N4" s="69">
        <f t="shared" si="7"/>
        <v>966.92857142857144</v>
      </c>
      <c r="O4" s="69">
        <f t="shared" si="7"/>
        <v>966.92857142857144</v>
      </c>
      <c r="P4" s="69">
        <v>0</v>
      </c>
      <c r="Q4" s="69">
        <f t="shared" ref="Q4:AE4" si="8">$B$42/$B$59</f>
        <v>966.92857142857144</v>
      </c>
      <c r="R4" s="69">
        <f t="shared" si="8"/>
        <v>966.92857142857144</v>
      </c>
      <c r="S4" s="69">
        <f t="shared" si="8"/>
        <v>966.92857142857144</v>
      </c>
      <c r="T4" s="69">
        <f t="shared" si="8"/>
        <v>966.92857142857144</v>
      </c>
      <c r="U4" s="69">
        <f t="shared" si="8"/>
        <v>966.92857142857144</v>
      </c>
      <c r="V4" s="69">
        <f t="shared" si="8"/>
        <v>966.92857142857144</v>
      </c>
      <c r="W4" s="69">
        <f t="shared" si="8"/>
        <v>966.92857142857144</v>
      </c>
      <c r="X4" s="69">
        <f t="shared" si="8"/>
        <v>966.92857142857144</v>
      </c>
      <c r="Y4" s="69">
        <f t="shared" si="8"/>
        <v>966.92857142857144</v>
      </c>
      <c r="Z4" s="69">
        <f t="shared" si="8"/>
        <v>966.92857142857144</v>
      </c>
      <c r="AA4" s="69">
        <f t="shared" si="8"/>
        <v>966.92857142857144</v>
      </c>
      <c r="AB4" s="69">
        <f t="shared" si="8"/>
        <v>966.92857142857144</v>
      </c>
      <c r="AC4" s="69">
        <f t="shared" si="8"/>
        <v>966.92857142857144</v>
      </c>
      <c r="AD4" s="69">
        <f t="shared" si="8"/>
        <v>966.92857142857144</v>
      </c>
      <c r="AE4" s="69">
        <f t="shared" si="8"/>
        <v>966.92857142857144</v>
      </c>
      <c r="AF4" s="56">
        <f t="shared" si="0"/>
        <v>27074.000000000007</v>
      </c>
      <c r="AG4" s="67">
        <f t="shared" si="1"/>
        <v>902.46666666666692</v>
      </c>
      <c r="AH4" s="68">
        <f t="shared" si="2"/>
        <v>11.277067945344815</v>
      </c>
      <c r="AI4" s="14"/>
      <c r="AJ4" s="14"/>
      <c r="AK4" s="14"/>
      <c r="AL4" s="14"/>
      <c r="AM4" s="14"/>
      <c r="AN4" s="14"/>
      <c r="AO4" s="14"/>
      <c r="AP4" s="14"/>
      <c r="AQ4" s="14"/>
      <c r="AR4" s="14"/>
      <c r="AS4" s="14"/>
      <c r="AT4" s="14"/>
      <c r="AU4" s="14"/>
      <c r="AV4" s="14"/>
      <c r="AW4" s="14"/>
      <c r="AX4" s="14"/>
      <c r="AY4" s="14"/>
      <c r="AZ4" s="14"/>
      <c r="BA4" s="14"/>
      <c r="BB4" s="14"/>
      <c r="BC4" s="14"/>
      <c r="BD4" s="14"/>
      <c r="BE4" s="14"/>
      <c r="BF4" s="14"/>
    </row>
    <row r="5" spans="1:58"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1"/>
      <c r="AG5" s="71"/>
      <c r="AH5" s="72"/>
      <c r="AI5" s="14"/>
      <c r="AJ5" s="14"/>
      <c r="AK5" s="14"/>
      <c r="AL5" s="14"/>
      <c r="AM5" s="14"/>
      <c r="AN5" s="14"/>
      <c r="AO5" s="14"/>
      <c r="AP5" s="14"/>
      <c r="AQ5" s="14"/>
      <c r="AR5" s="14"/>
      <c r="AS5" s="14"/>
      <c r="AT5" s="14"/>
      <c r="AU5" s="14"/>
      <c r="AV5" s="14"/>
      <c r="AW5" s="14"/>
      <c r="AX5" s="14"/>
      <c r="AY5" s="14"/>
      <c r="AZ5" s="14"/>
      <c r="BA5" s="14"/>
      <c r="BB5" s="14"/>
      <c r="BC5" s="14"/>
      <c r="BD5" s="14"/>
      <c r="BE5" s="14"/>
      <c r="BF5" s="14"/>
    </row>
    <row r="6" spans="1:58" ht="15.75" customHeight="1" x14ac:dyDescent="0.2">
      <c r="A6" s="4" t="s">
        <v>165</v>
      </c>
      <c r="B6" s="69">
        <v>2000</v>
      </c>
      <c r="C6" s="69">
        <v>2000</v>
      </c>
      <c r="D6" s="69">
        <v>2000</v>
      </c>
      <c r="E6" s="69">
        <v>1500</v>
      </c>
      <c r="F6" s="69">
        <v>0</v>
      </c>
      <c r="G6" s="69">
        <v>0</v>
      </c>
      <c r="H6" s="69">
        <v>1500</v>
      </c>
      <c r="I6" s="69">
        <v>1500</v>
      </c>
      <c r="J6" s="69">
        <v>2000</v>
      </c>
      <c r="K6" s="69">
        <v>1500</v>
      </c>
      <c r="L6" s="69">
        <v>1000</v>
      </c>
      <c r="M6" s="69">
        <v>1000</v>
      </c>
      <c r="N6" s="69">
        <v>1000</v>
      </c>
      <c r="O6" s="69">
        <v>1000</v>
      </c>
      <c r="P6" s="69">
        <v>0</v>
      </c>
      <c r="Q6" s="69">
        <v>2000</v>
      </c>
      <c r="R6" s="69">
        <v>2000</v>
      </c>
      <c r="S6" s="69">
        <v>1000</v>
      </c>
      <c r="T6" s="69">
        <v>1800</v>
      </c>
      <c r="U6" s="69">
        <v>1000</v>
      </c>
      <c r="V6" s="69">
        <v>2000</v>
      </c>
      <c r="W6" s="69">
        <v>1500</v>
      </c>
      <c r="X6" s="69">
        <v>3000</v>
      </c>
      <c r="Y6" s="69">
        <v>2000</v>
      </c>
      <c r="Z6" s="69">
        <v>900</v>
      </c>
      <c r="AA6" s="69">
        <v>1500</v>
      </c>
      <c r="AB6" s="69">
        <v>1000</v>
      </c>
      <c r="AC6" s="69">
        <v>2000</v>
      </c>
      <c r="AD6" s="69">
        <v>0</v>
      </c>
      <c r="AE6" s="69">
        <v>2000</v>
      </c>
      <c r="AF6" s="56">
        <f t="shared" ref="AF6:AF8" si="9">SUM(B6:AE6)</f>
        <v>41700</v>
      </c>
      <c r="AG6" s="67">
        <f t="shared" ref="AG6:AG8" si="10">IFERROR(AVERAGE(B6:AE6),0)</f>
        <v>1390</v>
      </c>
      <c r="AH6" s="68">
        <f t="shared" ref="AH6:AH8" si="11">(AG6/$AG$29)*100</f>
        <v>17.36920046246874</v>
      </c>
      <c r="AI6" s="14"/>
      <c r="AJ6" s="14"/>
      <c r="AR6" s="14"/>
      <c r="AS6" s="14"/>
      <c r="AT6" s="14"/>
      <c r="AU6" s="14"/>
      <c r="AV6" s="14"/>
      <c r="AW6" s="14"/>
      <c r="AX6" s="14"/>
      <c r="AY6" s="14"/>
      <c r="AZ6" s="14"/>
      <c r="BA6" s="14"/>
      <c r="BB6" s="14"/>
      <c r="BC6" s="14"/>
      <c r="BD6" s="14"/>
      <c r="BE6" s="14"/>
      <c r="BF6" s="14"/>
    </row>
    <row r="7" spans="1:58" ht="15.75" customHeight="1" x14ac:dyDescent="0.2">
      <c r="A7" s="4" t="s">
        <v>166</v>
      </c>
      <c r="B7" s="69">
        <f t="shared" ref="B7:E7" si="12">$B$51/$B$59</f>
        <v>80.357142857142861</v>
      </c>
      <c r="C7" s="69">
        <f t="shared" si="12"/>
        <v>80.357142857142861</v>
      </c>
      <c r="D7" s="69">
        <f t="shared" si="12"/>
        <v>80.357142857142861</v>
      </c>
      <c r="E7" s="69">
        <f t="shared" si="12"/>
        <v>80.357142857142861</v>
      </c>
      <c r="F7" s="69">
        <v>0</v>
      </c>
      <c r="G7" s="69">
        <f t="shared" ref="G7:O7" si="13">$B$51/$B$59</f>
        <v>80.357142857142861</v>
      </c>
      <c r="H7" s="69">
        <f t="shared" si="13"/>
        <v>80.357142857142861</v>
      </c>
      <c r="I7" s="69">
        <f t="shared" si="13"/>
        <v>80.357142857142861</v>
      </c>
      <c r="J7" s="69">
        <f t="shared" si="13"/>
        <v>80.357142857142861</v>
      </c>
      <c r="K7" s="69">
        <f t="shared" si="13"/>
        <v>80.357142857142861</v>
      </c>
      <c r="L7" s="69">
        <f t="shared" si="13"/>
        <v>80.357142857142861</v>
      </c>
      <c r="M7" s="69">
        <f t="shared" si="13"/>
        <v>80.357142857142861</v>
      </c>
      <c r="N7" s="69">
        <f t="shared" si="13"/>
        <v>80.357142857142861</v>
      </c>
      <c r="O7" s="69">
        <f t="shared" si="13"/>
        <v>80.357142857142861</v>
      </c>
      <c r="P7" s="69">
        <v>0</v>
      </c>
      <c r="Q7" s="69">
        <f t="shared" ref="Q7:AE7" si="14">$B$51/$B$59</f>
        <v>80.357142857142861</v>
      </c>
      <c r="R7" s="69">
        <f t="shared" si="14"/>
        <v>80.357142857142861</v>
      </c>
      <c r="S7" s="69">
        <f t="shared" si="14"/>
        <v>80.357142857142861</v>
      </c>
      <c r="T7" s="69">
        <f t="shared" si="14"/>
        <v>80.357142857142861</v>
      </c>
      <c r="U7" s="69">
        <f t="shared" si="14"/>
        <v>80.357142857142861</v>
      </c>
      <c r="V7" s="69">
        <f t="shared" si="14"/>
        <v>80.357142857142861</v>
      </c>
      <c r="W7" s="69">
        <f t="shared" si="14"/>
        <v>80.357142857142861</v>
      </c>
      <c r="X7" s="69">
        <f t="shared" si="14"/>
        <v>80.357142857142861</v>
      </c>
      <c r="Y7" s="69">
        <f t="shared" si="14"/>
        <v>80.357142857142861</v>
      </c>
      <c r="Z7" s="69">
        <f t="shared" si="14"/>
        <v>80.357142857142861</v>
      </c>
      <c r="AA7" s="69">
        <f t="shared" si="14"/>
        <v>80.357142857142861</v>
      </c>
      <c r="AB7" s="69">
        <f t="shared" si="14"/>
        <v>80.357142857142861</v>
      </c>
      <c r="AC7" s="69">
        <f t="shared" si="14"/>
        <v>80.357142857142861</v>
      </c>
      <c r="AD7" s="69">
        <f t="shared" si="14"/>
        <v>80.357142857142861</v>
      </c>
      <c r="AE7" s="69">
        <f t="shared" si="14"/>
        <v>80.357142857142861</v>
      </c>
      <c r="AF7" s="56">
        <f t="shared" si="9"/>
        <v>2250</v>
      </c>
      <c r="AG7" s="67">
        <f t="shared" si="10"/>
        <v>75</v>
      </c>
      <c r="AH7" s="68">
        <f t="shared" si="11"/>
        <v>0.93718707531306145</v>
      </c>
      <c r="AI7" s="14"/>
      <c r="AJ7" s="14"/>
      <c r="AR7" s="14"/>
      <c r="AS7" s="14"/>
      <c r="AT7" s="14"/>
      <c r="AU7" s="14"/>
      <c r="AV7" s="14"/>
      <c r="AW7" s="14"/>
      <c r="AX7" s="14"/>
      <c r="AY7" s="14"/>
      <c r="AZ7" s="14"/>
      <c r="BA7" s="14"/>
      <c r="BB7" s="14"/>
      <c r="BC7" s="14"/>
      <c r="BD7" s="14"/>
      <c r="BE7" s="14"/>
      <c r="BF7" s="14"/>
    </row>
    <row r="8" spans="1:58" ht="15.75" customHeight="1" x14ac:dyDescent="0.2">
      <c r="A8" s="4" t="s">
        <v>167</v>
      </c>
      <c r="B8" s="69">
        <f t="shared" ref="B8:E8" si="15">$B$52/$B$59</f>
        <v>142.85714285714286</v>
      </c>
      <c r="C8" s="69">
        <f t="shared" si="15"/>
        <v>142.85714285714286</v>
      </c>
      <c r="D8" s="69">
        <f t="shared" si="15"/>
        <v>142.85714285714286</v>
      </c>
      <c r="E8" s="69">
        <f t="shared" si="15"/>
        <v>142.85714285714286</v>
      </c>
      <c r="F8" s="69">
        <v>0</v>
      </c>
      <c r="G8" s="69">
        <f t="shared" ref="G8:O8" si="16">$B$52/$B$59</f>
        <v>142.85714285714286</v>
      </c>
      <c r="H8" s="69">
        <f t="shared" si="16"/>
        <v>142.85714285714286</v>
      </c>
      <c r="I8" s="69">
        <f t="shared" si="16"/>
        <v>142.85714285714286</v>
      </c>
      <c r="J8" s="69">
        <f t="shared" si="16"/>
        <v>142.85714285714286</v>
      </c>
      <c r="K8" s="69">
        <f t="shared" si="16"/>
        <v>142.85714285714286</v>
      </c>
      <c r="L8" s="69">
        <f t="shared" si="16"/>
        <v>142.85714285714286</v>
      </c>
      <c r="M8" s="69">
        <f t="shared" si="16"/>
        <v>142.85714285714286</v>
      </c>
      <c r="N8" s="69">
        <f t="shared" si="16"/>
        <v>142.85714285714286</v>
      </c>
      <c r="O8" s="69">
        <f t="shared" si="16"/>
        <v>142.85714285714286</v>
      </c>
      <c r="P8" s="69">
        <v>0</v>
      </c>
      <c r="Q8" s="69">
        <f t="shared" ref="Q8:AE8" si="17">$B$52/$B$59</f>
        <v>142.85714285714286</v>
      </c>
      <c r="R8" s="69">
        <f t="shared" si="17"/>
        <v>142.85714285714286</v>
      </c>
      <c r="S8" s="69">
        <f t="shared" si="17"/>
        <v>142.85714285714286</v>
      </c>
      <c r="T8" s="69">
        <f t="shared" si="17"/>
        <v>142.85714285714286</v>
      </c>
      <c r="U8" s="69">
        <f t="shared" si="17"/>
        <v>142.85714285714286</v>
      </c>
      <c r="V8" s="69">
        <f t="shared" si="17"/>
        <v>142.85714285714286</v>
      </c>
      <c r="W8" s="69">
        <f t="shared" si="17"/>
        <v>142.85714285714286</v>
      </c>
      <c r="X8" s="69">
        <f t="shared" si="17"/>
        <v>142.85714285714286</v>
      </c>
      <c r="Y8" s="69">
        <f t="shared" si="17"/>
        <v>142.85714285714286</v>
      </c>
      <c r="Z8" s="69">
        <f t="shared" si="17"/>
        <v>142.85714285714286</v>
      </c>
      <c r="AA8" s="69">
        <f t="shared" si="17"/>
        <v>142.85714285714286</v>
      </c>
      <c r="AB8" s="69">
        <f t="shared" si="17"/>
        <v>142.85714285714286</v>
      </c>
      <c r="AC8" s="69">
        <f t="shared" si="17"/>
        <v>142.85714285714286</v>
      </c>
      <c r="AD8" s="69">
        <f t="shared" si="17"/>
        <v>142.85714285714286</v>
      </c>
      <c r="AE8" s="69">
        <f t="shared" si="17"/>
        <v>142.85714285714286</v>
      </c>
      <c r="AF8" s="56">
        <f t="shared" si="9"/>
        <v>3999.9999999999977</v>
      </c>
      <c r="AG8" s="67">
        <f t="shared" si="10"/>
        <v>133.33333333333326</v>
      </c>
      <c r="AH8" s="68">
        <f t="shared" si="11"/>
        <v>1.6661103561121084</v>
      </c>
      <c r="AI8" s="14"/>
      <c r="AJ8" s="14"/>
      <c r="AM8" s="74"/>
      <c r="AR8" s="14"/>
      <c r="AS8" s="14"/>
      <c r="AT8" s="14"/>
      <c r="AU8" s="14"/>
      <c r="AV8" s="14"/>
      <c r="AW8" s="14"/>
      <c r="AX8" s="14"/>
      <c r="AY8" s="14"/>
      <c r="AZ8" s="14"/>
      <c r="BA8" s="14"/>
      <c r="BB8" s="14"/>
      <c r="BC8" s="14"/>
      <c r="BD8" s="14"/>
      <c r="BE8" s="14"/>
      <c r="BF8" s="14"/>
    </row>
    <row r="9" spans="1:58"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1"/>
      <c r="AG9" s="71"/>
      <c r="AH9" s="72"/>
      <c r="AI9" s="14"/>
      <c r="AJ9" s="14"/>
      <c r="AM9" s="74"/>
      <c r="AR9" s="14"/>
      <c r="AS9" s="14"/>
      <c r="AT9" s="14"/>
      <c r="AU9" s="14"/>
      <c r="AV9" s="14"/>
      <c r="AW9" s="14"/>
      <c r="AX9" s="14"/>
      <c r="AY9" s="14"/>
      <c r="AZ9" s="14"/>
      <c r="BA9" s="14"/>
      <c r="BB9" s="14"/>
      <c r="BC9" s="14"/>
      <c r="BD9" s="14"/>
      <c r="BE9" s="14"/>
      <c r="BF9" s="14"/>
    </row>
    <row r="10" spans="1:58" ht="15.75" customHeight="1" x14ac:dyDescent="0.2">
      <c r="A10" s="4" t="s">
        <v>169</v>
      </c>
      <c r="B10" s="69">
        <f>25+25+30+50+100+50+50+80</f>
        <v>410</v>
      </c>
      <c r="C10" s="69">
        <f>50+50+40+80+100+50</f>
        <v>370</v>
      </c>
      <c r="D10" s="69">
        <f>25+25+30+100+50+50+50</f>
        <v>330</v>
      </c>
      <c r="E10" s="69">
        <f>25+25+30+120+100+50+50</f>
        <v>400</v>
      </c>
      <c r="F10" s="69">
        <v>0</v>
      </c>
      <c r="G10" s="69">
        <f>25+25+40+120+100+50+50+50+20</f>
        <v>480</v>
      </c>
      <c r="H10" s="69">
        <f>25+25+40+100+50</f>
        <v>240</v>
      </c>
      <c r="I10" s="69">
        <f>25+25+30+50+30</f>
        <v>160</v>
      </c>
      <c r="J10" s="69">
        <f>25+25+120+100+50+50+60+40</f>
        <v>470</v>
      </c>
      <c r="K10" s="69">
        <f>25+25+40+120+50+120+30+80+200+1350</f>
        <v>2040</v>
      </c>
      <c r="L10" s="69">
        <f>25+25+120+60+100+50+20+30+50</f>
        <v>480</v>
      </c>
      <c r="M10" s="69">
        <f>25+25+100+50+40</f>
        <v>240</v>
      </c>
      <c r="N10" s="69">
        <f>25+25+100+50+30+50</f>
        <v>280</v>
      </c>
      <c r="O10" s="69">
        <f>25+40+50+50+40+120</f>
        <v>325</v>
      </c>
      <c r="P10" s="69">
        <v>0</v>
      </c>
      <c r="Q10" s="69">
        <f>25+25+50+100+30+50+40+120</f>
        <v>440</v>
      </c>
      <c r="R10" s="69">
        <f>50+50+250+30+50+40+50</f>
        <v>520</v>
      </c>
      <c r="S10" s="69">
        <f>25+25+100+50+40+50+50</f>
        <v>340</v>
      </c>
      <c r="T10" s="69">
        <f>100+50+100</f>
        <v>250</v>
      </c>
      <c r="U10" s="69">
        <f>25+25+100+50+40+120+30</f>
        <v>390</v>
      </c>
      <c r="V10" s="69">
        <f>25+25+50+40+30+200+100</f>
        <v>470</v>
      </c>
      <c r="W10" s="69">
        <f>25+25+50+40+30+50+20</f>
        <v>240</v>
      </c>
      <c r="X10" s="69">
        <f>25+25+50+40+30+50+100</f>
        <v>320</v>
      </c>
      <c r="Y10" s="69">
        <f>25+25+50+100+100+100</f>
        <v>400</v>
      </c>
      <c r="Z10" s="69">
        <f>25+25+50+100+120+50</f>
        <v>370</v>
      </c>
      <c r="AA10" s="69">
        <f>25+25+50+100+120+40+50+30</f>
        <v>440</v>
      </c>
      <c r="AB10" s="69">
        <f>25+25+50+100+40+30+70+20</f>
        <v>360</v>
      </c>
      <c r="AC10" s="69">
        <f>25+25+50+100+40+50+120</f>
        <v>410</v>
      </c>
      <c r="AD10" s="69">
        <f>20+20+50+100+40+30</f>
        <v>260</v>
      </c>
      <c r="AE10" s="69">
        <f>25+25+50+30</f>
        <v>130</v>
      </c>
      <c r="AF10" s="56">
        <f t="shared" ref="AF10:AF18" si="18">SUM(B10:AE10)</f>
        <v>11565</v>
      </c>
      <c r="AG10" s="67">
        <f t="shared" ref="AG10:AG18" si="19">IFERROR(AVERAGE(B10:AE10),0)</f>
        <v>385.5</v>
      </c>
      <c r="AH10" s="68">
        <f t="shared" ref="AH10:AH18" si="20">(AG10/$AG$29)*100</f>
        <v>4.817141567109136</v>
      </c>
      <c r="AJ10" s="14"/>
      <c r="AM10" s="74"/>
      <c r="AR10" s="14"/>
      <c r="AS10" s="14"/>
      <c r="AT10" s="14"/>
      <c r="AU10" s="14"/>
      <c r="AV10" s="14"/>
      <c r="AW10" s="14"/>
      <c r="AX10" s="14"/>
      <c r="AY10" s="14"/>
      <c r="AZ10" s="14"/>
      <c r="BA10" s="14"/>
      <c r="BB10" s="14"/>
      <c r="BC10" s="14"/>
      <c r="BD10" s="14"/>
      <c r="BE10" s="14"/>
      <c r="BF10" s="14"/>
    </row>
    <row r="11" spans="1:58" ht="15.75" customHeight="1" x14ac:dyDescent="0.2">
      <c r="A11" s="4" t="s">
        <v>170</v>
      </c>
      <c r="B11" s="69">
        <v>165</v>
      </c>
      <c r="C11" s="69">
        <v>220</v>
      </c>
      <c r="D11" s="69">
        <v>165</v>
      </c>
      <c r="E11" s="69">
        <v>165</v>
      </c>
      <c r="F11" s="69">
        <v>0</v>
      </c>
      <c r="G11" s="69">
        <v>165</v>
      </c>
      <c r="H11" s="69">
        <v>110</v>
      </c>
      <c r="I11" s="69">
        <v>165</v>
      </c>
      <c r="J11" s="69">
        <v>165</v>
      </c>
      <c r="K11" s="69">
        <v>160</v>
      </c>
      <c r="L11" s="69">
        <v>0</v>
      </c>
      <c r="M11" s="69">
        <v>165</v>
      </c>
      <c r="N11" s="69">
        <v>110</v>
      </c>
      <c r="O11" s="69">
        <v>110</v>
      </c>
      <c r="P11" s="69">
        <v>0</v>
      </c>
      <c r="Q11" s="69">
        <v>165</v>
      </c>
      <c r="R11" s="69">
        <v>165</v>
      </c>
      <c r="S11" s="69">
        <v>165</v>
      </c>
      <c r="T11" s="69">
        <v>165</v>
      </c>
      <c r="U11" s="69">
        <v>110</v>
      </c>
      <c r="V11" s="69">
        <v>165</v>
      </c>
      <c r="W11" s="69">
        <v>165</v>
      </c>
      <c r="X11" s="69">
        <v>165</v>
      </c>
      <c r="Y11" s="69">
        <v>165</v>
      </c>
      <c r="Z11" s="69">
        <v>165</v>
      </c>
      <c r="AA11" s="69">
        <v>165</v>
      </c>
      <c r="AB11" s="69">
        <v>165</v>
      </c>
      <c r="AC11" s="69">
        <v>165</v>
      </c>
      <c r="AD11" s="69">
        <v>165</v>
      </c>
      <c r="AE11" s="69">
        <v>165</v>
      </c>
      <c r="AF11" s="56">
        <f t="shared" si="18"/>
        <v>4285</v>
      </c>
      <c r="AG11" s="67">
        <f t="shared" si="19"/>
        <v>142.83333333333334</v>
      </c>
      <c r="AH11" s="68">
        <f t="shared" si="20"/>
        <v>1.7848207189850973</v>
      </c>
      <c r="AJ11" s="14"/>
      <c r="AM11" s="74"/>
      <c r="AR11" s="14"/>
      <c r="AS11" s="14"/>
      <c r="AT11" s="14"/>
      <c r="AU11" s="14"/>
      <c r="AV11" s="14"/>
      <c r="AW11" s="14"/>
      <c r="AX11" s="14"/>
      <c r="AY11" s="14"/>
      <c r="AZ11" s="14"/>
      <c r="BA11" s="14"/>
      <c r="BB11" s="14"/>
      <c r="BC11" s="14"/>
      <c r="BD11" s="14"/>
      <c r="BE11" s="14"/>
      <c r="BF11" s="14"/>
    </row>
    <row r="12" spans="1:58" ht="15.75" customHeight="1" x14ac:dyDescent="0.2">
      <c r="A12" s="4" t="s">
        <v>171</v>
      </c>
      <c r="B12" s="69">
        <v>32</v>
      </c>
      <c r="C12" s="69">
        <v>32</v>
      </c>
      <c r="D12" s="69">
        <v>32</v>
      </c>
      <c r="E12" s="69">
        <v>32</v>
      </c>
      <c r="F12" s="69">
        <v>0</v>
      </c>
      <c r="G12" s="69">
        <v>32</v>
      </c>
      <c r="H12" s="69">
        <v>32</v>
      </c>
      <c r="I12" s="69">
        <v>32</v>
      </c>
      <c r="J12" s="69">
        <v>32</v>
      </c>
      <c r="K12" s="69">
        <v>32</v>
      </c>
      <c r="L12" s="69">
        <v>32</v>
      </c>
      <c r="M12" s="69">
        <v>32</v>
      </c>
      <c r="N12" s="69">
        <v>32</v>
      </c>
      <c r="O12" s="69">
        <v>32</v>
      </c>
      <c r="P12" s="69">
        <v>0</v>
      </c>
      <c r="Q12" s="69">
        <v>32</v>
      </c>
      <c r="R12" s="69">
        <v>32</v>
      </c>
      <c r="S12" s="69">
        <v>32</v>
      </c>
      <c r="T12" s="69">
        <v>32</v>
      </c>
      <c r="U12" s="69">
        <v>32</v>
      </c>
      <c r="V12" s="69">
        <v>32</v>
      </c>
      <c r="W12" s="69">
        <v>32</v>
      </c>
      <c r="X12" s="69">
        <v>32</v>
      </c>
      <c r="Y12" s="69">
        <v>32</v>
      </c>
      <c r="Z12" s="69">
        <v>32</v>
      </c>
      <c r="AA12" s="69">
        <v>32</v>
      </c>
      <c r="AB12" s="69">
        <v>32</v>
      </c>
      <c r="AC12" s="69">
        <v>32</v>
      </c>
      <c r="AD12" s="69">
        <v>32</v>
      </c>
      <c r="AE12" s="69">
        <v>32</v>
      </c>
      <c r="AF12" s="56">
        <f t="shared" si="18"/>
        <v>896</v>
      </c>
      <c r="AG12" s="67">
        <f t="shared" si="19"/>
        <v>29.866666666666667</v>
      </c>
      <c r="AH12" s="68">
        <f t="shared" si="20"/>
        <v>0.37320871976911252</v>
      </c>
      <c r="AJ12" s="14"/>
      <c r="AM12" s="74"/>
      <c r="AR12" s="14"/>
      <c r="AS12" s="14"/>
      <c r="AT12" s="14"/>
      <c r="AU12" s="14"/>
      <c r="AV12" s="14"/>
      <c r="AW12" s="14"/>
      <c r="AX12" s="14"/>
      <c r="AY12" s="14"/>
      <c r="AZ12" s="14"/>
      <c r="BA12" s="14"/>
      <c r="BB12" s="14"/>
      <c r="BC12" s="14"/>
      <c r="BD12" s="14"/>
      <c r="BE12" s="14"/>
      <c r="BF12" s="14"/>
    </row>
    <row r="13" spans="1:58" ht="15.75" customHeight="1" x14ac:dyDescent="0.2">
      <c r="A13" s="4" t="s">
        <v>172</v>
      </c>
      <c r="B13" s="69">
        <v>0</v>
      </c>
      <c r="C13" s="69">
        <v>370</v>
      </c>
      <c r="D13" s="69">
        <v>370</v>
      </c>
      <c r="E13" s="69">
        <v>0</v>
      </c>
      <c r="F13" s="69">
        <v>0</v>
      </c>
      <c r="G13" s="69">
        <v>370</v>
      </c>
      <c r="H13" s="69">
        <v>0</v>
      </c>
      <c r="I13" s="69">
        <v>0</v>
      </c>
      <c r="J13" s="69">
        <v>279</v>
      </c>
      <c r="K13" s="69">
        <v>370</v>
      </c>
      <c r="L13" s="69">
        <v>0</v>
      </c>
      <c r="M13" s="69">
        <v>0</v>
      </c>
      <c r="N13" s="69">
        <v>370</v>
      </c>
      <c r="O13" s="69">
        <v>0</v>
      </c>
      <c r="P13" s="69">
        <v>0</v>
      </c>
      <c r="Q13" s="69">
        <v>0</v>
      </c>
      <c r="R13" s="69">
        <v>370</v>
      </c>
      <c r="S13" s="69">
        <v>370</v>
      </c>
      <c r="T13" s="69">
        <v>0</v>
      </c>
      <c r="U13" s="69">
        <v>370</v>
      </c>
      <c r="V13" s="69">
        <v>0</v>
      </c>
      <c r="W13" s="69">
        <v>370</v>
      </c>
      <c r="X13" s="69">
        <v>0</v>
      </c>
      <c r="Y13" s="69">
        <v>370</v>
      </c>
      <c r="Z13" s="69">
        <v>0</v>
      </c>
      <c r="AA13" s="69">
        <v>0</v>
      </c>
      <c r="AB13" s="69">
        <v>370</v>
      </c>
      <c r="AC13" s="69">
        <v>370</v>
      </c>
      <c r="AD13" s="69">
        <v>0</v>
      </c>
      <c r="AE13" s="69">
        <v>0</v>
      </c>
      <c r="AF13" s="56">
        <f t="shared" si="18"/>
        <v>4719</v>
      </c>
      <c r="AG13" s="67">
        <f t="shared" si="19"/>
        <v>157.30000000000001</v>
      </c>
      <c r="AH13" s="68">
        <f t="shared" si="20"/>
        <v>1.9655936926232611</v>
      </c>
      <c r="AJ13" s="14"/>
      <c r="AM13" s="74"/>
      <c r="AR13" s="14"/>
      <c r="AS13" s="14"/>
      <c r="AT13" s="14"/>
      <c r="AU13" s="14"/>
      <c r="AV13" s="14"/>
      <c r="AW13" s="14"/>
      <c r="AX13" s="14"/>
      <c r="AY13" s="14"/>
      <c r="AZ13" s="14"/>
      <c r="BA13" s="14"/>
      <c r="BB13" s="14"/>
      <c r="BC13" s="14"/>
      <c r="BD13" s="14"/>
      <c r="BE13" s="14"/>
      <c r="BF13" s="14"/>
    </row>
    <row r="14" spans="1:58" ht="15.75" customHeight="1" x14ac:dyDescent="0.2">
      <c r="A14" s="4" t="s">
        <v>173</v>
      </c>
      <c r="B14" s="69">
        <v>0</v>
      </c>
      <c r="C14" s="69">
        <v>0</v>
      </c>
      <c r="D14" s="69">
        <v>0</v>
      </c>
      <c r="E14" s="69">
        <v>200</v>
      </c>
      <c r="F14" s="69">
        <v>0</v>
      </c>
      <c r="G14" s="69">
        <v>0</v>
      </c>
      <c r="H14" s="69">
        <v>0</v>
      </c>
      <c r="I14" s="69">
        <v>0</v>
      </c>
      <c r="J14" s="69">
        <v>0</v>
      </c>
      <c r="K14" s="69">
        <v>250</v>
      </c>
      <c r="L14" s="69">
        <v>200</v>
      </c>
      <c r="M14" s="69">
        <v>0</v>
      </c>
      <c r="N14" s="69">
        <v>0</v>
      </c>
      <c r="O14" s="69">
        <v>0</v>
      </c>
      <c r="P14" s="69">
        <v>0</v>
      </c>
      <c r="Q14" s="69">
        <v>0</v>
      </c>
      <c r="R14" s="69">
        <v>0</v>
      </c>
      <c r="S14" s="69">
        <v>250</v>
      </c>
      <c r="T14" s="69">
        <v>0</v>
      </c>
      <c r="U14" s="69">
        <v>250</v>
      </c>
      <c r="V14" s="69">
        <v>0</v>
      </c>
      <c r="W14" s="69">
        <v>0</v>
      </c>
      <c r="X14" s="69">
        <v>0</v>
      </c>
      <c r="Y14" s="69">
        <v>240</v>
      </c>
      <c r="Z14" s="69">
        <v>0</v>
      </c>
      <c r="AA14" s="69">
        <v>250</v>
      </c>
      <c r="AB14" s="69">
        <v>0</v>
      </c>
      <c r="AC14" s="69">
        <v>250</v>
      </c>
      <c r="AD14" s="69">
        <v>0</v>
      </c>
      <c r="AE14" s="69">
        <v>0</v>
      </c>
      <c r="AF14" s="56">
        <f t="shared" si="18"/>
        <v>1890</v>
      </c>
      <c r="AG14" s="67">
        <f t="shared" si="19"/>
        <v>63</v>
      </c>
      <c r="AH14" s="68">
        <f t="shared" si="20"/>
        <v>0.78723714326297167</v>
      </c>
      <c r="AI14" s="14"/>
      <c r="AJ14" s="14"/>
      <c r="AR14" s="14"/>
      <c r="AS14" s="14"/>
      <c r="AT14" s="14"/>
      <c r="AU14" s="14"/>
      <c r="AV14" s="14"/>
      <c r="AW14" s="14"/>
      <c r="AX14" s="14"/>
      <c r="AY14" s="14"/>
      <c r="AZ14" s="14"/>
      <c r="BA14" s="14"/>
      <c r="BB14" s="14"/>
      <c r="BC14" s="14"/>
      <c r="BD14" s="14"/>
      <c r="BE14" s="14"/>
      <c r="BF14" s="14"/>
    </row>
    <row r="15" spans="1:58" ht="15.75" customHeight="1" x14ac:dyDescent="0.2">
      <c r="A15" s="4" t="s">
        <v>174</v>
      </c>
      <c r="B15" s="69">
        <v>0</v>
      </c>
      <c r="C15" s="69">
        <v>0</v>
      </c>
      <c r="D15" s="69">
        <v>0</v>
      </c>
      <c r="E15" s="69">
        <v>0</v>
      </c>
      <c r="F15" s="69">
        <v>0</v>
      </c>
      <c r="G15" s="69">
        <v>0</v>
      </c>
      <c r="H15" s="69">
        <v>0</v>
      </c>
      <c r="I15" s="69">
        <v>140</v>
      </c>
      <c r="J15" s="69">
        <v>0</v>
      </c>
      <c r="K15" s="69">
        <v>0</v>
      </c>
      <c r="L15" s="69">
        <v>0</v>
      </c>
      <c r="M15" s="69">
        <v>0</v>
      </c>
      <c r="N15" s="69">
        <v>0</v>
      </c>
      <c r="O15" s="69">
        <v>0</v>
      </c>
      <c r="P15" s="69">
        <v>0</v>
      </c>
      <c r="Q15" s="69">
        <v>0</v>
      </c>
      <c r="R15" s="69">
        <v>0</v>
      </c>
      <c r="S15" s="69">
        <v>0</v>
      </c>
      <c r="T15" s="69">
        <v>0</v>
      </c>
      <c r="U15" s="69">
        <v>0</v>
      </c>
      <c r="V15" s="69">
        <v>0</v>
      </c>
      <c r="W15" s="69">
        <v>0</v>
      </c>
      <c r="X15" s="69">
        <v>170</v>
      </c>
      <c r="Y15" s="69">
        <v>0</v>
      </c>
      <c r="Z15" s="69">
        <v>0</v>
      </c>
      <c r="AA15" s="69">
        <v>0</v>
      </c>
      <c r="AB15" s="69">
        <v>0</v>
      </c>
      <c r="AC15" s="69">
        <v>0</v>
      </c>
      <c r="AD15" s="69">
        <v>0</v>
      </c>
      <c r="AE15" s="69">
        <v>0</v>
      </c>
      <c r="AF15" s="56">
        <f t="shared" si="18"/>
        <v>310</v>
      </c>
      <c r="AG15" s="67">
        <f t="shared" si="19"/>
        <v>10.333333333333334</v>
      </c>
      <c r="AH15" s="68">
        <f t="shared" si="20"/>
        <v>0.12912355259868849</v>
      </c>
      <c r="AI15" s="14"/>
      <c r="AJ15" s="14"/>
      <c r="AR15" s="14"/>
      <c r="AS15" s="14"/>
      <c r="AT15" s="14"/>
      <c r="AU15" s="14"/>
      <c r="AV15" s="14"/>
      <c r="AW15" s="14"/>
      <c r="AX15" s="14"/>
      <c r="AY15" s="14"/>
      <c r="AZ15" s="14"/>
      <c r="BA15" s="14"/>
      <c r="BB15" s="14"/>
      <c r="BC15" s="14"/>
      <c r="BD15" s="14"/>
      <c r="BE15" s="14"/>
      <c r="BF15" s="14"/>
    </row>
    <row r="16" spans="1:58" ht="15.75" customHeight="1" x14ac:dyDescent="0.2">
      <c r="A16" s="4" t="s">
        <v>175</v>
      </c>
      <c r="B16" s="69">
        <v>190</v>
      </c>
      <c r="C16" s="69">
        <v>0</v>
      </c>
      <c r="D16" s="69">
        <v>190</v>
      </c>
      <c r="E16" s="69">
        <v>0</v>
      </c>
      <c r="F16" s="69">
        <v>0</v>
      </c>
      <c r="G16" s="69">
        <v>0</v>
      </c>
      <c r="H16" s="69">
        <v>200</v>
      </c>
      <c r="I16" s="69">
        <v>0</v>
      </c>
      <c r="J16" s="69">
        <v>200</v>
      </c>
      <c r="K16" s="69">
        <v>0</v>
      </c>
      <c r="L16" s="69">
        <v>0</v>
      </c>
      <c r="M16" s="69">
        <v>200</v>
      </c>
      <c r="N16" s="69">
        <v>0</v>
      </c>
      <c r="O16" s="69">
        <v>0</v>
      </c>
      <c r="P16" s="69">
        <v>0</v>
      </c>
      <c r="Q16" s="69">
        <v>0</v>
      </c>
      <c r="R16" s="69">
        <v>200</v>
      </c>
      <c r="S16" s="69">
        <v>0</v>
      </c>
      <c r="T16" s="69">
        <v>0</v>
      </c>
      <c r="U16" s="69">
        <v>0</v>
      </c>
      <c r="V16" s="69">
        <v>210</v>
      </c>
      <c r="W16" s="69">
        <v>0</v>
      </c>
      <c r="X16" s="69">
        <v>220</v>
      </c>
      <c r="Y16" s="69">
        <v>0</v>
      </c>
      <c r="Z16" s="69">
        <v>220</v>
      </c>
      <c r="AA16" s="69">
        <v>0</v>
      </c>
      <c r="AB16" s="69">
        <v>0</v>
      </c>
      <c r="AC16" s="69">
        <v>0</v>
      </c>
      <c r="AD16" s="69">
        <v>220</v>
      </c>
      <c r="AE16" s="69">
        <v>0</v>
      </c>
      <c r="AF16" s="56">
        <f t="shared" si="18"/>
        <v>2050</v>
      </c>
      <c r="AG16" s="67">
        <f t="shared" si="19"/>
        <v>68.333333333333329</v>
      </c>
      <c r="AH16" s="68">
        <f t="shared" si="20"/>
        <v>0.85388155750745587</v>
      </c>
      <c r="AI16" s="14"/>
      <c r="AJ16" s="14"/>
      <c r="AR16" s="14"/>
      <c r="AS16" s="14"/>
      <c r="AT16" s="14"/>
      <c r="AU16" s="14"/>
      <c r="AV16" s="14"/>
      <c r="AW16" s="14"/>
      <c r="AX16" s="14"/>
      <c r="AY16" s="14"/>
      <c r="AZ16" s="14"/>
      <c r="BA16" s="14"/>
      <c r="BB16" s="14"/>
      <c r="BC16" s="14"/>
      <c r="BD16" s="14"/>
      <c r="BE16" s="14"/>
      <c r="BF16" s="14"/>
    </row>
    <row r="17" spans="1:58" ht="15.75" customHeight="1" x14ac:dyDescent="0.2">
      <c r="A17" s="4" t="s">
        <v>176</v>
      </c>
      <c r="B17" s="69">
        <f>50+30+110</f>
        <v>190</v>
      </c>
      <c r="C17" s="69">
        <v>0</v>
      </c>
      <c r="D17" s="69">
        <v>0</v>
      </c>
      <c r="E17" s="69">
        <v>1000</v>
      </c>
      <c r="F17" s="69">
        <v>0</v>
      </c>
      <c r="G17" s="69">
        <v>0</v>
      </c>
      <c r="H17" s="69">
        <v>160</v>
      </c>
      <c r="I17" s="69">
        <v>0</v>
      </c>
      <c r="J17" s="69">
        <v>0</v>
      </c>
      <c r="K17" s="69">
        <f>170+330+660</f>
        <v>1160</v>
      </c>
      <c r="L17" s="69">
        <v>0</v>
      </c>
      <c r="M17" s="69">
        <v>0</v>
      </c>
      <c r="N17" s="69">
        <v>0</v>
      </c>
      <c r="O17" s="69">
        <v>0</v>
      </c>
      <c r="P17" s="69">
        <v>0</v>
      </c>
      <c r="Q17" s="69">
        <v>100</v>
      </c>
      <c r="R17" s="69">
        <v>0</v>
      </c>
      <c r="S17" s="69">
        <f>80+50</f>
        <v>130</v>
      </c>
      <c r="T17" s="69">
        <v>0</v>
      </c>
      <c r="U17" s="69">
        <v>0</v>
      </c>
      <c r="V17" s="69">
        <v>0</v>
      </c>
      <c r="W17" s="69">
        <v>0</v>
      </c>
      <c r="X17" s="69">
        <v>120</v>
      </c>
      <c r="Y17" s="69">
        <v>100</v>
      </c>
      <c r="Z17" s="69">
        <v>0</v>
      </c>
      <c r="AA17" s="69">
        <v>0</v>
      </c>
      <c r="AB17" s="69">
        <f>80+100+40+120</f>
        <v>340</v>
      </c>
      <c r="AC17" s="69">
        <v>0</v>
      </c>
      <c r="AD17" s="69">
        <v>0</v>
      </c>
      <c r="AE17" s="69">
        <v>0</v>
      </c>
      <c r="AF17" s="56">
        <f t="shared" si="18"/>
        <v>3300</v>
      </c>
      <c r="AG17" s="67">
        <f t="shared" si="19"/>
        <v>110</v>
      </c>
      <c r="AH17" s="68">
        <f t="shared" si="20"/>
        <v>1.3745410437924901</v>
      </c>
      <c r="AI17" s="14"/>
      <c r="AJ17" s="14"/>
      <c r="AR17" s="14"/>
      <c r="AS17" s="14"/>
      <c r="AT17" s="14"/>
      <c r="AU17" s="14"/>
      <c r="AV17" s="14"/>
      <c r="AW17" s="14"/>
      <c r="AX17" s="14"/>
      <c r="AY17" s="14"/>
      <c r="AZ17" s="14"/>
      <c r="BA17" s="14"/>
      <c r="BB17" s="14"/>
      <c r="BC17" s="14"/>
      <c r="BD17" s="14"/>
      <c r="BE17" s="14"/>
      <c r="BF17" s="14"/>
    </row>
    <row r="18" spans="1:58" ht="15.75" customHeight="1" x14ac:dyDescent="0.2">
      <c r="A18" s="4" t="s">
        <v>177</v>
      </c>
      <c r="B18" s="69">
        <v>0</v>
      </c>
      <c r="C18" s="69">
        <v>0</v>
      </c>
      <c r="D18" s="69">
        <v>0</v>
      </c>
      <c r="E18" s="69">
        <v>0</v>
      </c>
      <c r="F18" s="69">
        <v>0</v>
      </c>
      <c r="G18" s="69">
        <v>90</v>
      </c>
      <c r="H18" s="69">
        <v>0</v>
      </c>
      <c r="I18" s="69">
        <v>0</v>
      </c>
      <c r="J18" s="69">
        <v>0</v>
      </c>
      <c r="K18" s="69">
        <v>200</v>
      </c>
      <c r="L18" s="69">
        <v>0</v>
      </c>
      <c r="M18" s="69">
        <v>90</v>
      </c>
      <c r="N18" s="69">
        <v>0</v>
      </c>
      <c r="O18" s="69">
        <v>0</v>
      </c>
      <c r="P18" s="69">
        <v>0</v>
      </c>
      <c r="Q18" s="69">
        <v>0</v>
      </c>
      <c r="R18" s="69">
        <v>0</v>
      </c>
      <c r="S18" s="69">
        <v>90</v>
      </c>
      <c r="T18" s="69">
        <v>0</v>
      </c>
      <c r="U18" s="69">
        <v>0</v>
      </c>
      <c r="V18" s="69">
        <v>200</v>
      </c>
      <c r="W18" s="69">
        <v>0</v>
      </c>
      <c r="X18" s="69">
        <v>0</v>
      </c>
      <c r="Y18" s="69">
        <v>0</v>
      </c>
      <c r="Z18" s="69">
        <v>0</v>
      </c>
      <c r="AA18" s="69">
        <v>0</v>
      </c>
      <c r="AB18" s="69">
        <v>80</v>
      </c>
      <c r="AC18" s="69">
        <v>0</v>
      </c>
      <c r="AD18" s="69">
        <v>0</v>
      </c>
      <c r="AE18" s="69">
        <v>0</v>
      </c>
      <c r="AF18" s="56">
        <f t="shared" si="18"/>
        <v>750</v>
      </c>
      <c r="AG18" s="67">
        <f t="shared" si="19"/>
        <v>25</v>
      </c>
      <c r="AH18" s="68">
        <f t="shared" si="20"/>
        <v>0.3123956917710205</v>
      </c>
      <c r="AI18" s="14"/>
      <c r="AJ18" s="14"/>
      <c r="AR18" s="14"/>
      <c r="AS18" s="14"/>
      <c r="AT18" s="14"/>
      <c r="AU18" s="14"/>
      <c r="AV18" s="14"/>
      <c r="AW18" s="14"/>
      <c r="AX18" s="14"/>
      <c r="AY18" s="14"/>
      <c r="AZ18" s="14"/>
      <c r="BA18" s="14"/>
      <c r="BB18" s="14"/>
      <c r="BC18" s="14"/>
      <c r="BD18" s="14"/>
      <c r="BE18" s="14"/>
      <c r="BF18" s="14"/>
    </row>
    <row r="19" spans="1:58"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1"/>
      <c r="AG19" s="71"/>
      <c r="AH19" s="72"/>
      <c r="AI19" s="14"/>
      <c r="AJ19" s="14"/>
      <c r="AR19" s="14"/>
      <c r="AS19" s="14"/>
      <c r="AT19" s="14"/>
      <c r="AU19" s="14"/>
      <c r="AV19" s="14"/>
      <c r="AW19" s="14"/>
      <c r="AX19" s="14"/>
      <c r="AY19" s="14"/>
      <c r="AZ19" s="14"/>
      <c r="BA19" s="14"/>
      <c r="BB19" s="14"/>
      <c r="BC19" s="14"/>
      <c r="BD19" s="14"/>
      <c r="BE19" s="14"/>
      <c r="BF19" s="14"/>
    </row>
    <row r="20" spans="1:58" ht="15.75" customHeight="1" x14ac:dyDescent="0.2">
      <c r="A20" s="4" t="s">
        <v>179</v>
      </c>
      <c r="B20" s="69">
        <f t="shared" ref="B20:E20" si="21">$B$53/$B$59</f>
        <v>406.07142857142856</v>
      </c>
      <c r="C20" s="69">
        <f t="shared" si="21"/>
        <v>406.07142857142856</v>
      </c>
      <c r="D20" s="69">
        <f t="shared" si="21"/>
        <v>406.07142857142856</v>
      </c>
      <c r="E20" s="69">
        <f t="shared" si="21"/>
        <v>406.07142857142856</v>
      </c>
      <c r="F20" s="69">
        <v>0</v>
      </c>
      <c r="G20" s="69">
        <f t="shared" ref="G20:O20" si="22">$B$53/$B$59</f>
        <v>406.07142857142856</v>
      </c>
      <c r="H20" s="69">
        <f t="shared" si="22"/>
        <v>406.07142857142856</v>
      </c>
      <c r="I20" s="69">
        <f t="shared" si="22"/>
        <v>406.07142857142856</v>
      </c>
      <c r="J20" s="69">
        <f t="shared" si="22"/>
        <v>406.07142857142856</v>
      </c>
      <c r="K20" s="69">
        <f t="shared" si="22"/>
        <v>406.07142857142856</v>
      </c>
      <c r="L20" s="69">
        <f t="shared" si="22"/>
        <v>406.07142857142856</v>
      </c>
      <c r="M20" s="69">
        <f t="shared" si="22"/>
        <v>406.07142857142856</v>
      </c>
      <c r="N20" s="69">
        <f t="shared" si="22"/>
        <v>406.07142857142856</v>
      </c>
      <c r="O20" s="69">
        <f t="shared" si="22"/>
        <v>406.07142857142856</v>
      </c>
      <c r="P20" s="69">
        <v>0</v>
      </c>
      <c r="Q20" s="69">
        <f t="shared" ref="Q20:AE20" si="23">$B$53/$B$59</f>
        <v>406.07142857142856</v>
      </c>
      <c r="R20" s="69">
        <f t="shared" si="23"/>
        <v>406.07142857142856</v>
      </c>
      <c r="S20" s="69">
        <f t="shared" si="23"/>
        <v>406.07142857142856</v>
      </c>
      <c r="T20" s="69">
        <f t="shared" si="23"/>
        <v>406.07142857142856</v>
      </c>
      <c r="U20" s="69">
        <f t="shared" si="23"/>
        <v>406.07142857142856</v>
      </c>
      <c r="V20" s="69">
        <f t="shared" si="23"/>
        <v>406.07142857142856</v>
      </c>
      <c r="W20" s="69">
        <f t="shared" si="23"/>
        <v>406.07142857142856</v>
      </c>
      <c r="X20" s="69">
        <f t="shared" si="23"/>
        <v>406.07142857142856</v>
      </c>
      <c r="Y20" s="69">
        <f t="shared" si="23"/>
        <v>406.07142857142856</v>
      </c>
      <c r="Z20" s="69">
        <f t="shared" si="23"/>
        <v>406.07142857142856</v>
      </c>
      <c r="AA20" s="69">
        <f t="shared" si="23"/>
        <v>406.07142857142856</v>
      </c>
      <c r="AB20" s="69">
        <f t="shared" si="23"/>
        <v>406.07142857142856</v>
      </c>
      <c r="AC20" s="69">
        <f t="shared" si="23"/>
        <v>406.07142857142856</v>
      </c>
      <c r="AD20" s="69">
        <f t="shared" si="23"/>
        <v>406.07142857142856</v>
      </c>
      <c r="AE20" s="69">
        <f t="shared" si="23"/>
        <v>406.07142857142856</v>
      </c>
      <c r="AF20" s="56">
        <f t="shared" ref="AF20:AF22" si="24">SUM(B20:AE20)</f>
        <v>11370.000000000004</v>
      </c>
      <c r="AG20" s="67">
        <f t="shared" ref="AG20:AG22" si="25">IFERROR(AVERAGE(B20:AE20),0)</f>
        <v>379.00000000000011</v>
      </c>
      <c r="AH20" s="68">
        <f t="shared" ref="AH20:AH22" si="26">(AG20/$AG$29)*100</f>
        <v>4.735918687248672</v>
      </c>
      <c r="AI20" s="14"/>
      <c r="AJ20" s="14"/>
      <c r="AR20" s="14"/>
      <c r="AS20" s="14"/>
      <c r="AT20" s="14"/>
      <c r="AU20" s="14"/>
      <c r="AV20" s="14"/>
      <c r="AW20" s="14"/>
      <c r="AX20" s="14"/>
      <c r="AY20" s="14"/>
      <c r="AZ20" s="14"/>
      <c r="BA20" s="14"/>
      <c r="BB20" s="14"/>
      <c r="BC20" s="14"/>
      <c r="BD20" s="14"/>
      <c r="BE20" s="14"/>
      <c r="BF20" s="14"/>
    </row>
    <row r="21" spans="1:58" ht="15.75" customHeight="1" x14ac:dyDescent="0.2">
      <c r="A21" s="4" t="s">
        <v>180</v>
      </c>
      <c r="B21" s="69">
        <f t="shared" ref="B21:E21" si="27">$B$54/$B$59</f>
        <v>0</v>
      </c>
      <c r="C21" s="69">
        <f t="shared" si="27"/>
        <v>0</v>
      </c>
      <c r="D21" s="69">
        <f t="shared" si="27"/>
        <v>0</v>
      </c>
      <c r="E21" s="69">
        <f t="shared" si="27"/>
        <v>0</v>
      </c>
      <c r="F21" s="69">
        <v>0</v>
      </c>
      <c r="G21" s="69">
        <f t="shared" ref="G21:O21" si="28">$B$54/$B$59</f>
        <v>0</v>
      </c>
      <c r="H21" s="69">
        <f t="shared" si="28"/>
        <v>0</v>
      </c>
      <c r="I21" s="69">
        <f t="shared" si="28"/>
        <v>0</v>
      </c>
      <c r="J21" s="69">
        <f t="shared" si="28"/>
        <v>0</v>
      </c>
      <c r="K21" s="69">
        <f t="shared" si="28"/>
        <v>0</v>
      </c>
      <c r="L21" s="69">
        <f t="shared" si="28"/>
        <v>0</v>
      </c>
      <c r="M21" s="69">
        <f t="shared" si="28"/>
        <v>0</v>
      </c>
      <c r="N21" s="69">
        <f t="shared" si="28"/>
        <v>0</v>
      </c>
      <c r="O21" s="69">
        <f t="shared" si="28"/>
        <v>0</v>
      </c>
      <c r="P21" s="69">
        <v>0</v>
      </c>
      <c r="Q21" s="69">
        <f t="shared" ref="Q21:AE21" si="29">$B$54/$B$59</f>
        <v>0</v>
      </c>
      <c r="R21" s="69">
        <f t="shared" si="29"/>
        <v>0</v>
      </c>
      <c r="S21" s="69">
        <f t="shared" si="29"/>
        <v>0</v>
      </c>
      <c r="T21" s="69">
        <f t="shared" si="29"/>
        <v>0</v>
      </c>
      <c r="U21" s="69">
        <f t="shared" si="29"/>
        <v>0</v>
      </c>
      <c r="V21" s="69">
        <f t="shared" si="29"/>
        <v>0</v>
      </c>
      <c r="W21" s="69">
        <f t="shared" si="29"/>
        <v>0</v>
      </c>
      <c r="X21" s="69">
        <f t="shared" si="29"/>
        <v>0</v>
      </c>
      <c r="Y21" s="69">
        <f t="shared" si="29"/>
        <v>0</v>
      </c>
      <c r="Z21" s="69">
        <f t="shared" si="29"/>
        <v>0</v>
      </c>
      <c r="AA21" s="69">
        <f t="shared" si="29"/>
        <v>0</v>
      </c>
      <c r="AB21" s="69">
        <f t="shared" si="29"/>
        <v>0</v>
      </c>
      <c r="AC21" s="69">
        <f t="shared" si="29"/>
        <v>0</v>
      </c>
      <c r="AD21" s="69">
        <f t="shared" si="29"/>
        <v>0</v>
      </c>
      <c r="AE21" s="69">
        <f t="shared" si="29"/>
        <v>0</v>
      </c>
      <c r="AF21" s="56">
        <f t="shared" si="24"/>
        <v>0</v>
      </c>
      <c r="AG21" s="67">
        <f t="shared" si="25"/>
        <v>0</v>
      </c>
      <c r="AH21" s="68">
        <f t="shared" si="26"/>
        <v>0</v>
      </c>
      <c r="AI21" s="14"/>
      <c r="AJ21" s="14"/>
      <c r="AR21" s="14"/>
      <c r="AS21" s="14"/>
      <c r="AT21" s="14"/>
      <c r="AU21" s="14"/>
      <c r="AV21" s="14"/>
      <c r="AW21" s="14"/>
      <c r="AX21" s="14"/>
      <c r="AY21" s="14"/>
      <c r="AZ21" s="14"/>
      <c r="BA21" s="14"/>
      <c r="BB21" s="14"/>
      <c r="BC21" s="14"/>
      <c r="BD21" s="14"/>
      <c r="BE21" s="14"/>
      <c r="BF21" s="14"/>
    </row>
    <row r="22" spans="1:58" ht="15.75" customHeight="1" x14ac:dyDescent="0.2">
      <c r="A22" s="4" t="s">
        <v>181</v>
      </c>
      <c r="B22" s="69">
        <f t="shared" ref="B22:E22" si="30">$B$55/$B$59</f>
        <v>143.75</v>
      </c>
      <c r="C22" s="69">
        <f t="shared" si="30"/>
        <v>143.75</v>
      </c>
      <c r="D22" s="69">
        <f t="shared" si="30"/>
        <v>143.75</v>
      </c>
      <c r="E22" s="69">
        <f t="shared" si="30"/>
        <v>143.75</v>
      </c>
      <c r="F22" s="69">
        <v>0</v>
      </c>
      <c r="G22" s="69">
        <f t="shared" ref="G22:O22" si="31">$B$55/$B$59</f>
        <v>143.75</v>
      </c>
      <c r="H22" s="69">
        <f t="shared" si="31"/>
        <v>143.75</v>
      </c>
      <c r="I22" s="69">
        <f t="shared" si="31"/>
        <v>143.75</v>
      </c>
      <c r="J22" s="69">
        <f t="shared" si="31"/>
        <v>143.75</v>
      </c>
      <c r="K22" s="69">
        <f t="shared" si="31"/>
        <v>143.75</v>
      </c>
      <c r="L22" s="69">
        <f t="shared" si="31"/>
        <v>143.75</v>
      </c>
      <c r="M22" s="69">
        <f t="shared" si="31"/>
        <v>143.75</v>
      </c>
      <c r="N22" s="69">
        <f t="shared" si="31"/>
        <v>143.75</v>
      </c>
      <c r="O22" s="69">
        <f t="shared" si="31"/>
        <v>143.75</v>
      </c>
      <c r="P22" s="69">
        <v>0</v>
      </c>
      <c r="Q22" s="69">
        <f t="shared" ref="Q22:AE22" si="32">$B$55/$B$59</f>
        <v>143.75</v>
      </c>
      <c r="R22" s="69">
        <f t="shared" si="32"/>
        <v>143.75</v>
      </c>
      <c r="S22" s="69">
        <f t="shared" si="32"/>
        <v>143.75</v>
      </c>
      <c r="T22" s="69">
        <f t="shared" si="32"/>
        <v>143.75</v>
      </c>
      <c r="U22" s="69">
        <f t="shared" si="32"/>
        <v>143.75</v>
      </c>
      <c r="V22" s="69">
        <f t="shared" si="32"/>
        <v>143.75</v>
      </c>
      <c r="W22" s="69">
        <f t="shared" si="32"/>
        <v>143.75</v>
      </c>
      <c r="X22" s="69">
        <f t="shared" si="32"/>
        <v>143.75</v>
      </c>
      <c r="Y22" s="69">
        <f t="shared" si="32"/>
        <v>143.75</v>
      </c>
      <c r="Z22" s="69">
        <f t="shared" si="32"/>
        <v>143.75</v>
      </c>
      <c r="AA22" s="69">
        <f t="shared" si="32"/>
        <v>143.75</v>
      </c>
      <c r="AB22" s="69">
        <f t="shared" si="32"/>
        <v>143.75</v>
      </c>
      <c r="AC22" s="69">
        <f t="shared" si="32"/>
        <v>143.75</v>
      </c>
      <c r="AD22" s="69">
        <f t="shared" si="32"/>
        <v>143.75</v>
      </c>
      <c r="AE22" s="69">
        <f t="shared" si="32"/>
        <v>143.75</v>
      </c>
      <c r="AF22" s="56">
        <f t="shared" si="24"/>
        <v>4025</v>
      </c>
      <c r="AG22" s="67">
        <f t="shared" si="25"/>
        <v>134.16666666666666</v>
      </c>
      <c r="AH22" s="68">
        <f t="shared" si="26"/>
        <v>1.6765235458378098</v>
      </c>
      <c r="AI22" s="14"/>
      <c r="AJ22" s="14"/>
      <c r="AR22" s="14"/>
      <c r="AS22" s="14"/>
      <c r="AT22" s="14"/>
      <c r="AU22" s="14"/>
      <c r="AV22" s="14"/>
      <c r="AW22" s="14"/>
      <c r="AX22" s="14"/>
      <c r="AY22" s="14"/>
      <c r="AZ22" s="14"/>
      <c r="BA22" s="14"/>
      <c r="BB22" s="14"/>
      <c r="BC22" s="14"/>
      <c r="BD22" s="14"/>
      <c r="BE22" s="14"/>
      <c r="BF22" s="14"/>
    </row>
    <row r="23" spans="1:58"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1"/>
      <c r="AG23" s="71"/>
      <c r="AH23" s="72"/>
      <c r="AI23" s="14"/>
      <c r="AJ23" s="14"/>
      <c r="AR23" s="14"/>
      <c r="AS23" s="14"/>
      <c r="AT23" s="14"/>
      <c r="AU23" s="14"/>
      <c r="AV23" s="14"/>
      <c r="AW23" s="14"/>
      <c r="AX23" s="14"/>
      <c r="AY23" s="14"/>
      <c r="AZ23" s="14"/>
      <c r="BA23" s="14"/>
      <c r="BB23" s="14"/>
      <c r="BC23" s="14"/>
      <c r="BD23" s="14"/>
      <c r="BE23" s="14"/>
      <c r="BF23" s="14"/>
    </row>
    <row r="24" spans="1:58" ht="15.75" customHeight="1" x14ac:dyDescent="0.2">
      <c r="A24" s="4" t="s">
        <v>183</v>
      </c>
      <c r="B24" s="69">
        <v>0</v>
      </c>
      <c r="C24" s="69">
        <v>0</v>
      </c>
      <c r="D24" s="69">
        <v>0</v>
      </c>
      <c r="E24" s="69">
        <v>0</v>
      </c>
      <c r="F24" s="69">
        <v>0</v>
      </c>
      <c r="G24" s="69">
        <v>0</v>
      </c>
      <c r="H24" s="69">
        <v>0</v>
      </c>
      <c r="I24" s="69">
        <v>0</v>
      </c>
      <c r="J24" s="69">
        <v>0</v>
      </c>
      <c r="K24" s="69">
        <v>0</v>
      </c>
      <c r="L24" s="69">
        <v>0</v>
      </c>
      <c r="M24" s="69">
        <v>0</v>
      </c>
      <c r="N24" s="69">
        <v>0</v>
      </c>
      <c r="O24" s="69">
        <v>0</v>
      </c>
      <c r="P24" s="69">
        <v>0</v>
      </c>
      <c r="Q24" s="69">
        <v>0</v>
      </c>
      <c r="R24" s="69">
        <v>0</v>
      </c>
      <c r="S24" s="69">
        <v>0</v>
      </c>
      <c r="T24" s="69">
        <v>0</v>
      </c>
      <c r="U24" s="69">
        <v>0</v>
      </c>
      <c r="V24" s="69">
        <v>0</v>
      </c>
      <c r="W24" s="69">
        <v>520</v>
      </c>
      <c r="X24" s="69">
        <v>0</v>
      </c>
      <c r="Y24" s="69">
        <v>0</v>
      </c>
      <c r="Z24" s="69">
        <v>0</v>
      </c>
      <c r="AA24" s="69">
        <v>0</v>
      </c>
      <c r="AB24" s="69">
        <v>0</v>
      </c>
      <c r="AC24" s="69">
        <v>0</v>
      </c>
      <c r="AD24" s="69">
        <v>0</v>
      </c>
      <c r="AE24" s="69">
        <v>0</v>
      </c>
      <c r="AF24" s="56">
        <f t="shared" ref="AF24:AF28" si="33">SUM(B24:AE24)</f>
        <v>520</v>
      </c>
      <c r="AG24" s="67">
        <f t="shared" ref="AG24:AG28" si="34">IFERROR(AVERAGE(B24:AE24),0)</f>
        <v>17.333333333333332</v>
      </c>
      <c r="AH24" s="68">
        <f t="shared" ref="AH24:AH28" si="35">(AG24/$AG$29)*100</f>
        <v>0.21659434629457422</v>
      </c>
      <c r="AI24" s="14"/>
      <c r="AJ24" s="14"/>
      <c r="AR24" s="14"/>
      <c r="AS24" s="14"/>
      <c r="AT24" s="14"/>
      <c r="AU24" s="14"/>
      <c r="AV24" s="14"/>
      <c r="AW24" s="14"/>
      <c r="AX24" s="14"/>
      <c r="AY24" s="14"/>
      <c r="AZ24" s="14"/>
      <c r="BA24" s="14"/>
      <c r="BB24" s="14"/>
      <c r="BC24" s="14"/>
      <c r="BD24" s="14"/>
      <c r="BE24" s="14"/>
      <c r="BF24" s="14"/>
    </row>
    <row r="25" spans="1:58" ht="15.75" customHeight="1" x14ac:dyDescent="0.2">
      <c r="A25" s="4" t="s">
        <v>184</v>
      </c>
      <c r="B25" s="69">
        <v>0</v>
      </c>
      <c r="C25" s="69">
        <v>0</v>
      </c>
      <c r="D25" s="69">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69">
        <v>0</v>
      </c>
      <c r="V25" s="69">
        <v>0</v>
      </c>
      <c r="W25" s="69">
        <v>0</v>
      </c>
      <c r="X25" s="69">
        <v>0</v>
      </c>
      <c r="Y25" s="69">
        <v>0</v>
      </c>
      <c r="Z25" s="69">
        <v>0</v>
      </c>
      <c r="AA25" s="69">
        <v>0</v>
      </c>
      <c r="AB25" s="69">
        <v>0</v>
      </c>
      <c r="AC25" s="69">
        <v>0</v>
      </c>
      <c r="AD25" s="69">
        <v>0</v>
      </c>
      <c r="AE25" s="69">
        <v>0</v>
      </c>
      <c r="AF25" s="56">
        <f t="shared" si="33"/>
        <v>0</v>
      </c>
      <c r="AG25" s="67">
        <f t="shared" si="34"/>
        <v>0</v>
      </c>
      <c r="AH25" s="68">
        <f t="shared" si="35"/>
        <v>0</v>
      </c>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row>
    <row r="26" spans="1:58" ht="15.75" customHeight="1" x14ac:dyDescent="0.2">
      <c r="A26" s="4" t="s">
        <v>185</v>
      </c>
      <c r="B26" s="69">
        <v>0</v>
      </c>
      <c r="C26" s="69">
        <v>280</v>
      </c>
      <c r="D26" s="69">
        <v>0</v>
      </c>
      <c r="E26" s="69">
        <v>0</v>
      </c>
      <c r="F26" s="69">
        <v>0</v>
      </c>
      <c r="G26" s="69">
        <v>0</v>
      </c>
      <c r="H26" s="69">
        <v>0</v>
      </c>
      <c r="I26" s="69">
        <v>0</v>
      </c>
      <c r="J26" s="69">
        <v>0</v>
      </c>
      <c r="K26" s="69">
        <v>0</v>
      </c>
      <c r="L26" s="69">
        <v>0</v>
      </c>
      <c r="M26" s="69">
        <v>0</v>
      </c>
      <c r="N26" s="69">
        <v>0</v>
      </c>
      <c r="O26" s="69">
        <v>0</v>
      </c>
      <c r="P26" s="69">
        <v>0</v>
      </c>
      <c r="Q26" s="69">
        <v>0</v>
      </c>
      <c r="R26" s="69">
        <v>0</v>
      </c>
      <c r="S26" s="69">
        <v>220</v>
      </c>
      <c r="T26" s="69">
        <v>200</v>
      </c>
      <c r="U26" s="69">
        <v>280</v>
      </c>
      <c r="V26" s="69">
        <v>0</v>
      </c>
      <c r="W26" s="69">
        <v>0</v>
      </c>
      <c r="X26" s="69">
        <v>0</v>
      </c>
      <c r="Y26" s="69">
        <v>0</v>
      </c>
      <c r="Z26" s="69">
        <v>0</v>
      </c>
      <c r="AA26" s="69">
        <v>0</v>
      </c>
      <c r="AB26" s="69">
        <v>0</v>
      </c>
      <c r="AC26" s="69">
        <v>0</v>
      </c>
      <c r="AD26" s="69">
        <v>0</v>
      </c>
      <c r="AE26" s="69">
        <v>220</v>
      </c>
      <c r="AF26" s="56">
        <f t="shared" si="33"/>
        <v>1200</v>
      </c>
      <c r="AG26" s="67">
        <f t="shared" si="34"/>
        <v>40</v>
      </c>
      <c r="AH26" s="68">
        <f t="shared" si="35"/>
        <v>0.4998331068336328</v>
      </c>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row>
    <row r="27" spans="1:58" ht="15.75" customHeight="1" x14ac:dyDescent="0.2">
      <c r="A27" s="4" t="s">
        <v>186</v>
      </c>
      <c r="B27" s="69">
        <v>0</v>
      </c>
      <c r="C27" s="69">
        <v>0</v>
      </c>
      <c r="D27" s="69">
        <v>0</v>
      </c>
      <c r="E27" s="69">
        <v>0</v>
      </c>
      <c r="F27" s="69">
        <v>0</v>
      </c>
      <c r="G27" s="69">
        <v>0</v>
      </c>
      <c r="H27" s="69">
        <v>0</v>
      </c>
      <c r="I27" s="69">
        <v>0</v>
      </c>
      <c r="J27" s="69">
        <v>0</v>
      </c>
      <c r="K27" s="69">
        <v>0</v>
      </c>
      <c r="L27" s="69">
        <v>0</v>
      </c>
      <c r="M27" s="69">
        <v>0</v>
      </c>
      <c r="N27" s="69">
        <v>0</v>
      </c>
      <c r="O27" s="69">
        <v>0</v>
      </c>
      <c r="P27" s="69">
        <v>0</v>
      </c>
      <c r="Q27" s="69">
        <v>0</v>
      </c>
      <c r="R27" s="69">
        <v>0</v>
      </c>
      <c r="S27" s="69">
        <v>0</v>
      </c>
      <c r="T27" s="69">
        <v>0</v>
      </c>
      <c r="U27" s="69">
        <v>0</v>
      </c>
      <c r="V27" s="69">
        <v>0</v>
      </c>
      <c r="W27" s="69">
        <v>0</v>
      </c>
      <c r="X27" s="69">
        <v>0</v>
      </c>
      <c r="Y27" s="69">
        <v>0</v>
      </c>
      <c r="Z27" s="69">
        <v>0</v>
      </c>
      <c r="AA27" s="69">
        <v>0</v>
      </c>
      <c r="AB27" s="69">
        <v>0</v>
      </c>
      <c r="AC27" s="69">
        <v>0</v>
      </c>
      <c r="AD27" s="69">
        <v>0</v>
      </c>
      <c r="AE27" s="69">
        <v>0</v>
      </c>
      <c r="AF27" s="56">
        <f t="shared" si="33"/>
        <v>0</v>
      </c>
      <c r="AG27" s="67">
        <f t="shared" si="34"/>
        <v>0</v>
      </c>
      <c r="AH27" s="68">
        <f t="shared" si="35"/>
        <v>0</v>
      </c>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row>
    <row r="28" spans="1:58"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56">
        <f t="shared" si="33"/>
        <v>0</v>
      </c>
      <c r="AG28" s="67">
        <f t="shared" si="34"/>
        <v>0</v>
      </c>
      <c r="AH28" s="68">
        <f t="shared" si="35"/>
        <v>0</v>
      </c>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row>
    <row r="29" spans="1:58" ht="15.75" customHeight="1" x14ac:dyDescent="0.2">
      <c r="A29" s="10" t="s">
        <v>0</v>
      </c>
      <c r="B29" s="76">
        <f t="shared" ref="B29:AF29" si="36">SUM(B2:B28)</f>
        <v>8982.5357142857156</v>
      </c>
      <c r="C29" s="76">
        <f t="shared" si="36"/>
        <v>9267.5357142857156</v>
      </c>
      <c r="D29" s="76">
        <f t="shared" si="36"/>
        <v>9082.5357142857156</v>
      </c>
      <c r="E29" s="76">
        <f t="shared" si="36"/>
        <v>9292.5357142857156</v>
      </c>
      <c r="F29" s="76">
        <f t="shared" si="36"/>
        <v>0</v>
      </c>
      <c r="G29" s="76">
        <f t="shared" si="36"/>
        <v>7132.5357142857147</v>
      </c>
      <c r="H29" s="76">
        <f t="shared" si="36"/>
        <v>8237.5357142857138</v>
      </c>
      <c r="I29" s="76">
        <f t="shared" si="36"/>
        <v>7992.5357142857147</v>
      </c>
      <c r="J29" s="76">
        <f t="shared" si="36"/>
        <v>9141.5357142857156</v>
      </c>
      <c r="K29" s="76">
        <f t="shared" si="36"/>
        <v>11707.535714285716</v>
      </c>
      <c r="L29" s="76">
        <f t="shared" si="36"/>
        <v>7707.5357142857147</v>
      </c>
      <c r="M29" s="76">
        <f t="shared" si="36"/>
        <v>7722.5357142857147</v>
      </c>
      <c r="N29" s="76">
        <f t="shared" si="36"/>
        <v>7787.5357142857147</v>
      </c>
      <c r="O29" s="76">
        <f t="shared" si="36"/>
        <v>7462.5357142857147</v>
      </c>
      <c r="P29" s="76">
        <f t="shared" si="36"/>
        <v>0</v>
      </c>
      <c r="Q29" s="76">
        <f t="shared" si="36"/>
        <v>8732.5357142857156</v>
      </c>
      <c r="R29" s="76">
        <f t="shared" si="36"/>
        <v>9282.5357142857156</v>
      </c>
      <c r="S29" s="76">
        <f t="shared" si="36"/>
        <v>8592.5357142857156</v>
      </c>
      <c r="T29" s="76">
        <f t="shared" si="36"/>
        <v>8442.5357142857138</v>
      </c>
      <c r="U29" s="76">
        <f t="shared" si="36"/>
        <v>8427.5357142857138</v>
      </c>
      <c r="V29" s="76">
        <f t="shared" si="36"/>
        <v>9072.5357142857156</v>
      </c>
      <c r="W29" s="76">
        <f t="shared" si="36"/>
        <v>8822.5357142857138</v>
      </c>
      <c r="X29" s="76">
        <f t="shared" si="36"/>
        <v>10022.535714285716</v>
      </c>
      <c r="Y29" s="76">
        <f t="shared" si="36"/>
        <v>9302.5357142857156</v>
      </c>
      <c r="Z29" s="76">
        <f t="shared" si="36"/>
        <v>7682.5357142857147</v>
      </c>
      <c r="AA29" s="76">
        <f t="shared" si="36"/>
        <v>8382.5357142857156</v>
      </c>
      <c r="AB29" s="76">
        <f t="shared" si="36"/>
        <v>8342.5357142857156</v>
      </c>
      <c r="AC29" s="76">
        <f t="shared" si="36"/>
        <v>9222.5357142857156</v>
      </c>
      <c r="AD29" s="76">
        <f t="shared" si="36"/>
        <v>6672.5357142857147</v>
      </c>
      <c r="AE29" s="76">
        <f t="shared" si="36"/>
        <v>8542.5357142857138</v>
      </c>
      <c r="AF29" s="76">
        <f t="shared" si="36"/>
        <v>241060</v>
      </c>
      <c r="AG29" s="28">
        <f>AVERAGE(C29:AE29)</f>
        <v>8002.6711822660081</v>
      </c>
      <c r="AH29" s="77">
        <f>(AG29/$AG$29)*100</f>
        <v>100</v>
      </c>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row>
    <row r="30" spans="1:58" ht="15.75" customHeight="1" x14ac:dyDescent="0.2">
      <c r="A30" s="4" t="s">
        <v>188</v>
      </c>
      <c r="B30" s="69">
        <v>4120</v>
      </c>
      <c r="C30" s="69">
        <v>2400</v>
      </c>
      <c r="D30" s="69">
        <v>4050</v>
      </c>
      <c r="E30" s="69">
        <v>5725</v>
      </c>
      <c r="F30" s="69">
        <v>0</v>
      </c>
      <c r="G30" s="69">
        <v>3180</v>
      </c>
      <c r="H30" s="69">
        <v>2860</v>
      </c>
      <c r="I30" s="69">
        <v>4860</v>
      </c>
      <c r="J30" s="69">
        <v>7315</v>
      </c>
      <c r="K30" s="69">
        <v>560</v>
      </c>
      <c r="L30" s="69">
        <v>1445</v>
      </c>
      <c r="M30" s="69">
        <v>1605</v>
      </c>
      <c r="N30" s="69">
        <v>1285</v>
      </c>
      <c r="O30" s="69">
        <v>2345</v>
      </c>
      <c r="P30" s="69">
        <v>0</v>
      </c>
      <c r="Q30" s="69">
        <v>3090</v>
      </c>
      <c r="R30" s="69">
        <v>3000</v>
      </c>
      <c r="S30" s="69">
        <v>865</v>
      </c>
      <c r="T30" s="69">
        <v>2575</v>
      </c>
      <c r="U30" s="69">
        <v>5710</v>
      </c>
      <c r="V30" s="69">
        <v>4150</v>
      </c>
      <c r="W30" s="69">
        <v>4780</v>
      </c>
      <c r="X30" s="69">
        <v>3525</v>
      </c>
      <c r="Y30" s="69">
        <v>4360</v>
      </c>
      <c r="Z30" s="69">
        <v>3710</v>
      </c>
      <c r="AA30" s="69">
        <v>3245</v>
      </c>
      <c r="AB30" s="69">
        <v>2220</v>
      </c>
      <c r="AC30" s="69">
        <v>2440</v>
      </c>
      <c r="AD30" s="69">
        <v>1170</v>
      </c>
      <c r="AE30" s="69">
        <v>2830</v>
      </c>
      <c r="AF30" s="56">
        <f t="shared" ref="AF30:AF32" si="37">SUM(C30:AE30)</f>
        <v>85300</v>
      </c>
      <c r="AG30" s="67">
        <f t="shared" ref="AG30:AG32" si="38">IFERROR(AVERAGE(C30:AE30),0)</f>
        <v>2941.3793103448274</v>
      </c>
      <c r="AH30" s="68">
        <f t="shared" ref="AH30:AH32" si="39">IFERROR((AG30/$AG$32)*100,0)</f>
        <v>50.56103184811537</v>
      </c>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row>
    <row r="31" spans="1:58" ht="15.75" customHeight="1" x14ac:dyDescent="0.2">
      <c r="A31" s="4" t="s">
        <v>189</v>
      </c>
      <c r="B31" s="78">
        <f t="shared" ref="B31:AE31" si="40">B32-B30</f>
        <v>3095</v>
      </c>
      <c r="C31" s="78">
        <f t="shared" si="40"/>
        <v>4020</v>
      </c>
      <c r="D31" s="78">
        <f t="shared" si="40"/>
        <v>3195</v>
      </c>
      <c r="E31" s="78">
        <f t="shared" si="40"/>
        <v>1530</v>
      </c>
      <c r="F31" s="78">
        <f t="shared" si="40"/>
        <v>0</v>
      </c>
      <c r="G31" s="78">
        <f t="shared" si="40"/>
        <v>1670</v>
      </c>
      <c r="H31" s="78">
        <f t="shared" si="40"/>
        <v>1800</v>
      </c>
      <c r="I31" s="78">
        <f t="shared" si="40"/>
        <v>1420</v>
      </c>
      <c r="J31" s="78">
        <f t="shared" si="40"/>
        <v>7185</v>
      </c>
      <c r="K31" s="78">
        <f t="shared" si="40"/>
        <v>2645</v>
      </c>
      <c r="L31" s="78">
        <f t="shared" si="40"/>
        <v>2990</v>
      </c>
      <c r="M31" s="78">
        <f t="shared" si="40"/>
        <v>725</v>
      </c>
      <c r="N31" s="78">
        <f t="shared" si="40"/>
        <v>1220</v>
      </c>
      <c r="O31" s="78">
        <f t="shared" si="40"/>
        <v>2900</v>
      </c>
      <c r="P31" s="78">
        <f t="shared" si="40"/>
        <v>0</v>
      </c>
      <c r="Q31" s="78">
        <f t="shared" si="40"/>
        <v>8620</v>
      </c>
      <c r="R31" s="78">
        <f t="shared" si="40"/>
        <v>3330</v>
      </c>
      <c r="S31" s="78">
        <f t="shared" si="40"/>
        <v>1930</v>
      </c>
      <c r="T31" s="78">
        <f t="shared" si="40"/>
        <v>4137</v>
      </c>
      <c r="U31" s="78">
        <f t="shared" si="40"/>
        <v>3885</v>
      </c>
      <c r="V31" s="78">
        <f t="shared" si="40"/>
        <v>2980</v>
      </c>
      <c r="W31" s="78">
        <f t="shared" si="40"/>
        <v>2065</v>
      </c>
      <c r="X31" s="78">
        <f t="shared" si="40"/>
        <v>5350</v>
      </c>
      <c r="Y31" s="78">
        <f t="shared" si="40"/>
        <v>1300</v>
      </c>
      <c r="Z31" s="78">
        <f t="shared" si="40"/>
        <v>3505</v>
      </c>
      <c r="AA31" s="78">
        <f t="shared" si="40"/>
        <v>4005</v>
      </c>
      <c r="AB31" s="78">
        <f t="shared" si="40"/>
        <v>2120</v>
      </c>
      <c r="AC31" s="78">
        <f t="shared" si="40"/>
        <v>2320</v>
      </c>
      <c r="AD31" s="78">
        <f t="shared" si="40"/>
        <v>820</v>
      </c>
      <c r="AE31" s="78">
        <f t="shared" si="40"/>
        <v>5740</v>
      </c>
      <c r="AF31" s="56">
        <f t="shared" si="37"/>
        <v>83407</v>
      </c>
      <c r="AG31" s="67">
        <f t="shared" si="38"/>
        <v>2876.1034482758619</v>
      </c>
      <c r="AH31" s="68">
        <f t="shared" si="39"/>
        <v>49.43896815188463</v>
      </c>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row>
    <row r="32" spans="1:58" ht="15.75" customHeight="1" x14ac:dyDescent="0.2">
      <c r="A32" s="4" t="s">
        <v>190</v>
      </c>
      <c r="B32" s="69">
        <v>7215</v>
      </c>
      <c r="C32" s="69">
        <v>6420</v>
      </c>
      <c r="D32" s="69">
        <v>7245</v>
      </c>
      <c r="E32" s="69">
        <v>7255</v>
      </c>
      <c r="F32" s="69">
        <v>0</v>
      </c>
      <c r="G32" s="69">
        <v>4850</v>
      </c>
      <c r="H32" s="69">
        <v>4660</v>
      </c>
      <c r="I32" s="69">
        <v>6280</v>
      </c>
      <c r="J32" s="69">
        <v>14500</v>
      </c>
      <c r="K32" s="69">
        <v>3205</v>
      </c>
      <c r="L32" s="69">
        <v>4435</v>
      </c>
      <c r="M32" s="69">
        <v>2330</v>
      </c>
      <c r="N32" s="69">
        <v>2505</v>
      </c>
      <c r="O32" s="69">
        <v>5245</v>
      </c>
      <c r="P32" s="69">
        <v>0</v>
      </c>
      <c r="Q32" s="69">
        <v>11710</v>
      </c>
      <c r="R32" s="69">
        <v>6330</v>
      </c>
      <c r="S32" s="69">
        <v>2795</v>
      </c>
      <c r="T32" s="69">
        <v>6712</v>
      </c>
      <c r="U32" s="69">
        <v>9595</v>
      </c>
      <c r="V32" s="69">
        <v>7130</v>
      </c>
      <c r="W32" s="69">
        <v>6845</v>
      </c>
      <c r="X32" s="69">
        <v>8875</v>
      </c>
      <c r="Y32" s="69">
        <v>5660</v>
      </c>
      <c r="Z32" s="69">
        <v>7215</v>
      </c>
      <c r="AA32" s="69">
        <v>7250</v>
      </c>
      <c r="AB32" s="69">
        <v>4340</v>
      </c>
      <c r="AC32" s="69">
        <v>4760</v>
      </c>
      <c r="AD32" s="69">
        <v>1990</v>
      </c>
      <c r="AE32" s="69">
        <v>8570</v>
      </c>
      <c r="AF32" s="56">
        <f t="shared" si="37"/>
        <v>168707</v>
      </c>
      <c r="AG32" s="67">
        <f t="shared" si="38"/>
        <v>5817.4827586206893</v>
      </c>
      <c r="AH32" s="68">
        <f t="shared" si="39"/>
        <v>100</v>
      </c>
      <c r="AI32" s="14"/>
      <c r="AJ32" s="75"/>
      <c r="AK32" s="75"/>
      <c r="AL32" s="75"/>
      <c r="AM32" s="75"/>
      <c r="AN32" s="75"/>
      <c r="AO32" s="75"/>
      <c r="AP32" s="75"/>
      <c r="AQ32" s="75"/>
      <c r="AR32" s="75"/>
      <c r="AS32" s="75"/>
      <c r="AT32" s="75"/>
      <c r="AU32" s="14"/>
      <c r="AV32" s="14"/>
      <c r="AW32" s="14"/>
      <c r="AX32" s="14"/>
      <c r="AY32" s="14"/>
      <c r="AZ32" s="14"/>
      <c r="BA32" s="14"/>
      <c r="BB32" s="14"/>
      <c r="BC32" s="14"/>
      <c r="BD32" s="14"/>
      <c r="BE32" s="14"/>
      <c r="BF32" s="14"/>
    </row>
    <row r="33" spans="1:35" ht="15.75" customHeight="1" x14ac:dyDescent="0.2">
      <c r="A33" s="4" t="s">
        <v>191</v>
      </c>
      <c r="B33" s="69">
        <f t="shared" ref="B33:AE33" si="41">B32-B29</f>
        <v>-1767.5357142857156</v>
      </c>
      <c r="C33" s="69">
        <f t="shared" si="41"/>
        <v>-2847.5357142857156</v>
      </c>
      <c r="D33" s="69">
        <f t="shared" si="41"/>
        <v>-1837.5357142857156</v>
      </c>
      <c r="E33" s="69">
        <f t="shared" si="41"/>
        <v>-2037.5357142857156</v>
      </c>
      <c r="F33" s="69">
        <f t="shared" si="41"/>
        <v>0</v>
      </c>
      <c r="G33" s="69">
        <f t="shared" si="41"/>
        <v>-2282.5357142857147</v>
      </c>
      <c r="H33" s="69">
        <f t="shared" si="41"/>
        <v>-3577.5357142857138</v>
      </c>
      <c r="I33" s="69">
        <f t="shared" si="41"/>
        <v>-1712.5357142857147</v>
      </c>
      <c r="J33" s="69">
        <f t="shared" si="41"/>
        <v>5358.4642857142844</v>
      </c>
      <c r="K33" s="69">
        <f t="shared" si="41"/>
        <v>-8502.5357142857156</v>
      </c>
      <c r="L33" s="69">
        <f t="shared" si="41"/>
        <v>-3272.5357142857147</v>
      </c>
      <c r="M33" s="69">
        <f t="shared" si="41"/>
        <v>-5392.5357142857147</v>
      </c>
      <c r="N33" s="69">
        <f t="shared" si="41"/>
        <v>-5282.5357142857147</v>
      </c>
      <c r="O33" s="69">
        <f t="shared" si="41"/>
        <v>-2217.5357142857147</v>
      </c>
      <c r="P33" s="69">
        <f t="shared" si="41"/>
        <v>0</v>
      </c>
      <c r="Q33" s="69">
        <f t="shared" si="41"/>
        <v>2977.4642857142844</v>
      </c>
      <c r="R33" s="69">
        <f t="shared" si="41"/>
        <v>-2952.5357142857156</v>
      </c>
      <c r="S33" s="69">
        <f t="shared" si="41"/>
        <v>-5797.5357142857156</v>
      </c>
      <c r="T33" s="69">
        <f t="shared" si="41"/>
        <v>-1730.5357142857138</v>
      </c>
      <c r="U33" s="69">
        <f t="shared" si="41"/>
        <v>1167.4642857142862</v>
      </c>
      <c r="V33" s="59">
        <f t="shared" si="41"/>
        <v>-1942.5357142857156</v>
      </c>
      <c r="W33" s="59">
        <f t="shared" si="41"/>
        <v>-1977.5357142857138</v>
      </c>
      <c r="X33" s="59">
        <f t="shared" si="41"/>
        <v>-1147.5357142857156</v>
      </c>
      <c r="Y33" s="59">
        <f t="shared" si="41"/>
        <v>-3642.5357142857156</v>
      </c>
      <c r="Z33" s="59">
        <f t="shared" si="41"/>
        <v>-467.53571428571468</v>
      </c>
      <c r="AA33" s="59">
        <f t="shared" si="41"/>
        <v>-1132.5357142857156</v>
      </c>
      <c r="AB33" s="59">
        <f t="shared" si="41"/>
        <v>-4002.5357142857156</v>
      </c>
      <c r="AC33" s="59">
        <f t="shared" si="41"/>
        <v>-4462.5357142857156</v>
      </c>
      <c r="AD33" s="59">
        <f t="shared" si="41"/>
        <v>-4682.5357142857147</v>
      </c>
      <c r="AE33" s="59">
        <f t="shared" si="41"/>
        <v>27.464285714286234</v>
      </c>
      <c r="AF33" s="81">
        <f>SUM(B33:AE33)+B40+B41</f>
        <v>-21546.000000000044</v>
      </c>
      <c r="AG33" s="5">
        <f>AVERAGE(C33:AE33,C40,C41)</f>
        <v>-2185.188423645322</v>
      </c>
      <c r="AH33" s="68"/>
      <c r="AI33" s="14"/>
    </row>
    <row r="34" spans="1:35"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7"/>
      <c r="AG34" s="7"/>
      <c r="AI34" s="14"/>
    </row>
    <row r="35" spans="1:35" ht="15.75" customHeight="1" x14ac:dyDescent="0.2">
      <c r="A35" s="4" t="s">
        <v>13</v>
      </c>
      <c r="B35" s="59">
        <f t="shared" ref="B35:B38" si="42">SUM(B29:AE29)</f>
        <v>241059.99999999994</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14"/>
    </row>
    <row r="36" spans="1:35" ht="15.75" customHeight="1" x14ac:dyDescent="0.2">
      <c r="A36" s="4" t="s">
        <v>14</v>
      </c>
      <c r="B36" s="59">
        <f t="shared" si="42"/>
        <v>89420</v>
      </c>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14"/>
    </row>
    <row r="37" spans="1:35" ht="15.75" customHeight="1" x14ac:dyDescent="0.2">
      <c r="A37" s="4" t="s">
        <v>15</v>
      </c>
      <c r="B37" s="59">
        <f t="shared" si="42"/>
        <v>86502</v>
      </c>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14"/>
    </row>
    <row r="38" spans="1:35" ht="15.75" customHeight="1" x14ac:dyDescent="0.2">
      <c r="A38" s="4" t="s">
        <v>16</v>
      </c>
      <c r="B38" s="59">
        <f t="shared" si="42"/>
        <v>175922</v>
      </c>
      <c r="C38" s="6"/>
      <c r="E38" s="14" t="s">
        <v>248</v>
      </c>
      <c r="N38" s="6"/>
      <c r="O38" s="6"/>
      <c r="P38" s="6"/>
      <c r="Q38" s="6"/>
      <c r="R38" s="6"/>
      <c r="S38" s="6"/>
      <c r="T38" s="6"/>
      <c r="U38" s="6"/>
      <c r="V38" s="6"/>
      <c r="W38" s="6"/>
      <c r="X38" s="6"/>
      <c r="Y38" s="6"/>
      <c r="Z38" s="6"/>
      <c r="AA38" s="6"/>
      <c r="AB38" s="6"/>
      <c r="AC38" s="6"/>
      <c r="AD38" s="6"/>
      <c r="AE38" s="6"/>
      <c r="AF38" s="7"/>
      <c r="AG38" s="7"/>
      <c r="AI38" s="14"/>
    </row>
    <row r="39" spans="1:35" ht="15.75" customHeight="1" x14ac:dyDescent="0.2">
      <c r="A39" s="4" t="s">
        <v>17</v>
      </c>
      <c r="B39" s="80">
        <f>Expenses!O20</f>
        <v>71556</v>
      </c>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7"/>
      <c r="AI39" s="14"/>
    </row>
    <row r="40" spans="1:35" ht="15.75" customHeight="1" x14ac:dyDescent="0.2">
      <c r="A40" s="4" t="s">
        <v>18</v>
      </c>
      <c r="B40" s="59">
        <f>3446+3106+3731+12531</f>
        <v>22814</v>
      </c>
      <c r="C40" s="6"/>
      <c r="M40" s="6"/>
      <c r="N40" s="6"/>
      <c r="O40" s="6"/>
      <c r="P40" s="6"/>
      <c r="Q40" s="6"/>
      <c r="R40" s="6"/>
      <c r="S40" s="6"/>
      <c r="T40" s="6"/>
      <c r="U40" s="6"/>
      <c r="V40" s="6"/>
      <c r="W40" s="6"/>
      <c r="X40" s="6"/>
      <c r="Y40" s="6"/>
      <c r="Z40" s="6"/>
      <c r="AA40" s="6"/>
      <c r="AB40" s="6"/>
      <c r="AC40" s="6"/>
      <c r="AD40" s="6"/>
      <c r="AE40" s="6"/>
      <c r="AF40" s="7"/>
      <c r="AG40" s="7"/>
      <c r="AI40" s="14"/>
    </row>
    <row r="41" spans="1:35" ht="15.75" customHeight="1" x14ac:dyDescent="0.2">
      <c r="A41" s="4" t="s">
        <v>19</v>
      </c>
      <c r="B41" s="59">
        <f>4770+3554+3985+3307+5162</f>
        <v>20778</v>
      </c>
      <c r="C41" s="6"/>
      <c r="M41" s="6"/>
      <c r="N41" s="6"/>
      <c r="O41" s="6"/>
      <c r="P41" s="6"/>
      <c r="Q41" s="6"/>
      <c r="R41" s="6"/>
      <c r="S41" s="6"/>
      <c r="T41" s="6"/>
      <c r="U41" s="6"/>
      <c r="V41" s="6"/>
      <c r="W41" s="6"/>
      <c r="X41" s="6"/>
      <c r="Y41" s="6"/>
      <c r="Z41" s="6"/>
      <c r="AA41" s="6"/>
      <c r="AB41" s="6"/>
      <c r="AC41" s="6"/>
      <c r="AD41" s="6"/>
      <c r="AE41" s="6"/>
      <c r="AF41" s="7"/>
      <c r="AG41" s="7"/>
      <c r="AI41" s="14"/>
    </row>
    <row r="42" spans="1:35" ht="15.75" customHeight="1" x14ac:dyDescent="0.2">
      <c r="A42" s="4" t="s">
        <v>20</v>
      </c>
      <c r="B42" s="59">
        <f>Stock!BA72</f>
        <v>27074</v>
      </c>
      <c r="C42" s="6"/>
      <c r="M42" s="6"/>
      <c r="N42" s="6"/>
      <c r="O42" s="6"/>
      <c r="P42" s="6"/>
      <c r="Q42" s="6"/>
      <c r="R42" s="6"/>
      <c r="S42" s="6"/>
      <c r="T42" s="6"/>
      <c r="U42" s="6"/>
      <c r="V42" s="6"/>
      <c r="W42" s="6"/>
      <c r="X42" s="6"/>
      <c r="Y42" s="6"/>
      <c r="Z42" s="6"/>
      <c r="AA42" s="6"/>
      <c r="AB42" s="6"/>
      <c r="AC42" s="6"/>
      <c r="AD42" s="6"/>
      <c r="AE42" s="6"/>
      <c r="AF42" s="7"/>
      <c r="AG42" s="7"/>
      <c r="AI42" s="14"/>
    </row>
    <row r="43" spans="1:35" ht="15.75" customHeight="1" x14ac:dyDescent="0.2">
      <c r="A43" s="4" t="s">
        <v>21</v>
      </c>
      <c r="B43" s="59">
        <f>B38-B35+B40+B41</f>
        <v>-21545.999999999942</v>
      </c>
      <c r="C43" s="6"/>
      <c r="M43" s="6"/>
      <c r="N43" s="6"/>
      <c r="O43" s="6"/>
      <c r="P43" s="6"/>
      <c r="Q43" s="6"/>
      <c r="R43" s="6"/>
      <c r="S43" s="6"/>
      <c r="T43" s="6"/>
      <c r="U43" s="6"/>
      <c r="V43" s="6"/>
      <c r="W43" s="6"/>
      <c r="X43" s="6"/>
      <c r="Y43" s="6"/>
      <c r="Z43" s="6"/>
      <c r="AA43" s="6"/>
      <c r="AB43" s="6"/>
      <c r="AC43" s="6"/>
      <c r="AD43" s="6"/>
      <c r="AE43" s="6"/>
      <c r="AF43" s="7"/>
      <c r="AG43" s="7"/>
      <c r="AI43" s="14"/>
    </row>
    <row r="44" spans="1:35" ht="15.75" customHeight="1" x14ac:dyDescent="0.2">
      <c r="B44" s="6"/>
      <c r="C44" s="6"/>
      <c r="M44" s="6"/>
      <c r="N44" s="6"/>
      <c r="O44" s="6"/>
      <c r="P44" s="6"/>
      <c r="Q44" s="6"/>
      <c r="R44" s="6"/>
      <c r="S44" s="6"/>
      <c r="T44" s="6"/>
      <c r="U44" s="6"/>
      <c r="V44" s="6"/>
      <c r="W44" s="6"/>
      <c r="X44" s="6"/>
      <c r="Y44" s="6"/>
      <c r="Z44" s="6"/>
      <c r="AA44" s="6"/>
      <c r="AB44" s="6"/>
      <c r="AC44" s="6"/>
      <c r="AD44" s="6"/>
      <c r="AE44" s="6"/>
      <c r="AF44" s="7"/>
      <c r="AG44" s="7"/>
      <c r="AI44" s="14"/>
    </row>
    <row r="45" spans="1:35" ht="15.75" customHeight="1" x14ac:dyDescent="0.2">
      <c r="A45" s="4" t="s">
        <v>201</v>
      </c>
      <c r="B45" s="59">
        <v>0</v>
      </c>
      <c r="C45" s="59">
        <v>0</v>
      </c>
      <c r="D45" s="59">
        <v>0</v>
      </c>
      <c r="E45" s="59">
        <v>0</v>
      </c>
      <c r="F45" s="59">
        <v>0</v>
      </c>
      <c r="G45" s="59">
        <v>0</v>
      </c>
      <c r="H45" s="59">
        <v>1700</v>
      </c>
      <c r="I45" s="59">
        <v>1700</v>
      </c>
      <c r="J45" s="59">
        <v>1700</v>
      </c>
      <c r="K45" s="59">
        <v>1700</v>
      </c>
      <c r="L45" s="59">
        <v>1700</v>
      </c>
      <c r="M45" s="59">
        <v>1700</v>
      </c>
      <c r="N45" s="59">
        <v>1700</v>
      </c>
      <c r="O45" s="59">
        <v>1700</v>
      </c>
      <c r="P45" s="59">
        <v>0</v>
      </c>
      <c r="Q45" s="59">
        <v>1700</v>
      </c>
      <c r="R45" s="59">
        <v>1700</v>
      </c>
      <c r="S45" s="59">
        <v>1700</v>
      </c>
      <c r="T45" s="59">
        <v>1700</v>
      </c>
      <c r="U45" s="59">
        <v>1700</v>
      </c>
      <c r="V45" s="59">
        <v>1700</v>
      </c>
      <c r="W45" s="59">
        <v>1700</v>
      </c>
      <c r="X45" s="59">
        <v>1700</v>
      </c>
      <c r="Y45" s="59">
        <v>1700</v>
      </c>
      <c r="Z45" s="59">
        <v>1700</v>
      </c>
      <c r="AA45" s="59">
        <v>1700</v>
      </c>
      <c r="AB45" s="59">
        <v>1700</v>
      </c>
      <c r="AC45" s="59">
        <v>1700</v>
      </c>
      <c r="AD45" s="59">
        <v>1700</v>
      </c>
      <c r="AE45" s="59">
        <v>1700</v>
      </c>
      <c r="AF45" s="56">
        <f t="shared" ref="AF45:AF47" si="43">SUM(B45:AE45)</f>
        <v>39100</v>
      </c>
      <c r="AH45" s="7"/>
      <c r="AI45" s="14"/>
    </row>
    <row r="46" spans="1:35" ht="15.75" customHeight="1" x14ac:dyDescent="0.2">
      <c r="A46" s="4" t="s">
        <v>202</v>
      </c>
      <c r="B46" s="59">
        <v>0</v>
      </c>
      <c r="C46" s="59">
        <v>0</v>
      </c>
      <c r="D46" s="59">
        <v>0</v>
      </c>
      <c r="E46" s="59">
        <v>1100</v>
      </c>
      <c r="F46" s="59">
        <v>0</v>
      </c>
      <c r="G46" s="59">
        <v>0</v>
      </c>
      <c r="H46" s="59">
        <v>0</v>
      </c>
      <c r="I46" s="59">
        <v>0</v>
      </c>
      <c r="J46" s="59">
        <v>0</v>
      </c>
      <c r="K46" s="59">
        <v>1910</v>
      </c>
      <c r="L46" s="59">
        <v>0</v>
      </c>
      <c r="M46" s="59">
        <v>0</v>
      </c>
      <c r="N46" s="59">
        <v>0</v>
      </c>
      <c r="O46" s="59">
        <v>0</v>
      </c>
      <c r="P46" s="59">
        <v>0</v>
      </c>
      <c r="Q46" s="59">
        <v>0</v>
      </c>
      <c r="R46" s="59">
        <v>0</v>
      </c>
      <c r="S46" s="59">
        <v>0</v>
      </c>
      <c r="T46" s="59">
        <v>0</v>
      </c>
      <c r="U46" s="59">
        <v>0</v>
      </c>
      <c r="V46" s="59">
        <v>0</v>
      </c>
      <c r="W46" s="59">
        <v>0</v>
      </c>
      <c r="X46" s="59">
        <v>0</v>
      </c>
      <c r="Y46" s="59">
        <v>0</v>
      </c>
      <c r="Z46" s="59">
        <v>0</v>
      </c>
      <c r="AA46" s="59">
        <v>0</v>
      </c>
      <c r="AB46" s="59">
        <v>0</v>
      </c>
      <c r="AC46" s="59">
        <v>0</v>
      </c>
      <c r="AD46" s="59">
        <v>0</v>
      </c>
      <c r="AE46" s="59">
        <v>0</v>
      </c>
      <c r="AF46" s="56">
        <f t="shared" si="43"/>
        <v>3010</v>
      </c>
      <c r="AG46" s="7"/>
      <c r="AI46" s="14"/>
    </row>
    <row r="47" spans="1:35" ht="15.75" customHeight="1" x14ac:dyDescent="0.2">
      <c r="A47" s="4" t="s">
        <v>203</v>
      </c>
      <c r="B47" s="59">
        <f t="shared" ref="B47:AE47" si="44">B4+B3+B7+B8+(SUM(B20:B22))+B45+B46</f>
        <v>4295.5357142857138</v>
      </c>
      <c r="C47" s="59">
        <f t="shared" si="44"/>
        <v>4295.5357142857138</v>
      </c>
      <c r="D47" s="59">
        <f t="shared" si="44"/>
        <v>4295.5357142857138</v>
      </c>
      <c r="E47" s="59">
        <f t="shared" si="44"/>
        <v>5395.5357142857138</v>
      </c>
      <c r="F47" s="59">
        <f t="shared" si="44"/>
        <v>0</v>
      </c>
      <c r="G47" s="59">
        <f t="shared" si="44"/>
        <v>4295.5357142857138</v>
      </c>
      <c r="H47" s="59">
        <f t="shared" si="44"/>
        <v>5995.5357142857138</v>
      </c>
      <c r="I47" s="59">
        <f t="shared" si="44"/>
        <v>5995.5357142857138</v>
      </c>
      <c r="J47" s="59">
        <f t="shared" si="44"/>
        <v>5995.5357142857138</v>
      </c>
      <c r="K47" s="59">
        <f t="shared" si="44"/>
        <v>7905.5357142857138</v>
      </c>
      <c r="L47" s="59">
        <f t="shared" si="44"/>
        <v>5995.5357142857138</v>
      </c>
      <c r="M47" s="59">
        <f t="shared" si="44"/>
        <v>5995.5357142857138</v>
      </c>
      <c r="N47" s="59">
        <f t="shared" si="44"/>
        <v>5995.5357142857138</v>
      </c>
      <c r="O47" s="59">
        <f t="shared" si="44"/>
        <v>5995.5357142857138</v>
      </c>
      <c r="P47" s="59">
        <f t="shared" si="44"/>
        <v>0</v>
      </c>
      <c r="Q47" s="59">
        <f t="shared" si="44"/>
        <v>5995.5357142857138</v>
      </c>
      <c r="R47" s="59">
        <f t="shared" si="44"/>
        <v>5995.5357142857138</v>
      </c>
      <c r="S47" s="59">
        <f t="shared" si="44"/>
        <v>5995.5357142857138</v>
      </c>
      <c r="T47" s="59">
        <f t="shared" si="44"/>
        <v>5995.5357142857138</v>
      </c>
      <c r="U47" s="59">
        <f t="shared" si="44"/>
        <v>5995.5357142857138</v>
      </c>
      <c r="V47" s="59">
        <f t="shared" si="44"/>
        <v>5995.5357142857138</v>
      </c>
      <c r="W47" s="59">
        <f t="shared" si="44"/>
        <v>5995.5357142857138</v>
      </c>
      <c r="X47" s="59">
        <f t="shared" si="44"/>
        <v>5995.5357142857138</v>
      </c>
      <c r="Y47" s="59">
        <f t="shared" si="44"/>
        <v>5995.5357142857138</v>
      </c>
      <c r="Z47" s="59">
        <f t="shared" si="44"/>
        <v>5995.5357142857138</v>
      </c>
      <c r="AA47" s="59">
        <f t="shared" si="44"/>
        <v>5995.5357142857138</v>
      </c>
      <c r="AB47" s="59">
        <f t="shared" si="44"/>
        <v>5995.5357142857138</v>
      </c>
      <c r="AC47" s="59">
        <f t="shared" si="44"/>
        <v>5995.5357142857138</v>
      </c>
      <c r="AD47" s="59">
        <f t="shared" si="44"/>
        <v>5995.5357142857138</v>
      </c>
      <c r="AE47" s="59">
        <f t="shared" si="44"/>
        <v>5995.5357142857138</v>
      </c>
      <c r="AF47" s="67">
        <f t="shared" si="43"/>
        <v>162384.99999999991</v>
      </c>
      <c r="AG47" s="7"/>
      <c r="AI47" s="14"/>
    </row>
    <row r="48" spans="1:35" ht="15.75" customHeight="1" x14ac:dyDescent="0.2">
      <c r="A48" s="4" t="s">
        <v>204</v>
      </c>
      <c r="B48" s="59">
        <f>B31-B29+B47+16663</f>
        <v>15070.999999999998</v>
      </c>
      <c r="C48" s="59">
        <f t="shared" ref="C48:AE48" si="45">B48+C31-C29+C47</f>
        <v>14118.999999999998</v>
      </c>
      <c r="D48" s="59">
        <f t="shared" si="45"/>
        <v>12526.999999999998</v>
      </c>
      <c r="E48" s="59">
        <f t="shared" si="45"/>
        <v>10159.999999999996</v>
      </c>
      <c r="F48" s="59">
        <f t="shared" si="45"/>
        <v>10159.999999999996</v>
      </c>
      <c r="G48" s="59">
        <f t="shared" si="45"/>
        <v>8992.9999999999964</v>
      </c>
      <c r="H48" s="59">
        <f t="shared" si="45"/>
        <v>8550.9999999999964</v>
      </c>
      <c r="I48" s="59">
        <f t="shared" si="45"/>
        <v>7973.9999999999955</v>
      </c>
      <c r="J48" s="59">
        <f t="shared" si="45"/>
        <v>12012.999999999995</v>
      </c>
      <c r="K48" s="59">
        <f t="shared" si="45"/>
        <v>10855.999999999993</v>
      </c>
      <c r="L48" s="59">
        <f t="shared" si="45"/>
        <v>12133.999999999993</v>
      </c>
      <c r="M48" s="59">
        <f t="shared" si="45"/>
        <v>11131.999999999993</v>
      </c>
      <c r="N48" s="59">
        <f t="shared" si="45"/>
        <v>10559.999999999993</v>
      </c>
      <c r="O48" s="59">
        <f t="shared" si="45"/>
        <v>11992.999999999993</v>
      </c>
      <c r="P48" s="59">
        <f t="shared" si="45"/>
        <v>11992.999999999993</v>
      </c>
      <c r="Q48" s="59">
        <f t="shared" si="45"/>
        <v>17875.999999999993</v>
      </c>
      <c r="R48" s="59">
        <f t="shared" si="45"/>
        <v>17918.999999999993</v>
      </c>
      <c r="S48" s="59">
        <f t="shared" si="45"/>
        <v>17251.999999999993</v>
      </c>
      <c r="T48" s="59">
        <f t="shared" si="45"/>
        <v>18941.999999999993</v>
      </c>
      <c r="U48" s="59">
        <f t="shared" si="45"/>
        <v>20394.999999999993</v>
      </c>
      <c r="V48" s="59">
        <f t="shared" si="45"/>
        <v>20297.999999999993</v>
      </c>
      <c r="W48" s="59">
        <f t="shared" si="45"/>
        <v>19535.999999999993</v>
      </c>
      <c r="X48" s="59">
        <f t="shared" si="45"/>
        <v>20858.999999999993</v>
      </c>
      <c r="Y48" s="59">
        <f t="shared" si="45"/>
        <v>18851.999999999993</v>
      </c>
      <c r="Z48" s="59">
        <f t="shared" si="45"/>
        <v>20669.999999999993</v>
      </c>
      <c r="AA48" s="59">
        <f t="shared" si="45"/>
        <v>22287.999999999993</v>
      </c>
      <c r="AB48" s="59">
        <f t="shared" si="45"/>
        <v>22060.999999999993</v>
      </c>
      <c r="AC48" s="59">
        <f t="shared" si="45"/>
        <v>21153.999999999993</v>
      </c>
      <c r="AD48" s="59">
        <f t="shared" si="45"/>
        <v>21296.999999999993</v>
      </c>
      <c r="AE48" s="59">
        <f t="shared" si="45"/>
        <v>24489.999999999993</v>
      </c>
      <c r="AF48" s="7"/>
      <c r="AG48" s="7"/>
    </row>
    <row r="49" spans="1:33"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7"/>
      <c r="AG49" s="7"/>
    </row>
    <row r="50" spans="1:33" ht="15.75" customHeight="1" x14ac:dyDescent="0.2">
      <c r="AF50" s="1"/>
      <c r="AG50" s="7"/>
    </row>
    <row r="51" spans="1:33" ht="15.75" customHeight="1" x14ac:dyDescent="0.2">
      <c r="A51" s="4" t="s">
        <v>166</v>
      </c>
      <c r="B51" s="4">
        <v>2250</v>
      </c>
      <c r="AF51" s="1"/>
      <c r="AG51" s="7"/>
    </row>
    <row r="52" spans="1:33" ht="15.75" customHeight="1" x14ac:dyDescent="0.2">
      <c r="A52" s="4" t="s">
        <v>205</v>
      </c>
      <c r="B52" s="4">
        <v>4000</v>
      </c>
      <c r="AF52" s="1"/>
      <c r="AG52" s="7"/>
    </row>
    <row r="53" spans="1:33" ht="15.75" customHeight="1" x14ac:dyDescent="0.2">
      <c r="A53" s="4" t="s">
        <v>179</v>
      </c>
      <c r="B53" s="4">
        <v>11370</v>
      </c>
      <c r="I53" s="14" t="s">
        <v>206</v>
      </c>
      <c r="AF53" s="1"/>
      <c r="AG53" s="7"/>
    </row>
    <row r="54" spans="1:33" ht="15.75" customHeight="1" x14ac:dyDescent="0.2">
      <c r="A54" s="4" t="s">
        <v>180</v>
      </c>
      <c r="B54" s="4">
        <v>0</v>
      </c>
      <c r="AF54" s="1"/>
      <c r="AG54" s="7"/>
    </row>
    <row r="55" spans="1:33" ht="15.75" customHeight="1" x14ac:dyDescent="0.2">
      <c r="A55" s="4" t="s">
        <v>181</v>
      </c>
      <c r="B55" s="4">
        <v>4025</v>
      </c>
      <c r="AF55" s="1"/>
      <c r="AG55" s="7"/>
    </row>
    <row r="56" spans="1:33" ht="15.75" customHeight="1" x14ac:dyDescent="0.2">
      <c r="B56" s="83">
        <f>SUM(B51:B55)</f>
        <v>21645</v>
      </c>
      <c r="J56" s="84" t="s">
        <v>207</v>
      </c>
      <c r="K56" s="4"/>
      <c r="L56" s="59">
        <f>D32</f>
        <v>7245</v>
      </c>
      <c r="M56" s="59">
        <f>K32</f>
        <v>3205</v>
      </c>
      <c r="N56" s="59">
        <f>R32</f>
        <v>6330</v>
      </c>
      <c r="O56" s="59">
        <f>Y32</f>
        <v>5660</v>
      </c>
      <c r="P56" s="84">
        <f t="shared" ref="P56:P62" si="46">AVERAGEIF(K56:O56,"&lt;&gt;0")</f>
        <v>5610</v>
      </c>
      <c r="R56" s="6"/>
      <c r="AF56" s="1"/>
      <c r="AG56" s="7"/>
    </row>
    <row r="57" spans="1:33" ht="15.75" customHeight="1" x14ac:dyDescent="0.2">
      <c r="J57" s="84" t="s">
        <v>208</v>
      </c>
      <c r="K57" s="4"/>
      <c r="L57" s="59">
        <f>E32</f>
        <v>7255</v>
      </c>
      <c r="M57" s="59">
        <f>L32</f>
        <v>4435</v>
      </c>
      <c r="N57" s="59">
        <f>S32</f>
        <v>2795</v>
      </c>
      <c r="O57" s="59">
        <f>Z32</f>
        <v>7215</v>
      </c>
      <c r="P57" s="84">
        <f t="shared" si="46"/>
        <v>5425</v>
      </c>
      <c r="AF57" s="1"/>
      <c r="AG57" s="7"/>
    </row>
    <row r="58" spans="1:33" ht="15.75" customHeight="1" x14ac:dyDescent="0.2">
      <c r="J58" s="84" t="s">
        <v>209</v>
      </c>
      <c r="K58" s="4"/>
      <c r="L58" s="36">
        <f>F32</f>
        <v>0</v>
      </c>
      <c r="M58" s="59">
        <f>M32</f>
        <v>2330</v>
      </c>
      <c r="N58" s="59">
        <f>T32</f>
        <v>6712</v>
      </c>
      <c r="O58" s="59">
        <f>AA32</f>
        <v>7250</v>
      </c>
      <c r="P58" s="84">
        <f t="shared" si="46"/>
        <v>5430.666666666667</v>
      </c>
      <c r="AF58" s="1"/>
      <c r="AG58" s="7"/>
    </row>
    <row r="59" spans="1:33" ht="15.75" customHeight="1" x14ac:dyDescent="0.2">
      <c r="A59" s="14" t="s">
        <v>210</v>
      </c>
      <c r="B59" s="14">
        <v>28</v>
      </c>
      <c r="J59" s="84" t="s">
        <v>211</v>
      </c>
      <c r="K59" s="4"/>
      <c r="L59" s="36">
        <f>G32</f>
        <v>4850</v>
      </c>
      <c r="M59" s="59">
        <f>N32</f>
        <v>2505</v>
      </c>
      <c r="N59" s="59">
        <f>U32</f>
        <v>9595</v>
      </c>
      <c r="O59" s="59">
        <f>AB32</f>
        <v>4340</v>
      </c>
      <c r="P59" s="84">
        <f t="shared" si="46"/>
        <v>5322.5</v>
      </c>
      <c r="AF59" s="1"/>
      <c r="AG59" s="7"/>
    </row>
    <row r="60" spans="1:33" ht="15.75" customHeight="1" x14ac:dyDescent="0.2">
      <c r="J60" s="84" t="s">
        <v>212</v>
      </c>
      <c r="K60" s="4"/>
      <c r="L60" s="36">
        <f>H32</f>
        <v>4660</v>
      </c>
      <c r="M60" s="59">
        <f>O32</f>
        <v>5245</v>
      </c>
      <c r="N60" s="59">
        <f>V32</f>
        <v>7130</v>
      </c>
      <c r="O60" s="59">
        <f>AC32</f>
        <v>4760</v>
      </c>
      <c r="P60" s="84">
        <f t="shared" si="46"/>
        <v>5448.75</v>
      </c>
      <c r="AF60" s="1"/>
      <c r="AG60" s="7"/>
    </row>
    <row r="61" spans="1:33" ht="15.75" customHeight="1" x14ac:dyDescent="0.2">
      <c r="J61" s="84" t="s">
        <v>213</v>
      </c>
      <c r="K61" s="59">
        <f>B32</f>
        <v>7215</v>
      </c>
      <c r="L61" s="36">
        <f>I32</f>
        <v>6280</v>
      </c>
      <c r="M61" s="59">
        <f>P32</f>
        <v>0</v>
      </c>
      <c r="N61" s="59">
        <f>W32</f>
        <v>6845</v>
      </c>
      <c r="O61" s="59">
        <f>AD32</f>
        <v>1990</v>
      </c>
      <c r="P61" s="84">
        <f t="shared" si="46"/>
        <v>5582.5</v>
      </c>
      <c r="AF61" s="1"/>
      <c r="AG61" s="7"/>
    </row>
    <row r="62" spans="1:33" ht="15.75" customHeight="1" x14ac:dyDescent="0.2">
      <c r="J62" s="84" t="s">
        <v>214</v>
      </c>
      <c r="K62" s="59">
        <f>C32</f>
        <v>6420</v>
      </c>
      <c r="L62" s="59">
        <f>J32</f>
        <v>14500</v>
      </c>
      <c r="M62" s="59">
        <f>Q32</f>
        <v>11710</v>
      </c>
      <c r="N62" s="59">
        <f>X32</f>
        <v>8875</v>
      </c>
      <c r="O62" s="59">
        <f>AE32</f>
        <v>8570</v>
      </c>
      <c r="P62" s="84">
        <f t="shared" si="46"/>
        <v>10015</v>
      </c>
      <c r="AF62" s="1"/>
      <c r="AG62" s="7"/>
    </row>
    <row r="63" spans="1:33" ht="15.75" customHeight="1" x14ac:dyDescent="0.2">
      <c r="Q63" s="14" t="s">
        <v>127</v>
      </c>
      <c r="AF63" s="1"/>
      <c r="AG63" s="7"/>
    </row>
    <row r="64" spans="1:33" ht="15.75" customHeight="1" x14ac:dyDescent="0.2">
      <c r="AF64" s="1"/>
      <c r="AG64" s="7"/>
    </row>
    <row r="65" spans="25:33" ht="14" x14ac:dyDescent="0.2">
      <c r="AF65" s="1"/>
      <c r="AG65" s="7"/>
    </row>
    <row r="66" spans="25:33" ht="14" x14ac:dyDescent="0.2">
      <c r="Y66" s="14" t="s">
        <v>206</v>
      </c>
      <c r="AF66" s="1"/>
      <c r="AG66" s="7"/>
    </row>
    <row r="67" spans="25:33" ht="14" x14ac:dyDescent="0.2">
      <c r="AF67" s="1"/>
      <c r="AG67" s="7"/>
    </row>
    <row r="68" spans="25:33" ht="14" x14ac:dyDescent="0.2">
      <c r="AF68" s="1"/>
      <c r="AG68" s="7"/>
    </row>
    <row r="69" spans="25:33" ht="14" x14ac:dyDescent="0.2">
      <c r="AF69" s="1"/>
      <c r="AG69" s="7"/>
    </row>
    <row r="70" spans="25:33" ht="14" x14ac:dyDescent="0.2">
      <c r="AF70" s="1"/>
      <c r="AG70" s="7"/>
    </row>
    <row r="71" spans="25:33" ht="14" x14ac:dyDescent="0.2">
      <c r="AF71" s="1"/>
      <c r="AG71" s="7"/>
    </row>
    <row r="72" spans="25:33" ht="14" x14ac:dyDescent="0.2">
      <c r="AF72" s="1"/>
      <c r="AG72" s="7"/>
    </row>
    <row r="73" spans="25:33" ht="14" x14ac:dyDescent="0.2">
      <c r="AF73" s="1"/>
      <c r="AG73" s="7"/>
    </row>
    <row r="74" spans="25:33" ht="14" x14ac:dyDescent="0.2">
      <c r="AF74" s="1"/>
      <c r="AG74" s="7"/>
    </row>
    <row r="75" spans="25:33" ht="14" x14ac:dyDescent="0.2">
      <c r="AF75" s="1"/>
      <c r="AG75" s="7"/>
    </row>
    <row r="76" spans="25:33" ht="14" x14ac:dyDescent="0.2">
      <c r="AF76" s="1"/>
      <c r="AG76" s="7"/>
    </row>
    <row r="77" spans="25:33" ht="14" x14ac:dyDescent="0.2">
      <c r="AF77" s="1"/>
      <c r="AG77" s="7"/>
    </row>
    <row r="78" spans="25:33" ht="14" x14ac:dyDescent="0.2">
      <c r="AF78" s="1"/>
      <c r="AG78" s="7"/>
    </row>
    <row r="79" spans="25:33" ht="14" x14ac:dyDescent="0.2">
      <c r="AF79" s="1"/>
      <c r="AG79" s="7"/>
    </row>
    <row r="80" spans="25:33" ht="14" x14ac:dyDescent="0.2">
      <c r="AF80" s="1"/>
      <c r="AG80" s="7"/>
    </row>
    <row r="81" spans="32:33" ht="14" x14ac:dyDescent="0.2">
      <c r="AF81" s="1"/>
      <c r="AG81" s="7"/>
    </row>
    <row r="82" spans="32:33" ht="14" x14ac:dyDescent="0.2">
      <c r="AF82" s="1"/>
      <c r="AG82" s="7"/>
    </row>
    <row r="83" spans="32:33" ht="14" x14ac:dyDescent="0.2">
      <c r="AF83" s="1"/>
      <c r="AG83" s="7"/>
    </row>
    <row r="84" spans="32:33" ht="14" x14ac:dyDescent="0.2">
      <c r="AF84" s="1"/>
      <c r="AG84" s="7"/>
    </row>
    <row r="85" spans="32:33" ht="14" x14ac:dyDescent="0.2">
      <c r="AF85" s="1"/>
      <c r="AG85" s="7"/>
    </row>
    <row r="86" spans="32:33" ht="14" x14ac:dyDescent="0.2">
      <c r="AF86" s="1"/>
      <c r="AG86" s="7"/>
    </row>
    <row r="87" spans="32:33" ht="14" x14ac:dyDescent="0.2">
      <c r="AF87" s="1"/>
      <c r="AG87" s="7"/>
    </row>
    <row r="88" spans="32:33" ht="14" x14ac:dyDescent="0.2">
      <c r="AF88" s="1"/>
      <c r="AG88" s="7"/>
    </row>
    <row r="89" spans="32:33" ht="14" x14ac:dyDescent="0.2">
      <c r="AF89" s="1"/>
      <c r="AG89" s="7"/>
    </row>
    <row r="90" spans="32:33" ht="14" x14ac:dyDescent="0.2">
      <c r="AF90" s="1"/>
      <c r="AG90" s="7"/>
    </row>
    <row r="91" spans="32:33" ht="14" x14ac:dyDescent="0.2">
      <c r="AF91" s="1"/>
      <c r="AG91" s="7"/>
    </row>
    <row r="92" spans="32:33" ht="14" x14ac:dyDescent="0.2">
      <c r="AF92" s="1"/>
      <c r="AG92" s="7"/>
    </row>
    <row r="93" spans="32:33" ht="14" x14ac:dyDescent="0.2">
      <c r="AF93" s="1"/>
      <c r="AG93" s="7"/>
    </row>
    <row r="94" spans="32:33" ht="14" x14ac:dyDescent="0.2">
      <c r="AF94" s="1"/>
      <c r="AG94" s="7"/>
    </row>
    <row r="95" spans="32:33" ht="14" x14ac:dyDescent="0.2">
      <c r="AF95" s="1"/>
      <c r="AG95" s="7"/>
    </row>
    <row r="96" spans="32:33" ht="14" x14ac:dyDescent="0.2">
      <c r="AF96" s="1"/>
      <c r="AG96" s="7"/>
    </row>
    <row r="97" spans="32:33" ht="14" x14ac:dyDescent="0.2">
      <c r="AF97" s="1"/>
      <c r="AG97" s="7"/>
    </row>
    <row r="98" spans="32:33" ht="14" x14ac:dyDescent="0.2">
      <c r="AF98" s="1"/>
      <c r="AG98" s="7"/>
    </row>
    <row r="99" spans="32:33" ht="14" x14ac:dyDescent="0.2">
      <c r="AF99" s="1"/>
      <c r="AG99" s="7"/>
    </row>
    <row r="100" spans="32:33" ht="14" x14ac:dyDescent="0.2">
      <c r="AF100" s="1"/>
      <c r="AG100" s="7"/>
    </row>
    <row r="101" spans="32:33" ht="14" x14ac:dyDescent="0.2">
      <c r="AF101" s="1"/>
      <c r="AG101" s="7"/>
    </row>
    <row r="102" spans="32:33" ht="14" x14ac:dyDescent="0.2">
      <c r="AF102" s="1"/>
      <c r="AG102" s="7"/>
    </row>
    <row r="103" spans="32:33" ht="14" x14ac:dyDescent="0.2">
      <c r="AF103" s="1"/>
      <c r="AG103" s="7"/>
    </row>
    <row r="104" spans="32:33" ht="14" x14ac:dyDescent="0.2">
      <c r="AF104" s="1"/>
      <c r="AG104" s="7"/>
    </row>
    <row r="105" spans="32:33" ht="14" x14ac:dyDescent="0.2">
      <c r="AF105" s="1"/>
      <c r="AG105" s="7"/>
    </row>
    <row r="106" spans="32:33" ht="14" x14ac:dyDescent="0.2">
      <c r="AF106" s="1"/>
      <c r="AG106" s="7"/>
    </row>
    <row r="107" spans="32:33" ht="14" x14ac:dyDescent="0.2">
      <c r="AF107" s="1"/>
      <c r="AG107" s="7"/>
    </row>
    <row r="108" spans="32:33" ht="14" x14ac:dyDescent="0.2">
      <c r="AF108" s="1"/>
      <c r="AG108" s="7"/>
    </row>
    <row r="109" spans="32:33" ht="14" x14ac:dyDescent="0.2">
      <c r="AF109" s="1"/>
      <c r="AG109" s="7"/>
    </row>
    <row r="110" spans="32:33" ht="14" x14ac:dyDescent="0.2">
      <c r="AF110" s="1"/>
      <c r="AG110" s="7"/>
    </row>
    <row r="111" spans="32:33" ht="14" x14ac:dyDescent="0.2">
      <c r="AF111" s="1"/>
      <c r="AG111" s="7"/>
    </row>
    <row r="112" spans="32:33" ht="14" x14ac:dyDescent="0.2">
      <c r="AF112" s="1"/>
      <c r="AG112" s="7"/>
    </row>
    <row r="113" spans="32:33" ht="14" x14ac:dyDescent="0.2">
      <c r="AF113" s="1"/>
      <c r="AG113" s="7"/>
    </row>
    <row r="114" spans="32:33" ht="14" x14ac:dyDescent="0.2">
      <c r="AF114" s="1"/>
      <c r="AG114" s="7"/>
    </row>
    <row r="115" spans="32:33" ht="14" x14ac:dyDescent="0.2">
      <c r="AF115" s="1"/>
      <c r="AG115" s="7"/>
    </row>
    <row r="116" spans="32:33" ht="14" x14ac:dyDescent="0.2">
      <c r="AF116" s="1"/>
      <c r="AG116" s="7"/>
    </row>
    <row r="117" spans="32:33" ht="14" x14ac:dyDescent="0.2">
      <c r="AF117" s="1"/>
      <c r="AG117" s="7"/>
    </row>
    <row r="118" spans="32:33" ht="14" x14ac:dyDescent="0.2">
      <c r="AF118" s="1"/>
      <c r="AG118" s="7"/>
    </row>
    <row r="119" spans="32:33" ht="14" x14ac:dyDescent="0.2">
      <c r="AF119" s="1"/>
      <c r="AG119" s="7"/>
    </row>
    <row r="120" spans="32:33" ht="14" x14ac:dyDescent="0.2">
      <c r="AF120" s="1"/>
      <c r="AG120" s="7"/>
    </row>
    <row r="121" spans="32:33" ht="14" x14ac:dyDescent="0.2">
      <c r="AF121" s="1"/>
      <c r="AG121" s="7"/>
    </row>
    <row r="122" spans="32:33" ht="14" x14ac:dyDescent="0.2">
      <c r="AF122" s="1"/>
      <c r="AG122" s="7"/>
    </row>
    <row r="123" spans="32:33" ht="14" x14ac:dyDescent="0.2">
      <c r="AF123" s="1"/>
      <c r="AG123" s="7"/>
    </row>
    <row r="124" spans="32:33" ht="14" x14ac:dyDescent="0.2">
      <c r="AF124" s="1"/>
      <c r="AG124" s="7"/>
    </row>
    <row r="125" spans="32:33" ht="14" x14ac:dyDescent="0.2">
      <c r="AF125" s="1"/>
      <c r="AG125" s="7"/>
    </row>
    <row r="126" spans="32:33" ht="14" x14ac:dyDescent="0.2">
      <c r="AF126" s="1"/>
      <c r="AG126" s="7"/>
    </row>
    <row r="127" spans="32:33" ht="14" x14ac:dyDescent="0.2">
      <c r="AF127" s="1"/>
      <c r="AG127" s="7"/>
    </row>
    <row r="128" spans="32:33" ht="14" x14ac:dyDescent="0.2">
      <c r="AF128" s="1"/>
      <c r="AG128" s="7"/>
    </row>
    <row r="129" spans="32:33" ht="14" x14ac:dyDescent="0.2">
      <c r="AF129" s="1"/>
      <c r="AG129" s="7"/>
    </row>
    <row r="130" spans="32:33" ht="14" x14ac:dyDescent="0.2">
      <c r="AF130" s="1"/>
      <c r="AG130" s="7"/>
    </row>
    <row r="131" spans="32:33" ht="14" x14ac:dyDescent="0.2">
      <c r="AF131" s="1"/>
      <c r="AG131" s="7"/>
    </row>
    <row r="132" spans="32:33" ht="14" x14ac:dyDescent="0.2">
      <c r="AF132" s="1"/>
      <c r="AG132" s="7"/>
    </row>
    <row r="133" spans="32:33" ht="14" x14ac:dyDescent="0.2">
      <c r="AF133" s="1"/>
      <c r="AG133" s="7"/>
    </row>
    <row r="134" spans="32:33" ht="14" x14ac:dyDescent="0.2">
      <c r="AF134" s="1"/>
      <c r="AG134" s="7"/>
    </row>
    <row r="135" spans="32:33" ht="14" x14ac:dyDescent="0.2">
      <c r="AF135" s="1"/>
      <c r="AG135" s="7"/>
    </row>
    <row r="136" spans="32:33" ht="14" x14ac:dyDescent="0.2">
      <c r="AF136" s="1"/>
      <c r="AG136" s="7"/>
    </row>
    <row r="137" spans="32:33" ht="14" x14ac:dyDescent="0.2">
      <c r="AF137" s="1"/>
      <c r="AG137" s="7"/>
    </row>
    <row r="138" spans="32:33" ht="14" x14ac:dyDescent="0.2">
      <c r="AF138" s="1"/>
      <c r="AG138" s="7"/>
    </row>
    <row r="139" spans="32:33" ht="14" x14ac:dyDescent="0.2">
      <c r="AF139" s="1"/>
      <c r="AG139" s="7"/>
    </row>
    <row r="140" spans="32:33" ht="14" x14ac:dyDescent="0.2">
      <c r="AF140" s="1"/>
      <c r="AG140" s="7"/>
    </row>
    <row r="141" spans="32:33" ht="14" x14ac:dyDescent="0.2">
      <c r="AF141" s="1"/>
      <c r="AG141" s="7"/>
    </row>
    <row r="142" spans="32:33" ht="14" x14ac:dyDescent="0.2">
      <c r="AF142" s="1"/>
      <c r="AG142" s="7"/>
    </row>
    <row r="143" spans="32:33" ht="14" x14ac:dyDescent="0.2">
      <c r="AF143" s="1"/>
      <c r="AG143" s="7"/>
    </row>
    <row r="144" spans="32:33" ht="14" x14ac:dyDescent="0.2">
      <c r="AF144" s="1"/>
      <c r="AG144" s="7"/>
    </row>
    <row r="145" spans="32:33" ht="14" x14ac:dyDescent="0.2">
      <c r="AF145" s="1"/>
      <c r="AG145" s="7"/>
    </row>
    <row r="146" spans="32:33" ht="14" x14ac:dyDescent="0.2">
      <c r="AF146" s="1"/>
      <c r="AG146" s="7"/>
    </row>
    <row r="147" spans="32:33" ht="14" x14ac:dyDescent="0.2">
      <c r="AF147" s="1"/>
      <c r="AG147" s="7"/>
    </row>
    <row r="148" spans="32:33" ht="14" x14ac:dyDescent="0.2">
      <c r="AF148" s="1"/>
      <c r="AG148" s="7"/>
    </row>
    <row r="149" spans="32:33" ht="14" x14ac:dyDescent="0.2">
      <c r="AF149" s="1"/>
      <c r="AG149" s="7"/>
    </row>
    <row r="150" spans="32:33" ht="14" x14ac:dyDescent="0.2">
      <c r="AF150" s="1"/>
      <c r="AG150" s="7"/>
    </row>
    <row r="151" spans="32:33" ht="14" x14ac:dyDescent="0.2">
      <c r="AF151" s="1"/>
      <c r="AG151" s="7"/>
    </row>
    <row r="152" spans="32:33" ht="14" x14ac:dyDescent="0.2">
      <c r="AF152" s="1"/>
      <c r="AG152" s="7"/>
    </row>
    <row r="153" spans="32:33" ht="14" x14ac:dyDescent="0.2">
      <c r="AF153" s="1"/>
      <c r="AG153" s="7"/>
    </row>
    <row r="154" spans="32:33" ht="14" x14ac:dyDescent="0.2">
      <c r="AF154" s="1"/>
      <c r="AG154" s="7"/>
    </row>
    <row r="155" spans="32:33" ht="14" x14ac:dyDescent="0.2">
      <c r="AF155" s="1"/>
      <c r="AG155" s="7"/>
    </row>
    <row r="156" spans="32:33" ht="14" x14ac:dyDescent="0.2">
      <c r="AF156" s="1"/>
      <c r="AG156" s="7"/>
    </row>
    <row r="157" spans="32:33" ht="14" x14ac:dyDescent="0.2">
      <c r="AF157" s="1"/>
      <c r="AG157" s="7"/>
    </row>
    <row r="158" spans="32:33" ht="14" x14ac:dyDescent="0.2">
      <c r="AF158" s="1"/>
      <c r="AG158" s="7"/>
    </row>
    <row r="159" spans="32:33" ht="14" x14ac:dyDescent="0.2">
      <c r="AF159" s="1"/>
      <c r="AG159" s="7"/>
    </row>
    <row r="160" spans="32:33" ht="14" x14ac:dyDescent="0.2">
      <c r="AF160" s="1"/>
      <c r="AG160" s="7"/>
    </row>
    <row r="161" spans="32:33" ht="14" x14ac:dyDescent="0.2">
      <c r="AF161" s="1"/>
      <c r="AG161" s="7"/>
    </row>
    <row r="162" spans="32:33" ht="14" x14ac:dyDescent="0.2">
      <c r="AF162" s="1"/>
      <c r="AG162" s="7"/>
    </row>
    <row r="163" spans="32:33" ht="14" x14ac:dyDescent="0.2">
      <c r="AF163" s="1"/>
      <c r="AG163" s="7"/>
    </row>
    <row r="164" spans="32:33" ht="14" x14ac:dyDescent="0.2">
      <c r="AF164" s="1"/>
      <c r="AG164" s="7"/>
    </row>
    <row r="165" spans="32:33" ht="14" x14ac:dyDescent="0.2">
      <c r="AF165" s="1"/>
      <c r="AG165" s="7"/>
    </row>
    <row r="166" spans="32:33" ht="14" x14ac:dyDescent="0.2">
      <c r="AF166" s="1"/>
      <c r="AG166" s="7"/>
    </row>
    <row r="167" spans="32:33" ht="14" x14ac:dyDescent="0.2">
      <c r="AF167" s="1"/>
      <c r="AG167" s="7"/>
    </row>
    <row r="168" spans="32:33" ht="14" x14ac:dyDescent="0.2">
      <c r="AF168" s="1"/>
      <c r="AG168" s="7"/>
    </row>
    <row r="169" spans="32:33" ht="14" x14ac:dyDescent="0.2">
      <c r="AF169" s="1"/>
      <c r="AG169" s="7"/>
    </row>
    <row r="170" spans="32:33" ht="14" x14ac:dyDescent="0.2">
      <c r="AF170" s="1"/>
      <c r="AG170" s="7"/>
    </row>
    <row r="171" spans="32:33" ht="14" x14ac:dyDescent="0.2">
      <c r="AF171" s="1"/>
      <c r="AG171" s="7"/>
    </row>
    <row r="172" spans="32:33" ht="14" x14ac:dyDescent="0.2">
      <c r="AF172" s="1"/>
      <c r="AG172" s="7"/>
    </row>
    <row r="173" spans="32:33" ht="14" x14ac:dyDescent="0.2">
      <c r="AF173" s="1"/>
      <c r="AG173" s="7"/>
    </row>
    <row r="174" spans="32:33" ht="14" x14ac:dyDescent="0.2">
      <c r="AF174" s="1"/>
      <c r="AG174" s="7"/>
    </row>
    <row r="175" spans="32:33" ht="14" x14ac:dyDescent="0.2">
      <c r="AF175" s="1"/>
      <c r="AG175" s="7"/>
    </row>
    <row r="176" spans="32:33" ht="14" x14ac:dyDescent="0.2">
      <c r="AF176" s="1"/>
      <c r="AG176" s="7"/>
    </row>
    <row r="177" spans="32:33" ht="14" x14ac:dyDescent="0.2">
      <c r="AF177" s="1"/>
      <c r="AG177" s="7"/>
    </row>
    <row r="178" spans="32:33" ht="14" x14ac:dyDescent="0.2">
      <c r="AF178" s="1"/>
      <c r="AG178" s="7"/>
    </row>
    <row r="179" spans="32:33" ht="14" x14ac:dyDescent="0.2">
      <c r="AF179" s="1"/>
      <c r="AG179" s="7"/>
    </row>
    <row r="180" spans="32:33" ht="14" x14ac:dyDescent="0.2">
      <c r="AF180" s="1"/>
      <c r="AG180" s="7"/>
    </row>
    <row r="181" spans="32:33" ht="14" x14ac:dyDescent="0.2">
      <c r="AF181" s="1"/>
      <c r="AG181" s="7"/>
    </row>
    <row r="182" spans="32:33" ht="14" x14ac:dyDescent="0.2">
      <c r="AF182" s="1"/>
      <c r="AG182" s="7"/>
    </row>
    <row r="183" spans="32:33" ht="14" x14ac:dyDescent="0.2">
      <c r="AF183" s="1"/>
      <c r="AG183" s="7"/>
    </row>
    <row r="184" spans="32:33" ht="14" x14ac:dyDescent="0.2">
      <c r="AF184" s="1"/>
      <c r="AG184" s="7"/>
    </row>
    <row r="185" spans="32:33" ht="14" x14ac:dyDescent="0.2">
      <c r="AF185" s="1"/>
      <c r="AG185" s="7"/>
    </row>
    <row r="186" spans="32:33" ht="14" x14ac:dyDescent="0.2">
      <c r="AF186" s="1"/>
      <c r="AG186" s="7"/>
    </row>
    <row r="187" spans="32:33" ht="14" x14ac:dyDescent="0.2">
      <c r="AF187" s="1"/>
      <c r="AG187" s="7"/>
    </row>
    <row r="188" spans="32:33" ht="14" x14ac:dyDescent="0.2">
      <c r="AF188" s="1"/>
      <c r="AG188" s="7"/>
    </row>
    <row r="189" spans="32:33" ht="14" x14ac:dyDescent="0.2">
      <c r="AF189" s="1"/>
      <c r="AG189" s="7"/>
    </row>
    <row r="190" spans="32:33" ht="14" x14ac:dyDescent="0.2">
      <c r="AF190" s="1"/>
      <c r="AG190" s="7"/>
    </row>
    <row r="191" spans="32:33" ht="14" x14ac:dyDescent="0.2">
      <c r="AF191" s="1"/>
      <c r="AG191" s="7"/>
    </row>
    <row r="192" spans="32:33" ht="14" x14ac:dyDescent="0.2">
      <c r="AF192" s="1"/>
      <c r="AG192" s="7"/>
    </row>
    <row r="193" spans="32:33" ht="14" x14ac:dyDescent="0.2">
      <c r="AF193" s="1"/>
      <c r="AG193" s="7"/>
    </row>
    <row r="194" spans="32:33" ht="14" x14ac:dyDescent="0.2">
      <c r="AF194" s="1"/>
      <c r="AG194" s="7"/>
    </row>
    <row r="195" spans="32:33" ht="14" x14ac:dyDescent="0.2">
      <c r="AF195" s="1"/>
      <c r="AG195" s="7"/>
    </row>
    <row r="196" spans="32:33" ht="14" x14ac:dyDescent="0.2">
      <c r="AF196" s="1"/>
      <c r="AG196" s="7"/>
    </row>
    <row r="197" spans="32:33" ht="14" x14ac:dyDescent="0.2">
      <c r="AF197" s="1"/>
      <c r="AG197" s="7"/>
    </row>
    <row r="198" spans="32:33" ht="14" x14ac:dyDescent="0.2">
      <c r="AF198" s="1"/>
      <c r="AG198" s="7"/>
    </row>
    <row r="199" spans="32:33" ht="14" x14ac:dyDescent="0.2">
      <c r="AF199" s="1"/>
      <c r="AG199" s="7"/>
    </row>
    <row r="200" spans="32:33" ht="14" x14ac:dyDescent="0.2">
      <c r="AF200" s="1"/>
      <c r="AG200" s="7"/>
    </row>
    <row r="201" spans="32:33" ht="14" x14ac:dyDescent="0.2">
      <c r="AF201" s="1"/>
      <c r="AG201" s="7"/>
    </row>
    <row r="202" spans="32:33" ht="14" x14ac:dyDescent="0.2">
      <c r="AF202" s="1"/>
      <c r="AG202" s="7"/>
    </row>
    <row r="203" spans="32:33" ht="14" x14ac:dyDescent="0.2">
      <c r="AF203" s="1"/>
      <c r="AG203" s="7"/>
    </row>
    <row r="204" spans="32:33" ht="14" x14ac:dyDescent="0.2">
      <c r="AF204" s="1"/>
      <c r="AG204" s="7"/>
    </row>
    <row r="205" spans="32:33" ht="14" x14ac:dyDescent="0.2">
      <c r="AF205" s="1"/>
      <c r="AG205" s="7"/>
    </row>
    <row r="206" spans="32:33" ht="14" x14ac:dyDescent="0.2">
      <c r="AF206" s="1"/>
      <c r="AG206" s="7"/>
    </row>
    <row r="207" spans="32:33" ht="14" x14ac:dyDescent="0.2">
      <c r="AF207" s="1"/>
      <c r="AG207" s="7"/>
    </row>
    <row r="208" spans="32:33" ht="14" x14ac:dyDescent="0.2">
      <c r="AF208" s="1"/>
      <c r="AG208" s="7"/>
    </row>
    <row r="209" spans="32:33" ht="14" x14ac:dyDescent="0.2">
      <c r="AF209" s="1"/>
      <c r="AG209" s="7"/>
    </row>
    <row r="210" spans="32:33" ht="14" x14ac:dyDescent="0.2">
      <c r="AF210" s="1"/>
      <c r="AG210" s="7"/>
    </row>
    <row r="211" spans="32:33" ht="14" x14ac:dyDescent="0.2">
      <c r="AF211" s="1"/>
      <c r="AG211" s="7"/>
    </row>
    <row r="212" spans="32:33" ht="14" x14ac:dyDescent="0.2">
      <c r="AF212" s="1"/>
      <c r="AG212" s="7"/>
    </row>
    <row r="213" spans="32:33" ht="14" x14ac:dyDescent="0.2">
      <c r="AF213" s="1"/>
      <c r="AG213" s="7"/>
    </row>
    <row r="214" spans="32:33" ht="14" x14ac:dyDescent="0.2">
      <c r="AF214" s="1"/>
      <c r="AG214" s="7"/>
    </row>
    <row r="215" spans="32:33" ht="14" x14ac:dyDescent="0.2">
      <c r="AF215" s="1"/>
      <c r="AG215" s="7"/>
    </row>
    <row r="216" spans="32:33" ht="14" x14ac:dyDescent="0.2">
      <c r="AF216" s="1"/>
      <c r="AG216" s="7"/>
    </row>
    <row r="217" spans="32:33" ht="14" x14ac:dyDescent="0.2">
      <c r="AF217" s="1"/>
      <c r="AG217" s="7"/>
    </row>
    <row r="218" spans="32:33" ht="14" x14ac:dyDescent="0.2">
      <c r="AF218" s="1"/>
      <c r="AG218" s="7"/>
    </row>
    <row r="219" spans="32:33" ht="14" x14ac:dyDescent="0.2">
      <c r="AF219" s="1"/>
      <c r="AG219" s="7"/>
    </row>
    <row r="220" spans="32:33" ht="14" x14ac:dyDescent="0.2">
      <c r="AF220" s="1"/>
      <c r="AG220" s="7"/>
    </row>
    <row r="221" spans="32:33" ht="14" x14ac:dyDescent="0.2">
      <c r="AF221" s="1"/>
      <c r="AG221" s="7"/>
    </row>
    <row r="222" spans="32:33" ht="14" x14ac:dyDescent="0.2">
      <c r="AF222" s="1"/>
      <c r="AG222" s="7"/>
    </row>
    <row r="223" spans="32:33" ht="14" x14ac:dyDescent="0.2">
      <c r="AF223" s="1"/>
      <c r="AG223" s="7"/>
    </row>
    <row r="224" spans="32:33" ht="14" x14ac:dyDescent="0.2">
      <c r="AF224" s="1"/>
      <c r="AG224" s="7"/>
    </row>
    <row r="225" spans="32:33" ht="14" x14ac:dyDescent="0.2">
      <c r="AF225" s="1"/>
      <c r="AG225" s="7"/>
    </row>
    <row r="226" spans="32:33" ht="14" x14ac:dyDescent="0.2">
      <c r="AF226" s="1"/>
      <c r="AG226" s="7"/>
    </row>
    <row r="227" spans="32:33" ht="14" x14ac:dyDescent="0.2">
      <c r="AF227" s="1"/>
      <c r="AG227" s="7"/>
    </row>
    <row r="228" spans="32:33" ht="14" x14ac:dyDescent="0.2">
      <c r="AF228" s="1"/>
      <c r="AG228" s="7"/>
    </row>
    <row r="229" spans="32:33" ht="14" x14ac:dyDescent="0.2">
      <c r="AF229" s="1"/>
      <c r="AG229" s="7"/>
    </row>
    <row r="230" spans="32:33" ht="14" x14ac:dyDescent="0.2">
      <c r="AF230" s="1"/>
      <c r="AG230" s="7"/>
    </row>
    <row r="231" spans="32:33" ht="14" x14ac:dyDescent="0.2">
      <c r="AF231" s="1"/>
      <c r="AG231" s="7"/>
    </row>
    <row r="232" spans="32:33" ht="14" x14ac:dyDescent="0.2">
      <c r="AF232" s="1"/>
      <c r="AG232" s="7"/>
    </row>
    <row r="233" spans="32:33" ht="14" x14ac:dyDescent="0.2">
      <c r="AF233" s="1"/>
      <c r="AG233" s="7"/>
    </row>
    <row r="234" spans="32:33" ht="14" x14ac:dyDescent="0.2">
      <c r="AF234" s="1"/>
      <c r="AG234" s="7"/>
    </row>
    <row r="235" spans="32:33" ht="14" x14ac:dyDescent="0.2">
      <c r="AF235" s="1"/>
      <c r="AG235" s="7"/>
    </row>
    <row r="236" spans="32:33" ht="14" x14ac:dyDescent="0.2">
      <c r="AF236" s="1"/>
      <c r="AG236" s="7"/>
    </row>
    <row r="237" spans="32:33" ht="14" x14ac:dyDescent="0.2">
      <c r="AF237" s="1"/>
      <c r="AG237" s="7"/>
    </row>
    <row r="238" spans="32:33" ht="14" x14ac:dyDescent="0.2">
      <c r="AF238" s="1"/>
      <c r="AG238" s="7"/>
    </row>
    <row r="239" spans="32:33" ht="14" x14ac:dyDescent="0.2">
      <c r="AF239" s="1"/>
      <c r="AG239" s="7"/>
    </row>
    <row r="240" spans="32:33" ht="14" x14ac:dyDescent="0.2">
      <c r="AF240" s="1"/>
      <c r="AG240" s="7"/>
    </row>
    <row r="241" spans="32:33" ht="14" x14ac:dyDescent="0.2">
      <c r="AF241" s="1"/>
      <c r="AG241" s="7"/>
    </row>
    <row r="242" spans="32:33" ht="14" x14ac:dyDescent="0.2">
      <c r="AF242" s="1"/>
      <c r="AG242" s="7"/>
    </row>
    <row r="243" spans="32:33" ht="14" x14ac:dyDescent="0.2">
      <c r="AF243" s="1"/>
      <c r="AG243" s="7"/>
    </row>
    <row r="244" spans="32:33" ht="14" x14ac:dyDescent="0.2">
      <c r="AF244" s="1"/>
      <c r="AG244" s="7"/>
    </row>
    <row r="245" spans="32:33" ht="14" x14ac:dyDescent="0.2">
      <c r="AF245" s="1"/>
      <c r="AG245" s="7"/>
    </row>
    <row r="246" spans="32:33" ht="14" x14ac:dyDescent="0.2">
      <c r="AF246" s="1"/>
      <c r="AG246" s="7"/>
    </row>
    <row r="247" spans="32:33" ht="14" x14ac:dyDescent="0.2">
      <c r="AF247" s="1"/>
      <c r="AG247" s="7"/>
    </row>
    <row r="248" spans="32:33" ht="14" x14ac:dyDescent="0.2">
      <c r="AF248" s="1"/>
      <c r="AG248" s="7"/>
    </row>
    <row r="249" spans="32:33" ht="14" x14ac:dyDescent="0.2">
      <c r="AF249" s="1"/>
      <c r="AG249" s="7"/>
    </row>
    <row r="250" spans="32:33" ht="14" x14ac:dyDescent="0.2">
      <c r="AF250" s="1"/>
      <c r="AG250" s="7"/>
    </row>
    <row r="251" spans="32:33" ht="14" x14ac:dyDescent="0.2">
      <c r="AF251" s="1"/>
      <c r="AG251" s="7"/>
    </row>
    <row r="252" spans="32:33" ht="14" x14ac:dyDescent="0.2">
      <c r="AF252" s="1"/>
      <c r="AG252" s="7"/>
    </row>
    <row r="253" spans="32:33" ht="14" x14ac:dyDescent="0.2">
      <c r="AF253" s="1"/>
      <c r="AG253" s="7"/>
    </row>
    <row r="254" spans="32:33" ht="14" x14ac:dyDescent="0.2">
      <c r="AF254" s="1"/>
      <c r="AG254" s="7"/>
    </row>
    <row r="255" spans="32:33" ht="14" x14ac:dyDescent="0.2">
      <c r="AF255" s="1"/>
      <c r="AG255" s="7"/>
    </row>
    <row r="256" spans="32:33" ht="14" x14ac:dyDescent="0.2">
      <c r="AF256" s="1"/>
      <c r="AG256" s="7"/>
    </row>
    <row r="257" spans="32:33" ht="14" x14ac:dyDescent="0.2">
      <c r="AF257" s="1"/>
      <c r="AG257" s="7"/>
    </row>
    <row r="258" spans="32:33" ht="14" x14ac:dyDescent="0.2">
      <c r="AF258" s="1"/>
      <c r="AG258" s="7"/>
    </row>
    <row r="259" spans="32:33" ht="14" x14ac:dyDescent="0.2">
      <c r="AF259" s="1"/>
      <c r="AG259" s="7"/>
    </row>
    <row r="260" spans="32:33" ht="14" x14ac:dyDescent="0.2">
      <c r="AF260" s="1"/>
      <c r="AG260" s="7"/>
    </row>
    <row r="261" spans="32:33" ht="14" x14ac:dyDescent="0.2">
      <c r="AF261" s="1"/>
      <c r="AG261" s="7"/>
    </row>
    <row r="262" spans="32:33" ht="14" x14ac:dyDescent="0.2">
      <c r="AF262" s="1"/>
      <c r="AG262" s="7"/>
    </row>
    <row r="263" spans="32:33" ht="14" x14ac:dyDescent="0.2">
      <c r="AF263" s="1"/>
      <c r="AG263" s="7"/>
    </row>
    <row r="264" spans="32:33" ht="14" x14ac:dyDescent="0.2">
      <c r="AF264" s="1"/>
      <c r="AG264" s="7"/>
    </row>
    <row r="265" spans="32:33" ht="14" x14ac:dyDescent="0.2">
      <c r="AF265" s="1"/>
      <c r="AG265" s="7"/>
    </row>
    <row r="266" spans="32:33" ht="14" x14ac:dyDescent="0.2">
      <c r="AF266" s="1"/>
      <c r="AG266" s="7"/>
    </row>
    <row r="267" spans="32:33" ht="14" x14ac:dyDescent="0.2">
      <c r="AF267" s="1"/>
      <c r="AG267" s="7"/>
    </row>
    <row r="268" spans="32:33" ht="14" x14ac:dyDescent="0.2">
      <c r="AF268" s="1"/>
      <c r="AG268" s="7"/>
    </row>
    <row r="269" spans="32:33" ht="14" x14ac:dyDescent="0.2">
      <c r="AF269" s="1"/>
      <c r="AG269" s="7"/>
    </row>
    <row r="270" spans="32:33" ht="14" x14ac:dyDescent="0.2">
      <c r="AF270" s="1"/>
      <c r="AG270" s="7"/>
    </row>
    <row r="271" spans="32:33" ht="14" x14ac:dyDescent="0.2">
      <c r="AF271" s="1"/>
      <c r="AG271" s="7"/>
    </row>
    <row r="272" spans="32:33" ht="14" x14ac:dyDescent="0.2">
      <c r="AF272" s="1"/>
      <c r="AG272" s="7"/>
    </row>
    <row r="273" spans="32:33" ht="14" x14ac:dyDescent="0.2">
      <c r="AF273" s="1"/>
      <c r="AG273" s="7"/>
    </row>
    <row r="274" spans="32:33" ht="14" x14ac:dyDescent="0.2">
      <c r="AF274" s="1"/>
      <c r="AG274" s="7"/>
    </row>
    <row r="275" spans="32:33" ht="14" x14ac:dyDescent="0.2">
      <c r="AF275" s="1"/>
      <c r="AG275" s="7"/>
    </row>
    <row r="276" spans="32:33" ht="14" x14ac:dyDescent="0.2">
      <c r="AF276" s="1"/>
      <c r="AG276" s="7"/>
    </row>
    <row r="277" spans="32:33" ht="14" x14ac:dyDescent="0.2">
      <c r="AF277" s="1"/>
      <c r="AG277" s="7"/>
    </row>
    <row r="278" spans="32:33" ht="14" x14ac:dyDescent="0.2">
      <c r="AF278" s="1"/>
      <c r="AG278" s="7"/>
    </row>
    <row r="279" spans="32:33" ht="14" x14ac:dyDescent="0.2">
      <c r="AF279" s="1"/>
      <c r="AG279" s="7"/>
    </row>
    <row r="280" spans="32:33" ht="14" x14ac:dyDescent="0.2">
      <c r="AF280" s="1"/>
      <c r="AG280" s="7"/>
    </row>
    <row r="281" spans="32:33" ht="14" x14ac:dyDescent="0.2">
      <c r="AF281" s="1"/>
      <c r="AG281" s="7"/>
    </row>
    <row r="282" spans="32:33" ht="14" x14ac:dyDescent="0.2">
      <c r="AF282" s="1"/>
      <c r="AG282" s="7"/>
    </row>
    <row r="283" spans="32:33" ht="14" x14ac:dyDescent="0.2">
      <c r="AF283" s="1"/>
      <c r="AG283" s="7"/>
    </row>
    <row r="284" spans="32:33" ht="14" x14ac:dyDescent="0.2">
      <c r="AF284" s="1"/>
      <c r="AG284" s="7"/>
    </row>
    <row r="285" spans="32:33" ht="14" x14ac:dyDescent="0.2">
      <c r="AF285" s="1"/>
      <c r="AG285" s="7"/>
    </row>
    <row r="286" spans="32:33" ht="14" x14ac:dyDescent="0.2">
      <c r="AF286" s="1"/>
      <c r="AG286" s="7"/>
    </row>
    <row r="287" spans="32:33" ht="14" x14ac:dyDescent="0.2">
      <c r="AF287" s="1"/>
      <c r="AG287" s="7"/>
    </row>
    <row r="288" spans="32:33" ht="14" x14ac:dyDescent="0.2">
      <c r="AF288" s="1"/>
      <c r="AG288" s="7"/>
    </row>
    <row r="289" spans="32:33" ht="14" x14ac:dyDescent="0.2">
      <c r="AF289" s="1"/>
      <c r="AG289" s="7"/>
    </row>
    <row r="290" spans="32:33" ht="14" x14ac:dyDescent="0.2">
      <c r="AF290" s="1"/>
      <c r="AG290" s="7"/>
    </row>
    <row r="291" spans="32:33" ht="14" x14ac:dyDescent="0.2">
      <c r="AF291" s="1"/>
      <c r="AG291" s="7"/>
    </row>
    <row r="292" spans="32:33" ht="14" x14ac:dyDescent="0.2">
      <c r="AF292" s="1"/>
      <c r="AG292" s="7"/>
    </row>
    <row r="293" spans="32:33" ht="14" x14ac:dyDescent="0.2">
      <c r="AF293" s="1"/>
      <c r="AG293" s="7"/>
    </row>
    <row r="294" spans="32:33" ht="14" x14ac:dyDescent="0.2">
      <c r="AF294" s="1"/>
      <c r="AG294" s="7"/>
    </row>
    <row r="295" spans="32:33" ht="14" x14ac:dyDescent="0.2">
      <c r="AF295" s="1"/>
      <c r="AG295" s="7"/>
    </row>
    <row r="296" spans="32:33" ht="14" x14ac:dyDescent="0.2">
      <c r="AF296" s="1"/>
      <c r="AG296" s="7"/>
    </row>
    <row r="297" spans="32:33" ht="14" x14ac:dyDescent="0.2">
      <c r="AF297" s="1"/>
      <c r="AG297" s="7"/>
    </row>
    <row r="298" spans="32:33" ht="14" x14ac:dyDescent="0.2">
      <c r="AF298" s="1"/>
      <c r="AG298" s="7"/>
    </row>
    <row r="299" spans="32:33" ht="14" x14ac:dyDescent="0.2">
      <c r="AF299" s="1"/>
      <c r="AG299" s="7"/>
    </row>
    <row r="300" spans="32:33" ht="14" x14ac:dyDescent="0.2">
      <c r="AF300" s="1"/>
      <c r="AG300" s="7"/>
    </row>
    <row r="301" spans="32:33" ht="14" x14ac:dyDescent="0.2">
      <c r="AF301" s="1"/>
      <c r="AG301" s="7"/>
    </row>
    <row r="302" spans="32:33" ht="14" x14ac:dyDescent="0.2">
      <c r="AF302" s="1"/>
      <c r="AG302" s="7"/>
    </row>
    <row r="303" spans="32:33" ht="14" x14ac:dyDescent="0.2">
      <c r="AF303" s="1"/>
      <c r="AG303" s="7"/>
    </row>
    <row r="304" spans="32:33" ht="14" x14ac:dyDescent="0.2">
      <c r="AF304" s="1"/>
      <c r="AG304" s="7"/>
    </row>
    <row r="305" spans="32:33" ht="14" x14ac:dyDescent="0.2">
      <c r="AF305" s="1"/>
      <c r="AG305" s="7"/>
    </row>
    <row r="306" spans="32:33" ht="14" x14ac:dyDescent="0.2">
      <c r="AF306" s="1"/>
      <c r="AG306" s="7"/>
    </row>
    <row r="307" spans="32:33" ht="14" x14ac:dyDescent="0.2">
      <c r="AF307" s="1"/>
      <c r="AG307" s="7"/>
    </row>
    <row r="308" spans="32:33" ht="14" x14ac:dyDescent="0.2">
      <c r="AF308" s="1"/>
      <c r="AG308" s="7"/>
    </row>
    <row r="309" spans="32:33" ht="14" x14ac:dyDescent="0.2">
      <c r="AF309" s="1"/>
      <c r="AG309" s="7"/>
    </row>
    <row r="310" spans="32:33" ht="14" x14ac:dyDescent="0.2">
      <c r="AF310" s="1"/>
      <c r="AG310" s="7"/>
    </row>
    <row r="311" spans="32:33" ht="14" x14ac:dyDescent="0.2">
      <c r="AF311" s="1"/>
      <c r="AG311" s="7"/>
    </row>
    <row r="312" spans="32:33" ht="14" x14ac:dyDescent="0.2">
      <c r="AF312" s="1"/>
      <c r="AG312" s="7"/>
    </row>
    <row r="313" spans="32:33" ht="14" x14ac:dyDescent="0.2">
      <c r="AF313" s="1"/>
      <c r="AG313" s="7"/>
    </row>
    <row r="314" spans="32:33" ht="14" x14ac:dyDescent="0.2">
      <c r="AF314" s="1"/>
      <c r="AG314" s="7"/>
    </row>
    <row r="315" spans="32:33" ht="14" x14ac:dyDescent="0.2">
      <c r="AF315" s="1"/>
      <c r="AG315" s="7"/>
    </row>
    <row r="316" spans="32:33" ht="14" x14ac:dyDescent="0.2">
      <c r="AF316" s="1"/>
      <c r="AG316" s="7"/>
    </row>
    <row r="317" spans="32:33" ht="14" x14ac:dyDescent="0.2">
      <c r="AF317" s="1"/>
      <c r="AG317" s="7"/>
    </row>
    <row r="318" spans="32:33" ht="14" x14ac:dyDescent="0.2">
      <c r="AF318" s="1"/>
      <c r="AG318" s="7"/>
    </row>
    <row r="319" spans="32:33" ht="14" x14ac:dyDescent="0.2">
      <c r="AF319" s="1"/>
      <c r="AG319" s="7"/>
    </row>
    <row r="320" spans="32:33" ht="14" x14ac:dyDescent="0.2">
      <c r="AF320" s="1"/>
      <c r="AG320" s="7"/>
    </row>
    <row r="321" spans="32:33" ht="14" x14ac:dyDescent="0.2">
      <c r="AF321" s="1"/>
      <c r="AG321" s="7"/>
    </row>
    <row r="322" spans="32:33" ht="14" x14ac:dyDescent="0.2">
      <c r="AF322" s="1"/>
      <c r="AG322" s="7"/>
    </row>
    <row r="323" spans="32:33" ht="14" x14ac:dyDescent="0.2">
      <c r="AF323" s="1"/>
      <c r="AG323" s="7"/>
    </row>
    <row r="324" spans="32:33" ht="14" x14ac:dyDescent="0.2">
      <c r="AF324" s="1"/>
      <c r="AG324" s="7"/>
    </row>
    <row r="325" spans="32:33" ht="14" x14ac:dyDescent="0.2">
      <c r="AF325" s="1"/>
      <c r="AG325" s="7"/>
    </row>
    <row r="326" spans="32:33" ht="14" x14ac:dyDescent="0.2">
      <c r="AF326" s="1"/>
      <c r="AG326" s="7"/>
    </row>
    <row r="327" spans="32:33" ht="14" x14ac:dyDescent="0.2">
      <c r="AF327" s="1"/>
      <c r="AG327" s="7"/>
    </row>
    <row r="328" spans="32:33" ht="14" x14ac:dyDescent="0.2">
      <c r="AF328" s="1"/>
      <c r="AG328" s="7"/>
    </row>
    <row r="329" spans="32:33" ht="14" x14ac:dyDescent="0.2">
      <c r="AF329" s="1"/>
      <c r="AG329" s="7"/>
    </row>
    <row r="330" spans="32:33" ht="14" x14ac:dyDescent="0.2">
      <c r="AF330" s="1"/>
      <c r="AG330" s="7"/>
    </row>
    <row r="331" spans="32:33" ht="14" x14ac:dyDescent="0.2">
      <c r="AF331" s="1"/>
      <c r="AG331" s="7"/>
    </row>
    <row r="332" spans="32:33" ht="14" x14ac:dyDescent="0.2">
      <c r="AF332" s="1"/>
      <c r="AG332" s="7"/>
    </row>
    <row r="333" spans="32:33" ht="14" x14ac:dyDescent="0.2">
      <c r="AF333" s="1"/>
      <c r="AG333" s="7"/>
    </row>
    <row r="334" spans="32:33" ht="14" x14ac:dyDescent="0.2">
      <c r="AF334" s="1"/>
      <c r="AG334" s="7"/>
    </row>
    <row r="335" spans="32:33" ht="14" x14ac:dyDescent="0.2">
      <c r="AF335" s="1"/>
      <c r="AG335" s="7"/>
    </row>
    <row r="336" spans="32:33" ht="14" x14ac:dyDescent="0.2">
      <c r="AF336" s="1"/>
      <c r="AG336" s="7"/>
    </row>
    <row r="337" spans="32:33" ht="14" x14ac:dyDescent="0.2">
      <c r="AF337" s="1"/>
      <c r="AG337" s="7"/>
    </row>
    <row r="338" spans="32:33" ht="14" x14ac:dyDescent="0.2">
      <c r="AF338" s="1"/>
      <c r="AG338" s="7"/>
    </row>
    <row r="339" spans="32:33" ht="14" x14ac:dyDescent="0.2">
      <c r="AF339" s="1"/>
      <c r="AG339" s="7"/>
    </row>
    <row r="340" spans="32:33" ht="14" x14ac:dyDescent="0.2">
      <c r="AF340" s="1"/>
      <c r="AG340" s="7"/>
    </row>
    <row r="341" spans="32:33" ht="14" x14ac:dyDescent="0.2">
      <c r="AF341" s="1"/>
      <c r="AG341" s="7"/>
    </row>
    <row r="342" spans="32:33" ht="14" x14ac:dyDescent="0.2">
      <c r="AF342" s="1"/>
      <c r="AG342" s="7"/>
    </row>
    <row r="343" spans="32:33" ht="14" x14ac:dyDescent="0.2">
      <c r="AF343" s="1"/>
      <c r="AG343" s="7"/>
    </row>
    <row r="344" spans="32:33" ht="14" x14ac:dyDescent="0.2">
      <c r="AF344" s="1"/>
      <c r="AG344" s="7"/>
    </row>
    <row r="345" spans="32:33" ht="14" x14ac:dyDescent="0.2">
      <c r="AF345" s="1"/>
      <c r="AG345" s="7"/>
    </row>
    <row r="346" spans="32:33" ht="14" x14ac:dyDescent="0.2">
      <c r="AF346" s="1"/>
      <c r="AG346" s="7"/>
    </row>
    <row r="347" spans="32:33" ht="14" x14ac:dyDescent="0.2">
      <c r="AF347" s="1"/>
      <c r="AG347" s="7"/>
    </row>
    <row r="348" spans="32:33" ht="14" x14ac:dyDescent="0.2">
      <c r="AF348" s="1"/>
      <c r="AG348" s="7"/>
    </row>
    <row r="349" spans="32:33" ht="14" x14ac:dyDescent="0.2">
      <c r="AF349" s="1"/>
      <c r="AG349" s="7"/>
    </row>
    <row r="350" spans="32:33" ht="14" x14ac:dyDescent="0.2">
      <c r="AF350" s="1"/>
      <c r="AG350" s="7"/>
    </row>
    <row r="351" spans="32:33" ht="14" x14ac:dyDescent="0.2">
      <c r="AF351" s="1"/>
      <c r="AG351" s="7"/>
    </row>
    <row r="352" spans="32:33" ht="14" x14ac:dyDescent="0.2">
      <c r="AF352" s="1"/>
      <c r="AG352" s="7"/>
    </row>
    <row r="353" spans="32:33" ht="14" x14ac:dyDescent="0.2">
      <c r="AF353" s="1"/>
      <c r="AG353" s="7"/>
    </row>
    <row r="354" spans="32:33" ht="14" x14ac:dyDescent="0.2">
      <c r="AF354" s="1"/>
      <c r="AG354" s="7"/>
    </row>
    <row r="355" spans="32:33" ht="14" x14ac:dyDescent="0.2">
      <c r="AF355" s="1"/>
      <c r="AG355" s="7"/>
    </row>
    <row r="356" spans="32:33" ht="14" x14ac:dyDescent="0.2">
      <c r="AF356" s="1"/>
      <c r="AG356" s="7"/>
    </row>
    <row r="357" spans="32:33" ht="14" x14ac:dyDescent="0.2">
      <c r="AF357" s="1"/>
      <c r="AG357" s="7"/>
    </row>
    <row r="358" spans="32:33" ht="14" x14ac:dyDescent="0.2">
      <c r="AF358" s="1"/>
      <c r="AG358" s="7"/>
    </row>
    <row r="359" spans="32:33" ht="14" x14ac:dyDescent="0.2">
      <c r="AF359" s="1"/>
      <c r="AG359" s="7"/>
    </row>
    <row r="360" spans="32:33" ht="14" x14ac:dyDescent="0.2">
      <c r="AF360" s="1"/>
      <c r="AG360" s="7"/>
    </row>
    <row r="361" spans="32:33" ht="14" x14ac:dyDescent="0.2">
      <c r="AF361" s="1"/>
      <c r="AG361" s="7"/>
    </row>
    <row r="362" spans="32:33" ht="14" x14ac:dyDescent="0.2">
      <c r="AF362" s="1"/>
      <c r="AG362" s="7"/>
    </row>
    <row r="363" spans="32:33" ht="14" x14ac:dyDescent="0.2">
      <c r="AF363" s="1"/>
      <c r="AG363" s="7"/>
    </row>
    <row r="364" spans="32:33" ht="14" x14ac:dyDescent="0.2">
      <c r="AF364" s="1"/>
      <c r="AG364" s="7"/>
    </row>
    <row r="365" spans="32:33" ht="14" x14ac:dyDescent="0.2">
      <c r="AF365" s="1"/>
      <c r="AG365" s="7"/>
    </row>
    <row r="366" spans="32:33" ht="14" x14ac:dyDescent="0.2">
      <c r="AF366" s="1"/>
      <c r="AG366" s="7"/>
    </row>
    <row r="367" spans="32:33" ht="14" x14ac:dyDescent="0.2">
      <c r="AF367" s="1"/>
      <c r="AG367" s="7"/>
    </row>
    <row r="368" spans="32:33" ht="14" x14ac:dyDescent="0.2">
      <c r="AF368" s="1"/>
      <c r="AG368" s="7"/>
    </row>
    <row r="369" spans="32:33" ht="14" x14ac:dyDescent="0.2">
      <c r="AF369" s="1"/>
      <c r="AG369" s="7"/>
    </row>
    <row r="370" spans="32:33" ht="14" x14ac:dyDescent="0.2">
      <c r="AF370" s="1"/>
      <c r="AG370" s="7"/>
    </row>
    <row r="371" spans="32:33" ht="14" x14ac:dyDescent="0.2">
      <c r="AF371" s="1"/>
      <c r="AG371" s="7"/>
    </row>
    <row r="372" spans="32:33" ht="14" x14ac:dyDescent="0.2">
      <c r="AF372" s="1"/>
      <c r="AG372" s="7"/>
    </row>
    <row r="373" spans="32:33" ht="14" x14ac:dyDescent="0.2">
      <c r="AF373" s="1"/>
      <c r="AG373" s="7"/>
    </row>
    <row r="374" spans="32:33" ht="14" x14ac:dyDescent="0.2">
      <c r="AF374" s="1"/>
      <c r="AG374" s="7"/>
    </row>
    <row r="375" spans="32:33" ht="14" x14ac:dyDescent="0.2">
      <c r="AF375" s="1"/>
      <c r="AG375" s="7"/>
    </row>
    <row r="376" spans="32:33" ht="14" x14ac:dyDescent="0.2">
      <c r="AF376" s="1"/>
      <c r="AG376" s="7"/>
    </row>
    <row r="377" spans="32:33" ht="14" x14ac:dyDescent="0.2">
      <c r="AF377" s="1"/>
      <c r="AG377" s="7"/>
    </row>
    <row r="378" spans="32:33" ht="14" x14ac:dyDescent="0.2">
      <c r="AF378" s="1"/>
      <c r="AG378" s="7"/>
    </row>
    <row r="379" spans="32:33" ht="14" x14ac:dyDescent="0.2">
      <c r="AF379" s="1"/>
      <c r="AG379" s="7"/>
    </row>
    <row r="380" spans="32:33" ht="14" x14ac:dyDescent="0.2">
      <c r="AF380" s="1"/>
      <c r="AG380" s="7"/>
    </row>
    <row r="381" spans="32:33" ht="14" x14ac:dyDescent="0.2">
      <c r="AF381" s="1"/>
      <c r="AG381" s="7"/>
    </row>
    <row r="382" spans="32:33" ht="14" x14ac:dyDescent="0.2">
      <c r="AF382" s="1"/>
      <c r="AG382" s="7"/>
    </row>
    <row r="383" spans="32:33" ht="14" x14ac:dyDescent="0.2">
      <c r="AF383" s="1"/>
      <c r="AG383" s="7"/>
    </row>
    <row r="384" spans="32:33" ht="14" x14ac:dyDescent="0.2">
      <c r="AF384" s="1"/>
      <c r="AG384" s="7"/>
    </row>
    <row r="385" spans="32:33" ht="14" x14ac:dyDescent="0.2">
      <c r="AF385" s="1"/>
      <c r="AG385" s="7"/>
    </row>
    <row r="386" spans="32:33" ht="14" x14ac:dyDescent="0.2">
      <c r="AF386" s="1"/>
      <c r="AG386" s="7"/>
    </row>
    <row r="387" spans="32:33" ht="14" x14ac:dyDescent="0.2">
      <c r="AF387" s="1"/>
      <c r="AG387" s="7"/>
    </row>
    <row r="388" spans="32:33" ht="14" x14ac:dyDescent="0.2">
      <c r="AF388" s="1"/>
      <c r="AG388" s="7"/>
    </row>
    <row r="389" spans="32:33" ht="14" x14ac:dyDescent="0.2">
      <c r="AF389" s="1"/>
      <c r="AG389" s="7"/>
    </row>
    <row r="390" spans="32:33" ht="14" x14ac:dyDescent="0.2">
      <c r="AF390" s="1"/>
      <c r="AG390" s="7"/>
    </row>
    <row r="391" spans="32:33" ht="14" x14ac:dyDescent="0.2">
      <c r="AF391" s="1"/>
      <c r="AG391" s="7"/>
    </row>
    <row r="392" spans="32:33" ht="14" x14ac:dyDescent="0.2">
      <c r="AF392" s="1"/>
      <c r="AG392" s="7"/>
    </row>
    <row r="393" spans="32:33" ht="14" x14ac:dyDescent="0.2">
      <c r="AF393" s="1"/>
      <c r="AG393" s="7"/>
    </row>
    <row r="394" spans="32:33" ht="14" x14ac:dyDescent="0.2">
      <c r="AF394" s="1"/>
      <c r="AG394" s="7"/>
    </row>
    <row r="395" spans="32:33" ht="14" x14ac:dyDescent="0.2">
      <c r="AF395" s="1"/>
      <c r="AG395" s="7"/>
    </row>
    <row r="396" spans="32:33" ht="14" x14ac:dyDescent="0.2">
      <c r="AF396" s="1"/>
      <c r="AG396" s="7"/>
    </row>
    <row r="397" spans="32:33" ht="14" x14ac:dyDescent="0.2">
      <c r="AF397" s="1"/>
      <c r="AG397" s="7"/>
    </row>
    <row r="398" spans="32:33" ht="14" x14ac:dyDescent="0.2">
      <c r="AF398" s="1"/>
      <c r="AG398" s="7"/>
    </row>
    <row r="399" spans="32:33" ht="14" x14ac:dyDescent="0.2">
      <c r="AF399" s="1"/>
      <c r="AG399" s="7"/>
    </row>
    <row r="400" spans="32:33" ht="14" x14ac:dyDescent="0.2">
      <c r="AF400" s="1"/>
      <c r="AG400" s="7"/>
    </row>
    <row r="401" spans="32:33" ht="14" x14ac:dyDescent="0.2">
      <c r="AF401" s="1"/>
      <c r="AG401" s="7"/>
    </row>
    <row r="402" spans="32:33" ht="14" x14ac:dyDescent="0.2">
      <c r="AF402" s="1"/>
      <c r="AG402" s="7"/>
    </row>
    <row r="403" spans="32:33" ht="14" x14ac:dyDescent="0.2">
      <c r="AF403" s="1"/>
      <c r="AG403" s="7"/>
    </row>
    <row r="404" spans="32:33" ht="14" x14ac:dyDescent="0.2">
      <c r="AF404" s="1"/>
      <c r="AG404" s="7"/>
    </row>
    <row r="405" spans="32:33" ht="14" x14ac:dyDescent="0.2">
      <c r="AF405" s="1"/>
      <c r="AG405" s="7"/>
    </row>
    <row r="406" spans="32:33" ht="14" x14ac:dyDescent="0.2">
      <c r="AF406" s="1"/>
      <c r="AG406" s="7"/>
    </row>
    <row r="407" spans="32:33" ht="14" x14ac:dyDescent="0.2">
      <c r="AF407" s="1"/>
      <c r="AG407" s="7"/>
    </row>
    <row r="408" spans="32:33" ht="14" x14ac:dyDescent="0.2">
      <c r="AF408" s="1"/>
      <c r="AG408" s="7"/>
    </row>
    <row r="409" spans="32:33" ht="14" x14ac:dyDescent="0.2">
      <c r="AF409" s="1"/>
      <c r="AG409" s="7"/>
    </row>
    <row r="410" spans="32:33" ht="14" x14ac:dyDescent="0.2">
      <c r="AF410" s="1"/>
      <c r="AG410" s="7"/>
    </row>
    <row r="411" spans="32:33" ht="14" x14ac:dyDescent="0.2">
      <c r="AF411" s="1"/>
      <c r="AG411" s="7"/>
    </row>
    <row r="412" spans="32:33" ht="14" x14ac:dyDescent="0.2">
      <c r="AF412" s="1"/>
      <c r="AG412" s="7"/>
    </row>
    <row r="413" spans="32:33" ht="14" x14ac:dyDescent="0.2">
      <c r="AF413" s="1"/>
      <c r="AG413" s="7"/>
    </row>
    <row r="414" spans="32:33" ht="14" x14ac:dyDescent="0.2">
      <c r="AF414" s="1"/>
      <c r="AG414" s="7"/>
    </row>
    <row r="415" spans="32:33" ht="14" x14ac:dyDescent="0.2">
      <c r="AF415" s="1"/>
      <c r="AG415" s="7"/>
    </row>
    <row r="416" spans="32:33" ht="14" x14ac:dyDescent="0.2">
      <c r="AF416" s="1"/>
      <c r="AG416" s="7"/>
    </row>
    <row r="417" spans="32:33" ht="14" x14ac:dyDescent="0.2">
      <c r="AF417" s="1"/>
      <c r="AG417" s="7"/>
    </row>
    <row r="418" spans="32:33" ht="14" x14ac:dyDescent="0.2">
      <c r="AF418" s="1"/>
      <c r="AG418" s="7"/>
    </row>
    <row r="419" spans="32:33" ht="14" x14ac:dyDescent="0.2">
      <c r="AF419" s="1"/>
      <c r="AG419" s="7"/>
    </row>
    <row r="420" spans="32:33" ht="14" x14ac:dyDescent="0.2">
      <c r="AF420" s="1"/>
      <c r="AG420" s="7"/>
    </row>
    <row r="421" spans="32:33" ht="14" x14ac:dyDescent="0.2">
      <c r="AF421" s="1"/>
      <c r="AG421" s="7"/>
    </row>
    <row r="422" spans="32:33" ht="14" x14ac:dyDescent="0.2">
      <c r="AF422" s="1"/>
      <c r="AG422" s="7"/>
    </row>
    <row r="423" spans="32:33" ht="14" x14ac:dyDescent="0.2">
      <c r="AF423" s="1"/>
      <c r="AG423" s="7"/>
    </row>
    <row r="424" spans="32:33" ht="14" x14ac:dyDescent="0.2">
      <c r="AF424" s="1"/>
      <c r="AG424" s="7"/>
    </row>
    <row r="425" spans="32:33" ht="14" x14ac:dyDescent="0.2">
      <c r="AF425" s="1"/>
      <c r="AG425" s="7"/>
    </row>
    <row r="426" spans="32:33" ht="14" x14ac:dyDescent="0.2">
      <c r="AF426" s="1"/>
      <c r="AG426" s="7"/>
    </row>
    <row r="427" spans="32:33" ht="14" x14ac:dyDescent="0.2">
      <c r="AF427" s="1"/>
      <c r="AG427" s="7"/>
    </row>
    <row r="428" spans="32:33" ht="14" x14ac:dyDescent="0.2">
      <c r="AF428" s="1"/>
      <c r="AG428" s="7"/>
    </row>
    <row r="429" spans="32:33" ht="14" x14ac:dyDescent="0.2">
      <c r="AF429" s="1"/>
      <c r="AG429" s="7"/>
    </row>
    <row r="430" spans="32:33" ht="14" x14ac:dyDescent="0.2">
      <c r="AF430" s="1"/>
      <c r="AG430" s="7"/>
    </row>
    <row r="431" spans="32:33" ht="14" x14ac:dyDescent="0.2">
      <c r="AF431" s="1"/>
      <c r="AG431" s="7"/>
    </row>
    <row r="432" spans="32:33" ht="14" x14ac:dyDescent="0.2">
      <c r="AF432" s="1"/>
      <c r="AG432" s="7"/>
    </row>
    <row r="433" spans="32:33" ht="14" x14ac:dyDescent="0.2">
      <c r="AF433" s="1"/>
      <c r="AG433" s="7"/>
    </row>
    <row r="434" spans="32:33" ht="14" x14ac:dyDescent="0.2">
      <c r="AF434" s="1"/>
      <c r="AG434" s="7"/>
    </row>
    <row r="435" spans="32:33" ht="14" x14ac:dyDescent="0.2">
      <c r="AF435" s="1"/>
      <c r="AG435" s="7"/>
    </row>
    <row r="436" spans="32:33" ht="14" x14ac:dyDescent="0.2">
      <c r="AF436" s="1"/>
      <c r="AG436" s="7"/>
    </row>
    <row r="437" spans="32:33" ht="14" x14ac:dyDescent="0.2">
      <c r="AF437" s="1"/>
      <c r="AG437" s="7"/>
    </row>
    <row r="438" spans="32:33" ht="14" x14ac:dyDescent="0.2">
      <c r="AF438" s="1"/>
      <c r="AG438" s="7"/>
    </row>
    <row r="439" spans="32:33" ht="14" x14ac:dyDescent="0.2">
      <c r="AF439" s="1"/>
      <c r="AG439" s="7"/>
    </row>
    <row r="440" spans="32:33" ht="14" x14ac:dyDescent="0.2">
      <c r="AF440" s="1"/>
      <c r="AG440" s="7"/>
    </row>
    <row r="441" spans="32:33" ht="14" x14ac:dyDescent="0.2">
      <c r="AF441" s="1"/>
      <c r="AG441" s="7"/>
    </row>
    <row r="442" spans="32:33" ht="14" x14ac:dyDescent="0.2">
      <c r="AF442" s="1"/>
      <c r="AG442" s="7"/>
    </row>
    <row r="443" spans="32:33" ht="14" x14ac:dyDescent="0.2">
      <c r="AF443" s="1"/>
      <c r="AG443" s="7"/>
    </row>
    <row r="444" spans="32:33" ht="14" x14ac:dyDescent="0.2">
      <c r="AF444" s="1"/>
      <c r="AG444" s="7"/>
    </row>
    <row r="445" spans="32:33" ht="14" x14ac:dyDescent="0.2">
      <c r="AF445" s="1"/>
      <c r="AG445" s="7"/>
    </row>
    <row r="446" spans="32:33" ht="14" x14ac:dyDescent="0.2">
      <c r="AF446" s="1"/>
      <c r="AG446" s="7"/>
    </row>
    <row r="447" spans="32:33" ht="14" x14ac:dyDescent="0.2">
      <c r="AF447" s="1"/>
      <c r="AG447" s="7"/>
    </row>
    <row r="448" spans="32:33" ht="14" x14ac:dyDescent="0.2">
      <c r="AF448" s="1"/>
      <c r="AG448" s="7"/>
    </row>
    <row r="449" spans="32:33" ht="14" x14ac:dyDescent="0.2">
      <c r="AF449" s="1"/>
      <c r="AG449" s="7"/>
    </row>
    <row r="450" spans="32:33" ht="14" x14ac:dyDescent="0.2">
      <c r="AF450" s="1"/>
      <c r="AG450" s="7"/>
    </row>
    <row r="451" spans="32:33" ht="14" x14ac:dyDescent="0.2">
      <c r="AF451" s="1"/>
      <c r="AG451" s="7"/>
    </row>
    <row r="452" spans="32:33" ht="14" x14ac:dyDescent="0.2">
      <c r="AF452" s="1"/>
      <c r="AG452" s="7"/>
    </row>
    <row r="453" spans="32:33" ht="14" x14ac:dyDescent="0.2">
      <c r="AF453" s="1"/>
      <c r="AG453" s="7"/>
    </row>
    <row r="454" spans="32:33" ht="14" x14ac:dyDescent="0.2">
      <c r="AF454" s="1"/>
      <c r="AG454" s="7"/>
    </row>
    <row r="455" spans="32:33" ht="14" x14ac:dyDescent="0.2">
      <c r="AF455" s="1"/>
      <c r="AG455" s="7"/>
    </row>
    <row r="456" spans="32:33" ht="14" x14ac:dyDescent="0.2">
      <c r="AF456" s="1"/>
      <c r="AG456" s="7"/>
    </row>
    <row r="457" spans="32:33" ht="14" x14ac:dyDescent="0.2">
      <c r="AF457" s="1"/>
      <c r="AG457" s="7"/>
    </row>
    <row r="458" spans="32:33" ht="14" x14ac:dyDescent="0.2">
      <c r="AF458" s="1"/>
      <c r="AG458" s="7"/>
    </row>
    <row r="459" spans="32:33" ht="14" x14ac:dyDescent="0.2">
      <c r="AF459" s="1"/>
      <c r="AG459" s="7"/>
    </row>
    <row r="460" spans="32:33" ht="14" x14ac:dyDescent="0.2">
      <c r="AF460" s="1"/>
      <c r="AG460" s="7"/>
    </row>
    <row r="461" spans="32:33" ht="14" x14ac:dyDescent="0.2">
      <c r="AF461" s="1"/>
      <c r="AG461" s="7"/>
    </row>
    <row r="462" spans="32:33" ht="14" x14ac:dyDescent="0.2">
      <c r="AF462" s="1"/>
      <c r="AG462" s="7"/>
    </row>
    <row r="463" spans="32:33" ht="14" x14ac:dyDescent="0.2">
      <c r="AF463" s="1"/>
      <c r="AG463" s="7"/>
    </row>
    <row r="464" spans="32:33" ht="14" x14ac:dyDescent="0.2">
      <c r="AF464" s="1"/>
      <c r="AG464" s="7"/>
    </row>
    <row r="465" spans="32:33" ht="14" x14ac:dyDescent="0.2">
      <c r="AF465" s="1"/>
      <c r="AG465" s="7"/>
    </row>
    <row r="466" spans="32:33" ht="14" x14ac:dyDescent="0.2">
      <c r="AF466" s="1"/>
      <c r="AG466" s="7"/>
    </row>
    <row r="467" spans="32:33" ht="14" x14ac:dyDescent="0.2">
      <c r="AF467" s="1"/>
      <c r="AG467" s="7"/>
    </row>
    <row r="468" spans="32:33" ht="14" x14ac:dyDescent="0.2">
      <c r="AF468" s="1"/>
      <c r="AG468" s="7"/>
    </row>
    <row r="469" spans="32:33" ht="14" x14ac:dyDescent="0.2">
      <c r="AF469" s="1"/>
      <c r="AG469" s="7"/>
    </row>
    <row r="470" spans="32:33" ht="14" x14ac:dyDescent="0.2">
      <c r="AF470" s="1"/>
      <c r="AG470" s="7"/>
    </row>
    <row r="471" spans="32:33" ht="14" x14ac:dyDescent="0.2">
      <c r="AF471" s="1"/>
      <c r="AG471" s="7"/>
    </row>
    <row r="472" spans="32:33" ht="14" x14ac:dyDescent="0.2">
      <c r="AF472" s="1"/>
      <c r="AG472" s="7"/>
    </row>
    <row r="473" spans="32:33" ht="14" x14ac:dyDescent="0.2">
      <c r="AF473" s="1"/>
      <c r="AG473" s="7"/>
    </row>
    <row r="474" spans="32:33" ht="14" x14ac:dyDescent="0.2">
      <c r="AF474" s="1"/>
      <c r="AG474" s="7"/>
    </row>
    <row r="475" spans="32:33" ht="14" x14ac:dyDescent="0.2">
      <c r="AF475" s="1"/>
      <c r="AG475" s="7"/>
    </row>
    <row r="476" spans="32:33" ht="14" x14ac:dyDescent="0.2">
      <c r="AF476" s="1"/>
      <c r="AG476" s="7"/>
    </row>
    <row r="477" spans="32:33" ht="14" x14ac:dyDescent="0.2">
      <c r="AF477" s="1"/>
      <c r="AG477" s="7"/>
    </row>
    <row r="478" spans="32:33" ht="14" x14ac:dyDescent="0.2">
      <c r="AF478" s="1"/>
      <c r="AG478" s="7"/>
    </row>
    <row r="479" spans="32:33" ht="14" x14ac:dyDescent="0.2">
      <c r="AF479" s="1"/>
      <c r="AG479" s="7"/>
    </row>
    <row r="480" spans="32:33" ht="14" x14ac:dyDescent="0.2">
      <c r="AF480" s="1"/>
      <c r="AG480" s="7"/>
    </row>
    <row r="481" spans="32:33" ht="14" x14ac:dyDescent="0.2">
      <c r="AF481" s="1"/>
      <c r="AG481" s="7"/>
    </row>
    <row r="482" spans="32:33" ht="14" x14ac:dyDescent="0.2">
      <c r="AF482" s="1"/>
      <c r="AG482" s="7"/>
    </row>
    <row r="483" spans="32:33" ht="14" x14ac:dyDescent="0.2">
      <c r="AF483" s="1"/>
      <c r="AG483" s="7"/>
    </row>
    <row r="484" spans="32:33" ht="14" x14ac:dyDescent="0.2">
      <c r="AF484" s="1"/>
      <c r="AG484" s="7"/>
    </row>
    <row r="485" spans="32:33" ht="14" x14ac:dyDescent="0.2">
      <c r="AF485" s="1"/>
      <c r="AG485" s="7"/>
    </row>
    <row r="486" spans="32:33" ht="14" x14ac:dyDescent="0.2">
      <c r="AF486" s="1"/>
      <c r="AG486" s="7"/>
    </row>
    <row r="487" spans="32:33" ht="14" x14ac:dyDescent="0.2">
      <c r="AF487" s="1"/>
      <c r="AG487" s="7"/>
    </row>
    <row r="488" spans="32:33" ht="14" x14ac:dyDescent="0.2">
      <c r="AF488" s="1"/>
      <c r="AG488" s="7"/>
    </row>
    <row r="489" spans="32:33" ht="14" x14ac:dyDescent="0.2">
      <c r="AF489" s="1"/>
      <c r="AG489" s="7"/>
    </row>
    <row r="490" spans="32:33" ht="14" x14ac:dyDescent="0.2">
      <c r="AF490" s="1"/>
      <c r="AG490" s="7"/>
    </row>
    <row r="491" spans="32:33" ht="14" x14ac:dyDescent="0.2">
      <c r="AF491" s="1"/>
      <c r="AG491" s="7"/>
    </row>
    <row r="492" spans="32:33" ht="14" x14ac:dyDescent="0.2">
      <c r="AF492" s="1"/>
      <c r="AG492" s="7"/>
    </row>
    <row r="493" spans="32:33" ht="14" x14ac:dyDescent="0.2">
      <c r="AF493" s="1"/>
      <c r="AG493" s="7"/>
    </row>
    <row r="494" spans="32:33" ht="14" x14ac:dyDescent="0.2">
      <c r="AF494" s="1"/>
      <c r="AG494" s="7"/>
    </row>
    <row r="495" spans="32:33" ht="14" x14ac:dyDescent="0.2">
      <c r="AF495" s="1"/>
      <c r="AG495" s="7"/>
    </row>
    <row r="496" spans="32:33" ht="14" x14ac:dyDescent="0.2">
      <c r="AF496" s="1"/>
      <c r="AG496" s="7"/>
    </row>
    <row r="497" spans="32:33" ht="14" x14ac:dyDescent="0.2">
      <c r="AF497" s="1"/>
      <c r="AG497" s="7"/>
    </row>
    <row r="498" spans="32:33" ht="14" x14ac:dyDescent="0.2">
      <c r="AF498" s="1"/>
      <c r="AG498" s="7"/>
    </row>
    <row r="499" spans="32:33" ht="14" x14ac:dyDescent="0.2">
      <c r="AF499" s="1"/>
      <c r="AG499" s="7"/>
    </row>
    <row r="500" spans="32:33" ht="14" x14ac:dyDescent="0.2">
      <c r="AF500" s="1"/>
      <c r="AG500" s="7"/>
    </row>
    <row r="501" spans="32:33" ht="14" x14ac:dyDescent="0.2">
      <c r="AF501" s="1"/>
      <c r="AG501" s="7"/>
    </row>
    <row r="502" spans="32:33" ht="14" x14ac:dyDescent="0.2">
      <c r="AF502" s="1"/>
      <c r="AG502" s="7"/>
    </row>
    <row r="503" spans="32:33" ht="14" x14ac:dyDescent="0.2">
      <c r="AF503" s="1"/>
      <c r="AG503" s="7"/>
    </row>
    <row r="504" spans="32:33" ht="14" x14ac:dyDescent="0.2">
      <c r="AF504" s="1"/>
      <c r="AG504" s="7"/>
    </row>
    <row r="505" spans="32:33" ht="14" x14ac:dyDescent="0.2">
      <c r="AF505" s="1"/>
      <c r="AG505" s="7"/>
    </row>
    <row r="506" spans="32:33" ht="14" x14ac:dyDescent="0.2">
      <c r="AF506" s="1"/>
      <c r="AG506" s="7"/>
    </row>
    <row r="507" spans="32:33" ht="14" x14ac:dyDescent="0.2">
      <c r="AF507" s="1"/>
      <c r="AG507" s="7"/>
    </row>
    <row r="508" spans="32:33" ht="14" x14ac:dyDescent="0.2">
      <c r="AF508" s="1"/>
      <c r="AG508" s="7"/>
    </row>
    <row r="509" spans="32:33" ht="14" x14ac:dyDescent="0.2">
      <c r="AF509" s="1"/>
      <c r="AG509" s="7"/>
    </row>
    <row r="510" spans="32:33" ht="14" x14ac:dyDescent="0.2">
      <c r="AF510" s="1"/>
      <c r="AG510" s="7"/>
    </row>
    <row r="511" spans="32:33" ht="14" x14ac:dyDescent="0.2">
      <c r="AF511" s="1"/>
      <c r="AG511" s="7"/>
    </row>
    <row r="512" spans="32:33" ht="14" x14ac:dyDescent="0.2">
      <c r="AF512" s="1"/>
      <c r="AG512" s="7"/>
    </row>
    <row r="513" spans="32:33" ht="14" x14ac:dyDescent="0.2">
      <c r="AF513" s="1"/>
      <c r="AG513" s="7"/>
    </row>
    <row r="514" spans="32:33" ht="14" x14ac:dyDescent="0.2">
      <c r="AF514" s="1"/>
      <c r="AG514" s="7"/>
    </row>
    <row r="515" spans="32:33" ht="14" x14ac:dyDescent="0.2">
      <c r="AF515" s="1"/>
      <c r="AG515" s="7"/>
    </row>
    <row r="516" spans="32:33" ht="14" x14ac:dyDescent="0.2">
      <c r="AF516" s="1"/>
      <c r="AG516" s="7"/>
    </row>
    <row r="517" spans="32:33" ht="14" x14ac:dyDescent="0.2">
      <c r="AF517" s="1"/>
      <c r="AG517" s="7"/>
    </row>
    <row r="518" spans="32:33" ht="14" x14ac:dyDescent="0.2">
      <c r="AF518" s="1"/>
      <c r="AG518" s="7"/>
    </row>
    <row r="519" spans="32:33" ht="14" x14ac:dyDescent="0.2">
      <c r="AF519" s="1"/>
      <c r="AG519" s="7"/>
    </row>
    <row r="520" spans="32:33" ht="14" x14ac:dyDescent="0.2">
      <c r="AF520" s="1"/>
      <c r="AG520" s="7"/>
    </row>
    <row r="521" spans="32:33" ht="14" x14ac:dyDescent="0.2">
      <c r="AF521" s="1"/>
      <c r="AG521" s="7"/>
    </row>
    <row r="522" spans="32:33" ht="14" x14ac:dyDescent="0.2">
      <c r="AF522" s="1"/>
      <c r="AG522" s="7"/>
    </row>
    <row r="523" spans="32:33" ht="14" x14ac:dyDescent="0.2">
      <c r="AF523" s="1"/>
      <c r="AG523" s="7"/>
    </row>
    <row r="524" spans="32:33" ht="14" x14ac:dyDescent="0.2">
      <c r="AF524" s="1"/>
      <c r="AG524" s="7"/>
    </row>
    <row r="525" spans="32:33" ht="14" x14ac:dyDescent="0.2">
      <c r="AF525" s="1"/>
      <c r="AG525" s="7"/>
    </row>
    <row r="526" spans="32:33" ht="14" x14ac:dyDescent="0.2">
      <c r="AF526" s="1"/>
      <c r="AG526" s="7"/>
    </row>
    <row r="527" spans="32:33" ht="14" x14ac:dyDescent="0.2">
      <c r="AF527" s="1"/>
      <c r="AG527" s="7"/>
    </row>
    <row r="528" spans="32:33" ht="14" x14ac:dyDescent="0.2">
      <c r="AF528" s="1"/>
      <c r="AG528" s="7"/>
    </row>
    <row r="529" spans="32:33" ht="14" x14ac:dyDescent="0.2">
      <c r="AF529" s="1"/>
      <c r="AG529" s="7"/>
    </row>
    <row r="530" spans="32:33" ht="14" x14ac:dyDescent="0.2">
      <c r="AF530" s="1"/>
      <c r="AG530" s="7"/>
    </row>
    <row r="531" spans="32:33" ht="14" x14ac:dyDescent="0.2">
      <c r="AF531" s="1"/>
      <c r="AG531" s="7"/>
    </row>
    <row r="532" spans="32:33" ht="14" x14ac:dyDescent="0.2">
      <c r="AF532" s="1"/>
      <c r="AG532" s="7"/>
    </row>
    <row r="533" spans="32:33" ht="14" x14ac:dyDescent="0.2">
      <c r="AF533" s="1"/>
      <c r="AG533" s="7"/>
    </row>
    <row r="534" spans="32:33" ht="14" x14ac:dyDescent="0.2">
      <c r="AF534" s="1"/>
      <c r="AG534" s="7"/>
    </row>
    <row r="535" spans="32:33" ht="14" x14ac:dyDescent="0.2">
      <c r="AF535" s="1"/>
      <c r="AG535" s="7"/>
    </row>
    <row r="536" spans="32:33" ht="14" x14ac:dyDescent="0.2">
      <c r="AF536" s="1"/>
      <c r="AG536" s="7"/>
    </row>
    <row r="537" spans="32:33" ht="14" x14ac:dyDescent="0.2">
      <c r="AF537" s="1"/>
      <c r="AG537" s="7"/>
    </row>
    <row r="538" spans="32:33" ht="14" x14ac:dyDescent="0.2">
      <c r="AF538" s="1"/>
      <c r="AG538" s="7"/>
    </row>
    <row r="539" spans="32:33" ht="14" x14ac:dyDescent="0.2">
      <c r="AF539" s="1"/>
      <c r="AG539" s="7"/>
    </row>
    <row r="540" spans="32:33" ht="14" x14ac:dyDescent="0.2">
      <c r="AF540" s="1"/>
      <c r="AG540" s="7"/>
    </row>
    <row r="541" spans="32:33" ht="14" x14ac:dyDescent="0.2">
      <c r="AF541" s="1"/>
      <c r="AG541" s="7"/>
    </row>
    <row r="542" spans="32:33" ht="14" x14ac:dyDescent="0.2">
      <c r="AF542" s="1"/>
      <c r="AG542" s="7"/>
    </row>
    <row r="543" spans="32:33" ht="14" x14ac:dyDescent="0.2">
      <c r="AF543" s="1"/>
      <c r="AG543" s="7"/>
    </row>
    <row r="544" spans="32:33" ht="14" x14ac:dyDescent="0.2">
      <c r="AF544" s="1"/>
      <c r="AG544" s="7"/>
    </row>
    <row r="545" spans="32:33" ht="14" x14ac:dyDescent="0.2">
      <c r="AF545" s="1"/>
      <c r="AG545" s="7"/>
    </row>
    <row r="546" spans="32:33" ht="14" x14ac:dyDescent="0.2">
      <c r="AF546" s="1"/>
      <c r="AG546" s="7"/>
    </row>
    <row r="547" spans="32:33" ht="14" x14ac:dyDescent="0.2">
      <c r="AF547" s="1"/>
      <c r="AG547" s="7"/>
    </row>
    <row r="548" spans="32:33" ht="14" x14ac:dyDescent="0.2">
      <c r="AF548" s="1"/>
      <c r="AG548" s="7"/>
    </row>
    <row r="549" spans="32:33" ht="14" x14ac:dyDescent="0.2">
      <c r="AF549" s="1"/>
      <c r="AG549" s="7"/>
    </row>
    <row r="550" spans="32:33" ht="14" x14ac:dyDescent="0.2">
      <c r="AF550" s="1"/>
      <c r="AG550" s="7"/>
    </row>
    <row r="551" spans="32:33" ht="14" x14ac:dyDescent="0.2">
      <c r="AF551" s="1"/>
      <c r="AG551" s="7"/>
    </row>
    <row r="552" spans="32:33" ht="14" x14ac:dyDescent="0.2">
      <c r="AF552" s="1"/>
      <c r="AG552" s="7"/>
    </row>
    <row r="553" spans="32:33" ht="14" x14ac:dyDescent="0.2">
      <c r="AF553" s="1"/>
      <c r="AG553" s="7"/>
    </row>
    <row r="554" spans="32:33" ht="14" x14ac:dyDescent="0.2">
      <c r="AF554" s="1"/>
      <c r="AG554" s="7"/>
    </row>
    <row r="555" spans="32:33" ht="14" x14ac:dyDescent="0.2">
      <c r="AF555" s="1"/>
      <c r="AG555" s="7"/>
    </row>
    <row r="556" spans="32:33" ht="14" x14ac:dyDescent="0.2">
      <c r="AF556" s="1"/>
      <c r="AG556" s="7"/>
    </row>
    <row r="557" spans="32:33" ht="14" x14ac:dyDescent="0.2">
      <c r="AF557" s="1"/>
      <c r="AG557" s="7"/>
    </row>
    <row r="558" spans="32:33" ht="14" x14ac:dyDescent="0.2">
      <c r="AF558" s="1"/>
      <c r="AG558" s="7"/>
    </row>
    <row r="559" spans="32:33" ht="14" x14ac:dyDescent="0.2">
      <c r="AF559" s="1"/>
      <c r="AG559" s="7"/>
    </row>
    <row r="560" spans="32:33" ht="14" x14ac:dyDescent="0.2">
      <c r="AF560" s="1"/>
      <c r="AG560" s="7"/>
    </row>
    <row r="561" spans="32:33" ht="14" x14ac:dyDescent="0.2">
      <c r="AF561" s="1"/>
      <c r="AG561" s="7"/>
    </row>
    <row r="562" spans="32:33" ht="14" x14ac:dyDescent="0.2">
      <c r="AF562" s="1"/>
      <c r="AG562" s="7"/>
    </row>
    <row r="563" spans="32:33" ht="14" x14ac:dyDescent="0.2">
      <c r="AF563" s="1"/>
      <c r="AG563" s="7"/>
    </row>
    <row r="564" spans="32:33" ht="14" x14ac:dyDescent="0.2">
      <c r="AF564" s="1"/>
      <c r="AG564" s="7"/>
    </row>
    <row r="565" spans="32:33" ht="14" x14ac:dyDescent="0.2">
      <c r="AF565" s="1"/>
      <c r="AG565" s="7"/>
    </row>
    <row r="566" spans="32:33" ht="14" x14ac:dyDescent="0.2">
      <c r="AF566" s="1"/>
      <c r="AG566" s="7"/>
    </row>
    <row r="567" spans="32:33" ht="14" x14ac:dyDescent="0.2">
      <c r="AF567" s="1"/>
      <c r="AG567" s="7"/>
    </row>
    <row r="568" spans="32:33" ht="14" x14ac:dyDescent="0.2">
      <c r="AF568" s="1"/>
      <c r="AG568" s="7"/>
    </row>
    <row r="569" spans="32:33" ht="14" x14ac:dyDescent="0.2">
      <c r="AF569" s="1"/>
      <c r="AG569" s="7"/>
    </row>
    <row r="570" spans="32:33" ht="14" x14ac:dyDescent="0.2">
      <c r="AF570" s="1"/>
      <c r="AG570" s="7"/>
    </row>
    <row r="571" spans="32:33" ht="14" x14ac:dyDescent="0.2">
      <c r="AF571" s="1"/>
      <c r="AG571" s="7"/>
    </row>
    <row r="572" spans="32:33" ht="14" x14ac:dyDescent="0.2">
      <c r="AF572" s="1"/>
      <c r="AG572" s="7"/>
    </row>
    <row r="573" spans="32:33" ht="14" x14ac:dyDescent="0.2">
      <c r="AF573" s="1"/>
      <c r="AG573" s="7"/>
    </row>
    <row r="574" spans="32:33" ht="14" x14ac:dyDescent="0.2">
      <c r="AF574" s="1"/>
      <c r="AG574" s="7"/>
    </row>
    <row r="575" spans="32:33" ht="14" x14ac:dyDescent="0.2">
      <c r="AF575" s="1"/>
      <c r="AG575" s="7"/>
    </row>
    <row r="576" spans="32:33" ht="14" x14ac:dyDescent="0.2">
      <c r="AF576" s="1"/>
      <c r="AG576" s="7"/>
    </row>
    <row r="577" spans="32:33" ht="14" x14ac:dyDescent="0.2">
      <c r="AF577" s="1"/>
      <c r="AG577" s="7"/>
    </row>
    <row r="578" spans="32:33" ht="14" x14ac:dyDescent="0.2">
      <c r="AF578" s="1"/>
      <c r="AG578" s="7"/>
    </row>
    <row r="579" spans="32:33" ht="14" x14ac:dyDescent="0.2">
      <c r="AF579" s="1"/>
      <c r="AG579" s="7"/>
    </row>
    <row r="580" spans="32:33" ht="14" x14ac:dyDescent="0.2">
      <c r="AF580" s="1"/>
      <c r="AG580" s="7"/>
    </row>
    <row r="581" spans="32:33" ht="14" x14ac:dyDescent="0.2">
      <c r="AF581" s="1"/>
      <c r="AG581" s="7"/>
    </row>
    <row r="582" spans="32:33" ht="14" x14ac:dyDescent="0.2">
      <c r="AF582" s="1"/>
      <c r="AG582" s="7"/>
    </row>
    <row r="583" spans="32:33" ht="14" x14ac:dyDescent="0.2">
      <c r="AF583" s="1"/>
      <c r="AG583" s="7"/>
    </row>
    <row r="584" spans="32:33" ht="14" x14ac:dyDescent="0.2">
      <c r="AF584" s="1"/>
      <c r="AG584" s="7"/>
    </row>
    <row r="585" spans="32:33" ht="14" x14ac:dyDescent="0.2">
      <c r="AF585" s="1"/>
      <c r="AG585" s="7"/>
    </row>
    <row r="586" spans="32:33" ht="14" x14ac:dyDescent="0.2">
      <c r="AF586" s="1"/>
      <c r="AG586" s="7"/>
    </row>
    <row r="587" spans="32:33" ht="14" x14ac:dyDescent="0.2">
      <c r="AF587" s="1"/>
      <c r="AG587" s="7"/>
    </row>
    <row r="588" spans="32:33" ht="14" x14ac:dyDescent="0.2">
      <c r="AF588" s="1"/>
      <c r="AG588" s="7"/>
    </row>
    <row r="589" spans="32:33" ht="14" x14ac:dyDescent="0.2">
      <c r="AF589" s="1"/>
      <c r="AG589" s="7"/>
    </row>
    <row r="590" spans="32:33" ht="14" x14ac:dyDescent="0.2">
      <c r="AF590" s="1"/>
      <c r="AG590" s="7"/>
    </row>
    <row r="591" spans="32:33" ht="14" x14ac:dyDescent="0.2">
      <c r="AF591" s="1"/>
      <c r="AG591" s="7"/>
    </row>
    <row r="592" spans="32:33" ht="14" x14ac:dyDescent="0.2">
      <c r="AF592" s="1"/>
      <c r="AG592" s="7"/>
    </row>
    <row r="593" spans="32:33" ht="14" x14ac:dyDescent="0.2">
      <c r="AF593" s="1"/>
      <c r="AG593" s="7"/>
    </row>
    <row r="594" spans="32:33" ht="14" x14ac:dyDescent="0.2">
      <c r="AF594" s="1"/>
      <c r="AG594" s="7"/>
    </row>
    <row r="595" spans="32:33" ht="14" x14ac:dyDescent="0.2">
      <c r="AF595" s="1"/>
      <c r="AG595" s="7"/>
    </row>
    <row r="596" spans="32:33" ht="14" x14ac:dyDescent="0.2">
      <c r="AF596" s="1"/>
      <c r="AG596" s="7"/>
    </row>
    <row r="597" spans="32:33" ht="14" x14ac:dyDescent="0.2">
      <c r="AF597" s="1"/>
      <c r="AG597" s="7"/>
    </row>
    <row r="598" spans="32:33" ht="14" x14ac:dyDescent="0.2">
      <c r="AF598" s="1"/>
      <c r="AG598" s="7"/>
    </row>
    <row r="599" spans="32:33" ht="14" x14ac:dyDescent="0.2">
      <c r="AF599" s="1"/>
      <c r="AG599" s="7"/>
    </row>
    <row r="600" spans="32:33" ht="14" x14ac:dyDescent="0.2">
      <c r="AF600" s="1"/>
      <c r="AG600" s="7"/>
    </row>
    <row r="601" spans="32:33" ht="14" x14ac:dyDescent="0.2">
      <c r="AF601" s="1"/>
      <c r="AG601" s="7"/>
    </row>
    <row r="602" spans="32:33" ht="14" x14ac:dyDescent="0.2">
      <c r="AF602" s="1"/>
      <c r="AG602" s="7"/>
    </row>
    <row r="603" spans="32:33" ht="14" x14ac:dyDescent="0.2">
      <c r="AF603" s="1"/>
      <c r="AG603" s="7"/>
    </row>
    <row r="604" spans="32:33" ht="14" x14ac:dyDescent="0.2">
      <c r="AF604" s="1"/>
      <c r="AG604" s="7"/>
    </row>
    <row r="605" spans="32:33" ht="14" x14ac:dyDescent="0.2">
      <c r="AF605" s="1"/>
      <c r="AG605" s="7"/>
    </row>
    <row r="606" spans="32:33" ht="14" x14ac:dyDescent="0.2">
      <c r="AF606" s="1"/>
      <c r="AG606" s="7"/>
    </row>
    <row r="607" spans="32:33" ht="14" x14ac:dyDescent="0.2">
      <c r="AF607" s="1"/>
      <c r="AG607" s="7"/>
    </row>
    <row r="608" spans="32:33" ht="14" x14ac:dyDescent="0.2">
      <c r="AF608" s="1"/>
      <c r="AG608" s="7"/>
    </row>
    <row r="609" spans="32:33" ht="14" x14ac:dyDescent="0.2">
      <c r="AF609" s="1"/>
      <c r="AG609" s="7"/>
    </row>
    <row r="610" spans="32:33" ht="14" x14ac:dyDescent="0.2">
      <c r="AF610" s="1"/>
      <c r="AG610" s="7"/>
    </row>
    <row r="611" spans="32:33" ht="14" x14ac:dyDescent="0.2">
      <c r="AF611" s="1"/>
      <c r="AG611" s="7"/>
    </row>
    <row r="612" spans="32:33" ht="14" x14ac:dyDescent="0.2">
      <c r="AF612" s="1"/>
      <c r="AG612" s="7"/>
    </row>
    <row r="613" spans="32:33" ht="14" x14ac:dyDescent="0.2">
      <c r="AF613" s="1"/>
      <c r="AG613" s="7"/>
    </row>
    <row r="614" spans="32:33" ht="14" x14ac:dyDescent="0.2">
      <c r="AF614" s="1"/>
      <c r="AG614" s="7"/>
    </row>
    <row r="615" spans="32:33" ht="14" x14ac:dyDescent="0.2">
      <c r="AF615" s="1"/>
      <c r="AG615" s="7"/>
    </row>
    <row r="616" spans="32:33" ht="14" x14ac:dyDescent="0.2">
      <c r="AF616" s="1"/>
      <c r="AG616" s="7"/>
    </row>
    <row r="617" spans="32:33" ht="14" x14ac:dyDescent="0.2">
      <c r="AF617" s="1"/>
      <c r="AG617" s="7"/>
    </row>
    <row r="618" spans="32:33" ht="14" x14ac:dyDescent="0.2">
      <c r="AF618" s="1"/>
      <c r="AG618" s="7"/>
    </row>
    <row r="619" spans="32:33" ht="14" x14ac:dyDescent="0.2">
      <c r="AF619" s="1"/>
      <c r="AG619" s="7"/>
    </row>
    <row r="620" spans="32:33" ht="14" x14ac:dyDescent="0.2">
      <c r="AF620" s="1"/>
      <c r="AG620" s="7"/>
    </row>
    <row r="621" spans="32:33" ht="14" x14ac:dyDescent="0.2">
      <c r="AF621" s="1"/>
      <c r="AG621" s="7"/>
    </row>
    <row r="622" spans="32:33" ht="14" x14ac:dyDescent="0.2">
      <c r="AF622" s="1"/>
      <c r="AG622" s="7"/>
    </row>
    <row r="623" spans="32:33" ht="14" x14ac:dyDescent="0.2">
      <c r="AF623" s="1"/>
      <c r="AG623" s="7"/>
    </row>
    <row r="624" spans="32:33" ht="14" x14ac:dyDescent="0.2">
      <c r="AF624" s="1"/>
      <c r="AG624" s="7"/>
    </row>
    <row r="625" spans="32:33" ht="14" x14ac:dyDescent="0.2">
      <c r="AF625" s="1"/>
      <c r="AG625" s="7"/>
    </row>
    <row r="626" spans="32:33" ht="14" x14ac:dyDescent="0.2">
      <c r="AF626" s="1"/>
      <c r="AG626" s="7"/>
    </row>
    <row r="627" spans="32:33" ht="14" x14ac:dyDescent="0.2">
      <c r="AF627" s="1"/>
      <c r="AG627" s="7"/>
    </row>
    <row r="628" spans="32:33" ht="14" x14ac:dyDescent="0.2">
      <c r="AF628" s="1"/>
      <c r="AG628" s="7"/>
    </row>
    <row r="629" spans="32:33" ht="14" x14ac:dyDescent="0.2">
      <c r="AF629" s="1"/>
      <c r="AG629" s="7"/>
    </row>
    <row r="630" spans="32:33" ht="14" x14ac:dyDescent="0.2">
      <c r="AF630" s="1"/>
      <c r="AG630" s="7"/>
    </row>
    <row r="631" spans="32:33" ht="14" x14ac:dyDescent="0.2">
      <c r="AF631" s="1"/>
      <c r="AG631" s="7"/>
    </row>
    <row r="632" spans="32:33" ht="14" x14ac:dyDescent="0.2">
      <c r="AF632" s="1"/>
      <c r="AG632" s="7"/>
    </row>
    <row r="633" spans="32:33" ht="14" x14ac:dyDescent="0.2">
      <c r="AF633" s="1"/>
      <c r="AG633" s="7"/>
    </row>
    <row r="634" spans="32:33" ht="14" x14ac:dyDescent="0.2">
      <c r="AF634" s="1"/>
      <c r="AG634" s="7"/>
    </row>
    <row r="635" spans="32:33" ht="14" x14ac:dyDescent="0.2">
      <c r="AF635" s="1"/>
      <c r="AG635" s="7"/>
    </row>
    <row r="636" spans="32:33" ht="14" x14ac:dyDescent="0.2">
      <c r="AF636" s="1"/>
      <c r="AG636" s="7"/>
    </row>
    <row r="637" spans="32:33" ht="14" x14ac:dyDescent="0.2">
      <c r="AF637" s="1"/>
      <c r="AG637" s="7"/>
    </row>
    <row r="638" spans="32:33" ht="14" x14ac:dyDescent="0.2">
      <c r="AF638" s="1"/>
      <c r="AG638" s="7"/>
    </row>
    <row r="639" spans="32:33" ht="14" x14ac:dyDescent="0.2">
      <c r="AF639" s="1"/>
      <c r="AG639" s="7"/>
    </row>
    <row r="640" spans="32:33" ht="14" x14ac:dyDescent="0.2">
      <c r="AF640" s="1"/>
      <c r="AG640" s="7"/>
    </row>
    <row r="641" spans="32:33" ht="14" x14ac:dyDescent="0.2">
      <c r="AF641" s="1"/>
      <c r="AG641" s="7"/>
    </row>
    <row r="642" spans="32:33" ht="14" x14ac:dyDescent="0.2">
      <c r="AF642" s="1"/>
      <c r="AG642" s="7"/>
    </row>
    <row r="643" spans="32:33" ht="14" x14ac:dyDescent="0.2">
      <c r="AF643" s="1"/>
      <c r="AG643" s="7"/>
    </row>
    <row r="644" spans="32:33" ht="14" x14ac:dyDescent="0.2">
      <c r="AF644" s="1"/>
      <c r="AG644" s="7"/>
    </row>
    <row r="645" spans="32:33" ht="14" x14ac:dyDescent="0.2">
      <c r="AF645" s="1"/>
      <c r="AG645" s="7"/>
    </row>
    <row r="646" spans="32:33" ht="14" x14ac:dyDescent="0.2">
      <c r="AF646" s="1"/>
      <c r="AG646" s="7"/>
    </row>
    <row r="647" spans="32:33" ht="14" x14ac:dyDescent="0.2">
      <c r="AF647" s="1"/>
      <c r="AG647" s="7"/>
    </row>
    <row r="648" spans="32:33" ht="14" x14ac:dyDescent="0.2">
      <c r="AF648" s="1"/>
      <c r="AG648" s="7"/>
    </row>
    <row r="649" spans="32:33" ht="14" x14ac:dyDescent="0.2">
      <c r="AF649" s="1"/>
      <c r="AG649" s="7"/>
    </row>
    <row r="650" spans="32:33" ht="14" x14ac:dyDescent="0.2">
      <c r="AF650" s="1"/>
      <c r="AG650" s="7"/>
    </row>
    <row r="651" spans="32:33" ht="14" x14ac:dyDescent="0.2">
      <c r="AF651" s="1"/>
      <c r="AG651" s="7"/>
    </row>
    <row r="652" spans="32:33" ht="14" x14ac:dyDescent="0.2">
      <c r="AF652" s="1"/>
      <c r="AG652" s="7"/>
    </row>
    <row r="653" spans="32:33" ht="14" x14ac:dyDescent="0.2">
      <c r="AF653" s="1"/>
      <c r="AG653" s="7"/>
    </row>
    <row r="654" spans="32:33" ht="14" x14ac:dyDescent="0.2">
      <c r="AF654" s="1"/>
      <c r="AG654" s="7"/>
    </row>
    <row r="655" spans="32:33" ht="14" x14ac:dyDescent="0.2">
      <c r="AF655" s="1"/>
      <c r="AG655" s="7"/>
    </row>
    <row r="656" spans="32:33" ht="14" x14ac:dyDescent="0.2">
      <c r="AF656" s="1"/>
      <c r="AG656" s="7"/>
    </row>
    <row r="657" spans="32:33" ht="14" x14ac:dyDescent="0.2">
      <c r="AF657" s="1"/>
      <c r="AG657" s="7"/>
    </row>
    <row r="658" spans="32:33" ht="14" x14ac:dyDescent="0.2">
      <c r="AF658" s="1"/>
      <c r="AG658" s="7"/>
    </row>
    <row r="659" spans="32:33" ht="14" x14ac:dyDescent="0.2">
      <c r="AF659" s="1"/>
      <c r="AG659" s="7"/>
    </row>
    <row r="660" spans="32:33" ht="14" x14ac:dyDescent="0.2">
      <c r="AF660" s="1"/>
      <c r="AG660" s="7"/>
    </row>
    <row r="661" spans="32:33" ht="14" x14ac:dyDescent="0.2">
      <c r="AF661" s="1"/>
      <c r="AG661" s="7"/>
    </row>
    <row r="662" spans="32:33" ht="14" x14ac:dyDescent="0.2">
      <c r="AF662" s="1"/>
      <c r="AG662" s="7"/>
    </row>
    <row r="663" spans="32:33" ht="14" x14ac:dyDescent="0.2">
      <c r="AF663" s="1"/>
      <c r="AG663" s="7"/>
    </row>
    <row r="664" spans="32:33" ht="14" x14ac:dyDescent="0.2">
      <c r="AF664" s="1"/>
      <c r="AG664" s="7"/>
    </row>
    <row r="665" spans="32:33" ht="14" x14ac:dyDescent="0.2">
      <c r="AF665" s="1"/>
      <c r="AG665" s="7"/>
    </row>
    <row r="666" spans="32:33" ht="14" x14ac:dyDescent="0.2">
      <c r="AF666" s="1"/>
      <c r="AG666" s="7"/>
    </row>
    <row r="667" spans="32:33" ht="14" x14ac:dyDescent="0.2">
      <c r="AF667" s="1"/>
      <c r="AG667" s="7"/>
    </row>
    <row r="668" spans="32:33" ht="14" x14ac:dyDescent="0.2">
      <c r="AF668" s="1"/>
      <c r="AG668" s="7"/>
    </row>
    <row r="669" spans="32:33" ht="14" x14ac:dyDescent="0.2">
      <c r="AF669" s="1"/>
      <c r="AG669" s="7"/>
    </row>
    <row r="670" spans="32:33" ht="14" x14ac:dyDescent="0.2">
      <c r="AF670" s="1"/>
      <c r="AG670" s="7"/>
    </row>
    <row r="671" spans="32:33" ht="14" x14ac:dyDescent="0.2">
      <c r="AF671" s="1"/>
      <c r="AG671" s="7"/>
    </row>
    <row r="672" spans="32:33" ht="14" x14ac:dyDescent="0.2">
      <c r="AF672" s="1"/>
      <c r="AG672" s="7"/>
    </row>
    <row r="673" spans="32:33" ht="14" x14ac:dyDescent="0.2">
      <c r="AF673" s="1"/>
      <c r="AG673" s="7"/>
    </row>
    <row r="674" spans="32:33" ht="14" x14ac:dyDescent="0.2">
      <c r="AF674" s="1"/>
      <c r="AG674" s="7"/>
    </row>
    <row r="675" spans="32:33" ht="14" x14ac:dyDescent="0.2">
      <c r="AF675" s="1"/>
      <c r="AG675" s="7"/>
    </row>
    <row r="676" spans="32:33" ht="14" x14ac:dyDescent="0.2">
      <c r="AF676" s="1"/>
      <c r="AG676" s="7"/>
    </row>
    <row r="677" spans="32:33" ht="14" x14ac:dyDescent="0.2">
      <c r="AF677" s="1"/>
      <c r="AG677" s="7"/>
    </row>
    <row r="678" spans="32:33" ht="14" x14ac:dyDescent="0.2">
      <c r="AF678" s="1"/>
      <c r="AG678" s="7"/>
    </row>
    <row r="679" spans="32:33" ht="14" x14ac:dyDescent="0.2">
      <c r="AF679" s="1"/>
      <c r="AG679" s="7"/>
    </row>
    <row r="680" spans="32:33" ht="14" x14ac:dyDescent="0.2">
      <c r="AF680" s="1"/>
      <c r="AG680" s="7"/>
    </row>
    <row r="681" spans="32:33" ht="14" x14ac:dyDescent="0.2">
      <c r="AF681" s="1"/>
      <c r="AG681" s="7"/>
    </row>
    <row r="682" spans="32:33" ht="14" x14ac:dyDescent="0.2">
      <c r="AF682" s="1"/>
      <c r="AG682" s="7"/>
    </row>
    <row r="683" spans="32:33" ht="14" x14ac:dyDescent="0.2">
      <c r="AF683" s="1"/>
      <c r="AG683" s="7"/>
    </row>
    <row r="684" spans="32:33" ht="14" x14ac:dyDescent="0.2">
      <c r="AF684" s="1"/>
      <c r="AG684" s="7"/>
    </row>
    <row r="685" spans="32:33" ht="14" x14ac:dyDescent="0.2">
      <c r="AF685" s="1"/>
      <c r="AG685" s="7"/>
    </row>
    <row r="686" spans="32:33" ht="14" x14ac:dyDescent="0.2">
      <c r="AF686" s="1"/>
      <c r="AG686" s="7"/>
    </row>
    <row r="687" spans="32:33" ht="14" x14ac:dyDescent="0.2">
      <c r="AF687" s="1"/>
      <c r="AG687" s="7"/>
    </row>
    <row r="688" spans="32:33" ht="14" x14ac:dyDescent="0.2">
      <c r="AF688" s="1"/>
      <c r="AG688" s="7"/>
    </row>
    <row r="689" spans="32:33" ht="14" x14ac:dyDescent="0.2">
      <c r="AF689" s="1"/>
      <c r="AG689" s="7"/>
    </row>
    <row r="690" spans="32:33" ht="14" x14ac:dyDescent="0.2">
      <c r="AF690" s="1"/>
      <c r="AG690" s="7"/>
    </row>
    <row r="691" spans="32:33" ht="14" x14ac:dyDescent="0.2">
      <c r="AF691" s="1"/>
      <c r="AG691" s="7"/>
    </row>
    <row r="692" spans="32:33" ht="14" x14ac:dyDescent="0.2">
      <c r="AF692" s="1"/>
      <c r="AG692" s="7"/>
    </row>
    <row r="693" spans="32:33" ht="14" x14ac:dyDescent="0.2">
      <c r="AF693" s="1"/>
      <c r="AG693" s="7"/>
    </row>
    <row r="694" spans="32:33" ht="14" x14ac:dyDescent="0.2">
      <c r="AF694" s="1"/>
      <c r="AG694" s="7"/>
    </row>
    <row r="695" spans="32:33" ht="14" x14ac:dyDescent="0.2">
      <c r="AF695" s="1"/>
      <c r="AG695" s="7"/>
    </row>
    <row r="696" spans="32:33" ht="14" x14ac:dyDescent="0.2">
      <c r="AF696" s="1"/>
      <c r="AG696" s="7"/>
    </row>
    <row r="697" spans="32:33" ht="14" x14ac:dyDescent="0.2">
      <c r="AF697" s="1"/>
      <c r="AG697" s="7"/>
    </row>
    <row r="698" spans="32:33" ht="14" x14ac:dyDescent="0.2">
      <c r="AF698" s="1"/>
      <c r="AG698" s="7"/>
    </row>
    <row r="699" spans="32:33" ht="14" x14ac:dyDescent="0.2">
      <c r="AF699" s="1"/>
      <c r="AG699" s="7"/>
    </row>
    <row r="700" spans="32:33" ht="14" x14ac:dyDescent="0.2">
      <c r="AF700" s="1"/>
      <c r="AG700" s="7"/>
    </row>
    <row r="701" spans="32:33" ht="14" x14ac:dyDescent="0.2">
      <c r="AF701" s="1"/>
      <c r="AG701" s="7"/>
    </row>
    <row r="702" spans="32:33" ht="14" x14ac:dyDescent="0.2">
      <c r="AF702" s="1"/>
      <c r="AG702" s="7"/>
    </row>
    <row r="703" spans="32:33" ht="14" x14ac:dyDescent="0.2">
      <c r="AF703" s="1"/>
      <c r="AG703" s="7"/>
    </row>
    <row r="704" spans="32:33" ht="14" x14ac:dyDescent="0.2">
      <c r="AF704" s="1"/>
      <c r="AG704" s="7"/>
    </row>
    <row r="705" spans="32:33" ht="14" x14ac:dyDescent="0.2">
      <c r="AF705" s="1"/>
      <c r="AG705" s="7"/>
    </row>
    <row r="706" spans="32:33" ht="14" x14ac:dyDescent="0.2">
      <c r="AF706" s="1"/>
      <c r="AG706" s="7"/>
    </row>
    <row r="707" spans="32:33" ht="14" x14ac:dyDescent="0.2">
      <c r="AF707" s="1"/>
      <c r="AG707" s="7"/>
    </row>
    <row r="708" spans="32:33" ht="14" x14ac:dyDescent="0.2">
      <c r="AF708" s="1"/>
      <c r="AG708" s="7"/>
    </row>
    <row r="709" spans="32:33" ht="14" x14ac:dyDescent="0.2">
      <c r="AF709" s="1"/>
      <c r="AG709" s="7"/>
    </row>
    <row r="710" spans="32:33" ht="14" x14ac:dyDescent="0.2">
      <c r="AF710" s="1"/>
      <c r="AG710" s="7"/>
    </row>
    <row r="711" spans="32:33" ht="14" x14ac:dyDescent="0.2">
      <c r="AF711" s="1"/>
      <c r="AG711" s="7"/>
    </row>
    <row r="712" spans="32:33" ht="14" x14ac:dyDescent="0.2">
      <c r="AF712" s="1"/>
      <c r="AG712" s="7"/>
    </row>
    <row r="713" spans="32:33" ht="14" x14ac:dyDescent="0.2">
      <c r="AF713" s="1"/>
      <c r="AG713" s="7"/>
    </row>
    <row r="714" spans="32:33" ht="14" x14ac:dyDescent="0.2">
      <c r="AF714" s="1"/>
      <c r="AG714" s="7"/>
    </row>
    <row r="715" spans="32:33" ht="14" x14ac:dyDescent="0.2">
      <c r="AF715" s="1"/>
      <c r="AG715" s="7"/>
    </row>
    <row r="716" spans="32:33" ht="14" x14ac:dyDescent="0.2">
      <c r="AF716" s="1"/>
      <c r="AG716" s="7"/>
    </row>
    <row r="717" spans="32:33" ht="14" x14ac:dyDescent="0.2">
      <c r="AF717" s="1"/>
      <c r="AG717" s="7"/>
    </row>
    <row r="718" spans="32:33" ht="14" x14ac:dyDescent="0.2">
      <c r="AF718" s="1"/>
      <c r="AG718" s="7"/>
    </row>
    <row r="719" spans="32:33" ht="14" x14ac:dyDescent="0.2">
      <c r="AF719" s="1"/>
      <c r="AG719" s="7"/>
    </row>
    <row r="720" spans="32:33" ht="14" x14ac:dyDescent="0.2">
      <c r="AF720" s="1"/>
      <c r="AG720" s="7"/>
    </row>
    <row r="721" spans="32:33" ht="14" x14ac:dyDescent="0.2">
      <c r="AF721" s="1"/>
      <c r="AG721" s="7"/>
    </row>
    <row r="722" spans="32:33" ht="14" x14ac:dyDescent="0.2">
      <c r="AF722" s="1"/>
      <c r="AG722" s="7"/>
    </row>
    <row r="723" spans="32:33" ht="14" x14ac:dyDescent="0.2">
      <c r="AF723" s="1"/>
      <c r="AG723" s="7"/>
    </row>
    <row r="724" spans="32:33" ht="14" x14ac:dyDescent="0.2">
      <c r="AF724" s="1"/>
      <c r="AG724" s="7"/>
    </row>
    <row r="725" spans="32:33" ht="14" x14ac:dyDescent="0.2">
      <c r="AF725" s="1"/>
      <c r="AG725" s="7"/>
    </row>
    <row r="726" spans="32:33" ht="14" x14ac:dyDescent="0.2">
      <c r="AF726" s="1"/>
      <c r="AG726" s="7"/>
    </row>
    <row r="727" spans="32:33" ht="14" x14ac:dyDescent="0.2">
      <c r="AF727" s="1"/>
      <c r="AG727" s="7"/>
    </row>
    <row r="728" spans="32:33" ht="14" x14ac:dyDescent="0.2">
      <c r="AF728" s="1"/>
      <c r="AG728" s="7"/>
    </row>
    <row r="729" spans="32:33" ht="14" x14ac:dyDescent="0.2">
      <c r="AF729" s="1"/>
      <c r="AG729" s="7"/>
    </row>
    <row r="730" spans="32:33" ht="14" x14ac:dyDescent="0.2">
      <c r="AF730" s="1"/>
      <c r="AG730" s="7"/>
    </row>
    <row r="731" spans="32:33" ht="14" x14ac:dyDescent="0.2">
      <c r="AF731" s="1"/>
      <c r="AG731" s="7"/>
    </row>
    <row r="732" spans="32:33" ht="14" x14ac:dyDescent="0.2">
      <c r="AF732" s="1"/>
      <c r="AG732" s="7"/>
    </row>
    <row r="733" spans="32:33" ht="14" x14ac:dyDescent="0.2">
      <c r="AF733" s="1"/>
      <c r="AG733" s="7"/>
    </row>
    <row r="734" spans="32:33" ht="14" x14ac:dyDescent="0.2">
      <c r="AF734" s="1"/>
      <c r="AG734" s="7"/>
    </row>
    <row r="735" spans="32:33" ht="14" x14ac:dyDescent="0.2">
      <c r="AF735" s="1"/>
      <c r="AG735" s="7"/>
    </row>
    <row r="736" spans="32:33" ht="14" x14ac:dyDescent="0.2">
      <c r="AF736" s="1"/>
      <c r="AG736" s="7"/>
    </row>
    <row r="737" spans="32:33" ht="14" x14ac:dyDescent="0.2">
      <c r="AF737" s="1"/>
      <c r="AG737" s="7"/>
    </row>
    <row r="738" spans="32:33" ht="14" x14ac:dyDescent="0.2">
      <c r="AF738" s="1"/>
      <c r="AG738" s="7"/>
    </row>
    <row r="739" spans="32:33" ht="14" x14ac:dyDescent="0.2">
      <c r="AF739" s="1"/>
      <c r="AG739" s="7"/>
    </row>
    <row r="740" spans="32:33" ht="14" x14ac:dyDescent="0.2">
      <c r="AF740" s="1"/>
      <c r="AG740" s="7"/>
    </row>
    <row r="741" spans="32:33" ht="14" x14ac:dyDescent="0.2">
      <c r="AF741" s="1"/>
      <c r="AG741" s="7"/>
    </row>
    <row r="742" spans="32:33" ht="14" x14ac:dyDescent="0.2">
      <c r="AF742" s="1"/>
      <c r="AG742" s="7"/>
    </row>
    <row r="743" spans="32:33" ht="14" x14ac:dyDescent="0.2">
      <c r="AF743" s="1"/>
      <c r="AG743" s="7"/>
    </row>
    <row r="744" spans="32:33" ht="14" x14ac:dyDescent="0.2">
      <c r="AF744" s="1"/>
      <c r="AG744" s="7"/>
    </row>
    <row r="745" spans="32:33" ht="14" x14ac:dyDescent="0.2">
      <c r="AF745" s="1"/>
      <c r="AG745" s="7"/>
    </row>
    <row r="746" spans="32:33" ht="14" x14ac:dyDescent="0.2">
      <c r="AF746" s="1"/>
      <c r="AG746" s="7"/>
    </row>
    <row r="747" spans="32:33" ht="14" x14ac:dyDescent="0.2">
      <c r="AF747" s="1"/>
      <c r="AG747" s="7"/>
    </row>
    <row r="748" spans="32:33" ht="14" x14ac:dyDescent="0.2">
      <c r="AF748" s="1"/>
      <c r="AG748" s="7"/>
    </row>
    <row r="749" spans="32:33" ht="14" x14ac:dyDescent="0.2">
      <c r="AF749" s="1"/>
      <c r="AG749" s="7"/>
    </row>
    <row r="750" spans="32:33" ht="14" x14ac:dyDescent="0.2">
      <c r="AF750" s="1"/>
      <c r="AG750" s="7"/>
    </row>
    <row r="751" spans="32:33" ht="14" x14ac:dyDescent="0.2">
      <c r="AF751" s="1"/>
      <c r="AG751" s="7"/>
    </row>
    <row r="752" spans="32:33" ht="14" x14ac:dyDescent="0.2">
      <c r="AF752" s="1"/>
      <c r="AG752" s="7"/>
    </row>
    <row r="753" spans="32:33" ht="14" x14ac:dyDescent="0.2">
      <c r="AF753" s="1"/>
      <c r="AG753" s="7"/>
    </row>
    <row r="754" spans="32:33" ht="14" x14ac:dyDescent="0.2">
      <c r="AF754" s="1"/>
      <c r="AG754" s="7"/>
    </row>
    <row r="755" spans="32:33" ht="14" x14ac:dyDescent="0.2">
      <c r="AF755" s="1"/>
      <c r="AG755" s="7"/>
    </row>
    <row r="756" spans="32:33" ht="14" x14ac:dyDescent="0.2">
      <c r="AF756" s="1"/>
      <c r="AG756" s="7"/>
    </row>
    <row r="757" spans="32:33" ht="14" x14ac:dyDescent="0.2">
      <c r="AF757" s="1"/>
      <c r="AG757" s="7"/>
    </row>
    <row r="758" spans="32:33" ht="14" x14ac:dyDescent="0.2">
      <c r="AF758" s="1"/>
      <c r="AG758" s="7"/>
    </row>
    <row r="759" spans="32:33" ht="14" x14ac:dyDescent="0.2">
      <c r="AF759" s="1"/>
      <c r="AG759" s="7"/>
    </row>
    <row r="760" spans="32:33" ht="14" x14ac:dyDescent="0.2">
      <c r="AF760" s="1"/>
      <c r="AG760" s="7"/>
    </row>
    <row r="761" spans="32:33" ht="14" x14ac:dyDescent="0.2">
      <c r="AF761" s="1"/>
      <c r="AG761" s="7"/>
    </row>
    <row r="762" spans="32:33" ht="14" x14ac:dyDescent="0.2">
      <c r="AF762" s="1"/>
      <c r="AG762" s="7"/>
    </row>
    <row r="763" spans="32:33" ht="14" x14ac:dyDescent="0.2">
      <c r="AF763" s="1"/>
      <c r="AG763" s="7"/>
    </row>
    <row r="764" spans="32:33" ht="14" x14ac:dyDescent="0.2">
      <c r="AF764" s="1"/>
      <c r="AG764" s="7"/>
    </row>
    <row r="765" spans="32:33" ht="14" x14ac:dyDescent="0.2">
      <c r="AF765" s="1"/>
      <c r="AG765" s="7"/>
    </row>
    <row r="766" spans="32:33" ht="14" x14ac:dyDescent="0.2">
      <c r="AF766" s="1"/>
      <c r="AG766" s="7"/>
    </row>
    <row r="767" spans="32:33" ht="14" x14ac:dyDescent="0.2">
      <c r="AF767" s="1"/>
      <c r="AG767" s="7"/>
    </row>
    <row r="768" spans="32:33" ht="14" x14ac:dyDescent="0.2">
      <c r="AF768" s="1"/>
      <c r="AG768" s="7"/>
    </row>
    <row r="769" spans="32:33" ht="14" x14ac:dyDescent="0.2">
      <c r="AF769" s="1"/>
      <c r="AG769" s="7"/>
    </row>
    <row r="770" spans="32:33" ht="14" x14ac:dyDescent="0.2">
      <c r="AF770" s="1"/>
      <c r="AG770" s="7"/>
    </row>
    <row r="771" spans="32:33" ht="14" x14ac:dyDescent="0.2">
      <c r="AF771" s="1"/>
      <c r="AG771" s="7"/>
    </row>
    <row r="772" spans="32:33" ht="14" x14ac:dyDescent="0.2">
      <c r="AF772" s="1"/>
      <c r="AG772" s="7"/>
    </row>
    <row r="773" spans="32:33" ht="14" x14ac:dyDescent="0.2">
      <c r="AF773" s="1"/>
      <c r="AG773" s="7"/>
    </row>
    <row r="774" spans="32:33" ht="14" x14ac:dyDescent="0.2">
      <c r="AF774" s="1"/>
      <c r="AG774" s="7"/>
    </row>
    <row r="775" spans="32:33" ht="14" x14ac:dyDescent="0.2">
      <c r="AF775" s="1"/>
      <c r="AG775" s="7"/>
    </row>
    <row r="776" spans="32:33" ht="14" x14ac:dyDescent="0.2">
      <c r="AF776" s="1"/>
      <c r="AG776" s="7"/>
    </row>
    <row r="777" spans="32:33" ht="14" x14ac:dyDescent="0.2">
      <c r="AF777" s="1"/>
      <c r="AG777" s="7"/>
    </row>
    <row r="778" spans="32:33" ht="14" x14ac:dyDescent="0.2">
      <c r="AF778" s="1"/>
      <c r="AG778" s="7"/>
    </row>
    <row r="779" spans="32:33" ht="14" x14ac:dyDescent="0.2">
      <c r="AF779" s="1"/>
      <c r="AG779" s="7"/>
    </row>
    <row r="780" spans="32:33" ht="14" x14ac:dyDescent="0.2">
      <c r="AF780" s="1"/>
      <c r="AG780" s="7"/>
    </row>
    <row r="781" spans="32:33" ht="14" x14ac:dyDescent="0.2">
      <c r="AF781" s="1"/>
      <c r="AG781" s="7"/>
    </row>
    <row r="782" spans="32:33" ht="14" x14ac:dyDescent="0.2">
      <c r="AF782" s="1"/>
      <c r="AG782" s="7"/>
    </row>
    <row r="783" spans="32:33" ht="14" x14ac:dyDescent="0.2">
      <c r="AF783" s="1"/>
      <c r="AG783" s="7"/>
    </row>
    <row r="784" spans="32:33" ht="14" x14ac:dyDescent="0.2">
      <c r="AF784" s="1"/>
      <c r="AG784" s="7"/>
    </row>
    <row r="785" spans="32:33" ht="14" x14ac:dyDescent="0.2">
      <c r="AF785" s="1"/>
      <c r="AG785" s="7"/>
    </row>
    <row r="786" spans="32:33" ht="14" x14ac:dyDescent="0.2">
      <c r="AF786" s="1"/>
      <c r="AG786" s="7"/>
    </row>
    <row r="787" spans="32:33" ht="14" x14ac:dyDescent="0.2">
      <c r="AF787" s="1"/>
      <c r="AG787" s="7"/>
    </row>
    <row r="788" spans="32:33" ht="14" x14ac:dyDescent="0.2">
      <c r="AF788" s="1"/>
      <c r="AG788" s="7"/>
    </row>
    <row r="789" spans="32:33" ht="14" x14ac:dyDescent="0.2">
      <c r="AF789" s="1"/>
      <c r="AG789" s="7"/>
    </row>
    <row r="790" spans="32:33" ht="14" x14ac:dyDescent="0.2">
      <c r="AF790" s="1"/>
      <c r="AG790" s="7"/>
    </row>
    <row r="791" spans="32:33" ht="14" x14ac:dyDescent="0.2">
      <c r="AF791" s="1"/>
      <c r="AG791" s="7"/>
    </row>
    <row r="792" spans="32:33" ht="14" x14ac:dyDescent="0.2">
      <c r="AF792" s="1"/>
      <c r="AG792" s="7"/>
    </row>
    <row r="793" spans="32:33" ht="14" x14ac:dyDescent="0.2">
      <c r="AF793" s="1"/>
      <c r="AG793" s="7"/>
    </row>
    <row r="794" spans="32:33" ht="14" x14ac:dyDescent="0.2">
      <c r="AF794" s="1"/>
      <c r="AG794" s="7"/>
    </row>
    <row r="795" spans="32:33" ht="14" x14ac:dyDescent="0.2">
      <c r="AF795" s="1"/>
      <c r="AG795" s="7"/>
    </row>
    <row r="796" spans="32:33" ht="14" x14ac:dyDescent="0.2">
      <c r="AF796" s="1"/>
      <c r="AG796" s="7"/>
    </row>
    <row r="797" spans="32:33" ht="14" x14ac:dyDescent="0.2">
      <c r="AF797" s="1"/>
      <c r="AG797" s="7"/>
    </row>
    <row r="798" spans="32:33" ht="14" x14ac:dyDescent="0.2">
      <c r="AF798" s="1"/>
      <c r="AG798" s="7"/>
    </row>
    <row r="799" spans="32:33" ht="14" x14ac:dyDescent="0.2">
      <c r="AF799" s="1"/>
      <c r="AG799" s="7"/>
    </row>
    <row r="800" spans="32:33" ht="14" x14ac:dyDescent="0.2">
      <c r="AF800" s="1"/>
      <c r="AG800" s="7"/>
    </row>
    <row r="801" spans="32:33" ht="14" x14ac:dyDescent="0.2">
      <c r="AF801" s="1"/>
      <c r="AG801" s="7"/>
    </row>
    <row r="802" spans="32:33" ht="14" x14ac:dyDescent="0.2">
      <c r="AF802" s="1"/>
      <c r="AG802" s="7"/>
    </row>
    <row r="803" spans="32:33" ht="14" x14ac:dyDescent="0.2">
      <c r="AF803" s="1"/>
      <c r="AG803" s="7"/>
    </row>
    <row r="804" spans="32:33" ht="14" x14ac:dyDescent="0.2">
      <c r="AF804" s="1"/>
      <c r="AG804" s="7"/>
    </row>
    <row r="805" spans="32:33" ht="14" x14ac:dyDescent="0.2">
      <c r="AF805" s="1"/>
      <c r="AG805" s="7"/>
    </row>
    <row r="806" spans="32:33" ht="14" x14ac:dyDescent="0.2">
      <c r="AF806" s="1"/>
      <c r="AG806" s="7"/>
    </row>
    <row r="807" spans="32:33" ht="14" x14ac:dyDescent="0.2">
      <c r="AF807" s="1"/>
      <c r="AG807" s="7"/>
    </row>
    <row r="808" spans="32:33" ht="14" x14ac:dyDescent="0.2">
      <c r="AF808" s="1"/>
      <c r="AG808" s="7"/>
    </row>
    <row r="809" spans="32:33" ht="14" x14ac:dyDescent="0.2">
      <c r="AF809" s="1"/>
      <c r="AG809" s="7"/>
    </row>
    <row r="810" spans="32:33" ht="14" x14ac:dyDescent="0.2">
      <c r="AF810" s="1"/>
      <c r="AG810" s="7"/>
    </row>
    <row r="811" spans="32:33" ht="14" x14ac:dyDescent="0.2">
      <c r="AF811" s="1"/>
      <c r="AG811" s="7"/>
    </row>
    <row r="812" spans="32:33" ht="14" x14ac:dyDescent="0.2">
      <c r="AF812" s="1"/>
      <c r="AG812" s="7"/>
    </row>
    <row r="813" spans="32:33" ht="14" x14ac:dyDescent="0.2">
      <c r="AF813" s="1"/>
      <c r="AG813" s="7"/>
    </row>
    <row r="814" spans="32:33" ht="14" x14ac:dyDescent="0.2">
      <c r="AF814" s="1"/>
      <c r="AG814" s="7"/>
    </row>
    <row r="815" spans="32:33" ht="14" x14ac:dyDescent="0.2">
      <c r="AF815" s="1"/>
      <c r="AG815" s="7"/>
    </row>
    <row r="816" spans="32:33" ht="14" x14ac:dyDescent="0.2">
      <c r="AF816" s="1"/>
      <c r="AG816" s="7"/>
    </row>
    <row r="817" spans="32:33" ht="14" x14ac:dyDescent="0.2">
      <c r="AF817" s="1"/>
      <c r="AG817" s="7"/>
    </row>
    <row r="818" spans="32:33" ht="14" x14ac:dyDescent="0.2">
      <c r="AF818" s="1"/>
      <c r="AG818" s="7"/>
    </row>
    <row r="819" spans="32:33" ht="14" x14ac:dyDescent="0.2">
      <c r="AF819" s="1"/>
      <c r="AG819" s="7"/>
    </row>
    <row r="820" spans="32:33" ht="14" x14ac:dyDescent="0.2">
      <c r="AF820" s="1"/>
      <c r="AG820" s="7"/>
    </row>
    <row r="821" spans="32:33" ht="14" x14ac:dyDescent="0.2">
      <c r="AF821" s="1"/>
      <c r="AG821" s="7"/>
    </row>
    <row r="822" spans="32:33" ht="14" x14ac:dyDescent="0.2">
      <c r="AF822" s="1"/>
      <c r="AG822" s="7"/>
    </row>
    <row r="823" spans="32:33" ht="14" x14ac:dyDescent="0.2">
      <c r="AF823" s="1"/>
      <c r="AG823" s="7"/>
    </row>
    <row r="824" spans="32:33" ht="14" x14ac:dyDescent="0.2">
      <c r="AF824" s="1"/>
      <c r="AG824" s="7"/>
    </row>
    <row r="825" spans="32:33" ht="14" x14ac:dyDescent="0.2">
      <c r="AF825" s="1"/>
      <c r="AG825" s="7"/>
    </row>
    <row r="826" spans="32:33" ht="14" x14ac:dyDescent="0.2">
      <c r="AF826" s="1"/>
      <c r="AG826" s="7"/>
    </row>
    <row r="827" spans="32:33" ht="14" x14ac:dyDescent="0.2">
      <c r="AF827" s="1"/>
      <c r="AG827" s="7"/>
    </row>
    <row r="828" spans="32:33" ht="14" x14ac:dyDescent="0.2">
      <c r="AF828" s="1"/>
      <c r="AG828" s="7"/>
    </row>
    <row r="829" spans="32:33" ht="14" x14ac:dyDescent="0.2">
      <c r="AF829" s="1"/>
      <c r="AG829" s="7"/>
    </row>
    <row r="830" spans="32:33" ht="14" x14ac:dyDescent="0.2">
      <c r="AF830" s="1"/>
      <c r="AG830" s="7"/>
    </row>
    <row r="831" spans="32:33" ht="14" x14ac:dyDescent="0.2">
      <c r="AF831" s="1"/>
      <c r="AG831" s="7"/>
    </row>
    <row r="832" spans="32:33" ht="14" x14ac:dyDescent="0.2">
      <c r="AF832" s="1"/>
      <c r="AG832" s="7"/>
    </row>
    <row r="833" spans="32:33" ht="14" x14ac:dyDescent="0.2">
      <c r="AF833" s="1"/>
      <c r="AG833" s="7"/>
    </row>
    <row r="834" spans="32:33" ht="14" x14ac:dyDescent="0.2">
      <c r="AF834" s="1"/>
      <c r="AG834" s="7"/>
    </row>
    <row r="835" spans="32:33" ht="14" x14ac:dyDescent="0.2">
      <c r="AF835" s="1"/>
      <c r="AG835" s="7"/>
    </row>
    <row r="836" spans="32:33" ht="14" x14ac:dyDescent="0.2">
      <c r="AF836" s="1"/>
      <c r="AG836" s="7"/>
    </row>
    <row r="837" spans="32:33" ht="14" x14ac:dyDescent="0.2">
      <c r="AF837" s="1"/>
      <c r="AG837" s="7"/>
    </row>
    <row r="838" spans="32:33" ht="14" x14ac:dyDescent="0.2">
      <c r="AF838" s="1"/>
      <c r="AG838" s="7"/>
    </row>
    <row r="839" spans="32:33" ht="14" x14ac:dyDescent="0.2">
      <c r="AF839" s="1"/>
      <c r="AG839" s="7"/>
    </row>
    <row r="840" spans="32:33" ht="14" x14ac:dyDescent="0.2">
      <c r="AF840" s="1"/>
      <c r="AG840" s="7"/>
    </row>
    <row r="841" spans="32:33" ht="14" x14ac:dyDescent="0.2">
      <c r="AF841" s="1"/>
      <c r="AG841" s="7"/>
    </row>
    <row r="842" spans="32:33" ht="14" x14ac:dyDescent="0.2">
      <c r="AF842" s="1"/>
      <c r="AG842" s="7"/>
    </row>
    <row r="843" spans="32:33" ht="14" x14ac:dyDescent="0.2">
      <c r="AF843" s="1"/>
      <c r="AG843" s="7"/>
    </row>
    <row r="844" spans="32:33" ht="14" x14ac:dyDescent="0.2">
      <c r="AF844" s="1"/>
      <c r="AG844" s="7"/>
    </row>
    <row r="845" spans="32:33" ht="14" x14ac:dyDescent="0.2">
      <c r="AF845" s="1"/>
      <c r="AG845" s="7"/>
    </row>
    <row r="846" spans="32:33" ht="14" x14ac:dyDescent="0.2">
      <c r="AF846" s="1"/>
      <c r="AG846" s="7"/>
    </row>
    <row r="847" spans="32:33" ht="14" x14ac:dyDescent="0.2">
      <c r="AF847" s="1"/>
      <c r="AG847" s="7"/>
    </row>
    <row r="848" spans="32:33" ht="14" x14ac:dyDescent="0.2">
      <c r="AF848" s="1"/>
      <c r="AG848" s="7"/>
    </row>
    <row r="849" spans="32:33" ht="14" x14ac:dyDescent="0.2">
      <c r="AF849" s="1"/>
      <c r="AG849" s="7"/>
    </row>
    <row r="850" spans="32:33" ht="14" x14ac:dyDescent="0.2">
      <c r="AF850" s="1"/>
      <c r="AG850" s="7"/>
    </row>
    <row r="851" spans="32:33" ht="14" x14ac:dyDescent="0.2">
      <c r="AF851" s="1"/>
      <c r="AG851" s="7"/>
    </row>
    <row r="852" spans="32:33" ht="14" x14ac:dyDescent="0.2">
      <c r="AF852" s="1"/>
      <c r="AG852" s="7"/>
    </row>
    <row r="853" spans="32:33" ht="14" x14ac:dyDescent="0.2">
      <c r="AF853" s="1"/>
      <c r="AG853" s="7"/>
    </row>
    <row r="854" spans="32:33" ht="14" x14ac:dyDescent="0.2">
      <c r="AF854" s="1"/>
      <c r="AG854" s="7"/>
    </row>
    <row r="855" spans="32:33" ht="14" x14ac:dyDescent="0.2">
      <c r="AF855" s="1"/>
      <c r="AG855" s="7"/>
    </row>
    <row r="856" spans="32:33" ht="14" x14ac:dyDescent="0.2">
      <c r="AF856" s="1"/>
      <c r="AG856" s="7"/>
    </row>
    <row r="857" spans="32:33" ht="14" x14ac:dyDescent="0.2">
      <c r="AF857" s="1"/>
      <c r="AG857" s="7"/>
    </row>
    <row r="858" spans="32:33" ht="14" x14ac:dyDescent="0.2">
      <c r="AF858" s="1"/>
      <c r="AG858" s="7"/>
    </row>
    <row r="859" spans="32:33" ht="14" x14ac:dyDescent="0.2">
      <c r="AF859" s="1"/>
      <c r="AG859" s="7"/>
    </row>
    <row r="860" spans="32:33" ht="14" x14ac:dyDescent="0.2">
      <c r="AF860" s="1"/>
      <c r="AG860" s="7"/>
    </row>
    <row r="861" spans="32:33" ht="14" x14ac:dyDescent="0.2">
      <c r="AF861" s="1"/>
      <c r="AG861" s="7"/>
    </row>
    <row r="862" spans="32:33" ht="14" x14ac:dyDescent="0.2">
      <c r="AF862" s="1"/>
      <c r="AG862" s="7"/>
    </row>
    <row r="863" spans="32:33" ht="14" x14ac:dyDescent="0.2">
      <c r="AF863" s="1"/>
      <c r="AG863" s="7"/>
    </row>
    <row r="864" spans="32:33" ht="14" x14ac:dyDescent="0.2">
      <c r="AF864" s="1"/>
      <c r="AG864" s="7"/>
    </row>
    <row r="865" spans="32:33" ht="14" x14ac:dyDescent="0.2">
      <c r="AF865" s="1"/>
      <c r="AG865" s="7"/>
    </row>
    <row r="866" spans="32:33" ht="14" x14ac:dyDescent="0.2">
      <c r="AF866" s="1"/>
      <c r="AG866" s="7"/>
    </row>
    <row r="867" spans="32:33" ht="14" x14ac:dyDescent="0.2">
      <c r="AF867" s="1"/>
      <c r="AG867" s="7"/>
    </row>
    <row r="868" spans="32:33" ht="14" x14ac:dyDescent="0.2">
      <c r="AF868" s="1"/>
      <c r="AG868" s="7"/>
    </row>
    <row r="869" spans="32:33" ht="14" x14ac:dyDescent="0.2">
      <c r="AF869" s="1"/>
      <c r="AG869" s="7"/>
    </row>
    <row r="870" spans="32:33" ht="14" x14ac:dyDescent="0.2">
      <c r="AF870" s="1"/>
      <c r="AG870" s="7"/>
    </row>
    <row r="871" spans="32:33" ht="14" x14ac:dyDescent="0.2">
      <c r="AF871" s="1"/>
      <c r="AG871" s="7"/>
    </row>
    <row r="872" spans="32:33" ht="14" x14ac:dyDescent="0.2">
      <c r="AF872" s="1"/>
      <c r="AG872" s="7"/>
    </row>
    <row r="873" spans="32:33" ht="14" x14ac:dyDescent="0.2">
      <c r="AF873" s="1"/>
      <c r="AG873" s="7"/>
    </row>
    <row r="874" spans="32:33" ht="14" x14ac:dyDescent="0.2">
      <c r="AF874" s="1"/>
      <c r="AG874" s="7"/>
    </row>
    <row r="875" spans="32:33" ht="14" x14ac:dyDescent="0.2">
      <c r="AF875" s="1"/>
      <c r="AG875" s="7"/>
    </row>
    <row r="876" spans="32:33" ht="14" x14ac:dyDescent="0.2">
      <c r="AF876" s="1"/>
      <c r="AG876" s="7"/>
    </row>
    <row r="877" spans="32:33" ht="14" x14ac:dyDescent="0.2">
      <c r="AF877" s="1"/>
      <c r="AG877" s="7"/>
    </row>
    <row r="878" spans="32:33" ht="14" x14ac:dyDescent="0.2">
      <c r="AF878" s="1"/>
      <c r="AG878" s="7"/>
    </row>
    <row r="879" spans="32:33" ht="14" x14ac:dyDescent="0.2">
      <c r="AF879" s="1"/>
      <c r="AG879" s="7"/>
    </row>
    <row r="880" spans="32:33" ht="14" x14ac:dyDescent="0.2">
      <c r="AF880" s="1"/>
      <c r="AG880" s="7"/>
    </row>
    <row r="881" spans="32:33" ht="14" x14ac:dyDescent="0.2">
      <c r="AF881" s="1"/>
      <c r="AG881" s="7"/>
    </row>
    <row r="882" spans="32:33" ht="14" x14ac:dyDescent="0.2">
      <c r="AF882" s="1"/>
      <c r="AG882" s="7"/>
    </row>
    <row r="883" spans="32:33" ht="14" x14ac:dyDescent="0.2">
      <c r="AF883" s="1"/>
      <c r="AG883" s="7"/>
    </row>
    <row r="884" spans="32:33" ht="14" x14ac:dyDescent="0.2">
      <c r="AF884" s="1"/>
      <c r="AG884" s="7"/>
    </row>
    <row r="885" spans="32:33" ht="14" x14ac:dyDescent="0.2">
      <c r="AF885" s="1"/>
      <c r="AG885" s="7"/>
    </row>
    <row r="886" spans="32:33" ht="14" x14ac:dyDescent="0.2">
      <c r="AF886" s="1"/>
      <c r="AG886" s="7"/>
    </row>
    <row r="887" spans="32:33" ht="14" x14ac:dyDescent="0.2">
      <c r="AF887" s="1"/>
      <c r="AG887" s="7"/>
    </row>
    <row r="888" spans="32:33" ht="14" x14ac:dyDescent="0.2">
      <c r="AF888" s="1"/>
      <c r="AG888" s="7"/>
    </row>
    <row r="889" spans="32:33" ht="14" x14ac:dyDescent="0.2">
      <c r="AF889" s="1"/>
      <c r="AG889" s="7"/>
    </row>
    <row r="890" spans="32:33" ht="14" x14ac:dyDescent="0.2">
      <c r="AF890" s="1"/>
      <c r="AG890" s="7"/>
    </row>
    <row r="891" spans="32:33" ht="14" x14ac:dyDescent="0.2">
      <c r="AF891" s="1"/>
      <c r="AG891" s="7"/>
    </row>
    <row r="892" spans="32:33" ht="14" x14ac:dyDescent="0.2">
      <c r="AF892" s="1"/>
      <c r="AG892" s="7"/>
    </row>
    <row r="893" spans="32:33" ht="14" x14ac:dyDescent="0.2">
      <c r="AF893" s="1"/>
      <c r="AG893" s="7"/>
    </row>
    <row r="894" spans="32:33" ht="14" x14ac:dyDescent="0.2">
      <c r="AF894" s="1"/>
      <c r="AG894" s="7"/>
    </row>
    <row r="895" spans="32:33" ht="14" x14ac:dyDescent="0.2">
      <c r="AF895" s="1"/>
      <c r="AG895" s="7"/>
    </row>
    <row r="896" spans="32:33" ht="14" x14ac:dyDescent="0.2">
      <c r="AF896" s="1"/>
      <c r="AG896" s="7"/>
    </row>
    <row r="897" spans="32:33" ht="14" x14ac:dyDescent="0.2">
      <c r="AF897" s="1"/>
      <c r="AG897" s="7"/>
    </row>
    <row r="898" spans="32:33" ht="14" x14ac:dyDescent="0.2">
      <c r="AF898" s="1"/>
      <c r="AG898" s="7"/>
    </row>
    <row r="899" spans="32:33" ht="14" x14ac:dyDescent="0.2">
      <c r="AF899" s="1"/>
      <c r="AG899" s="7"/>
    </row>
    <row r="900" spans="32:33" ht="14" x14ac:dyDescent="0.2">
      <c r="AF900" s="1"/>
      <c r="AG900" s="7"/>
    </row>
    <row r="901" spans="32:33" ht="14" x14ac:dyDescent="0.2">
      <c r="AF901" s="1"/>
      <c r="AG901" s="7"/>
    </row>
    <row r="902" spans="32:33" ht="14" x14ac:dyDescent="0.2">
      <c r="AF902" s="1"/>
      <c r="AG902" s="7"/>
    </row>
    <row r="903" spans="32:33" ht="14" x14ac:dyDescent="0.2">
      <c r="AF903" s="1"/>
      <c r="AG903" s="7"/>
    </row>
    <row r="904" spans="32:33" ht="14" x14ac:dyDescent="0.2">
      <c r="AF904" s="1"/>
      <c r="AG904" s="7"/>
    </row>
    <row r="905" spans="32:33" ht="14" x14ac:dyDescent="0.2">
      <c r="AF905" s="1"/>
      <c r="AG905" s="7"/>
    </row>
    <row r="906" spans="32:33" ht="14" x14ac:dyDescent="0.2">
      <c r="AF906" s="1"/>
      <c r="AG906" s="7"/>
    </row>
    <row r="907" spans="32:33" ht="14" x14ac:dyDescent="0.2">
      <c r="AF907" s="1"/>
      <c r="AG907" s="7"/>
    </row>
    <row r="908" spans="32:33" ht="14" x14ac:dyDescent="0.2">
      <c r="AF908" s="1"/>
      <c r="AG908" s="7"/>
    </row>
    <row r="909" spans="32:33" ht="14" x14ac:dyDescent="0.2">
      <c r="AF909" s="1"/>
      <c r="AG909" s="7"/>
    </row>
    <row r="910" spans="32:33" ht="14" x14ac:dyDescent="0.2">
      <c r="AF910" s="1"/>
      <c r="AG910" s="7"/>
    </row>
    <row r="911" spans="32:33" ht="14" x14ac:dyDescent="0.2">
      <c r="AF911" s="1"/>
      <c r="AG911" s="7"/>
    </row>
    <row r="912" spans="32:33" ht="14" x14ac:dyDescent="0.2">
      <c r="AF912" s="1"/>
      <c r="AG912" s="7"/>
    </row>
    <row r="913" spans="32:33" ht="14" x14ac:dyDescent="0.2">
      <c r="AF913" s="1"/>
      <c r="AG913" s="7"/>
    </row>
    <row r="914" spans="32:33" ht="14" x14ac:dyDescent="0.2">
      <c r="AF914" s="1"/>
      <c r="AG914" s="7"/>
    </row>
    <row r="915" spans="32:33" ht="14" x14ac:dyDescent="0.2">
      <c r="AF915" s="1"/>
      <c r="AG915" s="7"/>
    </row>
    <row r="916" spans="32:33" ht="14" x14ac:dyDescent="0.2">
      <c r="AF916" s="1"/>
      <c r="AG916" s="7"/>
    </row>
    <row r="917" spans="32:33" ht="14" x14ac:dyDescent="0.2">
      <c r="AF917" s="1"/>
      <c r="AG917" s="7"/>
    </row>
    <row r="918" spans="32:33" ht="14" x14ac:dyDescent="0.2">
      <c r="AF918" s="1"/>
      <c r="AG918" s="7"/>
    </row>
    <row r="919" spans="32:33" ht="14" x14ac:dyDescent="0.2">
      <c r="AF919" s="1"/>
      <c r="AG919" s="7"/>
    </row>
    <row r="920" spans="32:33" ht="14" x14ac:dyDescent="0.2">
      <c r="AF920" s="1"/>
      <c r="AG920" s="7"/>
    </row>
    <row r="921" spans="32:33" ht="14" x14ac:dyDescent="0.2">
      <c r="AF921" s="1"/>
      <c r="AG921" s="7"/>
    </row>
    <row r="922" spans="32:33" ht="14" x14ac:dyDescent="0.2">
      <c r="AF922" s="1"/>
      <c r="AG922" s="7"/>
    </row>
    <row r="923" spans="32:33" ht="14" x14ac:dyDescent="0.2">
      <c r="AF923" s="1"/>
      <c r="AG923" s="7"/>
    </row>
    <row r="924" spans="32:33" ht="14" x14ac:dyDescent="0.2">
      <c r="AF924" s="1"/>
      <c r="AG924" s="7"/>
    </row>
    <row r="925" spans="32:33" ht="14" x14ac:dyDescent="0.2">
      <c r="AF925" s="1"/>
      <c r="AG925" s="7"/>
    </row>
    <row r="926" spans="32:33" ht="14" x14ac:dyDescent="0.2">
      <c r="AF926" s="1"/>
      <c r="AG926" s="7"/>
    </row>
    <row r="927" spans="32:33" ht="14" x14ac:dyDescent="0.2">
      <c r="AF927" s="1"/>
      <c r="AG927" s="7"/>
    </row>
    <row r="928" spans="32:33" ht="14" x14ac:dyDescent="0.2">
      <c r="AF928" s="1"/>
      <c r="AG928" s="7"/>
    </row>
    <row r="929" spans="32:33" ht="14" x14ac:dyDescent="0.2">
      <c r="AF929" s="1"/>
      <c r="AG929" s="7"/>
    </row>
    <row r="930" spans="32:33" ht="14" x14ac:dyDescent="0.2">
      <c r="AF930" s="1"/>
      <c r="AG930" s="7"/>
    </row>
    <row r="931" spans="32:33" ht="14" x14ac:dyDescent="0.2">
      <c r="AF931" s="1"/>
      <c r="AG931" s="7"/>
    </row>
    <row r="932" spans="32:33" ht="14" x14ac:dyDescent="0.2">
      <c r="AF932" s="1"/>
      <c r="AG932" s="7"/>
    </row>
    <row r="933" spans="32:33" ht="14" x14ac:dyDescent="0.2">
      <c r="AF933" s="1"/>
      <c r="AG933" s="7"/>
    </row>
    <row r="934" spans="32:33" ht="14" x14ac:dyDescent="0.2">
      <c r="AF934" s="1"/>
      <c r="AG934" s="7"/>
    </row>
    <row r="935" spans="32:33" ht="14" x14ac:dyDescent="0.2">
      <c r="AF935" s="1"/>
      <c r="AG935" s="7"/>
    </row>
    <row r="936" spans="32:33" ht="14" x14ac:dyDescent="0.2">
      <c r="AF936" s="1"/>
      <c r="AG936" s="7"/>
    </row>
    <row r="937" spans="32:33" ht="14" x14ac:dyDescent="0.2">
      <c r="AF937" s="1"/>
      <c r="AG937" s="7"/>
    </row>
    <row r="938" spans="32:33" ht="14" x14ac:dyDescent="0.2">
      <c r="AF938" s="1"/>
      <c r="AG938" s="7"/>
    </row>
    <row r="939" spans="32:33" ht="14" x14ac:dyDescent="0.2">
      <c r="AF939" s="1"/>
      <c r="AG939" s="7"/>
    </row>
    <row r="940" spans="32:33" ht="14" x14ac:dyDescent="0.2">
      <c r="AF940" s="1"/>
      <c r="AG940" s="7"/>
    </row>
    <row r="941" spans="32:33" ht="14" x14ac:dyDescent="0.2">
      <c r="AF941" s="1"/>
      <c r="AG941" s="7"/>
    </row>
    <row r="942" spans="32:33" ht="14" x14ac:dyDescent="0.2">
      <c r="AF942" s="1"/>
      <c r="AG942" s="7"/>
    </row>
    <row r="943" spans="32:33" ht="14" x14ac:dyDescent="0.2">
      <c r="AF943" s="1"/>
      <c r="AG943" s="7"/>
    </row>
    <row r="944" spans="32:33" ht="14" x14ac:dyDescent="0.2">
      <c r="AF944" s="1"/>
      <c r="AG944" s="7"/>
    </row>
    <row r="945" spans="32:33" ht="14" x14ac:dyDescent="0.2">
      <c r="AF945" s="1"/>
      <c r="AG945" s="7"/>
    </row>
    <row r="946" spans="32:33" ht="14" x14ac:dyDescent="0.2">
      <c r="AF946" s="1"/>
      <c r="AG946" s="7"/>
    </row>
    <row r="947" spans="32:33" ht="14" x14ac:dyDescent="0.2">
      <c r="AF947" s="1"/>
      <c r="AG947" s="7"/>
    </row>
    <row r="948" spans="32:33" ht="14" x14ac:dyDescent="0.2">
      <c r="AF948" s="1"/>
      <c r="AG948" s="7"/>
    </row>
    <row r="949" spans="32:33" ht="14" x14ac:dyDescent="0.2">
      <c r="AF949" s="1"/>
      <c r="AG949" s="7"/>
    </row>
    <row r="950" spans="32:33" ht="14" x14ac:dyDescent="0.2">
      <c r="AF950" s="1"/>
      <c r="AG950" s="7"/>
    </row>
    <row r="951" spans="32:33" ht="14" x14ac:dyDescent="0.2">
      <c r="AF951" s="1"/>
      <c r="AG951" s="7"/>
    </row>
    <row r="952" spans="32:33" ht="14" x14ac:dyDescent="0.2">
      <c r="AF952" s="1"/>
      <c r="AG952" s="7"/>
    </row>
    <row r="953" spans="32:33" ht="14" x14ac:dyDescent="0.2">
      <c r="AF953" s="1"/>
      <c r="AG953" s="7"/>
    </row>
    <row r="954" spans="32:33" ht="14" x14ac:dyDescent="0.2">
      <c r="AF954" s="1"/>
      <c r="AG954" s="7"/>
    </row>
    <row r="955" spans="32:33" ht="14" x14ac:dyDescent="0.2">
      <c r="AF955" s="1"/>
      <c r="AG955" s="7"/>
    </row>
    <row r="956" spans="32:33" ht="14" x14ac:dyDescent="0.2">
      <c r="AF956" s="1"/>
      <c r="AG956" s="7"/>
    </row>
    <row r="957" spans="32:33" ht="14" x14ac:dyDescent="0.2">
      <c r="AF957" s="1"/>
      <c r="AG957" s="7"/>
    </row>
    <row r="958" spans="32:33" ht="14" x14ac:dyDescent="0.2">
      <c r="AF958" s="1"/>
      <c r="AG958" s="7"/>
    </row>
    <row r="959" spans="32:33" ht="14" x14ac:dyDescent="0.2">
      <c r="AF959" s="1"/>
      <c r="AG959" s="7"/>
    </row>
    <row r="960" spans="32:33" ht="14" x14ac:dyDescent="0.2">
      <c r="AF960" s="1"/>
      <c r="AG960" s="7"/>
    </row>
    <row r="961" spans="32:33" ht="14" x14ac:dyDescent="0.2">
      <c r="AF961" s="1"/>
      <c r="AG961" s="7"/>
    </row>
    <row r="962" spans="32:33" ht="14" x14ac:dyDescent="0.2">
      <c r="AF962" s="1"/>
      <c r="AG962" s="7"/>
    </row>
    <row r="963" spans="32:33" ht="14" x14ac:dyDescent="0.2">
      <c r="AF963" s="1"/>
      <c r="AG963" s="7"/>
    </row>
    <row r="964" spans="32:33" ht="14" x14ac:dyDescent="0.2">
      <c r="AF964" s="1"/>
      <c r="AG964" s="7"/>
    </row>
    <row r="965" spans="32:33" ht="14" x14ac:dyDescent="0.2">
      <c r="AF965" s="1"/>
      <c r="AG965" s="7"/>
    </row>
    <row r="966" spans="32:33" ht="14" x14ac:dyDescent="0.2">
      <c r="AF966" s="1"/>
      <c r="AG966" s="7"/>
    </row>
    <row r="967" spans="32:33" ht="14" x14ac:dyDescent="0.2">
      <c r="AF967" s="1"/>
      <c r="AG967" s="7"/>
    </row>
    <row r="968" spans="32:33" ht="14" x14ac:dyDescent="0.2">
      <c r="AF968" s="1"/>
      <c r="AG968" s="7"/>
    </row>
    <row r="969" spans="32:33" ht="14" x14ac:dyDescent="0.2">
      <c r="AF969" s="1"/>
      <c r="AG969" s="7"/>
    </row>
    <row r="970" spans="32:33" ht="14" x14ac:dyDescent="0.2">
      <c r="AF970" s="1"/>
      <c r="AG970" s="7"/>
    </row>
    <row r="971" spans="32:33" ht="14" x14ac:dyDescent="0.2">
      <c r="AF971" s="1"/>
      <c r="AG971" s="7"/>
    </row>
    <row r="972" spans="32:33" ht="14" x14ac:dyDescent="0.2">
      <c r="AF972" s="1"/>
      <c r="AG972" s="7"/>
    </row>
    <row r="973" spans="32:33" ht="14" x14ac:dyDescent="0.2">
      <c r="AF973" s="1"/>
      <c r="AG973" s="7"/>
    </row>
    <row r="974" spans="32:33" ht="14" x14ac:dyDescent="0.2">
      <c r="AF974" s="1"/>
      <c r="AG974" s="7"/>
    </row>
    <row r="975" spans="32:33" ht="14" x14ac:dyDescent="0.2">
      <c r="AF975" s="1"/>
      <c r="AG975" s="7"/>
    </row>
    <row r="976" spans="32:33" ht="14" x14ac:dyDescent="0.2">
      <c r="AF976" s="1"/>
      <c r="AG976" s="7"/>
    </row>
    <row r="977" spans="32:33" ht="14" x14ac:dyDescent="0.2">
      <c r="AF977" s="1"/>
      <c r="AG977" s="7"/>
    </row>
    <row r="978" spans="32:33" ht="14" x14ac:dyDescent="0.2">
      <c r="AF978" s="1"/>
      <c r="AG978" s="7"/>
    </row>
    <row r="979" spans="32:33" ht="14" x14ac:dyDescent="0.2">
      <c r="AF979" s="1"/>
      <c r="AG979" s="7"/>
    </row>
    <row r="980" spans="32:33" ht="14" x14ac:dyDescent="0.2">
      <c r="AF980" s="1"/>
      <c r="AG980" s="7"/>
    </row>
    <row r="981" spans="32:33" ht="14" x14ac:dyDescent="0.2">
      <c r="AF981" s="1"/>
      <c r="AG981" s="7"/>
    </row>
    <row r="982" spans="32:33" ht="14" x14ac:dyDescent="0.2">
      <c r="AF982" s="1"/>
      <c r="AG982" s="7"/>
    </row>
    <row r="983" spans="32:33" ht="14" x14ac:dyDescent="0.2">
      <c r="AF983" s="1"/>
      <c r="AG983" s="7"/>
    </row>
    <row r="984" spans="32:33" ht="14" x14ac:dyDescent="0.2">
      <c r="AF984" s="1"/>
      <c r="AG984" s="7"/>
    </row>
    <row r="985" spans="32:33" ht="14" x14ac:dyDescent="0.2">
      <c r="AF985" s="1"/>
      <c r="AG985" s="7"/>
    </row>
    <row r="986" spans="32:33" ht="14" x14ac:dyDescent="0.2">
      <c r="AF986" s="1"/>
      <c r="AG986" s="7"/>
    </row>
    <row r="987" spans="32:33" ht="14" x14ac:dyDescent="0.2">
      <c r="AF987" s="1"/>
      <c r="AG987" s="7"/>
    </row>
    <row r="988" spans="32:33" ht="14" x14ac:dyDescent="0.2">
      <c r="AF988" s="1"/>
      <c r="AG988" s="7"/>
    </row>
    <row r="989" spans="32:33" ht="14" x14ac:dyDescent="0.2">
      <c r="AF989" s="1"/>
      <c r="AG989" s="7"/>
    </row>
    <row r="990" spans="32:33" ht="14" x14ac:dyDescent="0.2">
      <c r="AF990" s="1"/>
      <c r="AG990" s="7"/>
    </row>
    <row r="991" spans="32:33" ht="14" x14ac:dyDescent="0.2">
      <c r="AF991" s="1"/>
      <c r="AG991" s="7"/>
    </row>
    <row r="992" spans="32:33" ht="14" x14ac:dyDescent="0.2">
      <c r="AF992" s="1"/>
      <c r="AG992" s="7"/>
    </row>
    <row r="993" spans="32:33" ht="14" x14ac:dyDescent="0.2">
      <c r="AF993" s="1"/>
      <c r="AG993" s="7"/>
    </row>
    <row r="994" spans="32:33" ht="14" x14ac:dyDescent="0.2">
      <c r="AF994" s="1"/>
      <c r="AG994" s="7"/>
    </row>
    <row r="995" spans="32:33" ht="14" x14ac:dyDescent="0.2">
      <c r="AF995" s="1"/>
      <c r="AG995" s="7"/>
    </row>
    <row r="996" spans="32:33" ht="14" x14ac:dyDescent="0.2">
      <c r="AF996" s="1"/>
      <c r="AG996" s="7"/>
    </row>
    <row r="997" spans="32:33" ht="14" x14ac:dyDescent="0.2">
      <c r="AF997" s="1"/>
      <c r="AG997" s="7"/>
    </row>
    <row r="998" spans="32:33" ht="14" x14ac:dyDescent="0.2">
      <c r="AF998" s="1"/>
      <c r="AG998" s="7"/>
    </row>
    <row r="999" spans="32:33" ht="14" x14ac:dyDescent="0.2">
      <c r="AF999" s="1"/>
      <c r="AG999" s="7"/>
    </row>
    <row r="1000" spans="32:33" ht="14" x14ac:dyDescent="0.2">
      <c r="AF1000" s="1"/>
      <c r="AG1000" s="7"/>
    </row>
    <row r="1001" spans="32:33" ht="14" x14ac:dyDescent="0.2">
      <c r="AF1001" s="1"/>
      <c r="AG1001" s="7"/>
    </row>
    <row r="1002" spans="32:33" ht="14" x14ac:dyDescent="0.2">
      <c r="AF1002" s="1"/>
      <c r="AG1002" s="7"/>
    </row>
    <row r="1003" spans="32:33" ht="14" x14ac:dyDescent="0.2">
      <c r="AF1003" s="1"/>
      <c r="AG1003" s="7"/>
    </row>
    <row r="1004" spans="32:33" ht="14" x14ac:dyDescent="0.2">
      <c r="AF1004" s="1"/>
      <c r="AG1004" s="7"/>
    </row>
    <row r="1005" spans="32:33" ht="14" x14ac:dyDescent="0.2">
      <c r="AF1005" s="1"/>
      <c r="AG1005" s="7"/>
    </row>
    <row r="1006" spans="32:33" ht="14" x14ac:dyDescent="0.2">
      <c r="AF1006" s="1"/>
      <c r="AG1006" s="7"/>
    </row>
    <row r="1007" spans="32:33" ht="14" x14ac:dyDescent="0.2">
      <c r="AF1007" s="1"/>
      <c r="AG1007" s="7"/>
    </row>
  </sheetData>
  <conditionalFormatting sqref="B43">
    <cfRule type="cellIs" dxfId="17" priority="3" operator="greaterThanOrEqual">
      <formula>0</formula>
    </cfRule>
    <cfRule type="cellIs" dxfId="16" priority="4" operator="lessThanOrEqual">
      <formula>0</formula>
    </cfRule>
  </conditionalFormatting>
  <conditionalFormatting sqref="B2:E2 G2:O2 Q2:AE2 V4">
    <cfRule type="cellIs" dxfId="15" priority="7" operator="greaterThan">
      <formula>4200</formula>
    </cfRule>
  </conditionalFormatting>
  <conditionalFormatting sqref="B33:AF33 AJ33:BF33">
    <cfRule type="cellIs" dxfId="14" priority="1" operator="greaterThanOrEqual">
      <formula>0</formula>
    </cfRule>
    <cfRule type="cellIs" dxfId="13" priority="2" operator="lessThanOrEqual">
      <formula>0</formula>
    </cfRule>
  </conditionalFormatting>
  <conditionalFormatting sqref="AG33">
    <cfRule type="cellIs" dxfId="12" priority="5" operator="greaterThanOrEqual">
      <formula>1</formula>
    </cfRule>
    <cfRule type="cellIs" dxfId="11" priority="6" operator="lessThan">
      <formula>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outlinePr summaryBelow="0" summaryRight="0"/>
    <pageSetUpPr fitToPage="1"/>
  </sheetPr>
  <dimension ref="A1:BG10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796875" defaultRowHeight="15.75" customHeight="1" x14ac:dyDescent="0.2"/>
  <cols>
    <col min="1" max="1" width="21" customWidth="1"/>
    <col min="2" max="59" width="9" customWidth="1"/>
  </cols>
  <sheetData>
    <row r="1" spans="1:59" ht="15.75" customHeight="1" x14ac:dyDescent="0.2">
      <c r="A1" s="8" t="s">
        <v>127</v>
      </c>
      <c r="B1" s="64">
        <v>45992</v>
      </c>
      <c r="C1" s="64">
        <v>45993</v>
      </c>
      <c r="D1" s="64">
        <v>45994</v>
      </c>
      <c r="E1" s="64">
        <v>45995</v>
      </c>
      <c r="F1" s="64">
        <v>45996</v>
      </c>
      <c r="G1" s="64">
        <v>45997</v>
      </c>
      <c r="H1" s="64">
        <v>45998</v>
      </c>
      <c r="I1" s="85">
        <v>45999</v>
      </c>
      <c r="J1" s="64">
        <v>46000</v>
      </c>
      <c r="K1" s="64">
        <v>46001</v>
      </c>
      <c r="L1" s="64">
        <v>46002</v>
      </c>
      <c r="M1" s="64">
        <v>46003</v>
      </c>
      <c r="N1" s="64">
        <v>46004</v>
      </c>
      <c r="O1" s="64">
        <v>46005</v>
      </c>
      <c r="P1" s="64">
        <v>46006</v>
      </c>
      <c r="Q1" s="64">
        <v>46007</v>
      </c>
      <c r="R1" s="64">
        <v>46008</v>
      </c>
      <c r="S1" s="64">
        <v>46009</v>
      </c>
      <c r="T1" s="64">
        <v>46010</v>
      </c>
      <c r="U1" s="64">
        <v>46011</v>
      </c>
      <c r="V1" s="64">
        <v>46012</v>
      </c>
      <c r="W1" s="64">
        <v>46013</v>
      </c>
      <c r="X1" s="64">
        <v>46014</v>
      </c>
      <c r="Y1" s="64">
        <v>46015</v>
      </c>
      <c r="Z1" s="64">
        <v>46016</v>
      </c>
      <c r="AA1" s="64">
        <v>46017</v>
      </c>
      <c r="AB1" s="64">
        <v>46018</v>
      </c>
      <c r="AC1" s="64">
        <v>46019</v>
      </c>
      <c r="AD1" s="64">
        <v>46020</v>
      </c>
      <c r="AE1" s="64">
        <v>46021</v>
      </c>
      <c r="AF1" s="64">
        <v>46022</v>
      </c>
      <c r="AG1" s="22" t="s">
        <v>0</v>
      </c>
      <c r="AH1" s="22" t="s">
        <v>153</v>
      </c>
      <c r="AI1" s="8" t="s">
        <v>161</v>
      </c>
      <c r="AJ1" s="65"/>
      <c r="AK1" s="65"/>
      <c r="AL1" s="65"/>
      <c r="AM1" s="65"/>
      <c r="AN1" s="65"/>
      <c r="AO1" s="65"/>
      <c r="AP1" s="65"/>
      <c r="AQ1" s="65"/>
      <c r="AR1" s="65"/>
      <c r="AS1" s="65"/>
      <c r="AT1" s="65"/>
      <c r="AU1" s="65"/>
      <c r="AV1" s="65"/>
      <c r="AW1" s="65"/>
      <c r="AX1" s="65"/>
      <c r="AY1" s="65"/>
      <c r="AZ1" s="65"/>
      <c r="BA1" s="65"/>
      <c r="BB1" s="65"/>
      <c r="BC1" s="65"/>
      <c r="BD1" s="65"/>
      <c r="BE1" s="65"/>
      <c r="BF1" s="65"/>
      <c r="BG1" s="65"/>
    </row>
    <row r="2" spans="1:59" ht="15.75" customHeight="1" x14ac:dyDescent="0.2">
      <c r="A2" s="4" t="s">
        <v>162</v>
      </c>
      <c r="B2" s="66">
        <v>1700</v>
      </c>
      <c r="C2" s="66">
        <v>1700</v>
      </c>
      <c r="D2" s="66">
        <v>1700</v>
      </c>
      <c r="E2" s="66">
        <v>1700</v>
      </c>
      <c r="F2" s="66">
        <v>1700</v>
      </c>
      <c r="G2" s="66">
        <v>1700</v>
      </c>
      <c r="H2" s="66">
        <v>1700</v>
      </c>
      <c r="I2" s="69">
        <v>0</v>
      </c>
      <c r="J2" s="66">
        <v>1700</v>
      </c>
      <c r="K2" s="66">
        <v>1700</v>
      </c>
      <c r="L2" s="66">
        <v>1700</v>
      </c>
      <c r="M2" s="66">
        <v>1700</v>
      </c>
      <c r="N2" s="66">
        <v>1700</v>
      </c>
      <c r="O2" s="66">
        <v>1700</v>
      </c>
      <c r="P2" s="66">
        <v>0</v>
      </c>
      <c r="Q2" s="66">
        <v>1700</v>
      </c>
      <c r="R2" s="66">
        <v>1700</v>
      </c>
      <c r="S2" s="66">
        <v>1700</v>
      </c>
      <c r="T2" s="66">
        <v>1700</v>
      </c>
      <c r="U2" s="66">
        <v>1700</v>
      </c>
      <c r="V2" s="66">
        <v>1700</v>
      </c>
      <c r="W2" s="66">
        <v>1700</v>
      </c>
      <c r="X2" s="66">
        <v>1700</v>
      </c>
      <c r="Y2" s="66">
        <v>1700</v>
      </c>
      <c r="Z2" s="66">
        <v>1700</v>
      </c>
      <c r="AA2" s="66">
        <v>1700</v>
      </c>
      <c r="AB2" s="66">
        <v>1700</v>
      </c>
      <c r="AC2" s="66">
        <v>1700</v>
      </c>
      <c r="AD2" s="66">
        <v>1700</v>
      </c>
      <c r="AE2" s="66">
        <v>1700</v>
      </c>
      <c r="AF2" s="66">
        <v>1700</v>
      </c>
      <c r="AG2" s="56">
        <f t="shared" ref="AG2:AG4" si="0">SUM(B2:AF2)</f>
        <v>49300</v>
      </c>
      <c r="AH2" s="67">
        <f t="shared" ref="AH2:AH4" si="1">IFERROR(AVERAGE(B2:AF2),0)</f>
        <v>1590.3225806451612</v>
      </c>
      <c r="AI2" s="68">
        <f t="shared" ref="AI2:AI4" si="2">(AH2/$AH$29)*100</f>
        <v>16.341331636221405</v>
      </c>
      <c r="AJ2" s="14"/>
      <c r="AK2" s="14"/>
      <c r="AL2" s="14"/>
      <c r="AM2" s="14"/>
      <c r="AN2" s="14"/>
      <c r="AO2" s="14"/>
      <c r="AP2" s="14"/>
      <c r="AQ2" s="14"/>
      <c r="AR2" s="14"/>
      <c r="AS2" s="14"/>
      <c r="AT2" s="14"/>
      <c r="AU2" s="14"/>
      <c r="AV2" s="14"/>
      <c r="AW2" s="14"/>
      <c r="AX2" s="14"/>
      <c r="AY2" s="14"/>
      <c r="AZ2" s="14"/>
      <c r="BA2" s="14"/>
      <c r="BB2" s="14"/>
      <c r="BC2" s="14"/>
      <c r="BD2" s="14"/>
      <c r="BE2" s="14"/>
      <c r="BF2" s="14"/>
      <c r="BG2" s="14"/>
    </row>
    <row r="3" spans="1:59" ht="15.75" customHeight="1" x14ac:dyDescent="0.2">
      <c r="A3" s="4" t="s">
        <v>163</v>
      </c>
      <c r="B3" s="59">
        <f t="shared" ref="B3:H3" si="3">$B$39/$B$59</f>
        <v>2331.9655172413795</v>
      </c>
      <c r="C3" s="59">
        <f t="shared" si="3"/>
        <v>2331.9655172413795</v>
      </c>
      <c r="D3" s="59">
        <f t="shared" si="3"/>
        <v>2331.9655172413795</v>
      </c>
      <c r="E3" s="59">
        <f t="shared" si="3"/>
        <v>2331.9655172413795</v>
      </c>
      <c r="F3" s="59">
        <f t="shared" si="3"/>
        <v>2331.9655172413795</v>
      </c>
      <c r="G3" s="59">
        <f t="shared" si="3"/>
        <v>2331.9655172413795</v>
      </c>
      <c r="H3" s="59">
        <f t="shared" si="3"/>
        <v>2331.9655172413795</v>
      </c>
      <c r="I3" s="69">
        <v>0</v>
      </c>
      <c r="J3" s="59">
        <f t="shared" ref="J3:O3" si="4">$B$39/$B$59</f>
        <v>2331.9655172413795</v>
      </c>
      <c r="K3" s="59">
        <f t="shared" si="4"/>
        <v>2331.9655172413795</v>
      </c>
      <c r="L3" s="59">
        <f t="shared" si="4"/>
        <v>2331.9655172413795</v>
      </c>
      <c r="M3" s="59">
        <f t="shared" si="4"/>
        <v>2331.9655172413795</v>
      </c>
      <c r="N3" s="59">
        <f t="shared" si="4"/>
        <v>2331.9655172413795</v>
      </c>
      <c r="O3" s="59">
        <f t="shared" si="4"/>
        <v>2331.9655172413795</v>
      </c>
      <c r="P3" s="59">
        <v>0</v>
      </c>
      <c r="Q3" s="59">
        <f t="shared" ref="Q3:AF3" si="5">$B$39/$B$59</f>
        <v>2331.9655172413795</v>
      </c>
      <c r="R3" s="59">
        <f t="shared" si="5"/>
        <v>2331.9655172413795</v>
      </c>
      <c r="S3" s="59">
        <f t="shared" si="5"/>
        <v>2331.9655172413795</v>
      </c>
      <c r="T3" s="59">
        <f t="shared" si="5"/>
        <v>2331.9655172413795</v>
      </c>
      <c r="U3" s="59">
        <f t="shared" si="5"/>
        <v>2331.9655172413795</v>
      </c>
      <c r="V3" s="59">
        <f t="shared" si="5"/>
        <v>2331.9655172413795</v>
      </c>
      <c r="W3" s="59">
        <f t="shared" si="5"/>
        <v>2331.9655172413795</v>
      </c>
      <c r="X3" s="59">
        <f t="shared" si="5"/>
        <v>2331.9655172413795</v>
      </c>
      <c r="Y3" s="59">
        <f t="shared" si="5"/>
        <v>2331.9655172413795</v>
      </c>
      <c r="Z3" s="59">
        <f t="shared" si="5"/>
        <v>2331.9655172413795</v>
      </c>
      <c r="AA3" s="59">
        <f t="shared" si="5"/>
        <v>2331.9655172413795</v>
      </c>
      <c r="AB3" s="59">
        <f t="shared" si="5"/>
        <v>2331.9655172413795</v>
      </c>
      <c r="AC3" s="59">
        <f t="shared" si="5"/>
        <v>2331.9655172413795</v>
      </c>
      <c r="AD3" s="59">
        <f t="shared" si="5"/>
        <v>2331.9655172413795</v>
      </c>
      <c r="AE3" s="59">
        <f t="shared" si="5"/>
        <v>2331.9655172413795</v>
      </c>
      <c r="AF3" s="59">
        <f t="shared" si="5"/>
        <v>2331.9655172413795</v>
      </c>
      <c r="AG3" s="56">
        <f t="shared" si="0"/>
        <v>67626.999999999985</v>
      </c>
      <c r="AH3" s="67">
        <f t="shared" si="1"/>
        <v>2181.5161290322576</v>
      </c>
      <c r="AI3" s="68">
        <f t="shared" si="2"/>
        <v>22.416130518514091</v>
      </c>
      <c r="AJ3" s="14"/>
      <c r="AK3" s="14"/>
      <c r="AL3" s="14"/>
      <c r="AM3" s="14"/>
      <c r="AN3" s="14"/>
      <c r="AO3" s="14"/>
      <c r="AP3" s="14"/>
      <c r="AQ3" s="14"/>
      <c r="AR3" s="14"/>
      <c r="AS3" s="14"/>
      <c r="AT3" s="14"/>
      <c r="AU3" s="14"/>
      <c r="AV3" s="14"/>
      <c r="AW3" s="14"/>
      <c r="AX3" s="14"/>
      <c r="AY3" s="14"/>
      <c r="AZ3" s="14"/>
      <c r="BA3" s="14"/>
      <c r="BB3" s="14"/>
      <c r="BC3" s="14"/>
      <c r="BD3" s="14"/>
      <c r="BE3" s="14"/>
      <c r="BF3" s="14"/>
      <c r="BG3" s="14"/>
    </row>
    <row r="4" spans="1:59" ht="15.75" customHeight="1" x14ac:dyDescent="0.2">
      <c r="A4" s="4" t="s">
        <v>20</v>
      </c>
      <c r="B4" s="69">
        <f t="shared" ref="B4:H4" si="6">$B$42/$B$59</f>
        <v>2075.1724137931033</v>
      </c>
      <c r="C4" s="69">
        <f t="shared" si="6"/>
        <v>2075.1724137931033</v>
      </c>
      <c r="D4" s="69">
        <f t="shared" si="6"/>
        <v>2075.1724137931033</v>
      </c>
      <c r="E4" s="69">
        <f t="shared" si="6"/>
        <v>2075.1724137931033</v>
      </c>
      <c r="F4" s="69">
        <f t="shared" si="6"/>
        <v>2075.1724137931033</v>
      </c>
      <c r="G4" s="69">
        <f t="shared" si="6"/>
        <v>2075.1724137931033</v>
      </c>
      <c r="H4" s="69">
        <f t="shared" si="6"/>
        <v>2075.1724137931033</v>
      </c>
      <c r="I4" s="69">
        <v>0</v>
      </c>
      <c r="J4" s="69">
        <f t="shared" ref="J4:O4" si="7">$B$42/$B$59</f>
        <v>2075.1724137931033</v>
      </c>
      <c r="K4" s="69">
        <f t="shared" si="7"/>
        <v>2075.1724137931033</v>
      </c>
      <c r="L4" s="69">
        <f t="shared" si="7"/>
        <v>2075.1724137931033</v>
      </c>
      <c r="M4" s="69">
        <f t="shared" si="7"/>
        <v>2075.1724137931033</v>
      </c>
      <c r="N4" s="69">
        <f t="shared" si="7"/>
        <v>2075.1724137931033</v>
      </c>
      <c r="O4" s="69">
        <f t="shared" si="7"/>
        <v>2075.1724137931033</v>
      </c>
      <c r="P4" s="69">
        <v>0</v>
      </c>
      <c r="Q4" s="69">
        <f t="shared" ref="Q4:AF4" si="8">$B$42/$B$59</f>
        <v>2075.1724137931033</v>
      </c>
      <c r="R4" s="69">
        <f t="shared" si="8"/>
        <v>2075.1724137931033</v>
      </c>
      <c r="S4" s="69">
        <f t="shared" si="8"/>
        <v>2075.1724137931033</v>
      </c>
      <c r="T4" s="69">
        <f t="shared" si="8"/>
        <v>2075.1724137931033</v>
      </c>
      <c r="U4" s="69">
        <f t="shared" si="8"/>
        <v>2075.1724137931033</v>
      </c>
      <c r="V4" s="69">
        <f t="shared" si="8"/>
        <v>2075.1724137931033</v>
      </c>
      <c r="W4" s="69">
        <f t="shared" si="8"/>
        <v>2075.1724137931033</v>
      </c>
      <c r="X4" s="69">
        <f t="shared" si="8"/>
        <v>2075.1724137931033</v>
      </c>
      <c r="Y4" s="69">
        <f t="shared" si="8"/>
        <v>2075.1724137931033</v>
      </c>
      <c r="Z4" s="69">
        <f t="shared" si="8"/>
        <v>2075.1724137931033</v>
      </c>
      <c r="AA4" s="69">
        <f t="shared" si="8"/>
        <v>2075.1724137931033</v>
      </c>
      <c r="AB4" s="69">
        <f t="shared" si="8"/>
        <v>2075.1724137931033</v>
      </c>
      <c r="AC4" s="69">
        <f t="shared" si="8"/>
        <v>2075.1724137931033</v>
      </c>
      <c r="AD4" s="69">
        <f t="shared" si="8"/>
        <v>2075.1724137931033</v>
      </c>
      <c r="AE4" s="69">
        <f t="shared" si="8"/>
        <v>2075.1724137931033</v>
      </c>
      <c r="AF4" s="69">
        <f t="shared" si="8"/>
        <v>2075.1724137931033</v>
      </c>
      <c r="AG4" s="56">
        <f t="shared" si="0"/>
        <v>60179.999999999956</v>
      </c>
      <c r="AH4" s="67">
        <f t="shared" si="1"/>
        <v>1941.2903225806438</v>
      </c>
      <c r="AI4" s="68">
        <f t="shared" si="2"/>
        <v>19.94769448007715</v>
      </c>
      <c r="AJ4" s="14"/>
      <c r="AK4" s="14"/>
      <c r="AL4" s="14"/>
      <c r="AM4" s="14"/>
      <c r="AN4" s="14"/>
      <c r="AO4" s="14"/>
      <c r="AP4" s="14"/>
      <c r="AQ4" s="14"/>
      <c r="AR4" s="14"/>
      <c r="AS4" s="14"/>
      <c r="AT4" s="14"/>
      <c r="AU4" s="14"/>
      <c r="AV4" s="14"/>
      <c r="AW4" s="14"/>
      <c r="AX4" s="14"/>
      <c r="AY4" s="14"/>
      <c r="AZ4" s="14"/>
      <c r="BA4" s="14"/>
      <c r="BB4" s="14"/>
      <c r="BC4" s="14"/>
      <c r="BD4" s="14"/>
      <c r="BE4" s="14"/>
      <c r="BF4" s="14"/>
      <c r="BG4" s="14"/>
    </row>
    <row r="5" spans="1:59" ht="15.75" customHeight="1" x14ac:dyDescent="0.2">
      <c r="A5" s="52" t="s">
        <v>164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1"/>
      <c r="AH5" s="71"/>
      <c r="AI5" s="72"/>
      <c r="AJ5" s="14"/>
      <c r="AK5" s="14"/>
      <c r="AL5" s="14"/>
      <c r="AM5" s="14"/>
      <c r="AN5" s="14"/>
      <c r="AO5" s="14"/>
      <c r="AP5" s="14"/>
      <c r="AQ5" s="14"/>
      <c r="AR5" s="14"/>
      <c r="AS5" s="14"/>
      <c r="AT5" s="14"/>
      <c r="AU5" s="14"/>
      <c r="AV5" s="14"/>
      <c r="AW5" s="14"/>
      <c r="AX5" s="14"/>
      <c r="AY5" s="14"/>
      <c r="AZ5" s="14"/>
      <c r="BA5" s="14"/>
      <c r="BB5" s="14"/>
      <c r="BC5" s="14"/>
      <c r="BD5" s="14"/>
      <c r="BE5" s="14"/>
      <c r="BF5" s="14"/>
      <c r="BG5" s="14"/>
    </row>
    <row r="6" spans="1:59" ht="15.75" customHeight="1" x14ac:dyDescent="0.2">
      <c r="A6" s="4" t="s">
        <v>165</v>
      </c>
      <c r="B6" s="69">
        <v>1000</v>
      </c>
      <c r="C6" s="69">
        <v>2000</v>
      </c>
      <c r="D6" s="69">
        <v>2000</v>
      </c>
      <c r="E6" s="69">
        <v>0</v>
      </c>
      <c r="F6" s="69">
        <v>0</v>
      </c>
      <c r="G6" s="69">
        <v>3000</v>
      </c>
      <c r="H6" s="69">
        <v>2000</v>
      </c>
      <c r="I6" s="69">
        <v>0</v>
      </c>
      <c r="J6" s="69">
        <v>2000</v>
      </c>
      <c r="K6" s="69">
        <v>2000</v>
      </c>
      <c r="L6" s="69">
        <v>1500</v>
      </c>
      <c r="M6" s="69">
        <v>0</v>
      </c>
      <c r="N6" s="69">
        <v>3000</v>
      </c>
      <c r="O6" s="69">
        <v>1000</v>
      </c>
      <c r="P6" s="69">
        <v>0</v>
      </c>
      <c r="Q6" s="69">
        <v>1500</v>
      </c>
      <c r="R6" s="69">
        <v>1500</v>
      </c>
      <c r="S6" s="69">
        <v>2000</v>
      </c>
      <c r="T6" s="69">
        <v>1000</v>
      </c>
      <c r="U6" s="69">
        <v>2700</v>
      </c>
      <c r="V6" s="69">
        <v>3000</v>
      </c>
      <c r="W6" s="69">
        <v>3000</v>
      </c>
      <c r="X6" s="69">
        <v>0</v>
      </c>
      <c r="Y6" s="69">
        <v>4000</v>
      </c>
      <c r="Z6" s="69">
        <v>3400</v>
      </c>
      <c r="AA6" s="69">
        <v>2000</v>
      </c>
      <c r="AB6" s="69">
        <v>3000</v>
      </c>
      <c r="AC6" s="69">
        <v>3000</v>
      </c>
      <c r="AD6" s="69">
        <v>0</v>
      </c>
      <c r="AE6" s="69">
        <v>4000</v>
      </c>
      <c r="AF6" s="69">
        <v>4000</v>
      </c>
      <c r="AG6" s="56">
        <f t="shared" ref="AG6:AG8" si="9">SUM(B6:AF6)</f>
        <v>57600</v>
      </c>
      <c r="AH6" s="67">
        <f t="shared" ref="AH6:AH8" si="10">IFERROR(AVERAGE(B6:AF6),0)</f>
        <v>1858.0645161290322</v>
      </c>
      <c r="AI6" s="68">
        <f t="shared" ref="AI6:AI8" si="11">(AH6/$AH$29)*100</f>
        <v>19.092509173354014</v>
      </c>
      <c r="AJ6" s="14"/>
      <c r="AK6" s="14"/>
      <c r="AS6" s="14"/>
      <c r="AT6" s="14"/>
      <c r="AU6" s="14"/>
      <c r="AV6" s="14"/>
      <c r="AW6" s="14"/>
      <c r="AX6" s="14"/>
      <c r="AY6" s="14"/>
      <c r="AZ6" s="14"/>
      <c r="BA6" s="14"/>
      <c r="BB6" s="14"/>
      <c r="BC6" s="14"/>
      <c r="BD6" s="14"/>
      <c r="BE6" s="14"/>
      <c r="BF6" s="14"/>
      <c r="BG6" s="14"/>
    </row>
    <row r="7" spans="1:59" ht="15.75" customHeight="1" x14ac:dyDescent="0.2">
      <c r="A7" s="4" t="s">
        <v>166</v>
      </c>
      <c r="B7" s="69">
        <f t="shared" ref="B7:H7" si="12">$B$51/$B$59</f>
        <v>155.17241379310346</v>
      </c>
      <c r="C7" s="69">
        <f t="shared" si="12"/>
        <v>155.17241379310346</v>
      </c>
      <c r="D7" s="69">
        <f t="shared" si="12"/>
        <v>155.17241379310346</v>
      </c>
      <c r="E7" s="69">
        <f t="shared" si="12"/>
        <v>155.17241379310346</v>
      </c>
      <c r="F7" s="69">
        <f t="shared" si="12"/>
        <v>155.17241379310346</v>
      </c>
      <c r="G7" s="69">
        <f t="shared" si="12"/>
        <v>155.17241379310346</v>
      </c>
      <c r="H7" s="69">
        <f t="shared" si="12"/>
        <v>155.17241379310346</v>
      </c>
      <c r="I7" s="69">
        <v>0</v>
      </c>
      <c r="J7" s="69">
        <f t="shared" ref="J7:O7" si="13">$B$51/$B$59</f>
        <v>155.17241379310346</v>
      </c>
      <c r="K7" s="69">
        <f t="shared" si="13"/>
        <v>155.17241379310346</v>
      </c>
      <c r="L7" s="69">
        <f t="shared" si="13"/>
        <v>155.17241379310346</v>
      </c>
      <c r="M7" s="69">
        <f t="shared" si="13"/>
        <v>155.17241379310346</v>
      </c>
      <c r="N7" s="69">
        <f t="shared" si="13"/>
        <v>155.17241379310346</v>
      </c>
      <c r="O7" s="69">
        <f t="shared" si="13"/>
        <v>155.17241379310346</v>
      </c>
      <c r="P7" s="69">
        <v>0</v>
      </c>
      <c r="Q7" s="69">
        <f t="shared" ref="Q7:AF7" si="14">$B$51/$B$59</f>
        <v>155.17241379310346</v>
      </c>
      <c r="R7" s="69">
        <f t="shared" si="14"/>
        <v>155.17241379310346</v>
      </c>
      <c r="S7" s="69">
        <f t="shared" si="14"/>
        <v>155.17241379310346</v>
      </c>
      <c r="T7" s="69">
        <f t="shared" si="14"/>
        <v>155.17241379310346</v>
      </c>
      <c r="U7" s="69">
        <f t="shared" si="14"/>
        <v>155.17241379310346</v>
      </c>
      <c r="V7" s="69">
        <f t="shared" si="14"/>
        <v>155.17241379310346</v>
      </c>
      <c r="W7" s="69">
        <f t="shared" si="14"/>
        <v>155.17241379310346</v>
      </c>
      <c r="X7" s="69">
        <f t="shared" si="14"/>
        <v>155.17241379310346</v>
      </c>
      <c r="Y7" s="69">
        <f t="shared" si="14"/>
        <v>155.17241379310346</v>
      </c>
      <c r="Z7" s="69">
        <f t="shared" si="14"/>
        <v>155.17241379310346</v>
      </c>
      <c r="AA7" s="69">
        <f t="shared" si="14"/>
        <v>155.17241379310346</v>
      </c>
      <c r="AB7" s="69">
        <f t="shared" si="14"/>
        <v>155.17241379310346</v>
      </c>
      <c r="AC7" s="69">
        <f t="shared" si="14"/>
        <v>155.17241379310346</v>
      </c>
      <c r="AD7" s="69">
        <f t="shared" si="14"/>
        <v>155.17241379310346</v>
      </c>
      <c r="AE7" s="69">
        <f t="shared" si="14"/>
        <v>155.17241379310346</v>
      </c>
      <c r="AF7" s="69">
        <f t="shared" si="14"/>
        <v>155.17241379310346</v>
      </c>
      <c r="AG7" s="56">
        <f t="shared" si="9"/>
        <v>4499.9999999999973</v>
      </c>
      <c r="AH7" s="67">
        <f t="shared" si="10"/>
        <v>145.16129032258056</v>
      </c>
      <c r="AI7" s="68">
        <f t="shared" si="11"/>
        <v>1.4916022791682815</v>
      </c>
      <c r="AJ7" s="14"/>
      <c r="AK7" s="14"/>
      <c r="AS7" s="14"/>
      <c r="AT7" s="14"/>
      <c r="AU7" s="14"/>
      <c r="AV7" s="14"/>
      <c r="AW7" s="14"/>
      <c r="AX7" s="14"/>
      <c r="AY7" s="14"/>
      <c r="AZ7" s="14"/>
      <c r="BA7" s="14"/>
      <c r="BB7" s="14"/>
      <c r="BC7" s="14"/>
      <c r="BD7" s="14"/>
      <c r="BE7" s="14"/>
      <c r="BF7" s="14"/>
      <c r="BG7" s="14"/>
    </row>
    <row r="8" spans="1:59" ht="15.75" customHeight="1" x14ac:dyDescent="0.2">
      <c r="A8" s="4" t="s">
        <v>167</v>
      </c>
      <c r="B8" s="69">
        <f t="shared" ref="B8:H8" si="15">$B$52/$B$59</f>
        <v>275.86206896551727</v>
      </c>
      <c r="C8" s="69">
        <f t="shared" si="15"/>
        <v>275.86206896551727</v>
      </c>
      <c r="D8" s="69">
        <f t="shared" si="15"/>
        <v>275.86206896551727</v>
      </c>
      <c r="E8" s="69">
        <f t="shared" si="15"/>
        <v>275.86206896551727</v>
      </c>
      <c r="F8" s="69">
        <f t="shared" si="15"/>
        <v>275.86206896551727</v>
      </c>
      <c r="G8" s="69">
        <f t="shared" si="15"/>
        <v>275.86206896551727</v>
      </c>
      <c r="H8" s="69">
        <f t="shared" si="15"/>
        <v>275.86206896551727</v>
      </c>
      <c r="I8" s="69">
        <v>0</v>
      </c>
      <c r="J8" s="69">
        <f t="shared" ref="J8:O8" si="16">$B$52/$B$59</f>
        <v>275.86206896551727</v>
      </c>
      <c r="K8" s="69">
        <f t="shared" si="16"/>
        <v>275.86206896551727</v>
      </c>
      <c r="L8" s="69">
        <f t="shared" si="16"/>
        <v>275.86206896551727</v>
      </c>
      <c r="M8" s="69">
        <f t="shared" si="16"/>
        <v>275.86206896551727</v>
      </c>
      <c r="N8" s="69">
        <f t="shared" si="16"/>
        <v>275.86206896551727</v>
      </c>
      <c r="O8" s="69">
        <f t="shared" si="16"/>
        <v>275.86206896551727</v>
      </c>
      <c r="P8" s="69">
        <v>0</v>
      </c>
      <c r="Q8" s="69">
        <f t="shared" ref="Q8:AF8" si="17">$B$52/$B$59</f>
        <v>275.86206896551727</v>
      </c>
      <c r="R8" s="69">
        <f t="shared" si="17"/>
        <v>275.86206896551727</v>
      </c>
      <c r="S8" s="69">
        <f t="shared" si="17"/>
        <v>275.86206896551727</v>
      </c>
      <c r="T8" s="69">
        <f t="shared" si="17"/>
        <v>275.86206896551727</v>
      </c>
      <c r="U8" s="69">
        <f t="shared" si="17"/>
        <v>275.86206896551727</v>
      </c>
      <c r="V8" s="69">
        <f t="shared" si="17"/>
        <v>275.86206896551727</v>
      </c>
      <c r="W8" s="69">
        <f t="shared" si="17"/>
        <v>275.86206896551727</v>
      </c>
      <c r="X8" s="69">
        <f t="shared" si="17"/>
        <v>275.86206896551727</v>
      </c>
      <c r="Y8" s="69">
        <f t="shared" si="17"/>
        <v>275.86206896551727</v>
      </c>
      <c r="Z8" s="69">
        <f t="shared" si="17"/>
        <v>275.86206896551727</v>
      </c>
      <c r="AA8" s="69">
        <f t="shared" si="17"/>
        <v>275.86206896551727</v>
      </c>
      <c r="AB8" s="69">
        <f t="shared" si="17"/>
        <v>275.86206896551727</v>
      </c>
      <c r="AC8" s="69">
        <f t="shared" si="17"/>
        <v>275.86206896551727</v>
      </c>
      <c r="AD8" s="69">
        <f t="shared" si="17"/>
        <v>275.86206896551727</v>
      </c>
      <c r="AE8" s="69">
        <f t="shared" si="17"/>
        <v>275.86206896551727</v>
      </c>
      <c r="AF8" s="69">
        <f t="shared" si="17"/>
        <v>275.86206896551727</v>
      </c>
      <c r="AG8" s="56">
        <f t="shared" si="9"/>
        <v>8000</v>
      </c>
      <c r="AH8" s="67">
        <f t="shared" si="10"/>
        <v>258.06451612903226</v>
      </c>
      <c r="AI8" s="68">
        <f t="shared" si="11"/>
        <v>2.6517373851880577</v>
      </c>
      <c r="AJ8" s="14"/>
      <c r="AK8" s="14"/>
      <c r="AN8" s="74"/>
      <c r="AS8" s="14"/>
      <c r="AT8" s="14"/>
      <c r="AU8" s="14"/>
      <c r="AV8" s="14"/>
      <c r="AW8" s="14"/>
      <c r="AX8" s="14"/>
      <c r="AY8" s="14"/>
      <c r="AZ8" s="14"/>
      <c r="BA8" s="14"/>
      <c r="BB8" s="14"/>
      <c r="BC8" s="14"/>
      <c r="BD8" s="14"/>
      <c r="BE8" s="14"/>
      <c r="BF8" s="14"/>
      <c r="BG8" s="14"/>
    </row>
    <row r="9" spans="1:59" ht="15.75" customHeight="1" x14ac:dyDescent="0.2">
      <c r="A9" s="52" t="s">
        <v>168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1"/>
      <c r="AH9" s="71"/>
      <c r="AI9" s="72"/>
      <c r="AJ9" s="14"/>
      <c r="AK9" s="14"/>
      <c r="AN9" s="74"/>
      <c r="AS9" s="14"/>
      <c r="AT9" s="14"/>
      <c r="AU9" s="14"/>
      <c r="AV9" s="14"/>
      <c r="AW9" s="14"/>
      <c r="AX9" s="14"/>
      <c r="AY9" s="14"/>
      <c r="AZ9" s="14"/>
      <c r="BA9" s="14"/>
      <c r="BB9" s="14"/>
      <c r="BC9" s="14"/>
      <c r="BD9" s="14"/>
      <c r="BE9" s="14"/>
      <c r="BF9" s="14"/>
      <c r="BG9" s="14"/>
    </row>
    <row r="10" spans="1:59" ht="15.75" customHeight="1" x14ac:dyDescent="0.2">
      <c r="A10" s="4" t="s">
        <v>169</v>
      </c>
      <c r="B10" s="69">
        <f>25+25+44+100+40+50+120</f>
        <v>404</v>
      </c>
      <c r="C10" s="69">
        <f>40+20+40+100+40+30</f>
        <v>270</v>
      </c>
      <c r="D10" s="69">
        <f>25+25+45+100+40+30+200+20+50</f>
        <v>535</v>
      </c>
      <c r="E10" s="69">
        <f>50+100+50+120</f>
        <v>320</v>
      </c>
      <c r="F10" s="69">
        <f>25+25+50+100+40+30+50</f>
        <v>320</v>
      </c>
      <c r="G10" s="69">
        <f>40+25+40+100+40+30+50+100</f>
        <v>425</v>
      </c>
      <c r="H10" s="69">
        <f>25+25+100+30+20</f>
        <v>200</v>
      </c>
      <c r="I10" s="69">
        <v>0</v>
      </c>
      <c r="J10" s="69">
        <f>25+25+1330+40+50+240+90+100</f>
        <v>1900</v>
      </c>
      <c r="K10" s="69">
        <f>20+20+50+100+40+30+70+200</f>
        <v>530</v>
      </c>
      <c r="L10" s="69">
        <f>50+100+40+20+80+40</f>
        <v>330</v>
      </c>
      <c r="M10" s="69">
        <f>25+25+50+100+40+50+70</f>
        <v>360</v>
      </c>
      <c r="N10" s="69">
        <f>25+25+50+100+40+30+70+50</f>
        <v>390</v>
      </c>
      <c r="O10" s="69">
        <f>25+25+50+30+50</f>
        <v>180</v>
      </c>
      <c r="P10" s="69">
        <v>0</v>
      </c>
      <c r="Q10" s="69">
        <f>10+20+30+30+80</f>
        <v>170</v>
      </c>
      <c r="R10" s="69">
        <f>20+20+50+30+40+80+40+100</f>
        <v>380</v>
      </c>
      <c r="S10" s="69">
        <f>10+10+50+30+150+60</f>
        <v>310</v>
      </c>
      <c r="T10" s="69">
        <f>10+10+50+100+60+30+50</f>
        <v>310</v>
      </c>
      <c r="U10" s="69">
        <f>60+60+50+200+70+50+60+40+200</f>
        <v>790</v>
      </c>
      <c r="V10" s="69">
        <f>10+10+50+100+40</f>
        <v>210</v>
      </c>
      <c r="W10" s="69">
        <f>10+10+50+100+80+30+50+100</f>
        <v>430</v>
      </c>
      <c r="X10" s="69">
        <f>10+10+50+160+80+30+40+40</f>
        <v>420</v>
      </c>
      <c r="Y10" s="69">
        <f>10+10+50+100+80+30+40</f>
        <v>320</v>
      </c>
      <c r="Z10" s="69">
        <f>10+10+50+370+30+50+80+20</f>
        <v>620</v>
      </c>
      <c r="AA10" s="69">
        <f>20+20+50+180+30+50+40+90</f>
        <v>480</v>
      </c>
      <c r="AB10" s="69">
        <f>20+20+50+160+40</f>
        <v>290</v>
      </c>
      <c r="AC10" s="69">
        <f>10+10+50+180+30+50+40+80+60</f>
        <v>510</v>
      </c>
      <c r="AD10" s="69">
        <f>10+10+50+100+50+40+30+70+200</f>
        <v>560</v>
      </c>
      <c r="AE10" s="69">
        <f>20+20+50+20</f>
        <v>110</v>
      </c>
      <c r="AF10" s="69">
        <f>10+10+50+40+50+100+30</f>
        <v>290</v>
      </c>
      <c r="AG10" s="56">
        <f t="shared" ref="AG10:AG18" si="18">SUM(B10:AF10)</f>
        <v>12364</v>
      </c>
      <c r="AH10" s="67">
        <f t="shared" ref="AH10:AH18" si="19">IFERROR(AVERAGE(B10:AF10),0)</f>
        <v>398.83870967741933</v>
      </c>
      <c r="AI10" s="68">
        <f t="shared" ref="AI10:AI18" si="20">(AH10/$AH$29)*100</f>
        <v>4.0982601288081426</v>
      </c>
      <c r="AK10" s="14"/>
      <c r="AN10" s="74"/>
      <c r="AS10" s="14"/>
      <c r="AT10" s="14"/>
      <c r="AU10" s="14"/>
      <c r="AV10" s="14"/>
      <c r="AW10" s="14"/>
      <c r="AX10" s="14"/>
      <c r="AY10" s="14"/>
      <c r="AZ10" s="14"/>
      <c r="BA10" s="14"/>
      <c r="BB10" s="14"/>
      <c r="BC10" s="14"/>
      <c r="BD10" s="14"/>
      <c r="BE10" s="14"/>
      <c r="BF10" s="14"/>
      <c r="BG10" s="14"/>
    </row>
    <row r="11" spans="1:59" ht="15.75" customHeight="1" x14ac:dyDescent="0.2">
      <c r="A11" s="4" t="s">
        <v>170</v>
      </c>
      <c r="B11" s="69">
        <v>165</v>
      </c>
      <c r="C11" s="69">
        <v>165</v>
      </c>
      <c r="D11" s="69">
        <v>165</v>
      </c>
      <c r="E11" s="69">
        <v>165</v>
      </c>
      <c r="F11" s="69">
        <v>165</v>
      </c>
      <c r="G11" s="69">
        <v>165</v>
      </c>
      <c r="H11" s="69">
        <v>165</v>
      </c>
      <c r="I11" s="69">
        <v>0</v>
      </c>
      <c r="J11" s="69">
        <v>165</v>
      </c>
      <c r="K11" s="69">
        <v>165</v>
      </c>
      <c r="L11" s="69">
        <v>165</v>
      </c>
      <c r="M11" s="69">
        <v>165</v>
      </c>
      <c r="N11" s="69">
        <v>165</v>
      </c>
      <c r="O11" s="69">
        <v>165</v>
      </c>
      <c r="P11" s="69">
        <v>0</v>
      </c>
      <c r="Q11" s="69">
        <v>165</v>
      </c>
      <c r="R11" s="69">
        <v>165</v>
      </c>
      <c r="S11" s="69">
        <v>165</v>
      </c>
      <c r="T11" s="69">
        <v>165</v>
      </c>
      <c r="U11" s="69">
        <v>440</v>
      </c>
      <c r="V11" s="69">
        <v>110</v>
      </c>
      <c r="W11" s="69">
        <v>165</v>
      </c>
      <c r="X11" s="69">
        <v>165</v>
      </c>
      <c r="Y11" s="69">
        <v>165</v>
      </c>
      <c r="Z11" s="69">
        <v>165</v>
      </c>
      <c r="AA11" s="69">
        <v>165</v>
      </c>
      <c r="AB11" s="69">
        <v>165</v>
      </c>
      <c r="AC11" s="69">
        <v>275</v>
      </c>
      <c r="AD11" s="69">
        <v>165</v>
      </c>
      <c r="AE11" s="69">
        <v>165</v>
      </c>
      <c r="AF11" s="69">
        <v>165</v>
      </c>
      <c r="AG11" s="56">
        <f t="shared" si="18"/>
        <v>5115</v>
      </c>
      <c r="AH11" s="67">
        <f t="shared" si="19"/>
        <v>165</v>
      </c>
      <c r="AI11" s="68">
        <f t="shared" si="20"/>
        <v>1.6954545906546146</v>
      </c>
      <c r="AK11" s="14"/>
      <c r="AN11" s="74"/>
      <c r="AS11" s="14"/>
      <c r="AT11" s="14"/>
      <c r="AU11" s="14"/>
      <c r="AV11" s="14"/>
      <c r="AW11" s="14"/>
      <c r="AX11" s="14"/>
      <c r="AY11" s="14"/>
      <c r="AZ11" s="14"/>
      <c r="BA11" s="14"/>
      <c r="BB11" s="14"/>
      <c r="BC11" s="14"/>
      <c r="BD11" s="14"/>
      <c r="BE11" s="14"/>
      <c r="BF11" s="14"/>
      <c r="BG11" s="14"/>
    </row>
    <row r="12" spans="1:59" ht="15.75" customHeight="1" x14ac:dyDescent="0.2">
      <c r="A12" s="4" t="s">
        <v>171</v>
      </c>
      <c r="B12" s="69">
        <v>32</v>
      </c>
      <c r="C12" s="69">
        <v>32</v>
      </c>
      <c r="D12" s="69">
        <v>32</v>
      </c>
      <c r="E12" s="69">
        <v>32</v>
      </c>
      <c r="F12" s="69">
        <v>32</v>
      </c>
      <c r="G12" s="69">
        <v>32</v>
      </c>
      <c r="H12" s="69">
        <v>32</v>
      </c>
      <c r="I12" s="69">
        <v>0</v>
      </c>
      <c r="J12" s="69">
        <v>32</v>
      </c>
      <c r="K12" s="69">
        <v>32</v>
      </c>
      <c r="L12" s="69">
        <v>32</v>
      </c>
      <c r="M12" s="69">
        <v>32</v>
      </c>
      <c r="N12" s="69">
        <v>32</v>
      </c>
      <c r="O12" s="69">
        <v>32</v>
      </c>
      <c r="P12" s="69">
        <v>0</v>
      </c>
      <c r="Q12" s="69">
        <v>32</v>
      </c>
      <c r="R12" s="69">
        <v>32</v>
      </c>
      <c r="S12" s="69">
        <v>32</v>
      </c>
      <c r="T12" s="69">
        <v>32</v>
      </c>
      <c r="U12" s="69">
        <v>32</v>
      </c>
      <c r="V12" s="69">
        <v>32</v>
      </c>
      <c r="W12" s="69">
        <v>32</v>
      </c>
      <c r="X12" s="69">
        <v>32</v>
      </c>
      <c r="Y12" s="69">
        <v>32</v>
      </c>
      <c r="Z12" s="69">
        <v>32</v>
      </c>
      <c r="AA12" s="69">
        <v>32</v>
      </c>
      <c r="AB12" s="69">
        <v>32</v>
      </c>
      <c r="AC12" s="69">
        <v>32</v>
      </c>
      <c r="AD12" s="69">
        <v>31</v>
      </c>
      <c r="AE12" s="69">
        <v>32</v>
      </c>
      <c r="AF12" s="69">
        <v>32</v>
      </c>
      <c r="AG12" s="56">
        <f t="shared" si="18"/>
        <v>927</v>
      </c>
      <c r="AH12" s="67">
        <f t="shared" si="19"/>
        <v>29.903225806451612</v>
      </c>
      <c r="AI12" s="68">
        <f t="shared" si="20"/>
        <v>0.30727006950866614</v>
      </c>
      <c r="AK12" s="14"/>
      <c r="AN12" s="74"/>
      <c r="AS12" s="14"/>
      <c r="AT12" s="14"/>
      <c r="AU12" s="14"/>
      <c r="AV12" s="14"/>
      <c r="AW12" s="14"/>
      <c r="AX12" s="14"/>
      <c r="AY12" s="14"/>
      <c r="AZ12" s="14"/>
      <c r="BA12" s="14"/>
      <c r="BB12" s="14"/>
      <c r="BC12" s="14"/>
      <c r="BD12" s="14"/>
      <c r="BE12" s="14"/>
      <c r="BF12" s="14"/>
      <c r="BG12" s="14"/>
    </row>
    <row r="13" spans="1:59" ht="15.75" customHeight="1" x14ac:dyDescent="0.2">
      <c r="A13" s="4" t="s">
        <v>172</v>
      </c>
      <c r="B13" s="69">
        <v>0</v>
      </c>
      <c r="C13" s="69">
        <v>370</v>
      </c>
      <c r="D13" s="69">
        <v>0</v>
      </c>
      <c r="E13" s="69">
        <v>0</v>
      </c>
      <c r="F13" s="69">
        <v>0</v>
      </c>
      <c r="G13" s="69">
        <v>0</v>
      </c>
      <c r="H13" s="69">
        <v>370</v>
      </c>
      <c r="I13" s="69">
        <v>0</v>
      </c>
      <c r="J13" s="69">
        <v>370</v>
      </c>
      <c r="K13" s="69">
        <v>0</v>
      </c>
      <c r="L13" s="69">
        <v>0</v>
      </c>
      <c r="M13" s="69">
        <v>0</v>
      </c>
      <c r="N13" s="69">
        <v>0</v>
      </c>
      <c r="O13" s="69">
        <f>370+91</f>
        <v>461</v>
      </c>
      <c r="P13" s="69">
        <v>0</v>
      </c>
      <c r="Q13" s="69">
        <v>0</v>
      </c>
      <c r="R13" s="69">
        <v>0</v>
      </c>
      <c r="S13" s="69">
        <v>370</v>
      </c>
      <c r="T13" s="69">
        <v>0</v>
      </c>
      <c r="U13" s="69">
        <v>0</v>
      </c>
      <c r="V13" s="69">
        <v>0</v>
      </c>
      <c r="W13" s="69">
        <v>0</v>
      </c>
      <c r="X13" s="69">
        <v>370</v>
      </c>
      <c r="Y13" s="69">
        <v>0</v>
      </c>
      <c r="Z13" s="69">
        <v>0</v>
      </c>
      <c r="AA13" s="69">
        <v>370</v>
      </c>
      <c r="AB13" s="69">
        <v>0</v>
      </c>
      <c r="AC13" s="69">
        <v>0</v>
      </c>
      <c r="AD13" s="69">
        <v>0</v>
      </c>
      <c r="AE13" s="69">
        <v>0</v>
      </c>
      <c r="AF13" s="69">
        <v>370</v>
      </c>
      <c r="AG13" s="56">
        <f t="shared" si="18"/>
        <v>3051</v>
      </c>
      <c r="AH13" s="67">
        <f t="shared" si="19"/>
        <v>98.41935483870968</v>
      </c>
      <c r="AI13" s="68">
        <f t="shared" si="20"/>
        <v>1.0113063452760955</v>
      </c>
      <c r="AK13" s="14"/>
      <c r="AN13" s="74"/>
      <c r="AS13" s="14"/>
      <c r="AT13" s="14"/>
      <c r="AU13" s="14"/>
      <c r="AV13" s="14"/>
      <c r="AW13" s="14"/>
      <c r="AX13" s="14"/>
      <c r="AY13" s="14"/>
      <c r="AZ13" s="14"/>
      <c r="BA13" s="14"/>
      <c r="BB13" s="14"/>
      <c r="BC13" s="14"/>
      <c r="BD13" s="14"/>
      <c r="BE13" s="14"/>
      <c r="BF13" s="14"/>
      <c r="BG13" s="14"/>
    </row>
    <row r="14" spans="1:59" ht="15.75" customHeight="1" x14ac:dyDescent="0.2">
      <c r="A14" s="4" t="s">
        <v>173</v>
      </c>
      <c r="B14" s="69">
        <v>250</v>
      </c>
      <c r="C14" s="69">
        <v>0</v>
      </c>
      <c r="D14" s="69">
        <v>0</v>
      </c>
      <c r="E14" s="69">
        <v>250</v>
      </c>
      <c r="F14" s="69">
        <v>0</v>
      </c>
      <c r="G14" s="69">
        <v>0</v>
      </c>
      <c r="H14" s="69">
        <v>300</v>
      </c>
      <c r="I14" s="69">
        <v>0</v>
      </c>
      <c r="J14" s="69">
        <v>0</v>
      </c>
      <c r="K14" s="69">
        <v>0</v>
      </c>
      <c r="L14" s="69">
        <v>0</v>
      </c>
      <c r="M14" s="69">
        <v>250</v>
      </c>
      <c r="N14" s="69">
        <v>0</v>
      </c>
      <c r="O14" s="69">
        <v>0</v>
      </c>
      <c r="P14" s="69">
        <v>0</v>
      </c>
      <c r="Q14" s="69">
        <v>0</v>
      </c>
      <c r="R14" s="69">
        <v>0</v>
      </c>
      <c r="S14" s="69">
        <v>250</v>
      </c>
      <c r="T14" s="69">
        <v>250</v>
      </c>
      <c r="U14" s="69">
        <v>0</v>
      </c>
      <c r="V14" s="69">
        <v>250</v>
      </c>
      <c r="W14" s="69">
        <v>0</v>
      </c>
      <c r="X14" s="69">
        <v>0</v>
      </c>
      <c r="Y14" s="69">
        <v>250</v>
      </c>
      <c r="Z14" s="69">
        <v>0</v>
      </c>
      <c r="AA14" s="69">
        <v>0</v>
      </c>
      <c r="AB14" s="69">
        <v>0</v>
      </c>
      <c r="AC14" s="69">
        <v>250</v>
      </c>
      <c r="AD14" s="69">
        <v>250</v>
      </c>
      <c r="AE14" s="69">
        <v>0</v>
      </c>
      <c r="AF14" s="69">
        <v>0</v>
      </c>
      <c r="AG14" s="56">
        <f t="shared" si="18"/>
        <v>2550</v>
      </c>
      <c r="AH14" s="67">
        <f t="shared" si="19"/>
        <v>82.258064516129039</v>
      </c>
      <c r="AI14" s="68">
        <f t="shared" si="20"/>
        <v>0.84524129152869343</v>
      </c>
      <c r="AJ14" s="14"/>
      <c r="AK14" s="14"/>
      <c r="AS14" s="14"/>
      <c r="AT14" s="14"/>
      <c r="AU14" s="14"/>
      <c r="AV14" s="14"/>
      <c r="AW14" s="14"/>
      <c r="AX14" s="14"/>
      <c r="AY14" s="14"/>
      <c r="AZ14" s="14"/>
      <c r="BA14" s="14"/>
      <c r="BB14" s="14"/>
      <c r="BC14" s="14"/>
      <c r="BD14" s="14"/>
      <c r="BE14" s="14"/>
      <c r="BF14" s="14"/>
      <c r="BG14" s="14"/>
    </row>
    <row r="15" spans="1:59" ht="15.75" customHeight="1" x14ac:dyDescent="0.2">
      <c r="A15" s="4" t="s">
        <v>174</v>
      </c>
      <c r="B15" s="69">
        <v>0</v>
      </c>
      <c r="C15" s="69">
        <v>0</v>
      </c>
      <c r="D15" s="69">
        <v>0</v>
      </c>
      <c r="E15" s="69">
        <v>0</v>
      </c>
      <c r="F15" s="69">
        <v>0</v>
      </c>
      <c r="G15" s="69">
        <v>0</v>
      </c>
      <c r="H15" s="69">
        <v>0</v>
      </c>
      <c r="I15" s="69">
        <v>0</v>
      </c>
      <c r="J15" s="69">
        <v>0</v>
      </c>
      <c r="K15" s="69">
        <v>0</v>
      </c>
      <c r="L15" s="69">
        <v>0</v>
      </c>
      <c r="M15" s="69">
        <v>0</v>
      </c>
      <c r="N15" s="69">
        <v>0</v>
      </c>
      <c r="O15" s="69">
        <v>0</v>
      </c>
      <c r="P15" s="69">
        <v>0</v>
      </c>
      <c r="Q15" s="69">
        <v>0</v>
      </c>
      <c r="R15" s="69">
        <v>0</v>
      </c>
      <c r="S15" s="69">
        <v>0</v>
      </c>
      <c r="T15" s="69">
        <v>0</v>
      </c>
      <c r="U15" s="69">
        <v>170</v>
      </c>
      <c r="V15" s="69">
        <v>0</v>
      </c>
      <c r="W15" s="69">
        <v>140</v>
      </c>
      <c r="X15" s="69">
        <v>0</v>
      </c>
      <c r="Y15" s="69">
        <v>0</v>
      </c>
      <c r="Z15" s="69">
        <v>0</v>
      </c>
      <c r="AA15" s="69">
        <v>0</v>
      </c>
      <c r="AB15" s="69">
        <v>0</v>
      </c>
      <c r="AC15" s="69">
        <v>0</v>
      </c>
      <c r="AD15" s="69">
        <v>0</v>
      </c>
      <c r="AE15" s="69">
        <v>0</v>
      </c>
      <c r="AF15" s="69">
        <v>0</v>
      </c>
      <c r="AG15" s="56">
        <f t="shared" si="18"/>
        <v>310</v>
      </c>
      <c r="AH15" s="67">
        <f t="shared" si="19"/>
        <v>10</v>
      </c>
      <c r="AI15" s="68">
        <f t="shared" si="20"/>
        <v>0.10275482367603722</v>
      </c>
      <c r="AJ15" s="14"/>
      <c r="AK15" s="14"/>
      <c r="AS15" s="14"/>
      <c r="AT15" s="14"/>
      <c r="AU15" s="14"/>
      <c r="AV15" s="14"/>
      <c r="AW15" s="14"/>
      <c r="AX15" s="14"/>
      <c r="AY15" s="14"/>
      <c r="AZ15" s="14"/>
      <c r="BA15" s="14"/>
      <c r="BB15" s="14"/>
      <c r="BC15" s="14"/>
      <c r="BD15" s="14"/>
      <c r="BE15" s="14"/>
      <c r="BF15" s="14"/>
      <c r="BG15" s="14"/>
    </row>
    <row r="16" spans="1:59" ht="15.75" customHeight="1" x14ac:dyDescent="0.2">
      <c r="A16" s="4" t="s">
        <v>175</v>
      </c>
      <c r="B16" s="69">
        <v>0</v>
      </c>
      <c r="C16" s="69">
        <v>220</v>
      </c>
      <c r="D16" s="69">
        <v>0</v>
      </c>
      <c r="E16" s="69">
        <v>220</v>
      </c>
      <c r="F16" s="69">
        <v>0</v>
      </c>
      <c r="G16" s="69">
        <v>220</v>
      </c>
      <c r="H16" s="69">
        <v>0</v>
      </c>
      <c r="I16" s="69">
        <v>0</v>
      </c>
      <c r="J16" s="69">
        <v>220</v>
      </c>
      <c r="K16" s="69">
        <v>0</v>
      </c>
      <c r="L16" s="69">
        <v>0</v>
      </c>
      <c r="M16" s="69">
        <v>0</v>
      </c>
      <c r="N16" s="69">
        <v>220</v>
      </c>
      <c r="O16" s="69">
        <v>0</v>
      </c>
      <c r="P16" s="69">
        <v>0</v>
      </c>
      <c r="Q16" s="69">
        <v>230</v>
      </c>
      <c r="R16" s="69">
        <v>0</v>
      </c>
      <c r="S16" s="69">
        <v>0</v>
      </c>
      <c r="T16" s="69">
        <v>0</v>
      </c>
      <c r="U16" s="69">
        <v>220</v>
      </c>
      <c r="V16" s="69">
        <v>0</v>
      </c>
      <c r="W16" s="69">
        <v>230</v>
      </c>
      <c r="X16" s="69">
        <v>0</v>
      </c>
      <c r="Y16" s="69">
        <v>0</v>
      </c>
      <c r="Z16" s="69">
        <v>230</v>
      </c>
      <c r="AA16" s="69">
        <v>0</v>
      </c>
      <c r="AB16" s="69">
        <v>230</v>
      </c>
      <c r="AC16" s="69">
        <v>0</v>
      </c>
      <c r="AD16" s="69">
        <v>0</v>
      </c>
      <c r="AE16" s="69">
        <v>230</v>
      </c>
      <c r="AF16" s="69">
        <v>0</v>
      </c>
      <c r="AG16" s="56">
        <f t="shared" si="18"/>
        <v>2470</v>
      </c>
      <c r="AH16" s="67">
        <f t="shared" si="19"/>
        <v>79.677419354838705</v>
      </c>
      <c r="AI16" s="68">
        <f t="shared" si="20"/>
        <v>0.81872391767681263</v>
      </c>
      <c r="AJ16" s="14"/>
      <c r="AK16" s="14"/>
      <c r="AS16" s="14"/>
      <c r="AT16" s="14"/>
      <c r="AU16" s="14"/>
      <c r="AV16" s="14"/>
      <c r="AW16" s="14"/>
      <c r="AX16" s="14"/>
      <c r="AY16" s="14"/>
      <c r="AZ16" s="14"/>
      <c r="BA16" s="14"/>
      <c r="BB16" s="14"/>
      <c r="BC16" s="14"/>
      <c r="BD16" s="14"/>
      <c r="BE16" s="14"/>
      <c r="BF16" s="14"/>
      <c r="BG16" s="14"/>
    </row>
    <row r="17" spans="1:59" ht="15.75" customHeight="1" x14ac:dyDescent="0.2">
      <c r="A17" s="4" t="s">
        <v>176</v>
      </c>
      <c r="B17" s="69">
        <v>45</v>
      </c>
      <c r="C17" s="69">
        <v>0</v>
      </c>
      <c r="D17" s="69">
        <v>0</v>
      </c>
      <c r="E17" s="69">
        <v>0</v>
      </c>
      <c r="F17" s="69">
        <v>0</v>
      </c>
      <c r="G17" s="69">
        <v>0</v>
      </c>
      <c r="H17" s="69">
        <v>0</v>
      </c>
      <c r="I17" s="69">
        <v>0</v>
      </c>
      <c r="J17" s="69">
        <v>0</v>
      </c>
      <c r="K17" s="69">
        <v>660</v>
      </c>
      <c r="L17" s="69">
        <v>70</v>
      </c>
      <c r="M17" s="69">
        <v>0</v>
      </c>
      <c r="N17" s="69">
        <v>0</v>
      </c>
      <c r="O17" s="69">
        <v>0</v>
      </c>
      <c r="P17" s="69">
        <v>0</v>
      </c>
      <c r="Q17" s="69">
        <v>0</v>
      </c>
      <c r="R17" s="69">
        <v>0</v>
      </c>
      <c r="S17" s="69">
        <v>0</v>
      </c>
      <c r="T17" s="69">
        <v>0</v>
      </c>
      <c r="U17" s="69">
        <v>160</v>
      </c>
      <c r="V17" s="69">
        <v>0</v>
      </c>
      <c r="W17" s="69">
        <v>0</v>
      </c>
      <c r="X17" s="69">
        <v>0</v>
      </c>
      <c r="Y17" s="69">
        <v>0</v>
      </c>
      <c r="Z17" s="69">
        <v>160</v>
      </c>
      <c r="AA17" s="69">
        <v>220</v>
      </c>
      <c r="AB17" s="69">
        <f>80+110</f>
        <v>190</v>
      </c>
      <c r="AC17" s="69">
        <v>0</v>
      </c>
      <c r="AD17" s="69">
        <v>220</v>
      </c>
      <c r="AE17" s="69">
        <v>170</v>
      </c>
      <c r="AF17" s="69">
        <v>0</v>
      </c>
      <c r="AG17" s="56">
        <f t="shared" si="18"/>
        <v>1895</v>
      </c>
      <c r="AH17" s="67">
        <f t="shared" si="19"/>
        <v>61.12903225806452</v>
      </c>
      <c r="AI17" s="68">
        <f t="shared" si="20"/>
        <v>0.62813029311642121</v>
      </c>
      <c r="AJ17" s="14"/>
      <c r="AK17" s="14"/>
      <c r="AS17" s="14"/>
      <c r="AT17" s="14"/>
      <c r="AU17" s="14"/>
      <c r="AV17" s="14"/>
      <c r="AW17" s="14"/>
      <c r="AX17" s="14"/>
      <c r="AY17" s="14"/>
      <c r="AZ17" s="14"/>
      <c r="BA17" s="14"/>
      <c r="BB17" s="14"/>
      <c r="BC17" s="14"/>
      <c r="BD17" s="14"/>
      <c r="BE17" s="14"/>
      <c r="BF17" s="14"/>
      <c r="BG17" s="14"/>
    </row>
    <row r="18" spans="1:59" ht="15.75" customHeight="1" x14ac:dyDescent="0.2">
      <c r="A18" s="4" t="s">
        <v>177</v>
      </c>
      <c r="B18" s="69">
        <v>0</v>
      </c>
      <c r="C18" s="69">
        <v>0</v>
      </c>
      <c r="D18" s="69">
        <v>150</v>
      </c>
      <c r="E18" s="69">
        <v>0</v>
      </c>
      <c r="F18" s="69">
        <v>70</v>
      </c>
      <c r="G18" s="69">
        <v>0</v>
      </c>
      <c r="H18" s="69">
        <v>0</v>
      </c>
      <c r="I18" s="69">
        <v>0</v>
      </c>
      <c r="J18" s="69">
        <v>0</v>
      </c>
      <c r="K18" s="69">
        <v>280</v>
      </c>
      <c r="L18" s="69">
        <v>0</v>
      </c>
      <c r="M18" s="69">
        <v>0</v>
      </c>
      <c r="N18" s="69">
        <v>0</v>
      </c>
      <c r="O18" s="69">
        <v>0</v>
      </c>
      <c r="P18" s="69">
        <v>0</v>
      </c>
      <c r="Q18" s="69">
        <v>0</v>
      </c>
      <c r="R18" s="69">
        <v>0</v>
      </c>
      <c r="S18" s="69">
        <v>0</v>
      </c>
      <c r="T18" s="69">
        <v>100</v>
      </c>
      <c r="U18" s="69">
        <v>200</v>
      </c>
      <c r="V18" s="69">
        <v>0</v>
      </c>
      <c r="W18" s="69">
        <v>100</v>
      </c>
      <c r="X18" s="69">
        <v>0</v>
      </c>
      <c r="Y18" s="69">
        <v>0</v>
      </c>
      <c r="Z18" s="69">
        <v>0</v>
      </c>
      <c r="AA18" s="69">
        <v>0</v>
      </c>
      <c r="AB18" s="69">
        <v>0</v>
      </c>
      <c r="AC18" s="69">
        <v>0</v>
      </c>
      <c r="AD18" s="69">
        <v>0</v>
      </c>
      <c r="AE18" s="69">
        <v>0</v>
      </c>
      <c r="AF18" s="69">
        <v>90</v>
      </c>
      <c r="AG18" s="56">
        <f t="shared" si="18"/>
        <v>990</v>
      </c>
      <c r="AH18" s="67">
        <f t="shared" si="19"/>
        <v>31.93548387096774</v>
      </c>
      <c r="AI18" s="68">
        <f t="shared" si="20"/>
        <v>0.32815250141702212</v>
      </c>
      <c r="AJ18" s="14"/>
      <c r="AK18" s="14"/>
      <c r="AS18" s="14"/>
      <c r="AT18" s="14"/>
      <c r="AU18" s="14"/>
      <c r="AV18" s="14"/>
      <c r="AW18" s="14"/>
      <c r="AX18" s="14"/>
      <c r="AY18" s="14"/>
      <c r="AZ18" s="14"/>
      <c r="BA18" s="14"/>
      <c r="BB18" s="14"/>
      <c r="BC18" s="14"/>
      <c r="BD18" s="14"/>
      <c r="BE18" s="14"/>
      <c r="BF18" s="14"/>
      <c r="BG18" s="14"/>
    </row>
    <row r="19" spans="1:59" ht="15.75" customHeight="1" x14ac:dyDescent="0.2">
      <c r="A19" s="52" t="s">
        <v>178</v>
      </c>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1"/>
      <c r="AH19" s="71"/>
      <c r="AI19" s="72"/>
      <c r="AJ19" s="14"/>
      <c r="AK19" s="14"/>
      <c r="AS19" s="14"/>
      <c r="AT19" s="14"/>
      <c r="AU19" s="14"/>
      <c r="AV19" s="14"/>
      <c r="AW19" s="14"/>
      <c r="AX19" s="14"/>
      <c r="AY19" s="14"/>
      <c r="AZ19" s="14"/>
      <c r="BA19" s="14"/>
      <c r="BB19" s="14"/>
      <c r="BC19" s="14"/>
      <c r="BD19" s="14"/>
      <c r="BE19" s="14"/>
      <c r="BF19" s="14"/>
      <c r="BG19" s="14"/>
    </row>
    <row r="20" spans="1:59" ht="15.75" customHeight="1" x14ac:dyDescent="0.2">
      <c r="A20" s="4" t="s">
        <v>179</v>
      </c>
      <c r="B20" s="69">
        <f t="shared" ref="B20:H20" si="21">$B$53/$B$59</f>
        <v>520.68965517241384</v>
      </c>
      <c r="C20" s="69">
        <f t="shared" si="21"/>
        <v>520.68965517241384</v>
      </c>
      <c r="D20" s="69">
        <f t="shared" si="21"/>
        <v>520.68965517241384</v>
      </c>
      <c r="E20" s="69">
        <f t="shared" si="21"/>
        <v>520.68965517241384</v>
      </c>
      <c r="F20" s="69">
        <f t="shared" si="21"/>
        <v>520.68965517241384</v>
      </c>
      <c r="G20" s="69">
        <f t="shared" si="21"/>
        <v>520.68965517241384</v>
      </c>
      <c r="H20" s="69">
        <f t="shared" si="21"/>
        <v>520.68965517241384</v>
      </c>
      <c r="I20" s="69">
        <v>0</v>
      </c>
      <c r="J20" s="69">
        <f t="shared" ref="J20:O20" si="22">$B$53/$B$59</f>
        <v>520.68965517241384</v>
      </c>
      <c r="K20" s="69">
        <f t="shared" si="22"/>
        <v>520.68965517241384</v>
      </c>
      <c r="L20" s="69">
        <f t="shared" si="22"/>
        <v>520.68965517241384</v>
      </c>
      <c r="M20" s="69">
        <f t="shared" si="22"/>
        <v>520.68965517241384</v>
      </c>
      <c r="N20" s="69">
        <f t="shared" si="22"/>
        <v>520.68965517241384</v>
      </c>
      <c r="O20" s="69">
        <f t="shared" si="22"/>
        <v>520.68965517241384</v>
      </c>
      <c r="P20" s="69">
        <v>0</v>
      </c>
      <c r="Q20" s="69">
        <f t="shared" ref="Q20:AF20" si="23">$B$53/$B$59</f>
        <v>520.68965517241384</v>
      </c>
      <c r="R20" s="69">
        <f t="shared" si="23"/>
        <v>520.68965517241384</v>
      </c>
      <c r="S20" s="69">
        <f t="shared" si="23"/>
        <v>520.68965517241384</v>
      </c>
      <c r="T20" s="69">
        <f t="shared" si="23"/>
        <v>520.68965517241384</v>
      </c>
      <c r="U20" s="69">
        <f t="shared" si="23"/>
        <v>520.68965517241384</v>
      </c>
      <c r="V20" s="69">
        <f t="shared" si="23"/>
        <v>520.68965517241384</v>
      </c>
      <c r="W20" s="69">
        <f t="shared" si="23"/>
        <v>520.68965517241384</v>
      </c>
      <c r="X20" s="69">
        <f t="shared" si="23"/>
        <v>520.68965517241384</v>
      </c>
      <c r="Y20" s="69">
        <f t="shared" si="23"/>
        <v>520.68965517241384</v>
      </c>
      <c r="Z20" s="69">
        <f t="shared" si="23"/>
        <v>520.68965517241384</v>
      </c>
      <c r="AA20" s="69">
        <f t="shared" si="23"/>
        <v>520.68965517241384</v>
      </c>
      <c r="AB20" s="69">
        <f t="shared" si="23"/>
        <v>520.68965517241384</v>
      </c>
      <c r="AC20" s="69">
        <f t="shared" si="23"/>
        <v>520.68965517241384</v>
      </c>
      <c r="AD20" s="69">
        <f t="shared" si="23"/>
        <v>520.68965517241384</v>
      </c>
      <c r="AE20" s="69">
        <f t="shared" si="23"/>
        <v>520.68965517241384</v>
      </c>
      <c r="AF20" s="69">
        <f t="shared" si="23"/>
        <v>520.68965517241384</v>
      </c>
      <c r="AG20" s="56">
        <f t="shared" ref="AG20:AG22" si="24">SUM(B20:AF20)</f>
        <v>15099.999999999991</v>
      </c>
      <c r="AH20" s="67">
        <f t="shared" ref="AH20:AH22" si="25">IFERROR(AVERAGE(B20:AF20),0)</f>
        <v>487.09677419354807</v>
      </c>
      <c r="AI20" s="68">
        <f t="shared" ref="AI20:AI22" si="26">(AH20/$AH$29)*100</f>
        <v>5.0051543145424562</v>
      </c>
      <c r="AJ20" s="14"/>
      <c r="AK20" s="14"/>
      <c r="AS20" s="14"/>
      <c r="AT20" s="14"/>
      <c r="AU20" s="14"/>
      <c r="AV20" s="14"/>
      <c r="AW20" s="14"/>
      <c r="AX20" s="14"/>
      <c r="AY20" s="14"/>
      <c r="AZ20" s="14"/>
      <c r="BA20" s="14"/>
      <c r="BB20" s="14"/>
      <c r="BC20" s="14"/>
      <c r="BD20" s="14"/>
      <c r="BE20" s="14"/>
      <c r="BF20" s="14"/>
      <c r="BG20" s="14"/>
    </row>
    <row r="21" spans="1:59" ht="15.75" customHeight="1" x14ac:dyDescent="0.2">
      <c r="A21" s="4" t="s">
        <v>180</v>
      </c>
      <c r="B21" s="69">
        <f t="shared" ref="B21:H21" si="27">$B$54/$B$59</f>
        <v>0</v>
      </c>
      <c r="C21" s="69">
        <f t="shared" si="27"/>
        <v>0</v>
      </c>
      <c r="D21" s="69">
        <f t="shared" si="27"/>
        <v>0</v>
      </c>
      <c r="E21" s="69">
        <f t="shared" si="27"/>
        <v>0</v>
      </c>
      <c r="F21" s="69">
        <f t="shared" si="27"/>
        <v>0</v>
      </c>
      <c r="G21" s="69">
        <f t="shared" si="27"/>
        <v>0</v>
      </c>
      <c r="H21" s="69">
        <f t="shared" si="27"/>
        <v>0</v>
      </c>
      <c r="I21" s="69">
        <v>0</v>
      </c>
      <c r="J21" s="69">
        <f t="shared" ref="J21:O21" si="28">$B$54/$B$59</f>
        <v>0</v>
      </c>
      <c r="K21" s="69">
        <f t="shared" si="28"/>
        <v>0</v>
      </c>
      <c r="L21" s="69">
        <f t="shared" si="28"/>
        <v>0</v>
      </c>
      <c r="M21" s="69">
        <f t="shared" si="28"/>
        <v>0</v>
      </c>
      <c r="N21" s="69">
        <f t="shared" si="28"/>
        <v>0</v>
      </c>
      <c r="O21" s="69">
        <f t="shared" si="28"/>
        <v>0</v>
      </c>
      <c r="P21" s="69">
        <v>0</v>
      </c>
      <c r="Q21" s="69">
        <f t="shared" ref="Q21:AF21" si="29">$B$54/$B$59</f>
        <v>0</v>
      </c>
      <c r="R21" s="69">
        <f t="shared" si="29"/>
        <v>0</v>
      </c>
      <c r="S21" s="69">
        <f t="shared" si="29"/>
        <v>0</v>
      </c>
      <c r="T21" s="69">
        <f t="shared" si="29"/>
        <v>0</v>
      </c>
      <c r="U21" s="69">
        <f t="shared" si="29"/>
        <v>0</v>
      </c>
      <c r="V21" s="69">
        <f t="shared" si="29"/>
        <v>0</v>
      </c>
      <c r="W21" s="69">
        <f t="shared" si="29"/>
        <v>0</v>
      </c>
      <c r="X21" s="69">
        <f t="shared" si="29"/>
        <v>0</v>
      </c>
      <c r="Y21" s="69">
        <f t="shared" si="29"/>
        <v>0</v>
      </c>
      <c r="Z21" s="69">
        <f t="shared" si="29"/>
        <v>0</v>
      </c>
      <c r="AA21" s="69">
        <f t="shared" si="29"/>
        <v>0</v>
      </c>
      <c r="AB21" s="69">
        <f t="shared" si="29"/>
        <v>0</v>
      </c>
      <c r="AC21" s="69">
        <f t="shared" si="29"/>
        <v>0</v>
      </c>
      <c r="AD21" s="69">
        <f t="shared" si="29"/>
        <v>0</v>
      </c>
      <c r="AE21" s="69">
        <f t="shared" si="29"/>
        <v>0</v>
      </c>
      <c r="AF21" s="69">
        <f t="shared" si="29"/>
        <v>0</v>
      </c>
      <c r="AG21" s="56">
        <f t="shared" si="24"/>
        <v>0</v>
      </c>
      <c r="AH21" s="67">
        <f t="shared" si="25"/>
        <v>0</v>
      </c>
      <c r="AI21" s="68">
        <f t="shared" si="26"/>
        <v>0</v>
      </c>
      <c r="AJ21" s="14"/>
      <c r="AK21" s="14"/>
      <c r="AS21" s="14"/>
      <c r="AT21" s="14"/>
      <c r="AU21" s="14"/>
      <c r="AV21" s="14"/>
      <c r="AW21" s="14"/>
      <c r="AX21" s="14"/>
      <c r="AY21" s="14"/>
      <c r="AZ21" s="14"/>
      <c r="BA21" s="14"/>
      <c r="BB21" s="14"/>
      <c r="BC21" s="14"/>
      <c r="BD21" s="14"/>
      <c r="BE21" s="14"/>
      <c r="BF21" s="14"/>
      <c r="BG21" s="14"/>
    </row>
    <row r="22" spans="1:59" ht="15.75" customHeight="1" x14ac:dyDescent="0.2">
      <c r="A22" s="4" t="s">
        <v>181</v>
      </c>
      <c r="B22" s="69">
        <f t="shared" ref="B22:H22" si="30">$B$55/$B$59</f>
        <v>106.89655172413794</v>
      </c>
      <c r="C22" s="69">
        <f t="shared" si="30"/>
        <v>106.89655172413794</v>
      </c>
      <c r="D22" s="69">
        <f t="shared" si="30"/>
        <v>106.89655172413794</v>
      </c>
      <c r="E22" s="69">
        <f t="shared" si="30"/>
        <v>106.89655172413794</v>
      </c>
      <c r="F22" s="69">
        <f t="shared" si="30"/>
        <v>106.89655172413794</v>
      </c>
      <c r="G22" s="69">
        <f t="shared" si="30"/>
        <v>106.89655172413794</v>
      </c>
      <c r="H22" s="69">
        <f t="shared" si="30"/>
        <v>106.89655172413794</v>
      </c>
      <c r="I22" s="69">
        <v>0</v>
      </c>
      <c r="J22" s="69">
        <f t="shared" ref="J22:O22" si="31">$B$55/$B$59</f>
        <v>106.89655172413794</v>
      </c>
      <c r="K22" s="69">
        <f t="shared" si="31"/>
        <v>106.89655172413794</v>
      </c>
      <c r="L22" s="69">
        <f t="shared" si="31"/>
        <v>106.89655172413794</v>
      </c>
      <c r="M22" s="69">
        <f t="shared" si="31"/>
        <v>106.89655172413794</v>
      </c>
      <c r="N22" s="69">
        <f t="shared" si="31"/>
        <v>106.89655172413794</v>
      </c>
      <c r="O22" s="69">
        <f t="shared" si="31"/>
        <v>106.89655172413794</v>
      </c>
      <c r="P22" s="69">
        <v>0</v>
      </c>
      <c r="Q22" s="69">
        <f t="shared" ref="Q22:AF22" si="32">$B$55/$B$59</f>
        <v>106.89655172413794</v>
      </c>
      <c r="R22" s="69">
        <f t="shared" si="32"/>
        <v>106.89655172413794</v>
      </c>
      <c r="S22" s="69">
        <f t="shared" si="32"/>
        <v>106.89655172413794</v>
      </c>
      <c r="T22" s="69">
        <f t="shared" si="32"/>
        <v>106.89655172413794</v>
      </c>
      <c r="U22" s="69">
        <f t="shared" si="32"/>
        <v>106.89655172413794</v>
      </c>
      <c r="V22" s="69">
        <f t="shared" si="32"/>
        <v>106.89655172413794</v>
      </c>
      <c r="W22" s="69">
        <f t="shared" si="32"/>
        <v>106.89655172413794</v>
      </c>
      <c r="X22" s="69">
        <f t="shared" si="32"/>
        <v>106.89655172413794</v>
      </c>
      <c r="Y22" s="69">
        <f t="shared" si="32"/>
        <v>106.89655172413794</v>
      </c>
      <c r="Z22" s="69">
        <f t="shared" si="32"/>
        <v>106.89655172413794</v>
      </c>
      <c r="AA22" s="69">
        <f t="shared" si="32"/>
        <v>106.89655172413794</v>
      </c>
      <c r="AB22" s="69">
        <f t="shared" si="32"/>
        <v>106.89655172413794</v>
      </c>
      <c r="AC22" s="69">
        <f t="shared" si="32"/>
        <v>106.89655172413794</v>
      </c>
      <c r="AD22" s="69">
        <f t="shared" si="32"/>
        <v>106.89655172413794</v>
      </c>
      <c r="AE22" s="69">
        <f t="shared" si="32"/>
        <v>106.89655172413794</v>
      </c>
      <c r="AF22" s="69">
        <f t="shared" si="32"/>
        <v>106.89655172413794</v>
      </c>
      <c r="AG22" s="56">
        <f t="shared" si="24"/>
        <v>3100.0000000000018</v>
      </c>
      <c r="AH22" s="67">
        <f t="shared" si="25"/>
        <v>100.00000000000006</v>
      </c>
      <c r="AI22" s="68">
        <f t="shared" si="26"/>
        <v>1.027548236760373</v>
      </c>
      <c r="AJ22" s="14"/>
      <c r="AK22" s="14"/>
      <c r="AS22" s="14"/>
      <c r="AT22" s="14"/>
      <c r="AU22" s="14"/>
      <c r="AV22" s="14"/>
      <c r="AW22" s="14"/>
      <c r="AX22" s="14"/>
      <c r="AY22" s="14"/>
      <c r="AZ22" s="14"/>
      <c r="BA22" s="14"/>
      <c r="BB22" s="14"/>
      <c r="BC22" s="14"/>
      <c r="BD22" s="14"/>
      <c r="BE22" s="14"/>
      <c r="BF22" s="14"/>
      <c r="BG22" s="14"/>
    </row>
    <row r="23" spans="1:59" ht="15.75" customHeight="1" x14ac:dyDescent="0.2">
      <c r="A23" s="52" t="s">
        <v>182</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1"/>
      <c r="AH23" s="71"/>
      <c r="AI23" s="72"/>
      <c r="AJ23" s="14"/>
      <c r="AK23" s="14"/>
      <c r="AS23" s="14"/>
      <c r="AT23" s="14"/>
      <c r="AU23" s="14"/>
      <c r="AV23" s="14"/>
      <c r="AW23" s="14"/>
      <c r="AX23" s="14"/>
      <c r="AY23" s="14"/>
      <c r="AZ23" s="14"/>
      <c r="BA23" s="14"/>
      <c r="BB23" s="14"/>
      <c r="BC23" s="14"/>
      <c r="BD23" s="14"/>
      <c r="BE23" s="14"/>
      <c r="BF23" s="14"/>
      <c r="BG23" s="14"/>
    </row>
    <row r="24" spans="1:59" ht="15.75" customHeight="1" x14ac:dyDescent="0.2">
      <c r="A24" s="4" t="s">
        <v>183</v>
      </c>
      <c r="B24" s="69">
        <v>0</v>
      </c>
      <c r="C24" s="69">
        <v>0</v>
      </c>
      <c r="D24" s="69">
        <v>0</v>
      </c>
      <c r="E24" s="69">
        <v>0</v>
      </c>
      <c r="F24" s="69">
        <v>0</v>
      </c>
      <c r="G24" s="69">
        <v>0</v>
      </c>
      <c r="H24" s="69">
        <v>0</v>
      </c>
      <c r="I24" s="69">
        <v>0</v>
      </c>
      <c r="J24" s="69">
        <v>0</v>
      </c>
      <c r="K24" s="69">
        <v>0</v>
      </c>
      <c r="L24" s="69">
        <v>0</v>
      </c>
      <c r="M24" s="69">
        <v>0</v>
      </c>
      <c r="N24" s="69">
        <v>0</v>
      </c>
      <c r="O24" s="69">
        <v>0</v>
      </c>
      <c r="P24" s="69">
        <v>0</v>
      </c>
      <c r="Q24" s="69">
        <v>0</v>
      </c>
      <c r="R24" s="69">
        <v>190</v>
      </c>
      <c r="S24" s="69">
        <v>0</v>
      </c>
      <c r="T24" s="69">
        <v>0</v>
      </c>
      <c r="U24" s="69">
        <v>0</v>
      </c>
      <c r="V24" s="69">
        <v>600</v>
      </c>
      <c r="W24" s="69">
        <v>0</v>
      </c>
      <c r="X24" s="69">
        <v>0</v>
      </c>
      <c r="Y24" s="69">
        <v>0</v>
      </c>
      <c r="Z24" s="69">
        <v>0</v>
      </c>
      <c r="AA24" s="69">
        <v>0</v>
      </c>
      <c r="AB24" s="69">
        <v>0</v>
      </c>
      <c r="AC24" s="69">
        <v>0</v>
      </c>
      <c r="AD24" s="69">
        <v>0</v>
      </c>
      <c r="AE24" s="69">
        <v>0</v>
      </c>
      <c r="AF24" s="69">
        <v>0</v>
      </c>
      <c r="AG24" s="56">
        <f t="shared" ref="AG24:AG28" si="33">SUM(B24:AF24)</f>
        <v>790</v>
      </c>
      <c r="AH24" s="67">
        <f t="shared" ref="AH24:AH28" si="34">IFERROR(AVERAGE(B24:AF24),0)</f>
        <v>25.483870967741936</v>
      </c>
      <c r="AI24" s="68">
        <f t="shared" ref="AI24:AI28" si="35">(AH24/$AH$29)*100</f>
        <v>0.26185906678732068</v>
      </c>
      <c r="AJ24" s="14"/>
      <c r="AK24" s="14"/>
      <c r="AS24" s="14"/>
      <c r="AT24" s="14"/>
      <c r="AU24" s="14"/>
      <c r="AV24" s="14"/>
      <c r="AW24" s="14"/>
      <c r="AX24" s="14"/>
      <c r="AY24" s="14"/>
      <c r="AZ24" s="14"/>
      <c r="BA24" s="14"/>
      <c r="BB24" s="14"/>
      <c r="BC24" s="14"/>
      <c r="BD24" s="14"/>
      <c r="BE24" s="14"/>
      <c r="BF24" s="14"/>
      <c r="BG24" s="14"/>
    </row>
    <row r="25" spans="1:59" ht="15.75" customHeight="1" x14ac:dyDescent="0.2">
      <c r="A25" s="4" t="s">
        <v>184</v>
      </c>
      <c r="B25" s="69">
        <v>0</v>
      </c>
      <c r="C25" s="69">
        <v>0</v>
      </c>
      <c r="D25" s="69">
        <v>0</v>
      </c>
      <c r="E25" s="69">
        <v>0</v>
      </c>
      <c r="F25" s="69">
        <v>0</v>
      </c>
      <c r="G25" s="69">
        <v>0</v>
      </c>
      <c r="H25" s="69">
        <v>0</v>
      </c>
      <c r="I25" s="69">
        <v>0</v>
      </c>
      <c r="J25" s="69">
        <v>0</v>
      </c>
      <c r="K25" s="69">
        <v>0</v>
      </c>
      <c r="L25" s="69">
        <v>0</v>
      </c>
      <c r="M25" s="69">
        <v>0</v>
      </c>
      <c r="N25" s="69">
        <v>0</v>
      </c>
      <c r="O25" s="69">
        <v>0</v>
      </c>
      <c r="P25" s="69">
        <v>0</v>
      </c>
      <c r="Q25" s="69">
        <v>1000</v>
      </c>
      <c r="R25" s="69">
        <v>0</v>
      </c>
      <c r="S25" s="69">
        <v>0</v>
      </c>
      <c r="T25" s="69">
        <v>0</v>
      </c>
      <c r="U25" s="69">
        <v>0</v>
      </c>
      <c r="V25" s="69">
        <v>0</v>
      </c>
      <c r="W25" s="69">
        <v>700</v>
      </c>
      <c r="X25" s="69">
        <v>0</v>
      </c>
      <c r="Y25" s="69">
        <v>0</v>
      </c>
      <c r="Z25" s="69">
        <v>0</v>
      </c>
      <c r="AA25" s="69">
        <v>0</v>
      </c>
      <c r="AB25" s="69">
        <v>0</v>
      </c>
      <c r="AC25" s="69">
        <v>0</v>
      </c>
      <c r="AD25" s="69">
        <v>0</v>
      </c>
      <c r="AE25" s="69">
        <v>0</v>
      </c>
      <c r="AF25" s="69">
        <v>0</v>
      </c>
      <c r="AG25" s="56">
        <f t="shared" si="33"/>
        <v>1700</v>
      </c>
      <c r="AH25" s="67">
        <f t="shared" si="34"/>
        <v>54.838709677419352</v>
      </c>
      <c r="AI25" s="68">
        <f t="shared" si="35"/>
        <v>0.56349419435246217</v>
      </c>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row>
    <row r="26" spans="1:59" ht="15.75" customHeight="1" x14ac:dyDescent="0.2">
      <c r="A26" s="4" t="s">
        <v>185</v>
      </c>
      <c r="B26" s="69">
        <v>1500</v>
      </c>
      <c r="C26" s="69">
        <v>120</v>
      </c>
      <c r="D26" s="69">
        <v>0</v>
      </c>
      <c r="E26" s="69">
        <v>0</v>
      </c>
      <c r="F26" s="69">
        <v>0</v>
      </c>
      <c r="G26" s="69">
        <v>0</v>
      </c>
      <c r="H26" s="69">
        <v>150</v>
      </c>
      <c r="I26" s="69">
        <v>0</v>
      </c>
      <c r="J26" s="69">
        <v>220</v>
      </c>
      <c r="K26" s="69">
        <v>250</v>
      </c>
      <c r="L26" s="69">
        <v>0</v>
      </c>
      <c r="M26" s="69">
        <v>0</v>
      </c>
      <c r="N26" s="69">
        <v>0</v>
      </c>
      <c r="O26" s="69">
        <v>0</v>
      </c>
      <c r="P26" s="69">
        <v>0</v>
      </c>
      <c r="Q26" s="69">
        <v>220</v>
      </c>
      <c r="R26" s="69">
        <v>0</v>
      </c>
      <c r="S26" s="69">
        <v>0</v>
      </c>
      <c r="T26" s="69">
        <v>0</v>
      </c>
      <c r="U26" s="69">
        <v>0</v>
      </c>
      <c r="V26" s="69">
        <v>40</v>
      </c>
      <c r="W26" s="69">
        <v>0</v>
      </c>
      <c r="X26" s="69">
        <v>0</v>
      </c>
      <c r="Y26" s="69">
        <v>220</v>
      </c>
      <c r="Z26" s="69">
        <v>0</v>
      </c>
      <c r="AA26" s="69">
        <v>1200</v>
      </c>
      <c r="AB26" s="69">
        <v>0</v>
      </c>
      <c r="AC26" s="69">
        <v>0</v>
      </c>
      <c r="AD26" s="69">
        <v>0</v>
      </c>
      <c r="AE26" s="69">
        <v>0</v>
      </c>
      <c r="AF26" s="69">
        <v>100</v>
      </c>
      <c r="AG26" s="56">
        <f t="shared" si="33"/>
        <v>4020</v>
      </c>
      <c r="AH26" s="67">
        <f t="shared" si="34"/>
        <v>129.67741935483872</v>
      </c>
      <c r="AI26" s="68">
        <f t="shared" si="35"/>
        <v>1.3324980360569991</v>
      </c>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row>
    <row r="27" spans="1:59" ht="15.75" customHeight="1" x14ac:dyDescent="0.2">
      <c r="A27" s="4" t="s">
        <v>186</v>
      </c>
      <c r="B27" s="69">
        <v>0</v>
      </c>
      <c r="C27" s="69">
        <v>0</v>
      </c>
      <c r="D27" s="69">
        <v>0</v>
      </c>
      <c r="E27" s="69">
        <v>0</v>
      </c>
      <c r="F27" s="69">
        <v>0</v>
      </c>
      <c r="G27" s="69">
        <v>0</v>
      </c>
      <c r="H27" s="69">
        <v>0</v>
      </c>
      <c r="I27" s="69">
        <v>0</v>
      </c>
      <c r="J27" s="69">
        <v>0</v>
      </c>
      <c r="K27" s="69">
        <v>0</v>
      </c>
      <c r="L27" s="69">
        <v>0</v>
      </c>
      <c r="M27" s="69">
        <v>0</v>
      </c>
      <c r="N27" s="69">
        <v>0</v>
      </c>
      <c r="O27" s="69">
        <v>0</v>
      </c>
      <c r="P27" s="69">
        <v>0</v>
      </c>
      <c r="Q27" s="69">
        <v>0</v>
      </c>
      <c r="R27" s="69">
        <v>0</v>
      </c>
      <c r="S27" s="69">
        <v>0</v>
      </c>
      <c r="T27" s="69">
        <v>0</v>
      </c>
      <c r="U27" s="69">
        <v>0</v>
      </c>
      <c r="V27" s="69">
        <v>0</v>
      </c>
      <c r="W27" s="69">
        <v>0</v>
      </c>
      <c r="X27" s="69">
        <v>0</v>
      </c>
      <c r="Y27" s="69">
        <v>0</v>
      </c>
      <c r="Z27" s="69">
        <v>0</v>
      </c>
      <c r="AA27" s="69">
        <v>0</v>
      </c>
      <c r="AB27" s="69">
        <v>0</v>
      </c>
      <c r="AC27" s="69">
        <v>0</v>
      </c>
      <c r="AD27" s="69">
        <v>0</v>
      </c>
      <c r="AE27" s="69">
        <v>0</v>
      </c>
      <c r="AF27" s="69">
        <v>100</v>
      </c>
      <c r="AG27" s="56">
        <f t="shared" si="33"/>
        <v>100</v>
      </c>
      <c r="AH27" s="67">
        <f t="shared" si="34"/>
        <v>3.225806451612903</v>
      </c>
      <c r="AI27" s="68">
        <f t="shared" si="35"/>
        <v>3.3146717314850721E-2</v>
      </c>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row>
    <row r="28" spans="1:59" ht="15.75" customHeight="1" x14ac:dyDescent="0.2">
      <c r="A28" s="4" t="s">
        <v>187</v>
      </c>
      <c r="B28" s="69">
        <v>0</v>
      </c>
      <c r="C28" s="69">
        <v>0</v>
      </c>
      <c r="D28" s="69">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69">
        <v>0</v>
      </c>
      <c r="V28" s="69">
        <v>0</v>
      </c>
      <c r="W28" s="69">
        <v>0</v>
      </c>
      <c r="X28" s="69">
        <v>0</v>
      </c>
      <c r="Y28" s="69">
        <v>0</v>
      </c>
      <c r="Z28" s="69">
        <v>0</v>
      </c>
      <c r="AA28" s="69">
        <v>0</v>
      </c>
      <c r="AB28" s="69">
        <v>0</v>
      </c>
      <c r="AC28" s="69">
        <v>0</v>
      </c>
      <c r="AD28" s="69">
        <v>0</v>
      </c>
      <c r="AE28" s="69">
        <v>0</v>
      </c>
      <c r="AF28" s="69">
        <v>0</v>
      </c>
      <c r="AG28" s="56">
        <f t="shared" si="33"/>
        <v>0</v>
      </c>
      <c r="AH28" s="67">
        <f t="shared" si="34"/>
        <v>0</v>
      </c>
      <c r="AI28" s="68">
        <f t="shared" si="35"/>
        <v>0</v>
      </c>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row>
    <row r="29" spans="1:59" ht="15.75" customHeight="1" x14ac:dyDescent="0.2">
      <c r="A29" s="10" t="s">
        <v>0</v>
      </c>
      <c r="B29" s="76">
        <f t="shared" ref="B29:AG29" si="36">SUM(B2:B28)</f>
        <v>10561.758620689654</v>
      </c>
      <c r="C29" s="76">
        <f t="shared" si="36"/>
        <v>10342.758620689656</v>
      </c>
      <c r="D29" s="76">
        <f t="shared" si="36"/>
        <v>10047.758620689656</v>
      </c>
      <c r="E29" s="76">
        <f t="shared" si="36"/>
        <v>8152.7586206896549</v>
      </c>
      <c r="F29" s="76">
        <f t="shared" si="36"/>
        <v>7752.7586206896549</v>
      </c>
      <c r="G29" s="76">
        <f t="shared" si="36"/>
        <v>11007.758620689654</v>
      </c>
      <c r="H29" s="76">
        <f t="shared" si="36"/>
        <v>10382.758620689656</v>
      </c>
      <c r="I29" s="76">
        <f t="shared" si="36"/>
        <v>0</v>
      </c>
      <c r="J29" s="76">
        <f t="shared" si="36"/>
        <v>12072.758620689656</v>
      </c>
      <c r="K29" s="76">
        <f t="shared" si="36"/>
        <v>11082.758620689656</v>
      </c>
      <c r="L29" s="76">
        <f t="shared" si="36"/>
        <v>9262.758620689654</v>
      </c>
      <c r="M29" s="76">
        <f t="shared" si="36"/>
        <v>7972.7586206896549</v>
      </c>
      <c r="N29" s="76">
        <f t="shared" si="36"/>
        <v>10972.758620689654</v>
      </c>
      <c r="O29" s="76">
        <f t="shared" si="36"/>
        <v>9003.758620689654</v>
      </c>
      <c r="P29" s="76">
        <f t="shared" si="36"/>
        <v>0</v>
      </c>
      <c r="Q29" s="76">
        <f t="shared" si="36"/>
        <v>10482.758620689654</v>
      </c>
      <c r="R29" s="76">
        <f t="shared" si="36"/>
        <v>9432.758620689654</v>
      </c>
      <c r="S29" s="76">
        <f t="shared" si="36"/>
        <v>10292.758620689656</v>
      </c>
      <c r="T29" s="76">
        <f t="shared" si="36"/>
        <v>9022.758620689654</v>
      </c>
      <c r="U29" s="76">
        <f t="shared" si="36"/>
        <v>11877.758620689654</v>
      </c>
      <c r="V29" s="76">
        <f t="shared" si="36"/>
        <v>11407.758620689654</v>
      </c>
      <c r="W29" s="76">
        <f t="shared" si="36"/>
        <v>11962.758620689654</v>
      </c>
      <c r="X29" s="76">
        <f t="shared" si="36"/>
        <v>8152.7586206896549</v>
      </c>
      <c r="Y29" s="76">
        <f t="shared" si="36"/>
        <v>12152.758620689654</v>
      </c>
      <c r="Z29" s="76">
        <f t="shared" si="36"/>
        <v>11772.758620689654</v>
      </c>
      <c r="AA29" s="76">
        <f t="shared" si="36"/>
        <v>11632.758620689656</v>
      </c>
      <c r="AB29" s="76">
        <f t="shared" si="36"/>
        <v>11072.758620689654</v>
      </c>
      <c r="AC29" s="76">
        <f t="shared" si="36"/>
        <v>11232.758620689654</v>
      </c>
      <c r="AD29" s="76">
        <f t="shared" si="36"/>
        <v>8391.758620689654</v>
      </c>
      <c r="AE29" s="76">
        <f t="shared" si="36"/>
        <v>11872.758620689654</v>
      </c>
      <c r="AF29" s="76">
        <f t="shared" si="36"/>
        <v>12312.758620689654</v>
      </c>
      <c r="AG29" s="76">
        <f t="shared" si="36"/>
        <v>301688.99999999994</v>
      </c>
      <c r="AH29" s="28">
        <f>AVERAGE(B29:AF29)</f>
        <v>9731.9032258064526</v>
      </c>
      <c r="AI29" s="77">
        <f>(AH29/$AH$29)*100</f>
        <v>100</v>
      </c>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row>
    <row r="30" spans="1:59" ht="15.75" customHeight="1" x14ac:dyDescent="0.2">
      <c r="A30" s="4" t="s">
        <v>188</v>
      </c>
      <c r="B30" s="69">
        <v>1670</v>
      </c>
      <c r="C30" s="69">
        <v>970</v>
      </c>
      <c r="D30" s="69">
        <v>3260</v>
      </c>
      <c r="E30" s="69">
        <v>1020</v>
      </c>
      <c r="F30" s="69">
        <v>4870</v>
      </c>
      <c r="G30" s="69">
        <v>5085</v>
      </c>
      <c r="H30" s="69">
        <v>7430</v>
      </c>
      <c r="I30" s="69">
        <v>0</v>
      </c>
      <c r="J30" s="69">
        <v>1990</v>
      </c>
      <c r="K30" s="69">
        <v>2965</v>
      </c>
      <c r="L30" s="69">
        <v>2200</v>
      </c>
      <c r="M30" s="69">
        <v>2230</v>
      </c>
      <c r="N30" s="69">
        <v>2805</v>
      </c>
      <c r="O30" s="69">
        <v>5780</v>
      </c>
      <c r="P30" s="69">
        <v>0</v>
      </c>
      <c r="Q30" s="69">
        <v>1840</v>
      </c>
      <c r="R30" s="69">
        <v>3735</v>
      </c>
      <c r="S30" s="69">
        <v>3545</v>
      </c>
      <c r="T30" s="69">
        <v>2503</v>
      </c>
      <c r="U30" s="69">
        <v>11320</v>
      </c>
      <c r="V30" s="69">
        <v>4645</v>
      </c>
      <c r="W30" s="69">
        <v>3480</v>
      </c>
      <c r="X30" s="69">
        <v>3010</v>
      </c>
      <c r="Y30" s="69">
        <v>5275</v>
      </c>
      <c r="Z30" s="69">
        <v>3310</v>
      </c>
      <c r="AA30" s="69">
        <v>2765</v>
      </c>
      <c r="AB30" s="69">
        <v>3745</v>
      </c>
      <c r="AC30" s="69">
        <v>5105</v>
      </c>
      <c r="AD30" s="69">
        <v>4090</v>
      </c>
      <c r="AE30" s="69">
        <v>1600</v>
      </c>
      <c r="AF30" s="69">
        <v>1165</v>
      </c>
      <c r="AG30" s="56">
        <f t="shared" ref="AG30:AG32" si="37">SUM(C30:AF30)</f>
        <v>101738</v>
      </c>
      <c r="AH30" s="67">
        <f t="shared" ref="AH30:AH32" si="38">IFERROR(AVERAGE(B30:AF30),0)</f>
        <v>3335.7419354838707</v>
      </c>
      <c r="AI30" s="68">
        <f t="shared" ref="AI30:AI32" si="39">IFERROR((AH30/$AH$32)*100,0)</f>
        <v>50.976313130068277</v>
      </c>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row>
    <row r="31" spans="1:59" ht="15.75" customHeight="1" x14ac:dyDescent="0.2">
      <c r="A31" s="4" t="s">
        <v>189</v>
      </c>
      <c r="B31" s="78">
        <f t="shared" ref="B31:AF31" si="40">B32-B30</f>
        <v>2465</v>
      </c>
      <c r="C31" s="78">
        <f t="shared" si="40"/>
        <v>2915</v>
      </c>
      <c r="D31" s="78">
        <f t="shared" si="40"/>
        <v>3430</v>
      </c>
      <c r="E31" s="78">
        <f t="shared" si="40"/>
        <v>2595</v>
      </c>
      <c r="F31" s="78">
        <f t="shared" si="40"/>
        <v>3970</v>
      </c>
      <c r="G31" s="78">
        <f t="shared" si="40"/>
        <v>2700</v>
      </c>
      <c r="H31" s="78">
        <f t="shared" si="40"/>
        <v>8825</v>
      </c>
      <c r="I31" s="78">
        <f t="shared" si="40"/>
        <v>0</v>
      </c>
      <c r="J31" s="78">
        <f t="shared" si="40"/>
        <v>3740</v>
      </c>
      <c r="K31" s="78">
        <f t="shared" si="40"/>
        <v>1760</v>
      </c>
      <c r="L31" s="78">
        <f t="shared" si="40"/>
        <v>1565</v>
      </c>
      <c r="M31" s="78">
        <f t="shared" si="40"/>
        <v>3850</v>
      </c>
      <c r="N31" s="78">
        <f t="shared" si="40"/>
        <v>1495</v>
      </c>
      <c r="O31" s="78">
        <f t="shared" si="40"/>
        <v>3300</v>
      </c>
      <c r="P31" s="78">
        <f t="shared" si="40"/>
        <v>0</v>
      </c>
      <c r="Q31" s="78">
        <f t="shared" si="40"/>
        <v>2100</v>
      </c>
      <c r="R31" s="78">
        <f t="shared" si="40"/>
        <v>3095</v>
      </c>
      <c r="S31" s="78">
        <f t="shared" si="40"/>
        <v>2010</v>
      </c>
      <c r="T31" s="78">
        <f t="shared" si="40"/>
        <v>1587</v>
      </c>
      <c r="U31" s="78">
        <f t="shared" si="40"/>
        <v>3060</v>
      </c>
      <c r="V31" s="78">
        <f t="shared" si="40"/>
        <v>8970</v>
      </c>
      <c r="W31" s="78">
        <f t="shared" si="40"/>
        <v>2595</v>
      </c>
      <c r="X31" s="78">
        <f t="shared" si="40"/>
        <v>4670</v>
      </c>
      <c r="Y31" s="78">
        <f t="shared" si="40"/>
        <v>4425</v>
      </c>
      <c r="Z31" s="78">
        <f t="shared" si="40"/>
        <v>6185</v>
      </c>
      <c r="AA31" s="78">
        <f t="shared" si="40"/>
        <v>2670</v>
      </c>
      <c r="AB31" s="78">
        <f t="shared" si="40"/>
        <v>235</v>
      </c>
      <c r="AC31" s="78">
        <f t="shared" si="40"/>
        <v>5870</v>
      </c>
      <c r="AD31" s="78">
        <f t="shared" si="40"/>
        <v>2835</v>
      </c>
      <c r="AE31" s="78">
        <f t="shared" si="40"/>
        <v>2155</v>
      </c>
      <c r="AF31" s="78">
        <f t="shared" si="40"/>
        <v>4375</v>
      </c>
      <c r="AG31" s="56">
        <f t="shared" si="37"/>
        <v>96982</v>
      </c>
      <c r="AH31" s="67">
        <f t="shared" si="38"/>
        <v>3207.9677419354839</v>
      </c>
      <c r="AI31" s="68">
        <f t="shared" si="39"/>
        <v>49.023686869931723</v>
      </c>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row>
    <row r="32" spans="1:59" ht="15.75" customHeight="1" x14ac:dyDescent="0.2">
      <c r="A32" s="4" t="s">
        <v>190</v>
      </c>
      <c r="B32" s="69">
        <v>4135</v>
      </c>
      <c r="C32" s="69">
        <v>3885</v>
      </c>
      <c r="D32" s="69">
        <v>6690</v>
      </c>
      <c r="E32" s="69">
        <v>3615</v>
      </c>
      <c r="F32" s="69">
        <v>8840</v>
      </c>
      <c r="G32" s="69">
        <v>7785</v>
      </c>
      <c r="H32" s="69">
        <v>16255</v>
      </c>
      <c r="I32" s="69">
        <v>0</v>
      </c>
      <c r="J32" s="69">
        <v>5730</v>
      </c>
      <c r="K32" s="69">
        <v>4725</v>
      </c>
      <c r="L32" s="69">
        <v>3765</v>
      </c>
      <c r="M32" s="69">
        <v>6080</v>
      </c>
      <c r="N32" s="69">
        <v>4300</v>
      </c>
      <c r="O32" s="69">
        <v>9080</v>
      </c>
      <c r="P32" s="69">
        <v>0</v>
      </c>
      <c r="Q32" s="69">
        <v>3940</v>
      </c>
      <c r="R32" s="69">
        <v>6830</v>
      </c>
      <c r="S32" s="69">
        <v>5555</v>
      </c>
      <c r="T32" s="69">
        <v>4090</v>
      </c>
      <c r="U32" s="69">
        <v>14380</v>
      </c>
      <c r="V32" s="69">
        <v>13615</v>
      </c>
      <c r="W32" s="69">
        <v>6075</v>
      </c>
      <c r="X32" s="69">
        <v>7680</v>
      </c>
      <c r="Y32" s="69">
        <v>9700</v>
      </c>
      <c r="Z32" s="69">
        <v>9495</v>
      </c>
      <c r="AA32" s="69">
        <v>5435</v>
      </c>
      <c r="AB32" s="69">
        <v>3980</v>
      </c>
      <c r="AC32" s="69">
        <v>10975</v>
      </c>
      <c r="AD32" s="69">
        <v>6925</v>
      </c>
      <c r="AE32" s="69">
        <v>3755</v>
      </c>
      <c r="AF32" s="69">
        <v>5540</v>
      </c>
      <c r="AG32" s="56">
        <f t="shared" si="37"/>
        <v>198720</v>
      </c>
      <c r="AH32" s="67">
        <f t="shared" si="38"/>
        <v>6543.7096774193551</v>
      </c>
      <c r="AI32" s="68">
        <f t="shared" si="39"/>
        <v>100</v>
      </c>
      <c r="AJ32" s="75"/>
      <c r="AK32" s="75"/>
      <c r="AL32" s="75"/>
      <c r="AM32" s="75"/>
      <c r="AN32" s="75"/>
      <c r="AO32" s="75"/>
      <c r="AP32" s="75"/>
      <c r="AQ32" s="75"/>
      <c r="AR32" s="75"/>
      <c r="AS32" s="75"/>
      <c r="AT32" s="75"/>
      <c r="AU32" s="75"/>
      <c r="AV32" s="14"/>
      <c r="AW32" s="14"/>
      <c r="AX32" s="14"/>
      <c r="AY32" s="14"/>
      <c r="AZ32" s="14"/>
      <c r="BA32" s="14"/>
      <c r="BB32" s="14"/>
      <c r="BC32" s="14"/>
      <c r="BD32" s="14"/>
      <c r="BE32" s="14"/>
      <c r="BF32" s="14"/>
      <c r="BG32" s="14"/>
    </row>
    <row r="33" spans="1:36" ht="15.75" customHeight="1" x14ac:dyDescent="0.2">
      <c r="A33" s="4" t="s">
        <v>191</v>
      </c>
      <c r="B33" s="69">
        <f t="shared" ref="B33:AF33" si="41">B32-B29</f>
        <v>-6426.758620689654</v>
      </c>
      <c r="C33" s="69">
        <f t="shared" si="41"/>
        <v>-6457.7586206896558</v>
      </c>
      <c r="D33" s="69">
        <f t="shared" si="41"/>
        <v>-3357.7586206896558</v>
      </c>
      <c r="E33" s="69">
        <f t="shared" si="41"/>
        <v>-4537.7586206896549</v>
      </c>
      <c r="F33" s="69">
        <f t="shared" si="41"/>
        <v>1087.2413793103451</v>
      </c>
      <c r="G33" s="69">
        <f t="shared" si="41"/>
        <v>-3222.758620689654</v>
      </c>
      <c r="H33" s="69">
        <f t="shared" si="41"/>
        <v>5872.2413793103442</v>
      </c>
      <c r="I33" s="69">
        <f t="shared" si="41"/>
        <v>0</v>
      </c>
      <c r="J33" s="69">
        <f t="shared" si="41"/>
        <v>-6342.7586206896558</v>
      </c>
      <c r="K33" s="69">
        <f t="shared" si="41"/>
        <v>-6357.7586206896558</v>
      </c>
      <c r="L33" s="69">
        <f t="shared" si="41"/>
        <v>-5497.758620689654</v>
      </c>
      <c r="M33" s="69">
        <f t="shared" si="41"/>
        <v>-1892.7586206896549</v>
      </c>
      <c r="N33" s="69">
        <f t="shared" si="41"/>
        <v>-6672.758620689654</v>
      </c>
      <c r="O33" s="69">
        <f t="shared" si="41"/>
        <v>76.241379310346019</v>
      </c>
      <c r="P33" s="69">
        <f t="shared" si="41"/>
        <v>0</v>
      </c>
      <c r="Q33" s="69">
        <f t="shared" si="41"/>
        <v>-6542.758620689654</v>
      </c>
      <c r="R33" s="69">
        <f t="shared" si="41"/>
        <v>-2602.758620689654</v>
      </c>
      <c r="S33" s="69">
        <f t="shared" si="41"/>
        <v>-4737.7586206896558</v>
      </c>
      <c r="T33" s="69">
        <f t="shared" si="41"/>
        <v>-4932.758620689654</v>
      </c>
      <c r="U33" s="69">
        <f t="shared" si="41"/>
        <v>2502.241379310346</v>
      </c>
      <c r="V33" s="59">
        <f t="shared" si="41"/>
        <v>2207.241379310346</v>
      </c>
      <c r="W33" s="59">
        <f t="shared" si="41"/>
        <v>-5887.758620689654</v>
      </c>
      <c r="X33" s="59">
        <f t="shared" si="41"/>
        <v>-472.75862068965489</v>
      </c>
      <c r="Y33" s="59">
        <f t="shared" si="41"/>
        <v>-2452.758620689654</v>
      </c>
      <c r="Z33" s="59">
        <f t="shared" si="41"/>
        <v>-2277.758620689654</v>
      </c>
      <c r="AA33" s="59">
        <f t="shared" si="41"/>
        <v>-6197.7586206896558</v>
      </c>
      <c r="AB33" s="59">
        <f t="shared" si="41"/>
        <v>-7092.758620689654</v>
      </c>
      <c r="AC33" s="59">
        <f t="shared" si="41"/>
        <v>-257.75862068965398</v>
      </c>
      <c r="AD33" s="59">
        <f t="shared" si="41"/>
        <v>-1466.758620689654</v>
      </c>
      <c r="AE33" s="59">
        <f t="shared" si="41"/>
        <v>-8117.758620689654</v>
      </c>
      <c r="AF33" s="59">
        <f t="shared" si="41"/>
        <v>-6772.758620689654</v>
      </c>
      <c r="AG33" s="81">
        <f>SUM(B33:AF33)+B40+B41</f>
        <v>-45238.999999999942</v>
      </c>
      <c r="AH33" s="5">
        <f>AVERAGE(B33:AF33,B40,B41)</f>
        <v>-1370.8787878787862</v>
      </c>
      <c r="AI33" s="68"/>
    </row>
    <row r="34" spans="1:36" ht="15.75" customHeight="1" x14ac:dyDescent="0.2">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7"/>
      <c r="AH34" s="7"/>
    </row>
    <row r="35" spans="1:36" ht="15.75" customHeight="1" x14ac:dyDescent="0.2">
      <c r="A35" s="4" t="s">
        <v>13</v>
      </c>
      <c r="B35" s="59">
        <f t="shared" ref="B35:B38" si="42">SUM(B29:AF29)</f>
        <v>301689.00000000006</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7"/>
      <c r="AH35" s="7"/>
    </row>
    <row r="36" spans="1:36" ht="15.75" customHeight="1" x14ac:dyDescent="0.2">
      <c r="A36" s="4" t="s">
        <v>14</v>
      </c>
      <c r="B36" s="59">
        <f t="shared" si="42"/>
        <v>103408</v>
      </c>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7"/>
    </row>
    <row r="37" spans="1:36" ht="15.75" customHeight="1" x14ac:dyDescent="0.2">
      <c r="A37" s="4" t="s">
        <v>15</v>
      </c>
      <c r="B37" s="59">
        <f t="shared" si="42"/>
        <v>99447</v>
      </c>
      <c r="C37" s="6"/>
      <c r="M37" s="6"/>
      <c r="N37" s="6"/>
      <c r="O37" s="6"/>
      <c r="P37" s="6"/>
      <c r="Q37" s="6"/>
      <c r="R37" s="6"/>
      <c r="S37" s="6"/>
      <c r="T37" s="6"/>
      <c r="U37" s="6"/>
      <c r="V37" s="6"/>
      <c r="W37" s="6"/>
      <c r="X37" s="6"/>
      <c r="Y37" s="6"/>
      <c r="Z37" s="6"/>
      <c r="AA37" s="6"/>
      <c r="AB37" s="6"/>
      <c r="AC37" s="6"/>
      <c r="AD37" s="6"/>
      <c r="AE37" s="6"/>
      <c r="AF37" s="6"/>
      <c r="AG37" s="7"/>
      <c r="AH37" s="7"/>
    </row>
    <row r="38" spans="1:36" ht="15.75" customHeight="1" x14ac:dyDescent="0.2">
      <c r="A38" s="4" t="s">
        <v>16</v>
      </c>
      <c r="B38" s="59">
        <f t="shared" si="42"/>
        <v>202855</v>
      </c>
      <c r="C38" s="6"/>
      <c r="D38" s="6"/>
      <c r="E38" s="6"/>
      <c r="F38" s="6"/>
      <c r="G38" s="6"/>
      <c r="H38" s="6"/>
      <c r="I38" s="6"/>
      <c r="J38" s="6"/>
      <c r="K38" s="6"/>
      <c r="L38" s="6"/>
      <c r="M38" s="6"/>
      <c r="N38" s="6"/>
      <c r="O38" s="6"/>
      <c r="P38" s="6"/>
      <c r="Q38" s="6" t="s">
        <v>233</v>
      </c>
      <c r="R38" s="6"/>
      <c r="S38" s="6"/>
      <c r="T38" s="6"/>
      <c r="U38" s="6"/>
      <c r="V38" s="6"/>
      <c r="W38" s="6"/>
      <c r="X38" s="6"/>
      <c r="Y38" s="6"/>
      <c r="Z38" s="6"/>
      <c r="AA38" s="6" t="s">
        <v>198</v>
      </c>
      <c r="AB38" s="6"/>
      <c r="AC38" s="6"/>
      <c r="AD38" s="6"/>
      <c r="AE38" s="6"/>
      <c r="AF38" s="6" t="s">
        <v>249</v>
      </c>
      <c r="AG38" s="6"/>
      <c r="AH38" s="7"/>
    </row>
    <row r="39" spans="1:36" ht="15.75" customHeight="1" x14ac:dyDescent="0.2">
      <c r="A39" s="4" t="s">
        <v>17</v>
      </c>
      <c r="B39" s="80">
        <f>Expenses!P20</f>
        <v>67627</v>
      </c>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7"/>
    </row>
    <row r="40" spans="1:36" ht="15.75" customHeight="1" x14ac:dyDescent="0.2">
      <c r="A40" s="4" t="s">
        <v>18</v>
      </c>
      <c r="B40" s="59">
        <f>5962+4614+4305+7506+6176</f>
        <v>28563</v>
      </c>
      <c r="C40" s="6"/>
      <c r="M40" s="6"/>
      <c r="N40" s="6"/>
      <c r="O40" s="6"/>
      <c r="P40" s="6"/>
      <c r="Q40" s="6"/>
      <c r="R40" s="6"/>
      <c r="S40" s="6"/>
      <c r="T40" s="6"/>
      <c r="U40" s="6"/>
      <c r="V40" s="6"/>
      <c r="W40" s="6"/>
      <c r="X40" s="6"/>
      <c r="Y40" s="6"/>
      <c r="Z40" s="6"/>
      <c r="AA40" s="6"/>
      <c r="AB40" s="6"/>
      <c r="AC40" s="6"/>
      <c r="AD40" s="6"/>
      <c r="AE40" s="6"/>
      <c r="AF40" s="6"/>
      <c r="AG40" s="7"/>
      <c r="AH40" s="7"/>
    </row>
    <row r="41" spans="1:36" ht="15.75" customHeight="1" x14ac:dyDescent="0.2">
      <c r="A41" s="4" t="s">
        <v>19</v>
      </c>
      <c r="B41" s="59">
        <f>5718+2621+5805+5266+5622</f>
        <v>25032</v>
      </c>
      <c r="C41" s="6"/>
      <c r="M41" s="6"/>
      <c r="N41" s="6"/>
      <c r="O41" s="6"/>
      <c r="P41" s="6"/>
      <c r="Q41" s="6"/>
      <c r="R41" s="6"/>
      <c r="S41" s="6"/>
      <c r="T41" s="6"/>
      <c r="U41" s="6"/>
      <c r="V41" s="6"/>
      <c r="W41" s="6"/>
      <c r="X41" s="6"/>
      <c r="Y41" s="6"/>
      <c r="Z41" s="6"/>
      <c r="AA41" s="6"/>
      <c r="AB41" s="6"/>
      <c r="AC41" s="6"/>
      <c r="AD41" s="6"/>
      <c r="AE41" s="6"/>
      <c r="AF41" s="6"/>
      <c r="AG41" s="7"/>
      <c r="AH41" s="7"/>
    </row>
    <row r="42" spans="1:36" ht="15.75" customHeight="1" x14ac:dyDescent="0.2">
      <c r="A42" s="4" t="s">
        <v>20</v>
      </c>
      <c r="B42" s="59">
        <f>Stock!BF72</f>
        <v>60180</v>
      </c>
      <c r="C42" s="6"/>
      <c r="M42" s="6"/>
      <c r="N42" s="6"/>
      <c r="O42" s="6"/>
      <c r="P42" s="6"/>
      <c r="Q42" s="6"/>
      <c r="R42" s="6"/>
      <c r="S42" s="6"/>
      <c r="T42" s="6"/>
      <c r="U42" s="6"/>
      <c r="V42" s="6"/>
      <c r="W42" s="6"/>
      <c r="X42" s="6"/>
      <c r="Y42" s="6"/>
      <c r="Z42" s="6"/>
      <c r="AA42" s="6"/>
      <c r="AB42" s="6"/>
      <c r="AC42" s="6"/>
      <c r="AD42" s="6"/>
      <c r="AE42" s="6"/>
      <c r="AF42" s="6"/>
      <c r="AG42" s="7"/>
      <c r="AH42" s="7"/>
    </row>
    <row r="43" spans="1:36" ht="15.75" customHeight="1" x14ac:dyDescent="0.2">
      <c r="A43" s="4" t="s">
        <v>21</v>
      </c>
      <c r="B43" s="59">
        <f>B38-B35+B40+B41</f>
        <v>-45239.000000000058</v>
      </c>
      <c r="C43" s="6"/>
      <c r="M43" s="6"/>
      <c r="N43" s="6"/>
      <c r="O43" s="6"/>
      <c r="P43" s="6"/>
      <c r="Q43" s="6"/>
      <c r="R43" s="6"/>
      <c r="S43" s="6"/>
      <c r="T43" s="6"/>
      <c r="U43" s="6"/>
      <c r="V43" s="6"/>
      <c r="W43" s="6"/>
      <c r="X43" s="6"/>
      <c r="Y43" s="6"/>
      <c r="Z43" s="6"/>
      <c r="AA43" s="6"/>
      <c r="AB43" s="6"/>
      <c r="AC43" s="6"/>
      <c r="AD43" s="6"/>
      <c r="AE43" s="6"/>
      <c r="AF43" s="6"/>
      <c r="AG43" s="7"/>
      <c r="AH43" s="7"/>
    </row>
    <row r="44" spans="1:36" ht="15.75" customHeight="1" x14ac:dyDescent="0.2">
      <c r="B44" s="6"/>
      <c r="C44" s="6"/>
      <c r="M44" s="6"/>
      <c r="N44" s="6"/>
      <c r="O44" s="6"/>
      <c r="P44" s="6"/>
      <c r="Q44" s="6"/>
      <c r="R44" s="6"/>
      <c r="S44" s="6"/>
      <c r="T44" s="6"/>
      <c r="U44" s="6"/>
      <c r="V44" s="6"/>
      <c r="W44" s="6"/>
      <c r="X44" s="6"/>
      <c r="Y44" s="6"/>
      <c r="Z44" s="6"/>
      <c r="AA44" s="6"/>
      <c r="AB44" s="6"/>
      <c r="AC44" s="6"/>
      <c r="AD44" s="6"/>
      <c r="AE44" s="6"/>
      <c r="AF44" s="6"/>
      <c r="AG44" s="7"/>
      <c r="AH44" s="7"/>
    </row>
    <row r="45" spans="1:36" ht="15.75" customHeight="1" x14ac:dyDescent="0.2">
      <c r="A45" s="4" t="s">
        <v>201</v>
      </c>
      <c r="B45" s="59">
        <v>1700</v>
      </c>
      <c r="C45" s="59">
        <v>1700</v>
      </c>
      <c r="D45" s="59">
        <v>1700</v>
      </c>
      <c r="E45" s="59">
        <v>1700</v>
      </c>
      <c r="F45" s="59">
        <v>1700</v>
      </c>
      <c r="G45" s="59">
        <v>1700</v>
      </c>
      <c r="H45" s="59">
        <v>1700</v>
      </c>
      <c r="I45" s="59">
        <v>0</v>
      </c>
      <c r="J45" s="59">
        <v>1700</v>
      </c>
      <c r="K45" s="59">
        <v>1700</v>
      </c>
      <c r="L45" s="59">
        <v>1700</v>
      </c>
      <c r="M45" s="59">
        <v>1700</v>
      </c>
      <c r="N45" s="59">
        <v>1700</v>
      </c>
      <c r="O45" s="59">
        <v>1700</v>
      </c>
      <c r="P45" s="59">
        <v>0</v>
      </c>
      <c r="Q45" s="59">
        <v>700</v>
      </c>
      <c r="R45" s="59">
        <v>1700</v>
      </c>
      <c r="S45" s="59">
        <v>1700</v>
      </c>
      <c r="T45" s="59">
        <v>1700</v>
      </c>
      <c r="U45" s="59">
        <v>1700</v>
      </c>
      <c r="V45" s="59">
        <v>1700</v>
      </c>
      <c r="W45" s="59">
        <v>1700</v>
      </c>
      <c r="X45" s="59">
        <v>1700</v>
      </c>
      <c r="Y45" s="59">
        <v>1700</v>
      </c>
      <c r="Z45" s="59">
        <v>1700</v>
      </c>
      <c r="AA45" s="59">
        <v>1700</v>
      </c>
      <c r="AB45" s="59">
        <v>1700</v>
      </c>
      <c r="AC45" s="59">
        <v>1700</v>
      </c>
      <c r="AD45" s="59">
        <v>1700</v>
      </c>
      <c r="AE45" s="59">
        <v>1700</v>
      </c>
      <c r="AF45" s="59">
        <v>1700</v>
      </c>
      <c r="AG45" s="56">
        <f t="shared" ref="AG45:AG47" si="43">SUM(B45:AF45)</f>
        <v>48300</v>
      </c>
      <c r="AH45" s="7"/>
      <c r="AJ45" s="14">
        <v>11600</v>
      </c>
    </row>
    <row r="46" spans="1:36" ht="15.75" customHeight="1" x14ac:dyDescent="0.2">
      <c r="A46" s="4" t="s">
        <v>202</v>
      </c>
      <c r="B46" s="59">
        <v>0</v>
      </c>
      <c r="C46" s="59">
        <v>0</v>
      </c>
      <c r="D46" s="59">
        <v>0</v>
      </c>
      <c r="E46" s="59">
        <v>0</v>
      </c>
      <c r="F46" s="59">
        <v>0</v>
      </c>
      <c r="G46" s="59">
        <v>0</v>
      </c>
      <c r="H46" s="59">
        <v>-10000</v>
      </c>
      <c r="I46" s="59">
        <v>0</v>
      </c>
      <c r="J46" s="59">
        <v>0</v>
      </c>
      <c r="K46" s="59">
        <v>0</v>
      </c>
      <c r="L46" s="59">
        <v>-7500</v>
      </c>
      <c r="M46" s="59">
        <v>0</v>
      </c>
      <c r="N46" s="59">
        <v>0</v>
      </c>
      <c r="O46" s="59">
        <v>0</v>
      </c>
      <c r="P46" s="59">
        <v>0</v>
      </c>
      <c r="Q46" s="59">
        <v>0</v>
      </c>
      <c r="R46" s="59">
        <v>0</v>
      </c>
      <c r="S46" s="59">
        <v>0</v>
      </c>
      <c r="T46" s="59">
        <v>0</v>
      </c>
      <c r="U46" s="59">
        <v>0</v>
      </c>
      <c r="V46" s="59">
        <v>0</v>
      </c>
      <c r="W46" s="59">
        <v>0</v>
      </c>
      <c r="X46" s="59">
        <v>0</v>
      </c>
      <c r="Y46" s="59">
        <v>0</v>
      </c>
      <c r="Z46" s="59">
        <v>0</v>
      </c>
      <c r="AA46" s="59">
        <v>0</v>
      </c>
      <c r="AB46" s="59">
        <v>0</v>
      </c>
      <c r="AC46" s="59">
        <v>0</v>
      </c>
      <c r="AD46" s="59">
        <v>0</v>
      </c>
      <c r="AE46" s="59">
        <v>0</v>
      </c>
      <c r="AF46" s="59">
        <v>0</v>
      </c>
      <c r="AG46" s="56">
        <f t="shared" si="43"/>
        <v>-17500</v>
      </c>
      <c r="AH46" s="7"/>
    </row>
    <row r="47" spans="1:36" ht="15.75" customHeight="1" x14ac:dyDescent="0.2">
      <c r="A47" s="4" t="s">
        <v>203</v>
      </c>
      <c r="B47" s="59">
        <f t="shared" ref="B47:AF47" si="44">B4+B3+B7+B8+(SUM(B20:B22))+B45+B46</f>
        <v>7165.7586206896549</v>
      </c>
      <c r="C47" s="59">
        <f t="shared" si="44"/>
        <v>7165.7586206896549</v>
      </c>
      <c r="D47" s="59">
        <f t="shared" si="44"/>
        <v>7165.7586206896549</v>
      </c>
      <c r="E47" s="59">
        <f t="shared" si="44"/>
        <v>7165.7586206896549</v>
      </c>
      <c r="F47" s="59">
        <f t="shared" si="44"/>
        <v>7165.7586206896549</v>
      </c>
      <c r="G47" s="59">
        <f t="shared" si="44"/>
        <v>7165.7586206896549</v>
      </c>
      <c r="H47" s="59">
        <f t="shared" si="44"/>
        <v>-2834.2413793103451</v>
      </c>
      <c r="I47" s="59">
        <f t="shared" si="44"/>
        <v>0</v>
      </c>
      <c r="J47" s="59">
        <f t="shared" si="44"/>
        <v>7165.7586206896549</v>
      </c>
      <c r="K47" s="59">
        <f t="shared" si="44"/>
        <v>7165.7586206896549</v>
      </c>
      <c r="L47" s="59">
        <f t="shared" si="44"/>
        <v>-334.24137931034511</v>
      </c>
      <c r="M47" s="59">
        <f t="shared" si="44"/>
        <v>7165.7586206896549</v>
      </c>
      <c r="N47" s="59">
        <f t="shared" si="44"/>
        <v>7165.7586206896549</v>
      </c>
      <c r="O47" s="59">
        <f t="shared" si="44"/>
        <v>7165.7586206896549</v>
      </c>
      <c r="P47" s="59">
        <f t="shared" si="44"/>
        <v>0</v>
      </c>
      <c r="Q47" s="59">
        <f t="shared" si="44"/>
        <v>6165.7586206896549</v>
      </c>
      <c r="R47" s="59">
        <f t="shared" si="44"/>
        <v>7165.7586206896549</v>
      </c>
      <c r="S47" s="59">
        <f t="shared" si="44"/>
        <v>7165.7586206896549</v>
      </c>
      <c r="T47" s="59">
        <f t="shared" si="44"/>
        <v>7165.7586206896549</v>
      </c>
      <c r="U47" s="59">
        <f t="shared" si="44"/>
        <v>7165.7586206896549</v>
      </c>
      <c r="V47" s="59">
        <f t="shared" si="44"/>
        <v>7165.7586206896549</v>
      </c>
      <c r="W47" s="59">
        <f t="shared" si="44"/>
        <v>7165.7586206896549</v>
      </c>
      <c r="X47" s="59">
        <f t="shared" si="44"/>
        <v>7165.7586206896549</v>
      </c>
      <c r="Y47" s="59">
        <f t="shared" si="44"/>
        <v>7165.7586206896549</v>
      </c>
      <c r="Z47" s="59">
        <f t="shared" si="44"/>
        <v>7165.7586206896549</v>
      </c>
      <c r="AA47" s="59">
        <f t="shared" si="44"/>
        <v>7165.7586206896549</v>
      </c>
      <c r="AB47" s="59">
        <f t="shared" si="44"/>
        <v>7165.7586206896549</v>
      </c>
      <c r="AC47" s="59">
        <f t="shared" si="44"/>
        <v>7165.7586206896549</v>
      </c>
      <c r="AD47" s="59">
        <f t="shared" si="44"/>
        <v>7165.7586206896549</v>
      </c>
      <c r="AE47" s="59">
        <f t="shared" si="44"/>
        <v>7165.7586206896549</v>
      </c>
      <c r="AF47" s="59">
        <f t="shared" si="44"/>
        <v>7165.7586206896549</v>
      </c>
      <c r="AG47" s="67">
        <f t="shared" si="43"/>
        <v>189306.99999999994</v>
      </c>
      <c r="AH47" s="7"/>
    </row>
    <row r="48" spans="1:36" ht="15.75" customHeight="1" x14ac:dyDescent="0.2">
      <c r="A48" s="4" t="s">
        <v>204</v>
      </c>
      <c r="B48" s="59">
        <f>B31-B29+B47+24490</f>
        <v>23559</v>
      </c>
      <c r="C48" s="59">
        <f t="shared" ref="C48:AF48" si="45">B48+C31-C29+C47</f>
        <v>23297</v>
      </c>
      <c r="D48" s="59">
        <f t="shared" si="45"/>
        <v>23845</v>
      </c>
      <c r="E48" s="59">
        <f t="shared" si="45"/>
        <v>25453</v>
      </c>
      <c r="F48" s="59">
        <f t="shared" si="45"/>
        <v>28836</v>
      </c>
      <c r="G48" s="59">
        <f t="shared" si="45"/>
        <v>27694.000000000004</v>
      </c>
      <c r="H48" s="59">
        <f t="shared" si="45"/>
        <v>23302</v>
      </c>
      <c r="I48" s="59">
        <f t="shared" si="45"/>
        <v>23302</v>
      </c>
      <c r="J48" s="59">
        <f t="shared" si="45"/>
        <v>22135</v>
      </c>
      <c r="K48" s="59">
        <f t="shared" si="45"/>
        <v>19978</v>
      </c>
      <c r="L48" s="59">
        <f t="shared" si="45"/>
        <v>11946</v>
      </c>
      <c r="M48" s="59">
        <f t="shared" si="45"/>
        <v>14989</v>
      </c>
      <c r="N48" s="59">
        <f t="shared" si="45"/>
        <v>12677</v>
      </c>
      <c r="O48" s="59">
        <f t="shared" si="45"/>
        <v>14139</v>
      </c>
      <c r="P48" s="59">
        <f t="shared" si="45"/>
        <v>14139</v>
      </c>
      <c r="Q48" s="59">
        <f t="shared" si="45"/>
        <v>11922</v>
      </c>
      <c r="R48" s="59">
        <f t="shared" si="45"/>
        <v>12750</v>
      </c>
      <c r="S48" s="59">
        <f t="shared" si="45"/>
        <v>11633</v>
      </c>
      <c r="T48" s="59">
        <f t="shared" si="45"/>
        <v>11363</v>
      </c>
      <c r="U48" s="59">
        <f t="shared" si="45"/>
        <v>9711</v>
      </c>
      <c r="V48" s="59">
        <f t="shared" si="45"/>
        <v>14439</v>
      </c>
      <c r="W48" s="59">
        <f t="shared" si="45"/>
        <v>12237</v>
      </c>
      <c r="X48" s="59">
        <f t="shared" si="45"/>
        <v>15920</v>
      </c>
      <c r="Y48" s="59">
        <f t="shared" si="45"/>
        <v>15358</v>
      </c>
      <c r="Z48" s="59">
        <f t="shared" si="45"/>
        <v>16936</v>
      </c>
      <c r="AA48" s="59">
        <f t="shared" si="45"/>
        <v>15139</v>
      </c>
      <c r="AB48" s="59">
        <f t="shared" si="45"/>
        <v>11467</v>
      </c>
      <c r="AC48" s="59">
        <f t="shared" si="45"/>
        <v>13270</v>
      </c>
      <c r="AD48" s="59">
        <f t="shared" si="45"/>
        <v>14879</v>
      </c>
      <c r="AE48" s="59">
        <f t="shared" si="45"/>
        <v>12327</v>
      </c>
      <c r="AF48" s="59">
        <f t="shared" si="45"/>
        <v>11555</v>
      </c>
      <c r="AG48" s="7"/>
      <c r="AH48" s="7"/>
    </row>
    <row r="49" spans="1:34" ht="15.75" customHeight="1" x14ac:dyDescent="0.2">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7"/>
      <c r="AH49" s="7"/>
    </row>
    <row r="50" spans="1:34" ht="15.75" customHeight="1" x14ac:dyDescent="0.2">
      <c r="AG50" s="1"/>
      <c r="AH50" s="7"/>
    </row>
    <row r="51" spans="1:34" ht="15.75" customHeight="1" x14ac:dyDescent="0.2">
      <c r="A51" s="13" t="s">
        <v>166</v>
      </c>
      <c r="B51" s="4">
        <v>4500</v>
      </c>
      <c r="AG51" s="1"/>
      <c r="AH51" s="7"/>
    </row>
    <row r="52" spans="1:34" ht="15.75" customHeight="1" x14ac:dyDescent="0.2">
      <c r="A52" s="13" t="s">
        <v>205</v>
      </c>
      <c r="B52" s="4">
        <v>8000</v>
      </c>
      <c r="AG52" s="1"/>
      <c r="AH52" s="7"/>
    </row>
    <row r="53" spans="1:34" ht="15.75" customHeight="1" x14ac:dyDescent="0.2">
      <c r="A53" s="4" t="s">
        <v>179</v>
      </c>
      <c r="B53" s="86">
        <v>15100</v>
      </c>
      <c r="I53" s="14" t="s">
        <v>206</v>
      </c>
      <c r="AG53" s="1"/>
      <c r="AH53" s="7"/>
    </row>
    <row r="54" spans="1:34" ht="15.75" customHeight="1" x14ac:dyDescent="0.2">
      <c r="A54" s="4" t="s">
        <v>180</v>
      </c>
      <c r="B54" s="4">
        <v>0</v>
      </c>
      <c r="AG54" s="1"/>
      <c r="AH54" s="7"/>
    </row>
    <row r="55" spans="1:34" ht="15.75" customHeight="1" x14ac:dyDescent="0.2">
      <c r="A55" s="4" t="s">
        <v>181</v>
      </c>
      <c r="B55" s="4">
        <v>3100</v>
      </c>
      <c r="AG55" s="1"/>
      <c r="AH55" s="7"/>
    </row>
    <row r="56" spans="1:34" ht="15.75" customHeight="1" x14ac:dyDescent="0.2">
      <c r="B56" s="83">
        <f>SUM(B51:B55)</f>
        <v>30700</v>
      </c>
      <c r="J56" s="84" t="s">
        <v>207</v>
      </c>
      <c r="K56" s="59">
        <f>B32</f>
        <v>4135</v>
      </c>
      <c r="L56" s="36">
        <f>I32</f>
        <v>0</v>
      </c>
      <c r="M56" s="59">
        <f>P32</f>
        <v>0</v>
      </c>
      <c r="N56" s="59">
        <f>W32</f>
        <v>6075</v>
      </c>
      <c r="O56" s="59">
        <f>AD32</f>
        <v>6925</v>
      </c>
      <c r="P56" s="84">
        <f t="shared" ref="P56:P62" si="46">AVERAGEIF(K56:O56,"&lt;&gt;0")</f>
        <v>5711.666666666667</v>
      </c>
      <c r="R56" s="6"/>
      <c r="AG56" s="1"/>
      <c r="AH56" s="7"/>
    </row>
    <row r="57" spans="1:34" ht="15.75" customHeight="1" x14ac:dyDescent="0.2">
      <c r="J57" s="84" t="s">
        <v>208</v>
      </c>
      <c r="K57" s="59">
        <f>C32</f>
        <v>3885</v>
      </c>
      <c r="L57" s="59">
        <f>J32</f>
        <v>5730</v>
      </c>
      <c r="M57" s="59">
        <f>Q32</f>
        <v>3940</v>
      </c>
      <c r="N57" s="59">
        <f>X32</f>
        <v>7680</v>
      </c>
      <c r="O57" s="59">
        <f>AE32</f>
        <v>3755</v>
      </c>
      <c r="P57" s="84">
        <f t="shared" si="46"/>
        <v>4998</v>
      </c>
      <c r="AG57" s="1"/>
      <c r="AH57" s="7"/>
    </row>
    <row r="58" spans="1:34" ht="15.75" customHeight="1" x14ac:dyDescent="0.2">
      <c r="J58" s="84" t="s">
        <v>209</v>
      </c>
      <c r="K58" s="59">
        <f>D32</f>
        <v>6690</v>
      </c>
      <c r="L58" s="59">
        <f>K32</f>
        <v>4725</v>
      </c>
      <c r="M58" s="59">
        <f>R32</f>
        <v>6830</v>
      </c>
      <c r="N58" s="59">
        <f>Y32</f>
        <v>9700</v>
      </c>
      <c r="O58" s="59">
        <f>AF32</f>
        <v>5540</v>
      </c>
      <c r="P58" s="84">
        <f t="shared" si="46"/>
        <v>6697</v>
      </c>
      <c r="AG58" s="1"/>
      <c r="AH58" s="7"/>
    </row>
    <row r="59" spans="1:34" ht="15.75" customHeight="1" x14ac:dyDescent="0.2">
      <c r="A59" s="14" t="s">
        <v>210</v>
      </c>
      <c r="B59" s="14">
        <v>29</v>
      </c>
      <c r="J59" s="84" t="s">
        <v>211</v>
      </c>
      <c r="K59" s="59">
        <f>E32</f>
        <v>3615</v>
      </c>
      <c r="L59" s="59">
        <f>L32</f>
        <v>3765</v>
      </c>
      <c r="M59" s="59">
        <f>S32</f>
        <v>5555</v>
      </c>
      <c r="N59" s="59">
        <f>Z32</f>
        <v>9495</v>
      </c>
      <c r="O59" s="4"/>
      <c r="P59" s="84">
        <f t="shared" si="46"/>
        <v>5607.5</v>
      </c>
      <c r="AG59" s="1"/>
      <c r="AH59" s="7"/>
    </row>
    <row r="60" spans="1:34" ht="15.75" customHeight="1" x14ac:dyDescent="0.2">
      <c r="J60" s="84" t="s">
        <v>212</v>
      </c>
      <c r="K60" s="36">
        <f>F32</f>
        <v>8840</v>
      </c>
      <c r="L60" s="59">
        <f>M32</f>
        <v>6080</v>
      </c>
      <c r="M60" s="59">
        <f>T32</f>
        <v>4090</v>
      </c>
      <c r="N60" s="59">
        <f>AA32</f>
        <v>5435</v>
      </c>
      <c r="O60" s="4"/>
      <c r="P60" s="84">
        <f t="shared" si="46"/>
        <v>6111.25</v>
      </c>
      <c r="AG60" s="1"/>
      <c r="AH60" s="7"/>
    </row>
    <row r="61" spans="1:34" ht="15.75" customHeight="1" x14ac:dyDescent="0.2">
      <c r="J61" s="84" t="s">
        <v>213</v>
      </c>
      <c r="K61" s="36">
        <f>G32</f>
        <v>7785</v>
      </c>
      <c r="L61" s="59">
        <f>N32</f>
        <v>4300</v>
      </c>
      <c r="M61" s="59">
        <f>U32</f>
        <v>14380</v>
      </c>
      <c r="N61" s="59">
        <f>AB32</f>
        <v>3980</v>
      </c>
      <c r="O61" s="4"/>
      <c r="P61" s="84">
        <f t="shared" si="46"/>
        <v>7611.25</v>
      </c>
      <c r="AG61" s="1"/>
      <c r="AH61" s="7"/>
    </row>
    <row r="62" spans="1:34" ht="15.75" customHeight="1" x14ac:dyDescent="0.2">
      <c r="J62" s="84" t="s">
        <v>214</v>
      </c>
      <c r="K62" s="36">
        <f>H32</f>
        <v>16255</v>
      </c>
      <c r="L62" s="59">
        <f>O32</f>
        <v>9080</v>
      </c>
      <c r="M62" s="59">
        <f>V32</f>
        <v>13615</v>
      </c>
      <c r="N62" s="59">
        <f>AC32</f>
        <v>10975</v>
      </c>
      <c r="O62" s="4"/>
      <c r="P62" s="84">
        <f t="shared" si="46"/>
        <v>12481.25</v>
      </c>
      <c r="AG62" s="1"/>
      <c r="AH62" s="7"/>
    </row>
    <row r="63" spans="1:34" ht="15.75" customHeight="1" x14ac:dyDescent="0.2">
      <c r="Q63" s="14" t="s">
        <v>127</v>
      </c>
      <c r="AG63" s="1"/>
      <c r="AH63" s="7"/>
    </row>
    <row r="64" spans="1:34" ht="15.75" customHeight="1" x14ac:dyDescent="0.2">
      <c r="AG64" s="1"/>
      <c r="AH64" s="7"/>
    </row>
    <row r="65" spans="25:34" ht="14" x14ac:dyDescent="0.2">
      <c r="AG65" s="1"/>
      <c r="AH65" s="7"/>
    </row>
    <row r="66" spans="25:34" ht="14" x14ac:dyDescent="0.2">
      <c r="Y66" s="14" t="s">
        <v>206</v>
      </c>
      <c r="AG66" s="1"/>
      <c r="AH66" s="7"/>
    </row>
    <row r="67" spans="25:34" ht="14" x14ac:dyDescent="0.2">
      <c r="AG67" s="1"/>
      <c r="AH67" s="7"/>
    </row>
    <row r="68" spans="25:34" ht="14" x14ac:dyDescent="0.2">
      <c r="AG68" s="1"/>
      <c r="AH68" s="7"/>
    </row>
    <row r="69" spans="25:34" ht="14" x14ac:dyDescent="0.2">
      <c r="AG69" s="1"/>
      <c r="AH69" s="7"/>
    </row>
    <row r="70" spans="25:34" ht="14" x14ac:dyDescent="0.2">
      <c r="AG70" s="1"/>
      <c r="AH70" s="7"/>
    </row>
    <row r="71" spans="25:34" ht="14" x14ac:dyDescent="0.2">
      <c r="AG71" s="1"/>
      <c r="AH71" s="7"/>
    </row>
    <row r="72" spans="25:34" ht="14" x14ac:dyDescent="0.2">
      <c r="AG72" s="1"/>
      <c r="AH72" s="7"/>
    </row>
    <row r="73" spans="25:34" ht="14" x14ac:dyDescent="0.2">
      <c r="AG73" s="1"/>
      <c r="AH73" s="7"/>
    </row>
    <row r="74" spans="25:34" ht="14" x14ac:dyDescent="0.2">
      <c r="AG74" s="1"/>
      <c r="AH74" s="7"/>
    </row>
    <row r="75" spans="25:34" ht="14" x14ac:dyDescent="0.2">
      <c r="AG75" s="1"/>
      <c r="AH75" s="7"/>
    </row>
    <row r="76" spans="25:34" ht="14" x14ac:dyDescent="0.2">
      <c r="AG76" s="1"/>
      <c r="AH76" s="7"/>
    </row>
    <row r="77" spans="25:34" ht="14" x14ac:dyDescent="0.2">
      <c r="AG77" s="1"/>
      <c r="AH77" s="7"/>
    </row>
    <row r="78" spans="25:34" ht="14" x14ac:dyDescent="0.2">
      <c r="AG78" s="1"/>
      <c r="AH78" s="7"/>
    </row>
    <row r="79" spans="25:34" ht="14" x14ac:dyDescent="0.2">
      <c r="AG79" s="1"/>
      <c r="AH79" s="7"/>
    </row>
    <row r="80" spans="25:34" ht="14" x14ac:dyDescent="0.2">
      <c r="AG80" s="1"/>
      <c r="AH80" s="7"/>
    </row>
    <row r="81" spans="33:34" ht="14" x14ac:dyDescent="0.2">
      <c r="AG81" s="1"/>
      <c r="AH81" s="7"/>
    </row>
    <row r="82" spans="33:34" ht="14" x14ac:dyDescent="0.2">
      <c r="AG82" s="1"/>
      <c r="AH82" s="7"/>
    </row>
    <row r="83" spans="33:34" ht="14" x14ac:dyDescent="0.2">
      <c r="AG83" s="1"/>
      <c r="AH83" s="7"/>
    </row>
    <row r="84" spans="33:34" ht="14" x14ac:dyDescent="0.2">
      <c r="AG84" s="1"/>
      <c r="AH84" s="7"/>
    </row>
    <row r="85" spans="33:34" ht="14" x14ac:dyDescent="0.2">
      <c r="AG85" s="1"/>
      <c r="AH85" s="7"/>
    </row>
    <row r="86" spans="33:34" ht="14" x14ac:dyDescent="0.2">
      <c r="AG86" s="1"/>
      <c r="AH86" s="7"/>
    </row>
    <row r="87" spans="33:34" ht="14" x14ac:dyDescent="0.2">
      <c r="AG87" s="1"/>
      <c r="AH87" s="7"/>
    </row>
    <row r="88" spans="33:34" ht="14" x14ac:dyDescent="0.2">
      <c r="AG88" s="1"/>
      <c r="AH88" s="7"/>
    </row>
    <row r="89" spans="33:34" ht="14" x14ac:dyDescent="0.2">
      <c r="AG89" s="1"/>
      <c r="AH89" s="7"/>
    </row>
    <row r="90" spans="33:34" ht="14" x14ac:dyDescent="0.2">
      <c r="AG90" s="1"/>
      <c r="AH90" s="7"/>
    </row>
    <row r="91" spans="33:34" ht="14" x14ac:dyDescent="0.2">
      <c r="AG91" s="1"/>
      <c r="AH91" s="7"/>
    </row>
    <row r="92" spans="33:34" ht="14" x14ac:dyDescent="0.2">
      <c r="AG92" s="1"/>
      <c r="AH92" s="7"/>
    </row>
    <row r="93" spans="33:34" ht="14" x14ac:dyDescent="0.2">
      <c r="AG93" s="1"/>
      <c r="AH93" s="7"/>
    </row>
    <row r="94" spans="33:34" ht="14" x14ac:dyDescent="0.2">
      <c r="AG94" s="1"/>
      <c r="AH94" s="7"/>
    </row>
    <row r="95" spans="33:34" ht="14" x14ac:dyDescent="0.2">
      <c r="AG95" s="1"/>
      <c r="AH95" s="7"/>
    </row>
    <row r="96" spans="33:34" ht="14" x14ac:dyDescent="0.2">
      <c r="AG96" s="1"/>
      <c r="AH96" s="7"/>
    </row>
    <row r="97" spans="33:34" ht="14" x14ac:dyDescent="0.2">
      <c r="AG97" s="1"/>
      <c r="AH97" s="7"/>
    </row>
    <row r="98" spans="33:34" ht="14" x14ac:dyDescent="0.2">
      <c r="AG98" s="1"/>
      <c r="AH98" s="7"/>
    </row>
    <row r="99" spans="33:34" ht="14" x14ac:dyDescent="0.2">
      <c r="AG99" s="1"/>
      <c r="AH99" s="7"/>
    </row>
    <row r="100" spans="33:34" ht="14" x14ac:dyDescent="0.2">
      <c r="AG100" s="1"/>
      <c r="AH100" s="7"/>
    </row>
    <row r="101" spans="33:34" ht="14" x14ac:dyDescent="0.2">
      <c r="AG101" s="1"/>
      <c r="AH101" s="7"/>
    </row>
    <row r="102" spans="33:34" ht="14" x14ac:dyDescent="0.2">
      <c r="AG102" s="1"/>
      <c r="AH102" s="7"/>
    </row>
    <row r="103" spans="33:34" ht="14" x14ac:dyDescent="0.2">
      <c r="AG103" s="1"/>
      <c r="AH103" s="7"/>
    </row>
    <row r="104" spans="33:34" ht="14" x14ac:dyDescent="0.2">
      <c r="AG104" s="1"/>
      <c r="AH104" s="7"/>
    </row>
    <row r="105" spans="33:34" ht="14" x14ac:dyDescent="0.2">
      <c r="AG105" s="1"/>
      <c r="AH105" s="7"/>
    </row>
    <row r="106" spans="33:34" ht="14" x14ac:dyDescent="0.2">
      <c r="AG106" s="1"/>
      <c r="AH106" s="7"/>
    </row>
    <row r="107" spans="33:34" ht="14" x14ac:dyDescent="0.2">
      <c r="AG107" s="1"/>
      <c r="AH107" s="7"/>
    </row>
    <row r="108" spans="33:34" ht="14" x14ac:dyDescent="0.2">
      <c r="AG108" s="1"/>
      <c r="AH108" s="7"/>
    </row>
    <row r="109" spans="33:34" ht="14" x14ac:dyDescent="0.2">
      <c r="AG109" s="1"/>
      <c r="AH109" s="7"/>
    </row>
    <row r="110" spans="33:34" ht="14" x14ac:dyDescent="0.2">
      <c r="AG110" s="1"/>
      <c r="AH110" s="7"/>
    </row>
    <row r="111" spans="33:34" ht="14" x14ac:dyDescent="0.2">
      <c r="AG111" s="1"/>
      <c r="AH111" s="7"/>
    </row>
    <row r="112" spans="33:34" ht="14" x14ac:dyDescent="0.2">
      <c r="AG112" s="1"/>
      <c r="AH112" s="7"/>
    </row>
    <row r="113" spans="33:34" ht="14" x14ac:dyDescent="0.2">
      <c r="AG113" s="1"/>
      <c r="AH113" s="7"/>
    </row>
    <row r="114" spans="33:34" ht="14" x14ac:dyDescent="0.2">
      <c r="AG114" s="1"/>
      <c r="AH114" s="7"/>
    </row>
    <row r="115" spans="33:34" ht="14" x14ac:dyDescent="0.2">
      <c r="AG115" s="1"/>
      <c r="AH115" s="7"/>
    </row>
    <row r="116" spans="33:34" ht="14" x14ac:dyDescent="0.2">
      <c r="AG116" s="1"/>
      <c r="AH116" s="7"/>
    </row>
    <row r="117" spans="33:34" ht="14" x14ac:dyDescent="0.2">
      <c r="AG117" s="1"/>
      <c r="AH117" s="7"/>
    </row>
    <row r="118" spans="33:34" ht="14" x14ac:dyDescent="0.2">
      <c r="AG118" s="1"/>
      <c r="AH118" s="7"/>
    </row>
    <row r="119" spans="33:34" ht="14" x14ac:dyDescent="0.2">
      <c r="AG119" s="1"/>
      <c r="AH119" s="7"/>
    </row>
    <row r="120" spans="33:34" ht="14" x14ac:dyDescent="0.2">
      <c r="AG120" s="1"/>
      <c r="AH120" s="7"/>
    </row>
    <row r="121" spans="33:34" ht="14" x14ac:dyDescent="0.2">
      <c r="AG121" s="1"/>
      <c r="AH121" s="7"/>
    </row>
    <row r="122" spans="33:34" ht="14" x14ac:dyDescent="0.2">
      <c r="AG122" s="1"/>
      <c r="AH122" s="7"/>
    </row>
    <row r="123" spans="33:34" ht="14" x14ac:dyDescent="0.2">
      <c r="AG123" s="1"/>
      <c r="AH123" s="7"/>
    </row>
    <row r="124" spans="33:34" ht="14" x14ac:dyDescent="0.2">
      <c r="AG124" s="1"/>
      <c r="AH124" s="7"/>
    </row>
    <row r="125" spans="33:34" ht="14" x14ac:dyDescent="0.2">
      <c r="AG125" s="1"/>
      <c r="AH125" s="7"/>
    </row>
    <row r="126" spans="33:34" ht="14" x14ac:dyDescent="0.2">
      <c r="AG126" s="1"/>
      <c r="AH126" s="7"/>
    </row>
    <row r="127" spans="33:34" ht="14" x14ac:dyDescent="0.2">
      <c r="AG127" s="1"/>
      <c r="AH127" s="7"/>
    </row>
    <row r="128" spans="33:34" ht="14" x14ac:dyDescent="0.2">
      <c r="AG128" s="1"/>
      <c r="AH128" s="7"/>
    </row>
    <row r="129" spans="33:34" ht="14" x14ac:dyDescent="0.2">
      <c r="AG129" s="1"/>
      <c r="AH129" s="7"/>
    </row>
    <row r="130" spans="33:34" ht="14" x14ac:dyDescent="0.2">
      <c r="AG130" s="1"/>
      <c r="AH130" s="7"/>
    </row>
    <row r="131" spans="33:34" ht="14" x14ac:dyDescent="0.2">
      <c r="AG131" s="1"/>
      <c r="AH131" s="7"/>
    </row>
    <row r="132" spans="33:34" ht="14" x14ac:dyDescent="0.2">
      <c r="AG132" s="1"/>
      <c r="AH132" s="7"/>
    </row>
    <row r="133" spans="33:34" ht="14" x14ac:dyDescent="0.2">
      <c r="AG133" s="1"/>
      <c r="AH133" s="7"/>
    </row>
    <row r="134" spans="33:34" ht="14" x14ac:dyDescent="0.2">
      <c r="AG134" s="1"/>
      <c r="AH134" s="7"/>
    </row>
    <row r="135" spans="33:34" ht="14" x14ac:dyDescent="0.2">
      <c r="AG135" s="1"/>
      <c r="AH135" s="7"/>
    </row>
    <row r="136" spans="33:34" ht="14" x14ac:dyDescent="0.2">
      <c r="AG136" s="1"/>
      <c r="AH136" s="7"/>
    </row>
    <row r="137" spans="33:34" ht="14" x14ac:dyDescent="0.2">
      <c r="AG137" s="1"/>
      <c r="AH137" s="7"/>
    </row>
    <row r="138" spans="33:34" ht="14" x14ac:dyDescent="0.2">
      <c r="AG138" s="1"/>
      <c r="AH138" s="7"/>
    </row>
    <row r="139" spans="33:34" ht="14" x14ac:dyDescent="0.2">
      <c r="AG139" s="1"/>
      <c r="AH139" s="7"/>
    </row>
    <row r="140" spans="33:34" ht="14" x14ac:dyDescent="0.2">
      <c r="AG140" s="1"/>
      <c r="AH140" s="7"/>
    </row>
    <row r="141" spans="33:34" ht="14" x14ac:dyDescent="0.2">
      <c r="AG141" s="1"/>
      <c r="AH141" s="7"/>
    </row>
    <row r="142" spans="33:34" ht="14" x14ac:dyDescent="0.2">
      <c r="AG142" s="1"/>
      <c r="AH142" s="7"/>
    </row>
    <row r="143" spans="33:34" ht="14" x14ac:dyDescent="0.2">
      <c r="AG143" s="1"/>
      <c r="AH143" s="7"/>
    </row>
    <row r="144" spans="33:34" ht="14" x14ac:dyDescent="0.2">
      <c r="AG144" s="1"/>
      <c r="AH144" s="7"/>
    </row>
    <row r="145" spans="33:34" ht="14" x14ac:dyDescent="0.2">
      <c r="AG145" s="1"/>
      <c r="AH145" s="7"/>
    </row>
    <row r="146" spans="33:34" ht="14" x14ac:dyDescent="0.2">
      <c r="AG146" s="1"/>
      <c r="AH146" s="7"/>
    </row>
    <row r="147" spans="33:34" ht="14" x14ac:dyDescent="0.2">
      <c r="AG147" s="1"/>
      <c r="AH147" s="7"/>
    </row>
    <row r="148" spans="33:34" ht="14" x14ac:dyDescent="0.2">
      <c r="AG148" s="1"/>
      <c r="AH148" s="7"/>
    </row>
    <row r="149" spans="33:34" ht="14" x14ac:dyDescent="0.2">
      <c r="AG149" s="1"/>
      <c r="AH149" s="7"/>
    </row>
    <row r="150" spans="33:34" ht="14" x14ac:dyDescent="0.2">
      <c r="AG150" s="1"/>
      <c r="AH150" s="7"/>
    </row>
    <row r="151" spans="33:34" ht="14" x14ac:dyDescent="0.2">
      <c r="AG151" s="1"/>
      <c r="AH151" s="7"/>
    </row>
    <row r="152" spans="33:34" ht="14" x14ac:dyDescent="0.2">
      <c r="AG152" s="1"/>
      <c r="AH152" s="7"/>
    </row>
    <row r="153" spans="33:34" ht="14" x14ac:dyDescent="0.2">
      <c r="AG153" s="1"/>
      <c r="AH153" s="7"/>
    </row>
    <row r="154" spans="33:34" ht="14" x14ac:dyDescent="0.2">
      <c r="AG154" s="1"/>
      <c r="AH154" s="7"/>
    </row>
    <row r="155" spans="33:34" ht="14" x14ac:dyDescent="0.2">
      <c r="AG155" s="1"/>
      <c r="AH155" s="7"/>
    </row>
    <row r="156" spans="33:34" ht="14" x14ac:dyDescent="0.2">
      <c r="AG156" s="1"/>
      <c r="AH156" s="7"/>
    </row>
    <row r="157" spans="33:34" ht="14" x14ac:dyDescent="0.2">
      <c r="AG157" s="1"/>
      <c r="AH157" s="7"/>
    </row>
    <row r="158" spans="33:34" ht="14" x14ac:dyDescent="0.2">
      <c r="AG158" s="1"/>
      <c r="AH158" s="7"/>
    </row>
    <row r="159" spans="33:34" ht="14" x14ac:dyDescent="0.2">
      <c r="AG159" s="1"/>
      <c r="AH159" s="7"/>
    </row>
    <row r="160" spans="33:34" ht="14" x14ac:dyDescent="0.2">
      <c r="AG160" s="1"/>
      <c r="AH160" s="7"/>
    </row>
    <row r="161" spans="33:34" ht="14" x14ac:dyDescent="0.2">
      <c r="AG161" s="1"/>
      <c r="AH161" s="7"/>
    </row>
    <row r="162" spans="33:34" ht="14" x14ac:dyDescent="0.2">
      <c r="AG162" s="1"/>
      <c r="AH162" s="7"/>
    </row>
    <row r="163" spans="33:34" ht="14" x14ac:dyDescent="0.2">
      <c r="AG163" s="1"/>
      <c r="AH163" s="7"/>
    </row>
    <row r="164" spans="33:34" ht="14" x14ac:dyDescent="0.2">
      <c r="AG164" s="1"/>
      <c r="AH164" s="7"/>
    </row>
    <row r="165" spans="33:34" ht="14" x14ac:dyDescent="0.2">
      <c r="AG165" s="1"/>
      <c r="AH165" s="7"/>
    </row>
    <row r="166" spans="33:34" ht="14" x14ac:dyDescent="0.2">
      <c r="AG166" s="1"/>
      <c r="AH166" s="7"/>
    </row>
    <row r="167" spans="33:34" ht="14" x14ac:dyDescent="0.2">
      <c r="AG167" s="1"/>
      <c r="AH167" s="7"/>
    </row>
    <row r="168" spans="33:34" ht="14" x14ac:dyDescent="0.2">
      <c r="AG168" s="1"/>
      <c r="AH168" s="7"/>
    </row>
    <row r="169" spans="33:34" ht="14" x14ac:dyDescent="0.2">
      <c r="AG169" s="1"/>
      <c r="AH169" s="7"/>
    </row>
    <row r="170" spans="33:34" ht="14" x14ac:dyDescent="0.2">
      <c r="AG170" s="1"/>
      <c r="AH170" s="7"/>
    </row>
    <row r="171" spans="33:34" ht="14" x14ac:dyDescent="0.2">
      <c r="AG171" s="1"/>
      <c r="AH171" s="7"/>
    </row>
    <row r="172" spans="33:34" ht="14" x14ac:dyDescent="0.2">
      <c r="AG172" s="1"/>
      <c r="AH172" s="7"/>
    </row>
    <row r="173" spans="33:34" ht="14" x14ac:dyDescent="0.2">
      <c r="AG173" s="1"/>
      <c r="AH173" s="7"/>
    </row>
    <row r="174" spans="33:34" ht="14" x14ac:dyDescent="0.2">
      <c r="AG174" s="1"/>
      <c r="AH174" s="7"/>
    </row>
    <row r="175" spans="33:34" ht="14" x14ac:dyDescent="0.2">
      <c r="AG175" s="1"/>
      <c r="AH175" s="7"/>
    </row>
    <row r="176" spans="33:34" ht="14" x14ac:dyDescent="0.2">
      <c r="AG176" s="1"/>
      <c r="AH176" s="7"/>
    </row>
    <row r="177" spans="33:34" ht="14" x14ac:dyDescent="0.2">
      <c r="AG177" s="1"/>
      <c r="AH177" s="7"/>
    </row>
    <row r="178" spans="33:34" ht="14" x14ac:dyDescent="0.2">
      <c r="AG178" s="1"/>
      <c r="AH178" s="7"/>
    </row>
    <row r="179" spans="33:34" ht="14" x14ac:dyDescent="0.2">
      <c r="AG179" s="1"/>
      <c r="AH179" s="7"/>
    </row>
    <row r="180" spans="33:34" ht="14" x14ac:dyDescent="0.2">
      <c r="AG180" s="1"/>
      <c r="AH180" s="7"/>
    </row>
    <row r="181" spans="33:34" ht="14" x14ac:dyDescent="0.2">
      <c r="AG181" s="1"/>
      <c r="AH181" s="7"/>
    </row>
    <row r="182" spans="33:34" ht="14" x14ac:dyDescent="0.2">
      <c r="AG182" s="1"/>
      <c r="AH182" s="7"/>
    </row>
    <row r="183" spans="33:34" ht="14" x14ac:dyDescent="0.2">
      <c r="AG183" s="1"/>
      <c r="AH183" s="7"/>
    </row>
    <row r="184" spans="33:34" ht="14" x14ac:dyDescent="0.2">
      <c r="AG184" s="1"/>
      <c r="AH184" s="7"/>
    </row>
    <row r="185" spans="33:34" ht="14" x14ac:dyDescent="0.2">
      <c r="AG185" s="1"/>
      <c r="AH185" s="7"/>
    </row>
    <row r="186" spans="33:34" ht="14" x14ac:dyDescent="0.2">
      <c r="AG186" s="1"/>
      <c r="AH186" s="7"/>
    </row>
    <row r="187" spans="33:34" ht="14" x14ac:dyDescent="0.2">
      <c r="AG187" s="1"/>
      <c r="AH187" s="7"/>
    </row>
    <row r="188" spans="33:34" ht="14" x14ac:dyDescent="0.2">
      <c r="AG188" s="1"/>
      <c r="AH188" s="7"/>
    </row>
    <row r="189" spans="33:34" ht="14" x14ac:dyDescent="0.2">
      <c r="AG189" s="1"/>
      <c r="AH189" s="7"/>
    </row>
    <row r="190" spans="33:34" ht="14" x14ac:dyDescent="0.2">
      <c r="AG190" s="1"/>
      <c r="AH190" s="7"/>
    </row>
    <row r="191" spans="33:34" ht="14" x14ac:dyDescent="0.2">
      <c r="AG191" s="1"/>
      <c r="AH191" s="7"/>
    </row>
    <row r="192" spans="33:34" ht="14" x14ac:dyDescent="0.2">
      <c r="AG192" s="1"/>
      <c r="AH192" s="7"/>
    </row>
    <row r="193" spans="33:34" ht="14" x14ac:dyDescent="0.2">
      <c r="AG193" s="1"/>
      <c r="AH193" s="7"/>
    </row>
    <row r="194" spans="33:34" ht="14" x14ac:dyDescent="0.2">
      <c r="AG194" s="1"/>
      <c r="AH194" s="7"/>
    </row>
    <row r="195" spans="33:34" ht="14" x14ac:dyDescent="0.2">
      <c r="AG195" s="1"/>
      <c r="AH195" s="7"/>
    </row>
    <row r="196" spans="33:34" ht="14" x14ac:dyDescent="0.2">
      <c r="AG196" s="1"/>
      <c r="AH196" s="7"/>
    </row>
    <row r="197" spans="33:34" ht="14" x14ac:dyDescent="0.2">
      <c r="AG197" s="1"/>
      <c r="AH197" s="7"/>
    </row>
    <row r="198" spans="33:34" ht="14" x14ac:dyDescent="0.2">
      <c r="AG198" s="1"/>
      <c r="AH198" s="7"/>
    </row>
    <row r="199" spans="33:34" ht="14" x14ac:dyDescent="0.2">
      <c r="AG199" s="1"/>
      <c r="AH199" s="7"/>
    </row>
    <row r="200" spans="33:34" ht="14" x14ac:dyDescent="0.2">
      <c r="AG200" s="1"/>
      <c r="AH200" s="7"/>
    </row>
    <row r="201" spans="33:34" ht="14" x14ac:dyDescent="0.2">
      <c r="AG201" s="1"/>
      <c r="AH201" s="7"/>
    </row>
    <row r="202" spans="33:34" ht="14" x14ac:dyDescent="0.2">
      <c r="AG202" s="1"/>
      <c r="AH202" s="7"/>
    </row>
    <row r="203" spans="33:34" ht="14" x14ac:dyDescent="0.2">
      <c r="AG203" s="1"/>
      <c r="AH203" s="7"/>
    </row>
    <row r="204" spans="33:34" ht="14" x14ac:dyDescent="0.2">
      <c r="AG204" s="1"/>
      <c r="AH204" s="7"/>
    </row>
    <row r="205" spans="33:34" ht="14" x14ac:dyDescent="0.2">
      <c r="AG205" s="1"/>
      <c r="AH205" s="7"/>
    </row>
    <row r="206" spans="33:34" ht="14" x14ac:dyDescent="0.2">
      <c r="AG206" s="1"/>
      <c r="AH206" s="7"/>
    </row>
    <row r="207" spans="33:34" ht="14" x14ac:dyDescent="0.2">
      <c r="AG207" s="1"/>
      <c r="AH207" s="7"/>
    </row>
    <row r="208" spans="33:34" ht="14" x14ac:dyDescent="0.2">
      <c r="AG208" s="1"/>
      <c r="AH208" s="7"/>
    </row>
    <row r="209" spans="33:34" ht="14" x14ac:dyDescent="0.2">
      <c r="AG209" s="1"/>
      <c r="AH209" s="7"/>
    </row>
    <row r="210" spans="33:34" ht="14" x14ac:dyDescent="0.2">
      <c r="AG210" s="1"/>
      <c r="AH210" s="7"/>
    </row>
    <row r="211" spans="33:34" ht="14" x14ac:dyDescent="0.2">
      <c r="AG211" s="1"/>
      <c r="AH211" s="7"/>
    </row>
    <row r="212" spans="33:34" ht="14" x14ac:dyDescent="0.2">
      <c r="AG212" s="1"/>
      <c r="AH212" s="7"/>
    </row>
    <row r="213" spans="33:34" ht="14" x14ac:dyDescent="0.2">
      <c r="AG213" s="1"/>
      <c r="AH213" s="7"/>
    </row>
    <row r="214" spans="33:34" ht="14" x14ac:dyDescent="0.2">
      <c r="AG214" s="1"/>
      <c r="AH214" s="7"/>
    </row>
    <row r="215" spans="33:34" ht="14" x14ac:dyDescent="0.2">
      <c r="AG215" s="1"/>
      <c r="AH215" s="7"/>
    </row>
    <row r="216" spans="33:34" ht="14" x14ac:dyDescent="0.2">
      <c r="AG216" s="1"/>
      <c r="AH216" s="7"/>
    </row>
    <row r="217" spans="33:34" ht="14" x14ac:dyDescent="0.2">
      <c r="AG217" s="1"/>
      <c r="AH217" s="7"/>
    </row>
    <row r="218" spans="33:34" ht="14" x14ac:dyDescent="0.2">
      <c r="AG218" s="1"/>
      <c r="AH218" s="7"/>
    </row>
    <row r="219" spans="33:34" ht="14" x14ac:dyDescent="0.2">
      <c r="AG219" s="1"/>
      <c r="AH219" s="7"/>
    </row>
    <row r="220" spans="33:34" ht="14" x14ac:dyDescent="0.2">
      <c r="AG220" s="1"/>
      <c r="AH220" s="7"/>
    </row>
    <row r="221" spans="33:34" ht="14" x14ac:dyDescent="0.2">
      <c r="AG221" s="1"/>
      <c r="AH221" s="7"/>
    </row>
    <row r="222" spans="33:34" ht="14" x14ac:dyDescent="0.2">
      <c r="AG222" s="1"/>
      <c r="AH222" s="7"/>
    </row>
    <row r="223" spans="33:34" ht="14" x14ac:dyDescent="0.2">
      <c r="AG223" s="1"/>
      <c r="AH223" s="7"/>
    </row>
    <row r="224" spans="33:34" ht="14" x14ac:dyDescent="0.2">
      <c r="AG224" s="1"/>
      <c r="AH224" s="7"/>
    </row>
    <row r="225" spans="33:34" ht="14" x14ac:dyDescent="0.2">
      <c r="AG225" s="1"/>
      <c r="AH225" s="7"/>
    </row>
    <row r="226" spans="33:34" ht="14" x14ac:dyDescent="0.2">
      <c r="AG226" s="1"/>
      <c r="AH226" s="7"/>
    </row>
    <row r="227" spans="33:34" ht="14" x14ac:dyDescent="0.2">
      <c r="AG227" s="1"/>
      <c r="AH227" s="7"/>
    </row>
    <row r="228" spans="33:34" ht="14" x14ac:dyDescent="0.2">
      <c r="AG228" s="1"/>
      <c r="AH228" s="7"/>
    </row>
    <row r="229" spans="33:34" ht="14" x14ac:dyDescent="0.2">
      <c r="AG229" s="1"/>
      <c r="AH229" s="7"/>
    </row>
    <row r="230" spans="33:34" ht="14" x14ac:dyDescent="0.2">
      <c r="AG230" s="1"/>
      <c r="AH230" s="7"/>
    </row>
    <row r="231" spans="33:34" ht="14" x14ac:dyDescent="0.2">
      <c r="AG231" s="1"/>
      <c r="AH231" s="7"/>
    </row>
    <row r="232" spans="33:34" ht="14" x14ac:dyDescent="0.2">
      <c r="AG232" s="1"/>
      <c r="AH232" s="7"/>
    </row>
    <row r="233" spans="33:34" ht="14" x14ac:dyDescent="0.2">
      <c r="AG233" s="1"/>
      <c r="AH233" s="7"/>
    </row>
    <row r="234" spans="33:34" ht="14" x14ac:dyDescent="0.2">
      <c r="AG234" s="1"/>
      <c r="AH234" s="7"/>
    </row>
    <row r="235" spans="33:34" ht="14" x14ac:dyDescent="0.2">
      <c r="AG235" s="1"/>
      <c r="AH235" s="7"/>
    </row>
    <row r="236" spans="33:34" ht="14" x14ac:dyDescent="0.2">
      <c r="AG236" s="1"/>
      <c r="AH236" s="7"/>
    </row>
    <row r="237" spans="33:34" ht="14" x14ac:dyDescent="0.2">
      <c r="AG237" s="1"/>
      <c r="AH237" s="7"/>
    </row>
    <row r="238" spans="33:34" ht="14" x14ac:dyDescent="0.2">
      <c r="AG238" s="1"/>
      <c r="AH238" s="7"/>
    </row>
    <row r="239" spans="33:34" ht="14" x14ac:dyDescent="0.2">
      <c r="AG239" s="1"/>
      <c r="AH239" s="7"/>
    </row>
    <row r="240" spans="33:34" ht="14" x14ac:dyDescent="0.2">
      <c r="AG240" s="1"/>
      <c r="AH240" s="7"/>
    </row>
    <row r="241" spans="33:34" ht="14" x14ac:dyDescent="0.2">
      <c r="AG241" s="1"/>
      <c r="AH241" s="7"/>
    </row>
    <row r="242" spans="33:34" ht="14" x14ac:dyDescent="0.2">
      <c r="AG242" s="1"/>
      <c r="AH242" s="7"/>
    </row>
    <row r="243" spans="33:34" ht="14" x14ac:dyDescent="0.2">
      <c r="AG243" s="1"/>
      <c r="AH243" s="7"/>
    </row>
    <row r="244" spans="33:34" ht="14" x14ac:dyDescent="0.2">
      <c r="AG244" s="1"/>
      <c r="AH244" s="7"/>
    </row>
    <row r="245" spans="33:34" ht="14" x14ac:dyDescent="0.2">
      <c r="AG245" s="1"/>
      <c r="AH245" s="7"/>
    </row>
    <row r="246" spans="33:34" ht="14" x14ac:dyDescent="0.2">
      <c r="AG246" s="1"/>
      <c r="AH246" s="7"/>
    </row>
    <row r="247" spans="33:34" ht="14" x14ac:dyDescent="0.2">
      <c r="AG247" s="1"/>
      <c r="AH247" s="7"/>
    </row>
    <row r="248" spans="33:34" ht="14" x14ac:dyDescent="0.2">
      <c r="AG248" s="1"/>
      <c r="AH248" s="7"/>
    </row>
    <row r="249" spans="33:34" ht="14" x14ac:dyDescent="0.2">
      <c r="AG249" s="1"/>
      <c r="AH249" s="7"/>
    </row>
    <row r="250" spans="33:34" ht="14" x14ac:dyDescent="0.2">
      <c r="AG250" s="1"/>
      <c r="AH250" s="7"/>
    </row>
    <row r="251" spans="33:34" ht="14" x14ac:dyDescent="0.2">
      <c r="AG251" s="1"/>
      <c r="AH251" s="7"/>
    </row>
    <row r="252" spans="33:34" ht="14" x14ac:dyDescent="0.2">
      <c r="AG252" s="1"/>
      <c r="AH252" s="7"/>
    </row>
    <row r="253" spans="33:34" ht="14" x14ac:dyDescent="0.2">
      <c r="AG253" s="1"/>
      <c r="AH253" s="7"/>
    </row>
    <row r="254" spans="33:34" ht="14" x14ac:dyDescent="0.2">
      <c r="AG254" s="1"/>
      <c r="AH254" s="7"/>
    </row>
    <row r="255" spans="33:34" ht="14" x14ac:dyDescent="0.2">
      <c r="AG255" s="1"/>
      <c r="AH255" s="7"/>
    </row>
    <row r="256" spans="33:34" ht="14" x14ac:dyDescent="0.2">
      <c r="AG256" s="1"/>
      <c r="AH256" s="7"/>
    </row>
    <row r="257" spans="33:34" ht="14" x14ac:dyDescent="0.2">
      <c r="AG257" s="1"/>
      <c r="AH257" s="7"/>
    </row>
    <row r="258" spans="33:34" ht="14" x14ac:dyDescent="0.2">
      <c r="AG258" s="1"/>
      <c r="AH258" s="7"/>
    </row>
    <row r="259" spans="33:34" ht="14" x14ac:dyDescent="0.2">
      <c r="AG259" s="1"/>
      <c r="AH259" s="7"/>
    </row>
    <row r="260" spans="33:34" ht="14" x14ac:dyDescent="0.2">
      <c r="AG260" s="1"/>
      <c r="AH260" s="7"/>
    </row>
    <row r="261" spans="33:34" ht="14" x14ac:dyDescent="0.2">
      <c r="AG261" s="1"/>
      <c r="AH261" s="7"/>
    </row>
    <row r="262" spans="33:34" ht="14" x14ac:dyDescent="0.2">
      <c r="AG262" s="1"/>
      <c r="AH262" s="7"/>
    </row>
    <row r="263" spans="33:34" ht="14" x14ac:dyDescent="0.2">
      <c r="AG263" s="1"/>
      <c r="AH263" s="7"/>
    </row>
    <row r="264" spans="33:34" ht="14" x14ac:dyDescent="0.2">
      <c r="AG264" s="1"/>
      <c r="AH264" s="7"/>
    </row>
    <row r="265" spans="33:34" ht="14" x14ac:dyDescent="0.2">
      <c r="AG265" s="1"/>
      <c r="AH265" s="7"/>
    </row>
    <row r="266" spans="33:34" ht="14" x14ac:dyDescent="0.2">
      <c r="AG266" s="1"/>
      <c r="AH266" s="7"/>
    </row>
    <row r="267" spans="33:34" ht="14" x14ac:dyDescent="0.2">
      <c r="AG267" s="1"/>
      <c r="AH267" s="7"/>
    </row>
    <row r="268" spans="33:34" ht="14" x14ac:dyDescent="0.2">
      <c r="AG268" s="1"/>
      <c r="AH268" s="7"/>
    </row>
    <row r="269" spans="33:34" ht="14" x14ac:dyDescent="0.2">
      <c r="AG269" s="1"/>
      <c r="AH269" s="7"/>
    </row>
    <row r="270" spans="33:34" ht="14" x14ac:dyDescent="0.2">
      <c r="AG270" s="1"/>
      <c r="AH270" s="7"/>
    </row>
    <row r="271" spans="33:34" ht="14" x14ac:dyDescent="0.2">
      <c r="AG271" s="1"/>
      <c r="AH271" s="7"/>
    </row>
    <row r="272" spans="33:34" ht="14" x14ac:dyDescent="0.2">
      <c r="AG272" s="1"/>
      <c r="AH272" s="7"/>
    </row>
    <row r="273" spans="33:34" ht="14" x14ac:dyDescent="0.2">
      <c r="AG273" s="1"/>
      <c r="AH273" s="7"/>
    </row>
    <row r="274" spans="33:34" ht="14" x14ac:dyDescent="0.2">
      <c r="AG274" s="1"/>
      <c r="AH274" s="7"/>
    </row>
    <row r="275" spans="33:34" ht="14" x14ac:dyDescent="0.2">
      <c r="AG275" s="1"/>
      <c r="AH275" s="7"/>
    </row>
    <row r="276" spans="33:34" ht="14" x14ac:dyDescent="0.2">
      <c r="AG276" s="1"/>
      <c r="AH276" s="7"/>
    </row>
    <row r="277" spans="33:34" ht="14" x14ac:dyDescent="0.2">
      <c r="AG277" s="1"/>
      <c r="AH277" s="7"/>
    </row>
    <row r="278" spans="33:34" ht="14" x14ac:dyDescent="0.2">
      <c r="AG278" s="1"/>
      <c r="AH278" s="7"/>
    </row>
    <row r="279" spans="33:34" ht="14" x14ac:dyDescent="0.2">
      <c r="AG279" s="1"/>
      <c r="AH279" s="7"/>
    </row>
    <row r="280" spans="33:34" ht="14" x14ac:dyDescent="0.2">
      <c r="AG280" s="1"/>
      <c r="AH280" s="7"/>
    </row>
    <row r="281" spans="33:34" ht="14" x14ac:dyDescent="0.2">
      <c r="AG281" s="1"/>
      <c r="AH281" s="7"/>
    </row>
    <row r="282" spans="33:34" ht="14" x14ac:dyDescent="0.2">
      <c r="AG282" s="1"/>
      <c r="AH282" s="7"/>
    </row>
    <row r="283" spans="33:34" ht="14" x14ac:dyDescent="0.2">
      <c r="AG283" s="1"/>
      <c r="AH283" s="7"/>
    </row>
    <row r="284" spans="33:34" ht="14" x14ac:dyDescent="0.2">
      <c r="AG284" s="1"/>
      <c r="AH284" s="7"/>
    </row>
    <row r="285" spans="33:34" ht="14" x14ac:dyDescent="0.2">
      <c r="AG285" s="1"/>
      <c r="AH285" s="7"/>
    </row>
    <row r="286" spans="33:34" ht="14" x14ac:dyDescent="0.2">
      <c r="AG286" s="1"/>
      <c r="AH286" s="7"/>
    </row>
    <row r="287" spans="33:34" ht="14" x14ac:dyDescent="0.2">
      <c r="AG287" s="1"/>
      <c r="AH287" s="7"/>
    </row>
    <row r="288" spans="33:34" ht="14" x14ac:dyDescent="0.2">
      <c r="AG288" s="1"/>
      <c r="AH288" s="7"/>
    </row>
    <row r="289" spans="33:34" ht="14" x14ac:dyDescent="0.2">
      <c r="AG289" s="1"/>
      <c r="AH289" s="7"/>
    </row>
    <row r="290" spans="33:34" ht="14" x14ac:dyDescent="0.2">
      <c r="AG290" s="1"/>
      <c r="AH290" s="7"/>
    </row>
    <row r="291" spans="33:34" ht="14" x14ac:dyDescent="0.2">
      <c r="AG291" s="1"/>
      <c r="AH291" s="7"/>
    </row>
    <row r="292" spans="33:34" ht="14" x14ac:dyDescent="0.2">
      <c r="AG292" s="1"/>
      <c r="AH292" s="7"/>
    </row>
    <row r="293" spans="33:34" ht="14" x14ac:dyDescent="0.2">
      <c r="AG293" s="1"/>
      <c r="AH293" s="7"/>
    </row>
    <row r="294" spans="33:34" ht="14" x14ac:dyDescent="0.2">
      <c r="AG294" s="1"/>
      <c r="AH294" s="7"/>
    </row>
    <row r="295" spans="33:34" ht="14" x14ac:dyDescent="0.2">
      <c r="AG295" s="1"/>
      <c r="AH295" s="7"/>
    </row>
    <row r="296" spans="33:34" ht="14" x14ac:dyDescent="0.2">
      <c r="AG296" s="1"/>
      <c r="AH296" s="7"/>
    </row>
    <row r="297" spans="33:34" ht="14" x14ac:dyDescent="0.2">
      <c r="AG297" s="1"/>
      <c r="AH297" s="7"/>
    </row>
    <row r="298" spans="33:34" ht="14" x14ac:dyDescent="0.2">
      <c r="AG298" s="1"/>
      <c r="AH298" s="7"/>
    </row>
    <row r="299" spans="33:34" ht="14" x14ac:dyDescent="0.2">
      <c r="AG299" s="1"/>
      <c r="AH299" s="7"/>
    </row>
    <row r="300" spans="33:34" ht="14" x14ac:dyDescent="0.2">
      <c r="AG300" s="1"/>
      <c r="AH300" s="7"/>
    </row>
    <row r="301" spans="33:34" ht="14" x14ac:dyDescent="0.2">
      <c r="AG301" s="1"/>
      <c r="AH301" s="7"/>
    </row>
    <row r="302" spans="33:34" ht="14" x14ac:dyDescent="0.2">
      <c r="AG302" s="1"/>
      <c r="AH302" s="7"/>
    </row>
    <row r="303" spans="33:34" ht="14" x14ac:dyDescent="0.2">
      <c r="AG303" s="1"/>
      <c r="AH303" s="7"/>
    </row>
    <row r="304" spans="33:34" ht="14" x14ac:dyDescent="0.2">
      <c r="AG304" s="1"/>
      <c r="AH304" s="7"/>
    </row>
    <row r="305" spans="33:34" ht="14" x14ac:dyDescent="0.2">
      <c r="AG305" s="1"/>
      <c r="AH305" s="7"/>
    </row>
    <row r="306" spans="33:34" ht="14" x14ac:dyDescent="0.2">
      <c r="AG306" s="1"/>
      <c r="AH306" s="7"/>
    </row>
    <row r="307" spans="33:34" ht="14" x14ac:dyDescent="0.2">
      <c r="AG307" s="1"/>
      <c r="AH307" s="7"/>
    </row>
    <row r="308" spans="33:34" ht="14" x14ac:dyDescent="0.2">
      <c r="AG308" s="1"/>
      <c r="AH308" s="7"/>
    </row>
    <row r="309" spans="33:34" ht="14" x14ac:dyDescent="0.2">
      <c r="AG309" s="1"/>
      <c r="AH309" s="7"/>
    </row>
    <row r="310" spans="33:34" ht="14" x14ac:dyDescent="0.2">
      <c r="AG310" s="1"/>
      <c r="AH310" s="7"/>
    </row>
    <row r="311" spans="33:34" ht="14" x14ac:dyDescent="0.2">
      <c r="AG311" s="1"/>
      <c r="AH311" s="7"/>
    </row>
    <row r="312" spans="33:34" ht="14" x14ac:dyDescent="0.2">
      <c r="AG312" s="1"/>
      <c r="AH312" s="7"/>
    </row>
    <row r="313" spans="33:34" ht="14" x14ac:dyDescent="0.2">
      <c r="AG313" s="1"/>
      <c r="AH313" s="7"/>
    </row>
    <row r="314" spans="33:34" ht="14" x14ac:dyDescent="0.2">
      <c r="AG314" s="1"/>
      <c r="AH314" s="7"/>
    </row>
    <row r="315" spans="33:34" ht="14" x14ac:dyDescent="0.2">
      <c r="AG315" s="1"/>
      <c r="AH315" s="7"/>
    </row>
    <row r="316" spans="33:34" ht="14" x14ac:dyDescent="0.2">
      <c r="AG316" s="1"/>
      <c r="AH316" s="7"/>
    </row>
    <row r="317" spans="33:34" ht="14" x14ac:dyDescent="0.2">
      <c r="AG317" s="1"/>
      <c r="AH317" s="7"/>
    </row>
    <row r="318" spans="33:34" ht="14" x14ac:dyDescent="0.2">
      <c r="AG318" s="1"/>
      <c r="AH318" s="7"/>
    </row>
    <row r="319" spans="33:34" ht="14" x14ac:dyDescent="0.2">
      <c r="AG319" s="1"/>
      <c r="AH319" s="7"/>
    </row>
    <row r="320" spans="33:34" ht="14" x14ac:dyDescent="0.2">
      <c r="AG320" s="1"/>
      <c r="AH320" s="7"/>
    </row>
    <row r="321" spans="33:34" ht="14" x14ac:dyDescent="0.2">
      <c r="AG321" s="1"/>
      <c r="AH321" s="7"/>
    </row>
    <row r="322" spans="33:34" ht="14" x14ac:dyDescent="0.2">
      <c r="AG322" s="1"/>
      <c r="AH322" s="7"/>
    </row>
    <row r="323" spans="33:34" ht="14" x14ac:dyDescent="0.2">
      <c r="AG323" s="1"/>
      <c r="AH323" s="7"/>
    </row>
    <row r="324" spans="33:34" ht="14" x14ac:dyDescent="0.2">
      <c r="AG324" s="1"/>
      <c r="AH324" s="7"/>
    </row>
    <row r="325" spans="33:34" ht="14" x14ac:dyDescent="0.2">
      <c r="AG325" s="1"/>
      <c r="AH325" s="7"/>
    </row>
    <row r="326" spans="33:34" ht="14" x14ac:dyDescent="0.2">
      <c r="AG326" s="1"/>
      <c r="AH326" s="7"/>
    </row>
    <row r="327" spans="33:34" ht="14" x14ac:dyDescent="0.2">
      <c r="AG327" s="1"/>
      <c r="AH327" s="7"/>
    </row>
    <row r="328" spans="33:34" ht="14" x14ac:dyDescent="0.2">
      <c r="AG328" s="1"/>
      <c r="AH328" s="7"/>
    </row>
    <row r="329" spans="33:34" ht="14" x14ac:dyDescent="0.2">
      <c r="AG329" s="1"/>
      <c r="AH329" s="7"/>
    </row>
    <row r="330" spans="33:34" ht="14" x14ac:dyDescent="0.2">
      <c r="AG330" s="1"/>
      <c r="AH330" s="7"/>
    </row>
    <row r="331" spans="33:34" ht="14" x14ac:dyDescent="0.2">
      <c r="AG331" s="1"/>
      <c r="AH331" s="7"/>
    </row>
    <row r="332" spans="33:34" ht="14" x14ac:dyDescent="0.2">
      <c r="AG332" s="1"/>
      <c r="AH332" s="7"/>
    </row>
    <row r="333" spans="33:34" ht="14" x14ac:dyDescent="0.2">
      <c r="AG333" s="1"/>
      <c r="AH333" s="7"/>
    </row>
    <row r="334" spans="33:34" ht="14" x14ac:dyDescent="0.2">
      <c r="AG334" s="1"/>
      <c r="AH334" s="7"/>
    </row>
    <row r="335" spans="33:34" ht="14" x14ac:dyDescent="0.2">
      <c r="AG335" s="1"/>
      <c r="AH335" s="7"/>
    </row>
    <row r="336" spans="33:34" ht="14" x14ac:dyDescent="0.2">
      <c r="AG336" s="1"/>
      <c r="AH336" s="7"/>
    </row>
    <row r="337" spans="33:34" ht="14" x14ac:dyDescent="0.2">
      <c r="AG337" s="1"/>
      <c r="AH337" s="7"/>
    </row>
    <row r="338" spans="33:34" ht="14" x14ac:dyDescent="0.2">
      <c r="AG338" s="1"/>
      <c r="AH338" s="7"/>
    </row>
    <row r="339" spans="33:34" ht="14" x14ac:dyDescent="0.2">
      <c r="AG339" s="1"/>
      <c r="AH339" s="7"/>
    </row>
    <row r="340" spans="33:34" ht="14" x14ac:dyDescent="0.2">
      <c r="AG340" s="1"/>
      <c r="AH340" s="7"/>
    </row>
    <row r="341" spans="33:34" ht="14" x14ac:dyDescent="0.2">
      <c r="AG341" s="1"/>
      <c r="AH341" s="7"/>
    </row>
    <row r="342" spans="33:34" ht="14" x14ac:dyDescent="0.2">
      <c r="AG342" s="1"/>
      <c r="AH342" s="7"/>
    </row>
    <row r="343" spans="33:34" ht="14" x14ac:dyDescent="0.2">
      <c r="AG343" s="1"/>
      <c r="AH343" s="7"/>
    </row>
    <row r="344" spans="33:34" ht="14" x14ac:dyDescent="0.2">
      <c r="AG344" s="1"/>
      <c r="AH344" s="7"/>
    </row>
    <row r="345" spans="33:34" ht="14" x14ac:dyDescent="0.2">
      <c r="AG345" s="1"/>
      <c r="AH345" s="7"/>
    </row>
    <row r="346" spans="33:34" ht="14" x14ac:dyDescent="0.2">
      <c r="AG346" s="1"/>
      <c r="AH346" s="7"/>
    </row>
    <row r="347" spans="33:34" ht="14" x14ac:dyDescent="0.2">
      <c r="AG347" s="1"/>
      <c r="AH347" s="7"/>
    </row>
    <row r="348" spans="33:34" ht="14" x14ac:dyDescent="0.2">
      <c r="AG348" s="1"/>
      <c r="AH348" s="7"/>
    </row>
    <row r="349" spans="33:34" ht="14" x14ac:dyDescent="0.2">
      <c r="AG349" s="1"/>
      <c r="AH349" s="7"/>
    </row>
    <row r="350" spans="33:34" ht="14" x14ac:dyDescent="0.2">
      <c r="AG350" s="1"/>
      <c r="AH350" s="7"/>
    </row>
    <row r="351" spans="33:34" ht="14" x14ac:dyDescent="0.2">
      <c r="AG351" s="1"/>
      <c r="AH351" s="7"/>
    </row>
    <row r="352" spans="33:34" ht="14" x14ac:dyDescent="0.2">
      <c r="AG352" s="1"/>
      <c r="AH352" s="7"/>
    </row>
    <row r="353" spans="33:34" ht="14" x14ac:dyDescent="0.2">
      <c r="AG353" s="1"/>
      <c r="AH353" s="7"/>
    </row>
    <row r="354" spans="33:34" ht="14" x14ac:dyDescent="0.2">
      <c r="AG354" s="1"/>
      <c r="AH354" s="7"/>
    </row>
    <row r="355" spans="33:34" ht="14" x14ac:dyDescent="0.2">
      <c r="AG355" s="1"/>
      <c r="AH355" s="7"/>
    </row>
    <row r="356" spans="33:34" ht="14" x14ac:dyDescent="0.2">
      <c r="AG356" s="1"/>
      <c r="AH356" s="7"/>
    </row>
    <row r="357" spans="33:34" ht="14" x14ac:dyDescent="0.2">
      <c r="AG357" s="1"/>
      <c r="AH357" s="7"/>
    </row>
    <row r="358" spans="33:34" ht="14" x14ac:dyDescent="0.2">
      <c r="AG358" s="1"/>
      <c r="AH358" s="7"/>
    </row>
    <row r="359" spans="33:34" ht="14" x14ac:dyDescent="0.2">
      <c r="AG359" s="1"/>
      <c r="AH359" s="7"/>
    </row>
    <row r="360" spans="33:34" ht="14" x14ac:dyDescent="0.2">
      <c r="AG360" s="1"/>
      <c r="AH360" s="7"/>
    </row>
    <row r="361" spans="33:34" ht="14" x14ac:dyDescent="0.2">
      <c r="AG361" s="1"/>
      <c r="AH361" s="7"/>
    </row>
    <row r="362" spans="33:34" ht="14" x14ac:dyDescent="0.2">
      <c r="AG362" s="1"/>
      <c r="AH362" s="7"/>
    </row>
    <row r="363" spans="33:34" ht="14" x14ac:dyDescent="0.2">
      <c r="AG363" s="1"/>
      <c r="AH363" s="7"/>
    </row>
    <row r="364" spans="33:34" ht="14" x14ac:dyDescent="0.2">
      <c r="AG364" s="1"/>
      <c r="AH364" s="7"/>
    </row>
    <row r="365" spans="33:34" ht="14" x14ac:dyDescent="0.2">
      <c r="AG365" s="1"/>
      <c r="AH365" s="7"/>
    </row>
    <row r="366" spans="33:34" ht="14" x14ac:dyDescent="0.2">
      <c r="AG366" s="1"/>
      <c r="AH366" s="7"/>
    </row>
    <row r="367" spans="33:34" ht="14" x14ac:dyDescent="0.2">
      <c r="AG367" s="1"/>
      <c r="AH367" s="7"/>
    </row>
    <row r="368" spans="33:34" ht="14" x14ac:dyDescent="0.2">
      <c r="AG368" s="1"/>
      <c r="AH368" s="7"/>
    </row>
    <row r="369" spans="33:34" ht="14" x14ac:dyDescent="0.2">
      <c r="AG369" s="1"/>
      <c r="AH369" s="7"/>
    </row>
    <row r="370" spans="33:34" ht="14" x14ac:dyDescent="0.2">
      <c r="AG370" s="1"/>
      <c r="AH370" s="7"/>
    </row>
    <row r="371" spans="33:34" ht="14" x14ac:dyDescent="0.2">
      <c r="AG371" s="1"/>
      <c r="AH371" s="7"/>
    </row>
    <row r="372" spans="33:34" ht="14" x14ac:dyDescent="0.2">
      <c r="AG372" s="1"/>
      <c r="AH372" s="7"/>
    </row>
    <row r="373" spans="33:34" ht="14" x14ac:dyDescent="0.2">
      <c r="AG373" s="1"/>
      <c r="AH373" s="7"/>
    </row>
    <row r="374" spans="33:34" ht="14" x14ac:dyDescent="0.2">
      <c r="AG374" s="1"/>
      <c r="AH374" s="7"/>
    </row>
    <row r="375" spans="33:34" ht="14" x14ac:dyDescent="0.2">
      <c r="AG375" s="1"/>
      <c r="AH375" s="7"/>
    </row>
    <row r="376" spans="33:34" ht="14" x14ac:dyDescent="0.2">
      <c r="AG376" s="1"/>
      <c r="AH376" s="7"/>
    </row>
    <row r="377" spans="33:34" ht="14" x14ac:dyDescent="0.2">
      <c r="AG377" s="1"/>
      <c r="AH377" s="7"/>
    </row>
    <row r="378" spans="33:34" ht="14" x14ac:dyDescent="0.2">
      <c r="AG378" s="1"/>
      <c r="AH378" s="7"/>
    </row>
    <row r="379" spans="33:34" ht="14" x14ac:dyDescent="0.2">
      <c r="AG379" s="1"/>
      <c r="AH379" s="7"/>
    </row>
    <row r="380" spans="33:34" ht="14" x14ac:dyDescent="0.2">
      <c r="AG380" s="1"/>
      <c r="AH380" s="7"/>
    </row>
    <row r="381" spans="33:34" ht="14" x14ac:dyDescent="0.2">
      <c r="AG381" s="1"/>
      <c r="AH381" s="7"/>
    </row>
    <row r="382" spans="33:34" ht="14" x14ac:dyDescent="0.2">
      <c r="AG382" s="1"/>
      <c r="AH382" s="7"/>
    </row>
    <row r="383" spans="33:34" ht="14" x14ac:dyDescent="0.2">
      <c r="AG383" s="1"/>
      <c r="AH383" s="7"/>
    </row>
    <row r="384" spans="33:34" ht="14" x14ac:dyDescent="0.2">
      <c r="AG384" s="1"/>
      <c r="AH384" s="7"/>
    </row>
    <row r="385" spans="33:34" ht="14" x14ac:dyDescent="0.2">
      <c r="AG385" s="1"/>
      <c r="AH385" s="7"/>
    </row>
    <row r="386" spans="33:34" ht="14" x14ac:dyDescent="0.2">
      <c r="AG386" s="1"/>
      <c r="AH386" s="7"/>
    </row>
    <row r="387" spans="33:34" ht="14" x14ac:dyDescent="0.2">
      <c r="AG387" s="1"/>
      <c r="AH387" s="7"/>
    </row>
    <row r="388" spans="33:34" ht="14" x14ac:dyDescent="0.2">
      <c r="AG388" s="1"/>
      <c r="AH388" s="7"/>
    </row>
    <row r="389" spans="33:34" ht="14" x14ac:dyDescent="0.2">
      <c r="AG389" s="1"/>
      <c r="AH389" s="7"/>
    </row>
    <row r="390" spans="33:34" ht="14" x14ac:dyDescent="0.2">
      <c r="AG390" s="1"/>
      <c r="AH390" s="7"/>
    </row>
    <row r="391" spans="33:34" ht="14" x14ac:dyDescent="0.2">
      <c r="AG391" s="1"/>
      <c r="AH391" s="7"/>
    </row>
    <row r="392" spans="33:34" ht="14" x14ac:dyDescent="0.2">
      <c r="AG392" s="1"/>
      <c r="AH392" s="7"/>
    </row>
    <row r="393" spans="33:34" ht="14" x14ac:dyDescent="0.2">
      <c r="AG393" s="1"/>
      <c r="AH393" s="7"/>
    </row>
    <row r="394" spans="33:34" ht="14" x14ac:dyDescent="0.2">
      <c r="AG394" s="1"/>
      <c r="AH394" s="7"/>
    </row>
    <row r="395" spans="33:34" ht="14" x14ac:dyDescent="0.2">
      <c r="AG395" s="1"/>
      <c r="AH395" s="7"/>
    </row>
    <row r="396" spans="33:34" ht="14" x14ac:dyDescent="0.2">
      <c r="AG396" s="1"/>
      <c r="AH396" s="7"/>
    </row>
    <row r="397" spans="33:34" ht="14" x14ac:dyDescent="0.2">
      <c r="AG397" s="1"/>
      <c r="AH397" s="7"/>
    </row>
    <row r="398" spans="33:34" ht="14" x14ac:dyDescent="0.2">
      <c r="AG398" s="1"/>
      <c r="AH398" s="7"/>
    </row>
    <row r="399" spans="33:34" ht="14" x14ac:dyDescent="0.2">
      <c r="AG399" s="1"/>
      <c r="AH399" s="7"/>
    </row>
    <row r="400" spans="33:34" ht="14" x14ac:dyDescent="0.2">
      <c r="AG400" s="1"/>
      <c r="AH400" s="7"/>
    </row>
    <row r="401" spans="33:34" ht="14" x14ac:dyDescent="0.2">
      <c r="AG401" s="1"/>
      <c r="AH401" s="7"/>
    </row>
    <row r="402" spans="33:34" ht="14" x14ac:dyDescent="0.2">
      <c r="AG402" s="1"/>
      <c r="AH402" s="7"/>
    </row>
    <row r="403" spans="33:34" ht="14" x14ac:dyDescent="0.2">
      <c r="AG403" s="1"/>
      <c r="AH403" s="7"/>
    </row>
    <row r="404" spans="33:34" ht="14" x14ac:dyDescent="0.2">
      <c r="AG404" s="1"/>
      <c r="AH404" s="7"/>
    </row>
    <row r="405" spans="33:34" ht="14" x14ac:dyDescent="0.2">
      <c r="AG405" s="1"/>
      <c r="AH405" s="7"/>
    </row>
    <row r="406" spans="33:34" ht="14" x14ac:dyDescent="0.2">
      <c r="AG406" s="1"/>
      <c r="AH406" s="7"/>
    </row>
    <row r="407" spans="33:34" ht="14" x14ac:dyDescent="0.2">
      <c r="AG407" s="1"/>
      <c r="AH407" s="7"/>
    </row>
    <row r="408" spans="33:34" ht="14" x14ac:dyDescent="0.2">
      <c r="AG408" s="1"/>
      <c r="AH408" s="7"/>
    </row>
    <row r="409" spans="33:34" ht="14" x14ac:dyDescent="0.2">
      <c r="AG409" s="1"/>
      <c r="AH409" s="7"/>
    </row>
    <row r="410" spans="33:34" ht="14" x14ac:dyDescent="0.2">
      <c r="AG410" s="1"/>
      <c r="AH410" s="7"/>
    </row>
    <row r="411" spans="33:34" ht="14" x14ac:dyDescent="0.2">
      <c r="AG411" s="1"/>
      <c r="AH411" s="7"/>
    </row>
    <row r="412" spans="33:34" ht="14" x14ac:dyDescent="0.2">
      <c r="AG412" s="1"/>
      <c r="AH412" s="7"/>
    </row>
    <row r="413" spans="33:34" ht="14" x14ac:dyDescent="0.2">
      <c r="AG413" s="1"/>
      <c r="AH413" s="7"/>
    </row>
    <row r="414" spans="33:34" ht="14" x14ac:dyDescent="0.2">
      <c r="AG414" s="1"/>
      <c r="AH414" s="7"/>
    </row>
    <row r="415" spans="33:34" ht="14" x14ac:dyDescent="0.2">
      <c r="AG415" s="1"/>
      <c r="AH415" s="7"/>
    </row>
    <row r="416" spans="33:34" ht="14" x14ac:dyDescent="0.2">
      <c r="AG416" s="1"/>
      <c r="AH416" s="7"/>
    </row>
    <row r="417" spans="33:34" ht="14" x14ac:dyDescent="0.2">
      <c r="AG417" s="1"/>
      <c r="AH417" s="7"/>
    </row>
    <row r="418" spans="33:34" ht="14" x14ac:dyDescent="0.2">
      <c r="AG418" s="1"/>
      <c r="AH418" s="7"/>
    </row>
    <row r="419" spans="33:34" ht="14" x14ac:dyDescent="0.2">
      <c r="AG419" s="1"/>
      <c r="AH419" s="7"/>
    </row>
    <row r="420" spans="33:34" ht="14" x14ac:dyDescent="0.2">
      <c r="AG420" s="1"/>
      <c r="AH420" s="7"/>
    </row>
    <row r="421" spans="33:34" ht="14" x14ac:dyDescent="0.2">
      <c r="AG421" s="1"/>
      <c r="AH421" s="7"/>
    </row>
    <row r="422" spans="33:34" ht="14" x14ac:dyDescent="0.2">
      <c r="AG422" s="1"/>
      <c r="AH422" s="7"/>
    </row>
    <row r="423" spans="33:34" ht="14" x14ac:dyDescent="0.2">
      <c r="AG423" s="1"/>
      <c r="AH423" s="7"/>
    </row>
    <row r="424" spans="33:34" ht="14" x14ac:dyDescent="0.2">
      <c r="AG424" s="1"/>
      <c r="AH424" s="7"/>
    </row>
    <row r="425" spans="33:34" ht="14" x14ac:dyDescent="0.2">
      <c r="AG425" s="1"/>
      <c r="AH425" s="7"/>
    </row>
    <row r="426" spans="33:34" ht="14" x14ac:dyDescent="0.2">
      <c r="AG426" s="1"/>
      <c r="AH426" s="7"/>
    </row>
    <row r="427" spans="33:34" ht="14" x14ac:dyDescent="0.2">
      <c r="AG427" s="1"/>
      <c r="AH427" s="7"/>
    </row>
    <row r="428" spans="33:34" ht="14" x14ac:dyDescent="0.2">
      <c r="AG428" s="1"/>
      <c r="AH428" s="7"/>
    </row>
    <row r="429" spans="33:34" ht="14" x14ac:dyDescent="0.2">
      <c r="AG429" s="1"/>
      <c r="AH429" s="7"/>
    </row>
    <row r="430" spans="33:34" ht="14" x14ac:dyDescent="0.2">
      <c r="AG430" s="1"/>
      <c r="AH430" s="7"/>
    </row>
    <row r="431" spans="33:34" ht="14" x14ac:dyDescent="0.2">
      <c r="AG431" s="1"/>
      <c r="AH431" s="7"/>
    </row>
    <row r="432" spans="33:34" ht="14" x14ac:dyDescent="0.2">
      <c r="AG432" s="1"/>
      <c r="AH432" s="7"/>
    </row>
    <row r="433" spans="33:34" ht="14" x14ac:dyDescent="0.2">
      <c r="AG433" s="1"/>
      <c r="AH433" s="7"/>
    </row>
    <row r="434" spans="33:34" ht="14" x14ac:dyDescent="0.2">
      <c r="AG434" s="1"/>
      <c r="AH434" s="7"/>
    </row>
    <row r="435" spans="33:34" ht="14" x14ac:dyDescent="0.2">
      <c r="AG435" s="1"/>
      <c r="AH435" s="7"/>
    </row>
    <row r="436" spans="33:34" ht="14" x14ac:dyDescent="0.2">
      <c r="AG436" s="1"/>
      <c r="AH436" s="7"/>
    </row>
    <row r="437" spans="33:34" ht="14" x14ac:dyDescent="0.2">
      <c r="AG437" s="1"/>
      <c r="AH437" s="7"/>
    </row>
    <row r="438" spans="33:34" ht="14" x14ac:dyDescent="0.2">
      <c r="AG438" s="1"/>
      <c r="AH438" s="7"/>
    </row>
    <row r="439" spans="33:34" ht="14" x14ac:dyDescent="0.2">
      <c r="AG439" s="1"/>
      <c r="AH439" s="7"/>
    </row>
    <row r="440" spans="33:34" ht="14" x14ac:dyDescent="0.2">
      <c r="AG440" s="1"/>
      <c r="AH440" s="7"/>
    </row>
    <row r="441" spans="33:34" ht="14" x14ac:dyDescent="0.2">
      <c r="AG441" s="1"/>
      <c r="AH441" s="7"/>
    </row>
    <row r="442" spans="33:34" ht="14" x14ac:dyDescent="0.2">
      <c r="AG442" s="1"/>
      <c r="AH442" s="7"/>
    </row>
    <row r="443" spans="33:34" ht="14" x14ac:dyDescent="0.2">
      <c r="AG443" s="1"/>
      <c r="AH443" s="7"/>
    </row>
    <row r="444" spans="33:34" ht="14" x14ac:dyDescent="0.2">
      <c r="AG444" s="1"/>
      <c r="AH444" s="7"/>
    </row>
    <row r="445" spans="33:34" ht="14" x14ac:dyDescent="0.2">
      <c r="AG445" s="1"/>
      <c r="AH445" s="7"/>
    </row>
    <row r="446" spans="33:34" ht="14" x14ac:dyDescent="0.2">
      <c r="AG446" s="1"/>
      <c r="AH446" s="7"/>
    </row>
    <row r="447" spans="33:34" ht="14" x14ac:dyDescent="0.2">
      <c r="AG447" s="1"/>
      <c r="AH447" s="7"/>
    </row>
    <row r="448" spans="33:34" ht="14" x14ac:dyDescent="0.2">
      <c r="AG448" s="1"/>
      <c r="AH448" s="7"/>
    </row>
    <row r="449" spans="33:34" ht="14" x14ac:dyDescent="0.2">
      <c r="AG449" s="1"/>
      <c r="AH449" s="7"/>
    </row>
    <row r="450" spans="33:34" ht="14" x14ac:dyDescent="0.2">
      <c r="AG450" s="1"/>
      <c r="AH450" s="7"/>
    </row>
    <row r="451" spans="33:34" ht="14" x14ac:dyDescent="0.2">
      <c r="AG451" s="1"/>
      <c r="AH451" s="7"/>
    </row>
    <row r="452" spans="33:34" ht="14" x14ac:dyDescent="0.2">
      <c r="AG452" s="1"/>
      <c r="AH452" s="7"/>
    </row>
    <row r="453" spans="33:34" ht="14" x14ac:dyDescent="0.2">
      <c r="AG453" s="1"/>
      <c r="AH453" s="7"/>
    </row>
    <row r="454" spans="33:34" ht="14" x14ac:dyDescent="0.2">
      <c r="AG454" s="1"/>
      <c r="AH454" s="7"/>
    </row>
    <row r="455" spans="33:34" ht="14" x14ac:dyDescent="0.2">
      <c r="AG455" s="1"/>
      <c r="AH455" s="7"/>
    </row>
    <row r="456" spans="33:34" ht="14" x14ac:dyDescent="0.2">
      <c r="AG456" s="1"/>
      <c r="AH456" s="7"/>
    </row>
    <row r="457" spans="33:34" ht="14" x14ac:dyDescent="0.2">
      <c r="AG457" s="1"/>
      <c r="AH457" s="7"/>
    </row>
    <row r="458" spans="33:34" ht="14" x14ac:dyDescent="0.2">
      <c r="AG458" s="1"/>
      <c r="AH458" s="7"/>
    </row>
    <row r="459" spans="33:34" ht="14" x14ac:dyDescent="0.2">
      <c r="AG459" s="1"/>
      <c r="AH459" s="7"/>
    </row>
    <row r="460" spans="33:34" ht="14" x14ac:dyDescent="0.2">
      <c r="AG460" s="1"/>
      <c r="AH460" s="7"/>
    </row>
    <row r="461" spans="33:34" ht="14" x14ac:dyDescent="0.2">
      <c r="AG461" s="1"/>
      <c r="AH461" s="7"/>
    </row>
    <row r="462" spans="33:34" ht="14" x14ac:dyDescent="0.2">
      <c r="AG462" s="1"/>
      <c r="AH462" s="7"/>
    </row>
    <row r="463" spans="33:34" ht="14" x14ac:dyDescent="0.2">
      <c r="AG463" s="1"/>
      <c r="AH463" s="7"/>
    </row>
    <row r="464" spans="33:34" ht="14" x14ac:dyDescent="0.2">
      <c r="AG464" s="1"/>
      <c r="AH464" s="7"/>
    </row>
    <row r="465" spans="33:34" ht="14" x14ac:dyDescent="0.2">
      <c r="AG465" s="1"/>
      <c r="AH465" s="7"/>
    </row>
    <row r="466" spans="33:34" ht="14" x14ac:dyDescent="0.2">
      <c r="AG466" s="1"/>
      <c r="AH466" s="7"/>
    </row>
    <row r="467" spans="33:34" ht="14" x14ac:dyDescent="0.2">
      <c r="AG467" s="1"/>
      <c r="AH467" s="7"/>
    </row>
    <row r="468" spans="33:34" ht="14" x14ac:dyDescent="0.2">
      <c r="AG468" s="1"/>
      <c r="AH468" s="7"/>
    </row>
    <row r="469" spans="33:34" ht="14" x14ac:dyDescent="0.2">
      <c r="AG469" s="1"/>
      <c r="AH469" s="7"/>
    </row>
    <row r="470" spans="33:34" ht="14" x14ac:dyDescent="0.2">
      <c r="AG470" s="1"/>
      <c r="AH470" s="7"/>
    </row>
    <row r="471" spans="33:34" ht="14" x14ac:dyDescent="0.2">
      <c r="AG471" s="1"/>
      <c r="AH471" s="7"/>
    </row>
    <row r="472" spans="33:34" ht="14" x14ac:dyDescent="0.2">
      <c r="AG472" s="1"/>
      <c r="AH472" s="7"/>
    </row>
    <row r="473" spans="33:34" ht="14" x14ac:dyDescent="0.2">
      <c r="AG473" s="1"/>
      <c r="AH473" s="7"/>
    </row>
    <row r="474" spans="33:34" ht="14" x14ac:dyDescent="0.2">
      <c r="AG474" s="1"/>
      <c r="AH474" s="7"/>
    </row>
    <row r="475" spans="33:34" ht="14" x14ac:dyDescent="0.2">
      <c r="AG475" s="1"/>
      <c r="AH475" s="7"/>
    </row>
    <row r="476" spans="33:34" ht="14" x14ac:dyDescent="0.2">
      <c r="AG476" s="1"/>
      <c r="AH476" s="7"/>
    </row>
    <row r="477" spans="33:34" ht="14" x14ac:dyDescent="0.2">
      <c r="AG477" s="1"/>
      <c r="AH477" s="7"/>
    </row>
    <row r="478" spans="33:34" ht="14" x14ac:dyDescent="0.2">
      <c r="AG478" s="1"/>
      <c r="AH478" s="7"/>
    </row>
    <row r="479" spans="33:34" ht="14" x14ac:dyDescent="0.2">
      <c r="AG479" s="1"/>
      <c r="AH479" s="7"/>
    </row>
    <row r="480" spans="33:34" ht="14" x14ac:dyDescent="0.2">
      <c r="AG480" s="1"/>
      <c r="AH480" s="7"/>
    </row>
    <row r="481" spans="33:34" ht="14" x14ac:dyDescent="0.2">
      <c r="AG481" s="1"/>
      <c r="AH481" s="7"/>
    </row>
    <row r="482" spans="33:34" ht="14" x14ac:dyDescent="0.2">
      <c r="AG482" s="1"/>
      <c r="AH482" s="7"/>
    </row>
    <row r="483" spans="33:34" ht="14" x14ac:dyDescent="0.2">
      <c r="AG483" s="1"/>
      <c r="AH483" s="7"/>
    </row>
    <row r="484" spans="33:34" ht="14" x14ac:dyDescent="0.2">
      <c r="AG484" s="1"/>
      <c r="AH484" s="7"/>
    </row>
    <row r="485" spans="33:34" ht="14" x14ac:dyDescent="0.2">
      <c r="AG485" s="1"/>
      <c r="AH485" s="7"/>
    </row>
    <row r="486" spans="33:34" ht="14" x14ac:dyDescent="0.2">
      <c r="AG486" s="1"/>
      <c r="AH486" s="7"/>
    </row>
    <row r="487" spans="33:34" ht="14" x14ac:dyDescent="0.2">
      <c r="AG487" s="1"/>
      <c r="AH487" s="7"/>
    </row>
    <row r="488" spans="33:34" ht="14" x14ac:dyDescent="0.2">
      <c r="AG488" s="1"/>
      <c r="AH488" s="7"/>
    </row>
    <row r="489" spans="33:34" ht="14" x14ac:dyDescent="0.2">
      <c r="AG489" s="1"/>
      <c r="AH489" s="7"/>
    </row>
    <row r="490" spans="33:34" ht="14" x14ac:dyDescent="0.2">
      <c r="AG490" s="1"/>
      <c r="AH490" s="7"/>
    </row>
    <row r="491" spans="33:34" ht="14" x14ac:dyDescent="0.2">
      <c r="AG491" s="1"/>
      <c r="AH491" s="7"/>
    </row>
    <row r="492" spans="33:34" ht="14" x14ac:dyDescent="0.2">
      <c r="AG492" s="1"/>
      <c r="AH492" s="7"/>
    </row>
    <row r="493" spans="33:34" ht="14" x14ac:dyDescent="0.2">
      <c r="AG493" s="1"/>
      <c r="AH493" s="7"/>
    </row>
    <row r="494" spans="33:34" ht="14" x14ac:dyDescent="0.2">
      <c r="AG494" s="1"/>
      <c r="AH494" s="7"/>
    </row>
    <row r="495" spans="33:34" ht="14" x14ac:dyDescent="0.2">
      <c r="AG495" s="1"/>
      <c r="AH495" s="7"/>
    </row>
    <row r="496" spans="33:34" ht="14" x14ac:dyDescent="0.2">
      <c r="AG496" s="1"/>
      <c r="AH496" s="7"/>
    </row>
    <row r="497" spans="33:34" ht="14" x14ac:dyDescent="0.2">
      <c r="AG497" s="1"/>
      <c r="AH497" s="7"/>
    </row>
    <row r="498" spans="33:34" ht="14" x14ac:dyDescent="0.2">
      <c r="AG498" s="1"/>
      <c r="AH498" s="7"/>
    </row>
    <row r="499" spans="33:34" ht="14" x14ac:dyDescent="0.2">
      <c r="AG499" s="1"/>
      <c r="AH499" s="7"/>
    </row>
    <row r="500" spans="33:34" ht="14" x14ac:dyDescent="0.2">
      <c r="AG500" s="1"/>
      <c r="AH500" s="7"/>
    </row>
    <row r="501" spans="33:34" ht="14" x14ac:dyDescent="0.2">
      <c r="AG501" s="1"/>
      <c r="AH501" s="7"/>
    </row>
    <row r="502" spans="33:34" ht="14" x14ac:dyDescent="0.2">
      <c r="AG502" s="1"/>
      <c r="AH502" s="7"/>
    </row>
    <row r="503" spans="33:34" ht="14" x14ac:dyDescent="0.2">
      <c r="AG503" s="1"/>
      <c r="AH503" s="7"/>
    </row>
    <row r="504" spans="33:34" ht="14" x14ac:dyDescent="0.2">
      <c r="AG504" s="1"/>
      <c r="AH504" s="7"/>
    </row>
    <row r="505" spans="33:34" ht="14" x14ac:dyDescent="0.2">
      <c r="AG505" s="1"/>
      <c r="AH505" s="7"/>
    </row>
    <row r="506" spans="33:34" ht="14" x14ac:dyDescent="0.2">
      <c r="AG506" s="1"/>
      <c r="AH506" s="7"/>
    </row>
    <row r="507" spans="33:34" ht="14" x14ac:dyDescent="0.2">
      <c r="AG507" s="1"/>
      <c r="AH507" s="7"/>
    </row>
    <row r="508" spans="33:34" ht="14" x14ac:dyDescent="0.2">
      <c r="AG508" s="1"/>
      <c r="AH508" s="7"/>
    </row>
    <row r="509" spans="33:34" ht="14" x14ac:dyDescent="0.2">
      <c r="AG509" s="1"/>
      <c r="AH509" s="7"/>
    </row>
    <row r="510" spans="33:34" ht="14" x14ac:dyDescent="0.2">
      <c r="AG510" s="1"/>
      <c r="AH510" s="7"/>
    </row>
    <row r="511" spans="33:34" ht="14" x14ac:dyDescent="0.2">
      <c r="AG511" s="1"/>
      <c r="AH511" s="7"/>
    </row>
    <row r="512" spans="33:34" ht="14" x14ac:dyDescent="0.2">
      <c r="AG512" s="1"/>
      <c r="AH512" s="7"/>
    </row>
    <row r="513" spans="33:34" ht="14" x14ac:dyDescent="0.2">
      <c r="AG513" s="1"/>
      <c r="AH513" s="7"/>
    </row>
    <row r="514" spans="33:34" ht="14" x14ac:dyDescent="0.2">
      <c r="AG514" s="1"/>
      <c r="AH514" s="7"/>
    </row>
    <row r="515" spans="33:34" ht="14" x14ac:dyDescent="0.2">
      <c r="AG515" s="1"/>
      <c r="AH515" s="7"/>
    </row>
    <row r="516" spans="33:34" ht="14" x14ac:dyDescent="0.2">
      <c r="AG516" s="1"/>
      <c r="AH516" s="7"/>
    </row>
    <row r="517" spans="33:34" ht="14" x14ac:dyDescent="0.2">
      <c r="AG517" s="1"/>
      <c r="AH517" s="7"/>
    </row>
    <row r="518" spans="33:34" ht="14" x14ac:dyDescent="0.2">
      <c r="AG518" s="1"/>
      <c r="AH518" s="7"/>
    </row>
    <row r="519" spans="33:34" ht="14" x14ac:dyDescent="0.2">
      <c r="AG519" s="1"/>
      <c r="AH519" s="7"/>
    </row>
    <row r="520" spans="33:34" ht="14" x14ac:dyDescent="0.2">
      <c r="AG520" s="1"/>
      <c r="AH520" s="7"/>
    </row>
    <row r="521" spans="33:34" ht="14" x14ac:dyDescent="0.2">
      <c r="AG521" s="1"/>
      <c r="AH521" s="7"/>
    </row>
    <row r="522" spans="33:34" ht="14" x14ac:dyDescent="0.2">
      <c r="AG522" s="1"/>
      <c r="AH522" s="7"/>
    </row>
    <row r="523" spans="33:34" ht="14" x14ac:dyDescent="0.2">
      <c r="AG523" s="1"/>
      <c r="AH523" s="7"/>
    </row>
    <row r="524" spans="33:34" ht="14" x14ac:dyDescent="0.2">
      <c r="AG524" s="1"/>
      <c r="AH524" s="7"/>
    </row>
    <row r="525" spans="33:34" ht="14" x14ac:dyDescent="0.2">
      <c r="AG525" s="1"/>
      <c r="AH525" s="7"/>
    </row>
    <row r="526" spans="33:34" ht="14" x14ac:dyDescent="0.2">
      <c r="AG526" s="1"/>
      <c r="AH526" s="7"/>
    </row>
    <row r="527" spans="33:34" ht="14" x14ac:dyDescent="0.2">
      <c r="AG527" s="1"/>
      <c r="AH527" s="7"/>
    </row>
    <row r="528" spans="33:34" ht="14" x14ac:dyDescent="0.2">
      <c r="AG528" s="1"/>
      <c r="AH528" s="7"/>
    </row>
    <row r="529" spans="33:34" ht="14" x14ac:dyDescent="0.2">
      <c r="AG529" s="1"/>
      <c r="AH529" s="7"/>
    </row>
    <row r="530" spans="33:34" ht="14" x14ac:dyDescent="0.2">
      <c r="AG530" s="1"/>
      <c r="AH530" s="7"/>
    </row>
    <row r="531" spans="33:34" ht="14" x14ac:dyDescent="0.2">
      <c r="AG531" s="1"/>
      <c r="AH531" s="7"/>
    </row>
    <row r="532" spans="33:34" ht="14" x14ac:dyDescent="0.2">
      <c r="AG532" s="1"/>
      <c r="AH532" s="7"/>
    </row>
    <row r="533" spans="33:34" ht="14" x14ac:dyDescent="0.2">
      <c r="AG533" s="1"/>
      <c r="AH533" s="7"/>
    </row>
    <row r="534" spans="33:34" ht="14" x14ac:dyDescent="0.2">
      <c r="AG534" s="1"/>
      <c r="AH534" s="7"/>
    </row>
    <row r="535" spans="33:34" ht="14" x14ac:dyDescent="0.2">
      <c r="AG535" s="1"/>
      <c r="AH535" s="7"/>
    </row>
    <row r="536" spans="33:34" ht="14" x14ac:dyDescent="0.2">
      <c r="AG536" s="1"/>
      <c r="AH536" s="7"/>
    </row>
    <row r="537" spans="33:34" ht="14" x14ac:dyDescent="0.2">
      <c r="AG537" s="1"/>
      <c r="AH537" s="7"/>
    </row>
    <row r="538" spans="33:34" ht="14" x14ac:dyDescent="0.2">
      <c r="AG538" s="1"/>
      <c r="AH538" s="7"/>
    </row>
    <row r="539" spans="33:34" ht="14" x14ac:dyDescent="0.2">
      <c r="AG539" s="1"/>
      <c r="AH539" s="7"/>
    </row>
    <row r="540" spans="33:34" ht="14" x14ac:dyDescent="0.2">
      <c r="AG540" s="1"/>
      <c r="AH540" s="7"/>
    </row>
    <row r="541" spans="33:34" ht="14" x14ac:dyDescent="0.2">
      <c r="AG541" s="1"/>
      <c r="AH541" s="7"/>
    </row>
    <row r="542" spans="33:34" ht="14" x14ac:dyDescent="0.2">
      <c r="AG542" s="1"/>
      <c r="AH542" s="7"/>
    </row>
    <row r="543" spans="33:34" ht="14" x14ac:dyDescent="0.2">
      <c r="AG543" s="1"/>
      <c r="AH543" s="7"/>
    </row>
    <row r="544" spans="33:34" ht="14" x14ac:dyDescent="0.2">
      <c r="AG544" s="1"/>
      <c r="AH544" s="7"/>
    </row>
    <row r="545" spans="33:34" ht="14" x14ac:dyDescent="0.2">
      <c r="AG545" s="1"/>
      <c r="AH545" s="7"/>
    </row>
    <row r="546" spans="33:34" ht="14" x14ac:dyDescent="0.2">
      <c r="AG546" s="1"/>
      <c r="AH546" s="7"/>
    </row>
    <row r="547" spans="33:34" ht="14" x14ac:dyDescent="0.2">
      <c r="AG547" s="1"/>
      <c r="AH547" s="7"/>
    </row>
    <row r="548" spans="33:34" ht="14" x14ac:dyDescent="0.2">
      <c r="AG548" s="1"/>
      <c r="AH548" s="7"/>
    </row>
    <row r="549" spans="33:34" ht="14" x14ac:dyDescent="0.2">
      <c r="AG549" s="1"/>
      <c r="AH549" s="7"/>
    </row>
    <row r="550" spans="33:34" ht="14" x14ac:dyDescent="0.2">
      <c r="AG550" s="1"/>
      <c r="AH550" s="7"/>
    </row>
    <row r="551" spans="33:34" ht="14" x14ac:dyDescent="0.2">
      <c r="AG551" s="1"/>
      <c r="AH551" s="7"/>
    </row>
    <row r="552" spans="33:34" ht="14" x14ac:dyDescent="0.2">
      <c r="AG552" s="1"/>
      <c r="AH552" s="7"/>
    </row>
    <row r="553" spans="33:34" ht="14" x14ac:dyDescent="0.2">
      <c r="AG553" s="1"/>
      <c r="AH553" s="7"/>
    </row>
    <row r="554" spans="33:34" ht="14" x14ac:dyDescent="0.2">
      <c r="AG554" s="1"/>
      <c r="AH554" s="7"/>
    </row>
    <row r="555" spans="33:34" ht="14" x14ac:dyDescent="0.2">
      <c r="AG555" s="1"/>
      <c r="AH555" s="7"/>
    </row>
    <row r="556" spans="33:34" ht="14" x14ac:dyDescent="0.2">
      <c r="AG556" s="1"/>
      <c r="AH556" s="7"/>
    </row>
    <row r="557" spans="33:34" ht="14" x14ac:dyDescent="0.2">
      <c r="AG557" s="1"/>
      <c r="AH557" s="7"/>
    </row>
    <row r="558" spans="33:34" ht="14" x14ac:dyDescent="0.2">
      <c r="AG558" s="1"/>
      <c r="AH558" s="7"/>
    </row>
    <row r="559" spans="33:34" ht="14" x14ac:dyDescent="0.2">
      <c r="AG559" s="1"/>
      <c r="AH559" s="7"/>
    </row>
    <row r="560" spans="33:34" ht="14" x14ac:dyDescent="0.2">
      <c r="AG560" s="1"/>
      <c r="AH560" s="7"/>
    </row>
    <row r="561" spans="33:34" ht="14" x14ac:dyDescent="0.2">
      <c r="AG561" s="1"/>
      <c r="AH561" s="7"/>
    </row>
    <row r="562" spans="33:34" ht="14" x14ac:dyDescent="0.2">
      <c r="AG562" s="1"/>
      <c r="AH562" s="7"/>
    </row>
    <row r="563" spans="33:34" ht="14" x14ac:dyDescent="0.2">
      <c r="AG563" s="1"/>
      <c r="AH563" s="7"/>
    </row>
    <row r="564" spans="33:34" ht="14" x14ac:dyDescent="0.2">
      <c r="AG564" s="1"/>
      <c r="AH564" s="7"/>
    </row>
    <row r="565" spans="33:34" ht="14" x14ac:dyDescent="0.2">
      <c r="AG565" s="1"/>
      <c r="AH565" s="7"/>
    </row>
    <row r="566" spans="33:34" ht="14" x14ac:dyDescent="0.2">
      <c r="AG566" s="1"/>
      <c r="AH566" s="7"/>
    </row>
    <row r="567" spans="33:34" ht="14" x14ac:dyDescent="0.2">
      <c r="AG567" s="1"/>
      <c r="AH567" s="7"/>
    </row>
    <row r="568" spans="33:34" ht="14" x14ac:dyDescent="0.2">
      <c r="AG568" s="1"/>
      <c r="AH568" s="7"/>
    </row>
    <row r="569" spans="33:34" ht="14" x14ac:dyDescent="0.2">
      <c r="AG569" s="1"/>
      <c r="AH569" s="7"/>
    </row>
    <row r="570" spans="33:34" ht="14" x14ac:dyDescent="0.2">
      <c r="AG570" s="1"/>
      <c r="AH570" s="7"/>
    </row>
    <row r="571" spans="33:34" ht="14" x14ac:dyDescent="0.2">
      <c r="AG571" s="1"/>
      <c r="AH571" s="7"/>
    </row>
    <row r="572" spans="33:34" ht="14" x14ac:dyDescent="0.2">
      <c r="AG572" s="1"/>
      <c r="AH572" s="7"/>
    </row>
    <row r="573" spans="33:34" ht="14" x14ac:dyDescent="0.2">
      <c r="AG573" s="1"/>
      <c r="AH573" s="7"/>
    </row>
    <row r="574" spans="33:34" ht="14" x14ac:dyDescent="0.2">
      <c r="AG574" s="1"/>
      <c r="AH574" s="7"/>
    </row>
    <row r="575" spans="33:34" ht="14" x14ac:dyDescent="0.2">
      <c r="AG575" s="1"/>
      <c r="AH575" s="7"/>
    </row>
    <row r="576" spans="33:34" ht="14" x14ac:dyDescent="0.2">
      <c r="AG576" s="1"/>
      <c r="AH576" s="7"/>
    </row>
    <row r="577" spans="33:34" ht="14" x14ac:dyDescent="0.2">
      <c r="AG577" s="1"/>
      <c r="AH577" s="7"/>
    </row>
    <row r="578" spans="33:34" ht="14" x14ac:dyDescent="0.2">
      <c r="AG578" s="1"/>
      <c r="AH578" s="7"/>
    </row>
    <row r="579" spans="33:34" ht="14" x14ac:dyDescent="0.2">
      <c r="AG579" s="1"/>
      <c r="AH579" s="7"/>
    </row>
    <row r="580" spans="33:34" ht="14" x14ac:dyDescent="0.2">
      <c r="AG580" s="1"/>
      <c r="AH580" s="7"/>
    </row>
    <row r="581" spans="33:34" ht="14" x14ac:dyDescent="0.2">
      <c r="AG581" s="1"/>
      <c r="AH581" s="7"/>
    </row>
    <row r="582" spans="33:34" ht="14" x14ac:dyDescent="0.2">
      <c r="AG582" s="1"/>
      <c r="AH582" s="7"/>
    </row>
    <row r="583" spans="33:34" ht="14" x14ac:dyDescent="0.2">
      <c r="AG583" s="1"/>
      <c r="AH583" s="7"/>
    </row>
    <row r="584" spans="33:34" ht="14" x14ac:dyDescent="0.2">
      <c r="AG584" s="1"/>
      <c r="AH584" s="7"/>
    </row>
    <row r="585" spans="33:34" ht="14" x14ac:dyDescent="0.2">
      <c r="AG585" s="1"/>
      <c r="AH585" s="7"/>
    </row>
    <row r="586" spans="33:34" ht="14" x14ac:dyDescent="0.2">
      <c r="AG586" s="1"/>
      <c r="AH586" s="7"/>
    </row>
    <row r="587" spans="33:34" ht="14" x14ac:dyDescent="0.2">
      <c r="AG587" s="1"/>
      <c r="AH587" s="7"/>
    </row>
    <row r="588" spans="33:34" ht="14" x14ac:dyDescent="0.2">
      <c r="AG588" s="1"/>
      <c r="AH588" s="7"/>
    </row>
    <row r="589" spans="33:34" ht="14" x14ac:dyDescent="0.2">
      <c r="AG589" s="1"/>
      <c r="AH589" s="7"/>
    </row>
    <row r="590" spans="33:34" ht="14" x14ac:dyDescent="0.2">
      <c r="AG590" s="1"/>
      <c r="AH590" s="7"/>
    </row>
    <row r="591" spans="33:34" ht="14" x14ac:dyDescent="0.2">
      <c r="AG591" s="1"/>
      <c r="AH591" s="7"/>
    </row>
    <row r="592" spans="33:34" ht="14" x14ac:dyDescent="0.2">
      <c r="AG592" s="1"/>
      <c r="AH592" s="7"/>
    </row>
    <row r="593" spans="33:34" ht="14" x14ac:dyDescent="0.2">
      <c r="AG593" s="1"/>
      <c r="AH593" s="7"/>
    </row>
    <row r="594" spans="33:34" ht="14" x14ac:dyDescent="0.2">
      <c r="AG594" s="1"/>
      <c r="AH594" s="7"/>
    </row>
    <row r="595" spans="33:34" ht="14" x14ac:dyDescent="0.2">
      <c r="AG595" s="1"/>
      <c r="AH595" s="7"/>
    </row>
    <row r="596" spans="33:34" ht="14" x14ac:dyDescent="0.2">
      <c r="AG596" s="1"/>
      <c r="AH596" s="7"/>
    </row>
    <row r="597" spans="33:34" ht="14" x14ac:dyDescent="0.2">
      <c r="AG597" s="1"/>
      <c r="AH597" s="7"/>
    </row>
    <row r="598" spans="33:34" ht="14" x14ac:dyDescent="0.2">
      <c r="AG598" s="1"/>
      <c r="AH598" s="7"/>
    </row>
    <row r="599" spans="33:34" ht="14" x14ac:dyDescent="0.2">
      <c r="AG599" s="1"/>
      <c r="AH599" s="7"/>
    </row>
    <row r="600" spans="33:34" ht="14" x14ac:dyDescent="0.2">
      <c r="AG600" s="1"/>
      <c r="AH600" s="7"/>
    </row>
    <row r="601" spans="33:34" ht="14" x14ac:dyDescent="0.2">
      <c r="AG601" s="1"/>
      <c r="AH601" s="7"/>
    </row>
    <row r="602" spans="33:34" ht="14" x14ac:dyDescent="0.2">
      <c r="AG602" s="1"/>
      <c r="AH602" s="7"/>
    </row>
    <row r="603" spans="33:34" ht="14" x14ac:dyDescent="0.2">
      <c r="AG603" s="1"/>
      <c r="AH603" s="7"/>
    </row>
    <row r="604" spans="33:34" ht="14" x14ac:dyDescent="0.2">
      <c r="AG604" s="1"/>
      <c r="AH604" s="7"/>
    </row>
    <row r="605" spans="33:34" ht="14" x14ac:dyDescent="0.2">
      <c r="AG605" s="1"/>
      <c r="AH605" s="7"/>
    </row>
    <row r="606" spans="33:34" ht="14" x14ac:dyDescent="0.2">
      <c r="AG606" s="1"/>
      <c r="AH606" s="7"/>
    </row>
    <row r="607" spans="33:34" ht="14" x14ac:dyDescent="0.2">
      <c r="AG607" s="1"/>
      <c r="AH607" s="7"/>
    </row>
    <row r="608" spans="33:34" ht="14" x14ac:dyDescent="0.2">
      <c r="AG608" s="1"/>
      <c r="AH608" s="7"/>
    </row>
    <row r="609" spans="33:34" ht="14" x14ac:dyDescent="0.2">
      <c r="AG609" s="1"/>
      <c r="AH609" s="7"/>
    </row>
    <row r="610" spans="33:34" ht="14" x14ac:dyDescent="0.2">
      <c r="AG610" s="1"/>
      <c r="AH610" s="7"/>
    </row>
    <row r="611" spans="33:34" ht="14" x14ac:dyDescent="0.2">
      <c r="AG611" s="1"/>
      <c r="AH611" s="7"/>
    </row>
    <row r="612" spans="33:34" ht="14" x14ac:dyDescent="0.2">
      <c r="AG612" s="1"/>
      <c r="AH612" s="7"/>
    </row>
    <row r="613" spans="33:34" ht="14" x14ac:dyDescent="0.2">
      <c r="AG613" s="1"/>
      <c r="AH613" s="7"/>
    </row>
    <row r="614" spans="33:34" ht="14" x14ac:dyDescent="0.2">
      <c r="AG614" s="1"/>
      <c r="AH614" s="7"/>
    </row>
    <row r="615" spans="33:34" ht="14" x14ac:dyDescent="0.2">
      <c r="AG615" s="1"/>
      <c r="AH615" s="7"/>
    </row>
    <row r="616" spans="33:34" ht="14" x14ac:dyDescent="0.2">
      <c r="AG616" s="1"/>
      <c r="AH616" s="7"/>
    </row>
    <row r="617" spans="33:34" ht="14" x14ac:dyDescent="0.2">
      <c r="AG617" s="1"/>
      <c r="AH617" s="7"/>
    </row>
    <row r="618" spans="33:34" ht="14" x14ac:dyDescent="0.2">
      <c r="AG618" s="1"/>
      <c r="AH618" s="7"/>
    </row>
    <row r="619" spans="33:34" ht="14" x14ac:dyDescent="0.2">
      <c r="AG619" s="1"/>
      <c r="AH619" s="7"/>
    </row>
    <row r="620" spans="33:34" ht="14" x14ac:dyDescent="0.2">
      <c r="AG620" s="1"/>
      <c r="AH620" s="7"/>
    </row>
    <row r="621" spans="33:34" ht="14" x14ac:dyDescent="0.2">
      <c r="AG621" s="1"/>
      <c r="AH621" s="7"/>
    </row>
    <row r="622" spans="33:34" ht="14" x14ac:dyDescent="0.2">
      <c r="AG622" s="1"/>
      <c r="AH622" s="7"/>
    </row>
    <row r="623" spans="33:34" ht="14" x14ac:dyDescent="0.2">
      <c r="AG623" s="1"/>
      <c r="AH623" s="7"/>
    </row>
    <row r="624" spans="33:34" ht="14" x14ac:dyDescent="0.2">
      <c r="AG624" s="1"/>
      <c r="AH624" s="7"/>
    </row>
    <row r="625" spans="33:34" ht="14" x14ac:dyDescent="0.2">
      <c r="AG625" s="1"/>
      <c r="AH625" s="7"/>
    </row>
    <row r="626" spans="33:34" ht="14" x14ac:dyDescent="0.2">
      <c r="AG626" s="1"/>
      <c r="AH626" s="7"/>
    </row>
    <row r="627" spans="33:34" ht="14" x14ac:dyDescent="0.2">
      <c r="AG627" s="1"/>
      <c r="AH627" s="7"/>
    </row>
    <row r="628" spans="33:34" ht="14" x14ac:dyDescent="0.2">
      <c r="AG628" s="1"/>
      <c r="AH628" s="7"/>
    </row>
    <row r="629" spans="33:34" ht="14" x14ac:dyDescent="0.2">
      <c r="AG629" s="1"/>
      <c r="AH629" s="7"/>
    </row>
    <row r="630" spans="33:34" ht="14" x14ac:dyDescent="0.2">
      <c r="AG630" s="1"/>
      <c r="AH630" s="7"/>
    </row>
    <row r="631" spans="33:34" ht="14" x14ac:dyDescent="0.2">
      <c r="AG631" s="1"/>
      <c r="AH631" s="7"/>
    </row>
    <row r="632" spans="33:34" ht="14" x14ac:dyDescent="0.2">
      <c r="AG632" s="1"/>
      <c r="AH632" s="7"/>
    </row>
    <row r="633" spans="33:34" ht="14" x14ac:dyDescent="0.2">
      <c r="AG633" s="1"/>
      <c r="AH633" s="7"/>
    </row>
    <row r="634" spans="33:34" ht="14" x14ac:dyDescent="0.2">
      <c r="AG634" s="1"/>
      <c r="AH634" s="7"/>
    </row>
    <row r="635" spans="33:34" ht="14" x14ac:dyDescent="0.2">
      <c r="AG635" s="1"/>
      <c r="AH635" s="7"/>
    </row>
    <row r="636" spans="33:34" ht="14" x14ac:dyDescent="0.2">
      <c r="AG636" s="1"/>
      <c r="AH636" s="7"/>
    </row>
    <row r="637" spans="33:34" ht="14" x14ac:dyDescent="0.2">
      <c r="AG637" s="1"/>
      <c r="AH637" s="7"/>
    </row>
    <row r="638" spans="33:34" ht="14" x14ac:dyDescent="0.2">
      <c r="AG638" s="1"/>
      <c r="AH638" s="7"/>
    </row>
    <row r="639" spans="33:34" ht="14" x14ac:dyDescent="0.2">
      <c r="AG639" s="1"/>
      <c r="AH639" s="7"/>
    </row>
    <row r="640" spans="33:34" ht="14" x14ac:dyDescent="0.2">
      <c r="AG640" s="1"/>
      <c r="AH640" s="7"/>
    </row>
    <row r="641" spans="33:34" ht="14" x14ac:dyDescent="0.2">
      <c r="AG641" s="1"/>
      <c r="AH641" s="7"/>
    </row>
    <row r="642" spans="33:34" ht="14" x14ac:dyDescent="0.2">
      <c r="AG642" s="1"/>
      <c r="AH642" s="7"/>
    </row>
    <row r="643" spans="33:34" ht="14" x14ac:dyDescent="0.2">
      <c r="AG643" s="1"/>
      <c r="AH643" s="7"/>
    </row>
    <row r="644" spans="33:34" ht="14" x14ac:dyDescent="0.2">
      <c r="AG644" s="1"/>
      <c r="AH644" s="7"/>
    </row>
    <row r="645" spans="33:34" ht="14" x14ac:dyDescent="0.2">
      <c r="AG645" s="1"/>
      <c r="AH645" s="7"/>
    </row>
    <row r="646" spans="33:34" ht="14" x14ac:dyDescent="0.2">
      <c r="AG646" s="1"/>
      <c r="AH646" s="7"/>
    </row>
    <row r="647" spans="33:34" ht="14" x14ac:dyDescent="0.2">
      <c r="AG647" s="1"/>
      <c r="AH647" s="7"/>
    </row>
    <row r="648" spans="33:34" ht="14" x14ac:dyDescent="0.2">
      <c r="AG648" s="1"/>
      <c r="AH648" s="7"/>
    </row>
    <row r="649" spans="33:34" ht="14" x14ac:dyDescent="0.2">
      <c r="AG649" s="1"/>
      <c r="AH649" s="7"/>
    </row>
    <row r="650" spans="33:34" ht="14" x14ac:dyDescent="0.2">
      <c r="AG650" s="1"/>
      <c r="AH650" s="7"/>
    </row>
    <row r="651" spans="33:34" ht="14" x14ac:dyDescent="0.2">
      <c r="AG651" s="1"/>
      <c r="AH651" s="7"/>
    </row>
    <row r="652" spans="33:34" ht="14" x14ac:dyDescent="0.2">
      <c r="AG652" s="1"/>
      <c r="AH652" s="7"/>
    </row>
    <row r="653" spans="33:34" ht="14" x14ac:dyDescent="0.2">
      <c r="AG653" s="1"/>
      <c r="AH653" s="7"/>
    </row>
    <row r="654" spans="33:34" ht="14" x14ac:dyDescent="0.2">
      <c r="AG654" s="1"/>
      <c r="AH654" s="7"/>
    </row>
    <row r="655" spans="33:34" ht="14" x14ac:dyDescent="0.2">
      <c r="AG655" s="1"/>
      <c r="AH655" s="7"/>
    </row>
    <row r="656" spans="33:34" ht="14" x14ac:dyDescent="0.2">
      <c r="AG656" s="1"/>
      <c r="AH656" s="7"/>
    </row>
    <row r="657" spans="33:34" ht="14" x14ac:dyDescent="0.2">
      <c r="AG657" s="1"/>
      <c r="AH657" s="7"/>
    </row>
    <row r="658" spans="33:34" ht="14" x14ac:dyDescent="0.2">
      <c r="AG658" s="1"/>
      <c r="AH658" s="7"/>
    </row>
    <row r="659" spans="33:34" ht="14" x14ac:dyDescent="0.2">
      <c r="AG659" s="1"/>
      <c r="AH659" s="7"/>
    </row>
    <row r="660" spans="33:34" ht="14" x14ac:dyDescent="0.2">
      <c r="AG660" s="1"/>
      <c r="AH660" s="7"/>
    </row>
    <row r="661" spans="33:34" ht="14" x14ac:dyDescent="0.2">
      <c r="AG661" s="1"/>
      <c r="AH661" s="7"/>
    </row>
    <row r="662" spans="33:34" ht="14" x14ac:dyDescent="0.2">
      <c r="AG662" s="1"/>
      <c r="AH662" s="7"/>
    </row>
    <row r="663" spans="33:34" ht="14" x14ac:dyDescent="0.2">
      <c r="AG663" s="1"/>
      <c r="AH663" s="7"/>
    </row>
    <row r="664" spans="33:34" ht="14" x14ac:dyDescent="0.2">
      <c r="AG664" s="1"/>
      <c r="AH664" s="7"/>
    </row>
    <row r="665" spans="33:34" ht="14" x14ac:dyDescent="0.2">
      <c r="AG665" s="1"/>
      <c r="AH665" s="7"/>
    </row>
    <row r="666" spans="33:34" ht="14" x14ac:dyDescent="0.2">
      <c r="AG666" s="1"/>
      <c r="AH666" s="7"/>
    </row>
    <row r="667" spans="33:34" ht="14" x14ac:dyDescent="0.2">
      <c r="AG667" s="1"/>
      <c r="AH667" s="7"/>
    </row>
    <row r="668" spans="33:34" ht="14" x14ac:dyDescent="0.2">
      <c r="AG668" s="1"/>
      <c r="AH668" s="7"/>
    </row>
    <row r="669" spans="33:34" ht="14" x14ac:dyDescent="0.2">
      <c r="AG669" s="1"/>
      <c r="AH669" s="7"/>
    </row>
    <row r="670" spans="33:34" ht="14" x14ac:dyDescent="0.2">
      <c r="AG670" s="1"/>
      <c r="AH670" s="7"/>
    </row>
    <row r="671" spans="33:34" ht="14" x14ac:dyDescent="0.2">
      <c r="AG671" s="1"/>
      <c r="AH671" s="7"/>
    </row>
    <row r="672" spans="33:34" ht="14" x14ac:dyDescent="0.2">
      <c r="AG672" s="1"/>
      <c r="AH672" s="7"/>
    </row>
    <row r="673" spans="33:34" ht="14" x14ac:dyDescent="0.2">
      <c r="AG673" s="1"/>
      <c r="AH673" s="7"/>
    </row>
    <row r="674" spans="33:34" ht="14" x14ac:dyDescent="0.2">
      <c r="AG674" s="1"/>
      <c r="AH674" s="7"/>
    </row>
    <row r="675" spans="33:34" ht="14" x14ac:dyDescent="0.2">
      <c r="AG675" s="1"/>
      <c r="AH675" s="7"/>
    </row>
    <row r="676" spans="33:34" ht="14" x14ac:dyDescent="0.2">
      <c r="AG676" s="1"/>
      <c r="AH676" s="7"/>
    </row>
    <row r="677" spans="33:34" ht="14" x14ac:dyDescent="0.2">
      <c r="AG677" s="1"/>
      <c r="AH677" s="7"/>
    </row>
    <row r="678" spans="33:34" ht="14" x14ac:dyDescent="0.2">
      <c r="AG678" s="1"/>
      <c r="AH678" s="7"/>
    </row>
    <row r="679" spans="33:34" ht="14" x14ac:dyDescent="0.2">
      <c r="AG679" s="1"/>
      <c r="AH679" s="7"/>
    </row>
    <row r="680" spans="33:34" ht="14" x14ac:dyDescent="0.2">
      <c r="AG680" s="1"/>
      <c r="AH680" s="7"/>
    </row>
    <row r="681" spans="33:34" ht="14" x14ac:dyDescent="0.2">
      <c r="AG681" s="1"/>
      <c r="AH681" s="7"/>
    </row>
    <row r="682" spans="33:34" ht="14" x14ac:dyDescent="0.2">
      <c r="AG682" s="1"/>
      <c r="AH682" s="7"/>
    </row>
    <row r="683" spans="33:34" ht="14" x14ac:dyDescent="0.2">
      <c r="AG683" s="1"/>
      <c r="AH683" s="7"/>
    </row>
    <row r="684" spans="33:34" ht="14" x14ac:dyDescent="0.2">
      <c r="AG684" s="1"/>
      <c r="AH684" s="7"/>
    </row>
    <row r="685" spans="33:34" ht="14" x14ac:dyDescent="0.2">
      <c r="AG685" s="1"/>
      <c r="AH685" s="7"/>
    </row>
    <row r="686" spans="33:34" ht="14" x14ac:dyDescent="0.2">
      <c r="AG686" s="1"/>
      <c r="AH686" s="7"/>
    </row>
    <row r="687" spans="33:34" ht="14" x14ac:dyDescent="0.2">
      <c r="AG687" s="1"/>
      <c r="AH687" s="7"/>
    </row>
    <row r="688" spans="33:34" ht="14" x14ac:dyDescent="0.2">
      <c r="AG688" s="1"/>
      <c r="AH688" s="7"/>
    </row>
    <row r="689" spans="33:34" ht="14" x14ac:dyDescent="0.2">
      <c r="AG689" s="1"/>
      <c r="AH689" s="7"/>
    </row>
    <row r="690" spans="33:34" ht="14" x14ac:dyDescent="0.2">
      <c r="AG690" s="1"/>
      <c r="AH690" s="7"/>
    </row>
    <row r="691" spans="33:34" ht="14" x14ac:dyDescent="0.2">
      <c r="AG691" s="1"/>
      <c r="AH691" s="7"/>
    </row>
    <row r="692" spans="33:34" ht="14" x14ac:dyDescent="0.2">
      <c r="AG692" s="1"/>
      <c r="AH692" s="7"/>
    </row>
    <row r="693" spans="33:34" ht="14" x14ac:dyDescent="0.2">
      <c r="AG693" s="1"/>
      <c r="AH693" s="7"/>
    </row>
    <row r="694" spans="33:34" ht="14" x14ac:dyDescent="0.2">
      <c r="AG694" s="1"/>
      <c r="AH694" s="7"/>
    </row>
    <row r="695" spans="33:34" ht="14" x14ac:dyDescent="0.2">
      <c r="AG695" s="1"/>
      <c r="AH695" s="7"/>
    </row>
    <row r="696" spans="33:34" ht="14" x14ac:dyDescent="0.2">
      <c r="AG696" s="1"/>
      <c r="AH696" s="7"/>
    </row>
    <row r="697" spans="33:34" ht="14" x14ac:dyDescent="0.2">
      <c r="AG697" s="1"/>
      <c r="AH697" s="7"/>
    </row>
    <row r="698" spans="33:34" ht="14" x14ac:dyDescent="0.2">
      <c r="AG698" s="1"/>
      <c r="AH698" s="7"/>
    </row>
    <row r="699" spans="33:34" ht="14" x14ac:dyDescent="0.2">
      <c r="AG699" s="1"/>
      <c r="AH699" s="7"/>
    </row>
    <row r="700" spans="33:34" ht="14" x14ac:dyDescent="0.2">
      <c r="AG700" s="1"/>
      <c r="AH700" s="7"/>
    </row>
    <row r="701" spans="33:34" ht="14" x14ac:dyDescent="0.2">
      <c r="AG701" s="1"/>
      <c r="AH701" s="7"/>
    </row>
    <row r="702" spans="33:34" ht="14" x14ac:dyDescent="0.2">
      <c r="AG702" s="1"/>
      <c r="AH702" s="7"/>
    </row>
    <row r="703" spans="33:34" ht="14" x14ac:dyDescent="0.2">
      <c r="AG703" s="1"/>
      <c r="AH703" s="7"/>
    </row>
    <row r="704" spans="33:34" ht="14" x14ac:dyDescent="0.2">
      <c r="AG704" s="1"/>
      <c r="AH704" s="7"/>
    </row>
    <row r="705" spans="33:34" ht="14" x14ac:dyDescent="0.2">
      <c r="AG705" s="1"/>
      <c r="AH705" s="7"/>
    </row>
    <row r="706" spans="33:34" ht="14" x14ac:dyDescent="0.2">
      <c r="AG706" s="1"/>
      <c r="AH706" s="7"/>
    </row>
    <row r="707" spans="33:34" ht="14" x14ac:dyDescent="0.2">
      <c r="AG707" s="1"/>
      <c r="AH707" s="7"/>
    </row>
    <row r="708" spans="33:34" ht="14" x14ac:dyDescent="0.2">
      <c r="AG708" s="1"/>
      <c r="AH708" s="7"/>
    </row>
    <row r="709" spans="33:34" ht="14" x14ac:dyDescent="0.2">
      <c r="AG709" s="1"/>
      <c r="AH709" s="7"/>
    </row>
    <row r="710" spans="33:34" ht="14" x14ac:dyDescent="0.2">
      <c r="AG710" s="1"/>
      <c r="AH710" s="7"/>
    </row>
    <row r="711" spans="33:34" ht="14" x14ac:dyDescent="0.2">
      <c r="AG711" s="1"/>
      <c r="AH711" s="7"/>
    </row>
    <row r="712" spans="33:34" ht="14" x14ac:dyDescent="0.2">
      <c r="AG712" s="1"/>
      <c r="AH712" s="7"/>
    </row>
    <row r="713" spans="33:34" ht="14" x14ac:dyDescent="0.2">
      <c r="AG713" s="1"/>
      <c r="AH713" s="7"/>
    </row>
    <row r="714" spans="33:34" ht="14" x14ac:dyDescent="0.2">
      <c r="AG714" s="1"/>
      <c r="AH714" s="7"/>
    </row>
    <row r="715" spans="33:34" ht="14" x14ac:dyDescent="0.2">
      <c r="AG715" s="1"/>
      <c r="AH715" s="7"/>
    </row>
    <row r="716" spans="33:34" ht="14" x14ac:dyDescent="0.2">
      <c r="AG716" s="1"/>
      <c r="AH716" s="7"/>
    </row>
    <row r="717" spans="33:34" ht="14" x14ac:dyDescent="0.2">
      <c r="AG717" s="1"/>
      <c r="AH717" s="7"/>
    </row>
    <row r="718" spans="33:34" ht="14" x14ac:dyDescent="0.2">
      <c r="AG718" s="1"/>
      <c r="AH718" s="7"/>
    </row>
    <row r="719" spans="33:34" ht="14" x14ac:dyDescent="0.2">
      <c r="AG719" s="1"/>
      <c r="AH719" s="7"/>
    </row>
    <row r="720" spans="33:34" ht="14" x14ac:dyDescent="0.2">
      <c r="AG720" s="1"/>
      <c r="AH720" s="7"/>
    </row>
    <row r="721" spans="33:34" ht="14" x14ac:dyDescent="0.2">
      <c r="AG721" s="1"/>
      <c r="AH721" s="7"/>
    </row>
    <row r="722" spans="33:34" ht="14" x14ac:dyDescent="0.2">
      <c r="AG722" s="1"/>
      <c r="AH722" s="7"/>
    </row>
    <row r="723" spans="33:34" ht="14" x14ac:dyDescent="0.2">
      <c r="AG723" s="1"/>
      <c r="AH723" s="7"/>
    </row>
    <row r="724" spans="33:34" ht="14" x14ac:dyDescent="0.2">
      <c r="AG724" s="1"/>
      <c r="AH724" s="7"/>
    </row>
    <row r="725" spans="33:34" ht="14" x14ac:dyDescent="0.2">
      <c r="AG725" s="1"/>
      <c r="AH725" s="7"/>
    </row>
    <row r="726" spans="33:34" ht="14" x14ac:dyDescent="0.2">
      <c r="AG726" s="1"/>
      <c r="AH726" s="7"/>
    </row>
    <row r="727" spans="33:34" ht="14" x14ac:dyDescent="0.2">
      <c r="AG727" s="1"/>
      <c r="AH727" s="7"/>
    </row>
    <row r="728" spans="33:34" ht="14" x14ac:dyDescent="0.2">
      <c r="AG728" s="1"/>
      <c r="AH728" s="7"/>
    </row>
    <row r="729" spans="33:34" ht="14" x14ac:dyDescent="0.2">
      <c r="AG729" s="1"/>
      <c r="AH729" s="7"/>
    </row>
    <row r="730" spans="33:34" ht="14" x14ac:dyDescent="0.2">
      <c r="AG730" s="1"/>
      <c r="AH730" s="7"/>
    </row>
    <row r="731" spans="33:34" ht="14" x14ac:dyDescent="0.2">
      <c r="AG731" s="1"/>
      <c r="AH731" s="7"/>
    </row>
    <row r="732" spans="33:34" ht="14" x14ac:dyDescent="0.2">
      <c r="AG732" s="1"/>
      <c r="AH732" s="7"/>
    </row>
    <row r="733" spans="33:34" ht="14" x14ac:dyDescent="0.2">
      <c r="AG733" s="1"/>
      <c r="AH733" s="7"/>
    </row>
    <row r="734" spans="33:34" ht="14" x14ac:dyDescent="0.2">
      <c r="AG734" s="1"/>
      <c r="AH734" s="7"/>
    </row>
    <row r="735" spans="33:34" ht="14" x14ac:dyDescent="0.2">
      <c r="AG735" s="1"/>
      <c r="AH735" s="7"/>
    </row>
    <row r="736" spans="33:34" ht="14" x14ac:dyDescent="0.2">
      <c r="AG736" s="1"/>
      <c r="AH736" s="7"/>
    </row>
    <row r="737" spans="33:34" ht="14" x14ac:dyDescent="0.2">
      <c r="AG737" s="1"/>
      <c r="AH737" s="7"/>
    </row>
    <row r="738" spans="33:34" ht="14" x14ac:dyDescent="0.2">
      <c r="AG738" s="1"/>
      <c r="AH738" s="7"/>
    </row>
    <row r="739" spans="33:34" ht="14" x14ac:dyDescent="0.2">
      <c r="AG739" s="1"/>
      <c r="AH739" s="7"/>
    </row>
    <row r="740" spans="33:34" ht="14" x14ac:dyDescent="0.2">
      <c r="AG740" s="1"/>
      <c r="AH740" s="7"/>
    </row>
    <row r="741" spans="33:34" ht="14" x14ac:dyDescent="0.2">
      <c r="AG741" s="1"/>
      <c r="AH741" s="7"/>
    </row>
    <row r="742" spans="33:34" ht="14" x14ac:dyDescent="0.2">
      <c r="AG742" s="1"/>
      <c r="AH742" s="7"/>
    </row>
    <row r="743" spans="33:34" ht="14" x14ac:dyDescent="0.2">
      <c r="AG743" s="1"/>
      <c r="AH743" s="7"/>
    </row>
    <row r="744" spans="33:34" ht="14" x14ac:dyDescent="0.2">
      <c r="AG744" s="1"/>
      <c r="AH744" s="7"/>
    </row>
    <row r="745" spans="33:34" ht="14" x14ac:dyDescent="0.2">
      <c r="AG745" s="1"/>
      <c r="AH745" s="7"/>
    </row>
    <row r="746" spans="33:34" ht="14" x14ac:dyDescent="0.2">
      <c r="AG746" s="1"/>
      <c r="AH746" s="7"/>
    </row>
    <row r="747" spans="33:34" ht="14" x14ac:dyDescent="0.2">
      <c r="AG747" s="1"/>
      <c r="AH747" s="7"/>
    </row>
    <row r="748" spans="33:34" ht="14" x14ac:dyDescent="0.2">
      <c r="AG748" s="1"/>
      <c r="AH748" s="7"/>
    </row>
    <row r="749" spans="33:34" ht="14" x14ac:dyDescent="0.2">
      <c r="AG749" s="1"/>
      <c r="AH749" s="7"/>
    </row>
    <row r="750" spans="33:34" ht="14" x14ac:dyDescent="0.2">
      <c r="AG750" s="1"/>
      <c r="AH750" s="7"/>
    </row>
    <row r="751" spans="33:34" ht="14" x14ac:dyDescent="0.2">
      <c r="AG751" s="1"/>
      <c r="AH751" s="7"/>
    </row>
    <row r="752" spans="33:34" ht="14" x14ac:dyDescent="0.2">
      <c r="AG752" s="1"/>
      <c r="AH752" s="7"/>
    </row>
    <row r="753" spans="33:34" ht="14" x14ac:dyDescent="0.2">
      <c r="AG753" s="1"/>
      <c r="AH753" s="7"/>
    </row>
    <row r="754" spans="33:34" ht="14" x14ac:dyDescent="0.2">
      <c r="AG754" s="1"/>
      <c r="AH754" s="7"/>
    </row>
    <row r="755" spans="33:34" ht="14" x14ac:dyDescent="0.2">
      <c r="AG755" s="1"/>
      <c r="AH755" s="7"/>
    </row>
    <row r="756" spans="33:34" ht="14" x14ac:dyDescent="0.2">
      <c r="AG756" s="1"/>
      <c r="AH756" s="7"/>
    </row>
    <row r="757" spans="33:34" ht="14" x14ac:dyDescent="0.2">
      <c r="AG757" s="1"/>
      <c r="AH757" s="7"/>
    </row>
    <row r="758" spans="33:34" ht="14" x14ac:dyDescent="0.2">
      <c r="AG758" s="1"/>
      <c r="AH758" s="7"/>
    </row>
    <row r="759" spans="33:34" ht="14" x14ac:dyDescent="0.2">
      <c r="AG759" s="1"/>
      <c r="AH759" s="7"/>
    </row>
    <row r="760" spans="33:34" ht="14" x14ac:dyDescent="0.2">
      <c r="AG760" s="1"/>
      <c r="AH760" s="7"/>
    </row>
    <row r="761" spans="33:34" ht="14" x14ac:dyDescent="0.2">
      <c r="AG761" s="1"/>
      <c r="AH761" s="7"/>
    </row>
    <row r="762" spans="33:34" ht="14" x14ac:dyDescent="0.2">
      <c r="AG762" s="1"/>
      <c r="AH762" s="7"/>
    </row>
    <row r="763" spans="33:34" ht="14" x14ac:dyDescent="0.2">
      <c r="AG763" s="1"/>
      <c r="AH763" s="7"/>
    </row>
    <row r="764" spans="33:34" ht="14" x14ac:dyDescent="0.2">
      <c r="AG764" s="1"/>
      <c r="AH764" s="7"/>
    </row>
    <row r="765" spans="33:34" ht="14" x14ac:dyDescent="0.2">
      <c r="AG765" s="1"/>
      <c r="AH765" s="7"/>
    </row>
    <row r="766" spans="33:34" ht="14" x14ac:dyDescent="0.2">
      <c r="AG766" s="1"/>
      <c r="AH766" s="7"/>
    </row>
    <row r="767" spans="33:34" ht="14" x14ac:dyDescent="0.2">
      <c r="AG767" s="1"/>
      <c r="AH767" s="7"/>
    </row>
    <row r="768" spans="33:34" ht="14" x14ac:dyDescent="0.2">
      <c r="AG768" s="1"/>
      <c r="AH768" s="7"/>
    </row>
    <row r="769" spans="33:34" ht="14" x14ac:dyDescent="0.2">
      <c r="AG769" s="1"/>
      <c r="AH769" s="7"/>
    </row>
    <row r="770" spans="33:34" ht="14" x14ac:dyDescent="0.2">
      <c r="AG770" s="1"/>
      <c r="AH770" s="7"/>
    </row>
    <row r="771" spans="33:34" ht="14" x14ac:dyDescent="0.2">
      <c r="AG771" s="1"/>
      <c r="AH771" s="7"/>
    </row>
    <row r="772" spans="33:34" ht="14" x14ac:dyDescent="0.2">
      <c r="AG772" s="1"/>
      <c r="AH772" s="7"/>
    </row>
    <row r="773" spans="33:34" ht="14" x14ac:dyDescent="0.2">
      <c r="AG773" s="1"/>
      <c r="AH773" s="7"/>
    </row>
    <row r="774" spans="33:34" ht="14" x14ac:dyDescent="0.2">
      <c r="AG774" s="1"/>
      <c r="AH774" s="7"/>
    </row>
    <row r="775" spans="33:34" ht="14" x14ac:dyDescent="0.2">
      <c r="AG775" s="1"/>
      <c r="AH775" s="7"/>
    </row>
    <row r="776" spans="33:34" ht="14" x14ac:dyDescent="0.2">
      <c r="AG776" s="1"/>
      <c r="AH776" s="7"/>
    </row>
    <row r="777" spans="33:34" ht="14" x14ac:dyDescent="0.2">
      <c r="AG777" s="1"/>
      <c r="AH777" s="7"/>
    </row>
    <row r="778" spans="33:34" ht="14" x14ac:dyDescent="0.2">
      <c r="AG778" s="1"/>
      <c r="AH778" s="7"/>
    </row>
    <row r="779" spans="33:34" ht="14" x14ac:dyDescent="0.2">
      <c r="AG779" s="1"/>
      <c r="AH779" s="7"/>
    </row>
    <row r="780" spans="33:34" ht="14" x14ac:dyDescent="0.2">
      <c r="AG780" s="1"/>
      <c r="AH780" s="7"/>
    </row>
    <row r="781" spans="33:34" ht="14" x14ac:dyDescent="0.2">
      <c r="AG781" s="1"/>
      <c r="AH781" s="7"/>
    </row>
    <row r="782" spans="33:34" ht="14" x14ac:dyDescent="0.2">
      <c r="AG782" s="1"/>
      <c r="AH782" s="7"/>
    </row>
    <row r="783" spans="33:34" ht="14" x14ac:dyDescent="0.2">
      <c r="AG783" s="1"/>
      <c r="AH783" s="7"/>
    </row>
    <row r="784" spans="33:34" ht="14" x14ac:dyDescent="0.2">
      <c r="AG784" s="1"/>
      <c r="AH784" s="7"/>
    </row>
    <row r="785" spans="33:34" ht="14" x14ac:dyDescent="0.2">
      <c r="AG785" s="1"/>
      <c r="AH785" s="7"/>
    </row>
    <row r="786" spans="33:34" ht="14" x14ac:dyDescent="0.2">
      <c r="AG786" s="1"/>
      <c r="AH786" s="7"/>
    </row>
    <row r="787" spans="33:34" ht="14" x14ac:dyDescent="0.2">
      <c r="AG787" s="1"/>
      <c r="AH787" s="7"/>
    </row>
    <row r="788" spans="33:34" ht="14" x14ac:dyDescent="0.2">
      <c r="AG788" s="1"/>
      <c r="AH788" s="7"/>
    </row>
    <row r="789" spans="33:34" ht="14" x14ac:dyDescent="0.2">
      <c r="AG789" s="1"/>
      <c r="AH789" s="7"/>
    </row>
    <row r="790" spans="33:34" ht="14" x14ac:dyDescent="0.2">
      <c r="AG790" s="1"/>
      <c r="AH790" s="7"/>
    </row>
    <row r="791" spans="33:34" ht="14" x14ac:dyDescent="0.2">
      <c r="AG791" s="1"/>
      <c r="AH791" s="7"/>
    </row>
    <row r="792" spans="33:34" ht="14" x14ac:dyDescent="0.2">
      <c r="AG792" s="1"/>
      <c r="AH792" s="7"/>
    </row>
    <row r="793" spans="33:34" ht="14" x14ac:dyDescent="0.2">
      <c r="AG793" s="1"/>
      <c r="AH793" s="7"/>
    </row>
    <row r="794" spans="33:34" ht="14" x14ac:dyDescent="0.2">
      <c r="AG794" s="1"/>
      <c r="AH794" s="7"/>
    </row>
    <row r="795" spans="33:34" ht="14" x14ac:dyDescent="0.2">
      <c r="AG795" s="1"/>
      <c r="AH795" s="7"/>
    </row>
    <row r="796" spans="33:34" ht="14" x14ac:dyDescent="0.2">
      <c r="AG796" s="1"/>
      <c r="AH796" s="7"/>
    </row>
    <row r="797" spans="33:34" ht="14" x14ac:dyDescent="0.2">
      <c r="AG797" s="1"/>
      <c r="AH797" s="7"/>
    </row>
    <row r="798" spans="33:34" ht="14" x14ac:dyDescent="0.2">
      <c r="AG798" s="1"/>
      <c r="AH798" s="7"/>
    </row>
    <row r="799" spans="33:34" ht="14" x14ac:dyDescent="0.2">
      <c r="AG799" s="1"/>
      <c r="AH799" s="7"/>
    </row>
    <row r="800" spans="33:34" ht="14" x14ac:dyDescent="0.2">
      <c r="AG800" s="1"/>
      <c r="AH800" s="7"/>
    </row>
    <row r="801" spans="33:34" ht="14" x14ac:dyDescent="0.2">
      <c r="AG801" s="1"/>
      <c r="AH801" s="7"/>
    </row>
    <row r="802" spans="33:34" ht="14" x14ac:dyDescent="0.2">
      <c r="AG802" s="1"/>
      <c r="AH802" s="7"/>
    </row>
    <row r="803" spans="33:34" ht="14" x14ac:dyDescent="0.2">
      <c r="AG803" s="1"/>
      <c r="AH803" s="7"/>
    </row>
    <row r="804" spans="33:34" ht="14" x14ac:dyDescent="0.2">
      <c r="AG804" s="1"/>
      <c r="AH804" s="7"/>
    </row>
    <row r="805" spans="33:34" ht="14" x14ac:dyDescent="0.2">
      <c r="AG805" s="1"/>
      <c r="AH805" s="7"/>
    </row>
    <row r="806" spans="33:34" ht="14" x14ac:dyDescent="0.2">
      <c r="AG806" s="1"/>
      <c r="AH806" s="7"/>
    </row>
    <row r="807" spans="33:34" ht="14" x14ac:dyDescent="0.2">
      <c r="AG807" s="1"/>
      <c r="AH807" s="7"/>
    </row>
    <row r="808" spans="33:34" ht="14" x14ac:dyDescent="0.2">
      <c r="AG808" s="1"/>
      <c r="AH808" s="7"/>
    </row>
    <row r="809" spans="33:34" ht="14" x14ac:dyDescent="0.2">
      <c r="AG809" s="1"/>
      <c r="AH809" s="7"/>
    </row>
    <row r="810" spans="33:34" ht="14" x14ac:dyDescent="0.2">
      <c r="AG810" s="1"/>
      <c r="AH810" s="7"/>
    </row>
    <row r="811" spans="33:34" ht="14" x14ac:dyDescent="0.2">
      <c r="AG811" s="1"/>
      <c r="AH811" s="7"/>
    </row>
    <row r="812" spans="33:34" ht="14" x14ac:dyDescent="0.2">
      <c r="AG812" s="1"/>
      <c r="AH812" s="7"/>
    </row>
    <row r="813" spans="33:34" ht="14" x14ac:dyDescent="0.2">
      <c r="AG813" s="1"/>
      <c r="AH813" s="7"/>
    </row>
    <row r="814" spans="33:34" ht="14" x14ac:dyDescent="0.2">
      <c r="AG814" s="1"/>
      <c r="AH814" s="7"/>
    </row>
    <row r="815" spans="33:34" ht="14" x14ac:dyDescent="0.2">
      <c r="AG815" s="1"/>
      <c r="AH815" s="7"/>
    </row>
    <row r="816" spans="33:34" ht="14" x14ac:dyDescent="0.2">
      <c r="AG816" s="1"/>
      <c r="AH816" s="7"/>
    </row>
    <row r="817" spans="33:34" ht="14" x14ac:dyDescent="0.2">
      <c r="AG817" s="1"/>
      <c r="AH817" s="7"/>
    </row>
    <row r="818" spans="33:34" ht="14" x14ac:dyDescent="0.2">
      <c r="AG818" s="1"/>
      <c r="AH818" s="7"/>
    </row>
    <row r="819" spans="33:34" ht="14" x14ac:dyDescent="0.2">
      <c r="AG819" s="1"/>
      <c r="AH819" s="7"/>
    </row>
    <row r="820" spans="33:34" ht="14" x14ac:dyDescent="0.2">
      <c r="AG820" s="1"/>
      <c r="AH820" s="7"/>
    </row>
    <row r="821" spans="33:34" ht="14" x14ac:dyDescent="0.2">
      <c r="AG821" s="1"/>
      <c r="AH821" s="7"/>
    </row>
    <row r="822" spans="33:34" ht="14" x14ac:dyDescent="0.2">
      <c r="AG822" s="1"/>
      <c r="AH822" s="7"/>
    </row>
    <row r="823" spans="33:34" ht="14" x14ac:dyDescent="0.2">
      <c r="AG823" s="1"/>
      <c r="AH823" s="7"/>
    </row>
    <row r="824" spans="33:34" ht="14" x14ac:dyDescent="0.2">
      <c r="AG824" s="1"/>
      <c r="AH824" s="7"/>
    </row>
    <row r="825" spans="33:34" ht="14" x14ac:dyDescent="0.2">
      <c r="AG825" s="1"/>
      <c r="AH825" s="7"/>
    </row>
    <row r="826" spans="33:34" ht="14" x14ac:dyDescent="0.2">
      <c r="AG826" s="1"/>
      <c r="AH826" s="7"/>
    </row>
    <row r="827" spans="33:34" ht="14" x14ac:dyDescent="0.2">
      <c r="AG827" s="1"/>
      <c r="AH827" s="7"/>
    </row>
    <row r="828" spans="33:34" ht="14" x14ac:dyDescent="0.2">
      <c r="AG828" s="1"/>
      <c r="AH828" s="7"/>
    </row>
    <row r="829" spans="33:34" ht="14" x14ac:dyDescent="0.2">
      <c r="AG829" s="1"/>
      <c r="AH829" s="7"/>
    </row>
    <row r="830" spans="33:34" ht="14" x14ac:dyDescent="0.2">
      <c r="AG830" s="1"/>
      <c r="AH830" s="7"/>
    </row>
    <row r="831" spans="33:34" ht="14" x14ac:dyDescent="0.2">
      <c r="AG831" s="1"/>
      <c r="AH831" s="7"/>
    </row>
    <row r="832" spans="33:34" ht="14" x14ac:dyDescent="0.2">
      <c r="AG832" s="1"/>
      <c r="AH832" s="7"/>
    </row>
    <row r="833" spans="33:34" ht="14" x14ac:dyDescent="0.2">
      <c r="AG833" s="1"/>
      <c r="AH833" s="7"/>
    </row>
    <row r="834" spans="33:34" ht="14" x14ac:dyDescent="0.2">
      <c r="AG834" s="1"/>
      <c r="AH834" s="7"/>
    </row>
    <row r="835" spans="33:34" ht="14" x14ac:dyDescent="0.2">
      <c r="AG835" s="1"/>
      <c r="AH835" s="7"/>
    </row>
    <row r="836" spans="33:34" ht="14" x14ac:dyDescent="0.2">
      <c r="AG836" s="1"/>
      <c r="AH836" s="7"/>
    </row>
    <row r="837" spans="33:34" ht="14" x14ac:dyDescent="0.2">
      <c r="AG837" s="1"/>
      <c r="AH837" s="7"/>
    </row>
    <row r="838" spans="33:34" ht="14" x14ac:dyDescent="0.2">
      <c r="AG838" s="1"/>
      <c r="AH838" s="7"/>
    </row>
    <row r="839" spans="33:34" ht="14" x14ac:dyDescent="0.2">
      <c r="AG839" s="1"/>
      <c r="AH839" s="7"/>
    </row>
    <row r="840" spans="33:34" ht="14" x14ac:dyDescent="0.2">
      <c r="AG840" s="1"/>
      <c r="AH840" s="7"/>
    </row>
    <row r="841" spans="33:34" ht="14" x14ac:dyDescent="0.2">
      <c r="AG841" s="1"/>
      <c r="AH841" s="7"/>
    </row>
    <row r="842" spans="33:34" ht="14" x14ac:dyDescent="0.2">
      <c r="AG842" s="1"/>
      <c r="AH842" s="7"/>
    </row>
    <row r="843" spans="33:34" ht="14" x14ac:dyDescent="0.2">
      <c r="AG843" s="1"/>
      <c r="AH843" s="7"/>
    </row>
    <row r="844" spans="33:34" ht="14" x14ac:dyDescent="0.2">
      <c r="AG844" s="1"/>
      <c r="AH844" s="7"/>
    </row>
    <row r="845" spans="33:34" ht="14" x14ac:dyDescent="0.2">
      <c r="AG845" s="1"/>
      <c r="AH845" s="7"/>
    </row>
    <row r="846" spans="33:34" ht="14" x14ac:dyDescent="0.2">
      <c r="AG846" s="1"/>
      <c r="AH846" s="7"/>
    </row>
    <row r="847" spans="33:34" ht="14" x14ac:dyDescent="0.2">
      <c r="AG847" s="1"/>
      <c r="AH847" s="7"/>
    </row>
    <row r="848" spans="33:34" ht="14" x14ac:dyDescent="0.2">
      <c r="AG848" s="1"/>
      <c r="AH848" s="7"/>
    </row>
    <row r="849" spans="33:34" ht="14" x14ac:dyDescent="0.2">
      <c r="AG849" s="1"/>
      <c r="AH849" s="7"/>
    </row>
    <row r="850" spans="33:34" ht="14" x14ac:dyDescent="0.2">
      <c r="AG850" s="1"/>
      <c r="AH850" s="7"/>
    </row>
    <row r="851" spans="33:34" ht="14" x14ac:dyDescent="0.2">
      <c r="AG851" s="1"/>
      <c r="AH851" s="7"/>
    </row>
    <row r="852" spans="33:34" ht="14" x14ac:dyDescent="0.2">
      <c r="AG852" s="1"/>
      <c r="AH852" s="7"/>
    </row>
    <row r="853" spans="33:34" ht="14" x14ac:dyDescent="0.2">
      <c r="AG853" s="1"/>
      <c r="AH853" s="7"/>
    </row>
    <row r="854" spans="33:34" ht="14" x14ac:dyDescent="0.2">
      <c r="AG854" s="1"/>
      <c r="AH854" s="7"/>
    </row>
    <row r="855" spans="33:34" ht="14" x14ac:dyDescent="0.2">
      <c r="AG855" s="1"/>
      <c r="AH855" s="7"/>
    </row>
    <row r="856" spans="33:34" ht="14" x14ac:dyDescent="0.2">
      <c r="AG856" s="1"/>
      <c r="AH856" s="7"/>
    </row>
    <row r="857" spans="33:34" ht="14" x14ac:dyDescent="0.2">
      <c r="AG857" s="1"/>
      <c r="AH857" s="7"/>
    </row>
    <row r="858" spans="33:34" ht="14" x14ac:dyDescent="0.2">
      <c r="AG858" s="1"/>
      <c r="AH858" s="7"/>
    </row>
    <row r="859" spans="33:34" ht="14" x14ac:dyDescent="0.2">
      <c r="AG859" s="1"/>
      <c r="AH859" s="7"/>
    </row>
    <row r="860" spans="33:34" ht="14" x14ac:dyDescent="0.2">
      <c r="AG860" s="1"/>
      <c r="AH860" s="7"/>
    </row>
    <row r="861" spans="33:34" ht="14" x14ac:dyDescent="0.2">
      <c r="AG861" s="1"/>
      <c r="AH861" s="7"/>
    </row>
    <row r="862" spans="33:34" ht="14" x14ac:dyDescent="0.2">
      <c r="AG862" s="1"/>
      <c r="AH862" s="7"/>
    </row>
    <row r="863" spans="33:34" ht="14" x14ac:dyDescent="0.2">
      <c r="AG863" s="1"/>
      <c r="AH863" s="7"/>
    </row>
    <row r="864" spans="33:34" ht="14" x14ac:dyDescent="0.2">
      <c r="AG864" s="1"/>
      <c r="AH864" s="7"/>
    </row>
    <row r="865" spans="33:34" ht="14" x14ac:dyDescent="0.2">
      <c r="AG865" s="1"/>
      <c r="AH865" s="7"/>
    </row>
    <row r="866" spans="33:34" ht="14" x14ac:dyDescent="0.2">
      <c r="AG866" s="1"/>
      <c r="AH866" s="7"/>
    </row>
    <row r="867" spans="33:34" ht="14" x14ac:dyDescent="0.2">
      <c r="AG867" s="1"/>
      <c r="AH867" s="7"/>
    </row>
    <row r="868" spans="33:34" ht="14" x14ac:dyDescent="0.2">
      <c r="AG868" s="1"/>
      <c r="AH868" s="7"/>
    </row>
    <row r="869" spans="33:34" ht="14" x14ac:dyDescent="0.2">
      <c r="AG869" s="1"/>
      <c r="AH869" s="7"/>
    </row>
    <row r="870" spans="33:34" ht="14" x14ac:dyDescent="0.2">
      <c r="AG870" s="1"/>
      <c r="AH870" s="7"/>
    </row>
    <row r="871" spans="33:34" ht="14" x14ac:dyDescent="0.2">
      <c r="AG871" s="1"/>
      <c r="AH871" s="7"/>
    </row>
    <row r="872" spans="33:34" ht="14" x14ac:dyDescent="0.2">
      <c r="AG872" s="1"/>
      <c r="AH872" s="7"/>
    </row>
    <row r="873" spans="33:34" ht="14" x14ac:dyDescent="0.2">
      <c r="AG873" s="1"/>
      <c r="AH873" s="7"/>
    </row>
    <row r="874" spans="33:34" ht="14" x14ac:dyDescent="0.2">
      <c r="AG874" s="1"/>
      <c r="AH874" s="7"/>
    </row>
    <row r="875" spans="33:34" ht="14" x14ac:dyDescent="0.2">
      <c r="AG875" s="1"/>
      <c r="AH875" s="7"/>
    </row>
    <row r="876" spans="33:34" ht="14" x14ac:dyDescent="0.2">
      <c r="AG876" s="1"/>
      <c r="AH876" s="7"/>
    </row>
    <row r="877" spans="33:34" ht="14" x14ac:dyDescent="0.2">
      <c r="AG877" s="1"/>
      <c r="AH877" s="7"/>
    </row>
    <row r="878" spans="33:34" ht="14" x14ac:dyDescent="0.2">
      <c r="AG878" s="1"/>
      <c r="AH878" s="7"/>
    </row>
    <row r="879" spans="33:34" ht="14" x14ac:dyDescent="0.2">
      <c r="AG879" s="1"/>
      <c r="AH879" s="7"/>
    </row>
    <row r="880" spans="33:34" ht="14" x14ac:dyDescent="0.2">
      <c r="AG880" s="1"/>
      <c r="AH880" s="7"/>
    </row>
    <row r="881" spans="33:34" ht="14" x14ac:dyDescent="0.2">
      <c r="AG881" s="1"/>
      <c r="AH881" s="7"/>
    </row>
    <row r="882" spans="33:34" ht="14" x14ac:dyDescent="0.2">
      <c r="AG882" s="1"/>
      <c r="AH882" s="7"/>
    </row>
    <row r="883" spans="33:34" ht="14" x14ac:dyDescent="0.2">
      <c r="AG883" s="1"/>
      <c r="AH883" s="7"/>
    </row>
    <row r="884" spans="33:34" ht="14" x14ac:dyDescent="0.2">
      <c r="AG884" s="1"/>
      <c r="AH884" s="7"/>
    </row>
    <row r="885" spans="33:34" ht="14" x14ac:dyDescent="0.2">
      <c r="AG885" s="1"/>
      <c r="AH885" s="7"/>
    </row>
    <row r="886" spans="33:34" ht="14" x14ac:dyDescent="0.2">
      <c r="AG886" s="1"/>
      <c r="AH886" s="7"/>
    </row>
    <row r="887" spans="33:34" ht="14" x14ac:dyDescent="0.2">
      <c r="AG887" s="1"/>
      <c r="AH887" s="7"/>
    </row>
    <row r="888" spans="33:34" ht="14" x14ac:dyDescent="0.2">
      <c r="AG888" s="1"/>
      <c r="AH888" s="7"/>
    </row>
    <row r="889" spans="33:34" ht="14" x14ac:dyDescent="0.2">
      <c r="AG889" s="1"/>
      <c r="AH889" s="7"/>
    </row>
    <row r="890" spans="33:34" ht="14" x14ac:dyDescent="0.2">
      <c r="AG890" s="1"/>
      <c r="AH890" s="7"/>
    </row>
    <row r="891" spans="33:34" ht="14" x14ac:dyDescent="0.2">
      <c r="AG891" s="1"/>
      <c r="AH891" s="7"/>
    </row>
    <row r="892" spans="33:34" ht="14" x14ac:dyDescent="0.2">
      <c r="AG892" s="1"/>
      <c r="AH892" s="7"/>
    </row>
    <row r="893" spans="33:34" ht="14" x14ac:dyDescent="0.2">
      <c r="AG893" s="1"/>
      <c r="AH893" s="7"/>
    </row>
    <row r="894" spans="33:34" ht="14" x14ac:dyDescent="0.2">
      <c r="AG894" s="1"/>
      <c r="AH894" s="7"/>
    </row>
    <row r="895" spans="33:34" ht="14" x14ac:dyDescent="0.2">
      <c r="AG895" s="1"/>
      <c r="AH895" s="7"/>
    </row>
    <row r="896" spans="33:34" ht="14" x14ac:dyDescent="0.2">
      <c r="AG896" s="1"/>
      <c r="AH896" s="7"/>
    </row>
    <row r="897" spans="33:34" ht="14" x14ac:dyDescent="0.2">
      <c r="AG897" s="1"/>
      <c r="AH897" s="7"/>
    </row>
    <row r="898" spans="33:34" ht="14" x14ac:dyDescent="0.2">
      <c r="AG898" s="1"/>
      <c r="AH898" s="7"/>
    </row>
    <row r="899" spans="33:34" ht="14" x14ac:dyDescent="0.2">
      <c r="AG899" s="1"/>
      <c r="AH899" s="7"/>
    </row>
    <row r="900" spans="33:34" ht="14" x14ac:dyDescent="0.2">
      <c r="AG900" s="1"/>
      <c r="AH900" s="7"/>
    </row>
    <row r="901" spans="33:34" ht="14" x14ac:dyDescent="0.2">
      <c r="AG901" s="1"/>
      <c r="AH901" s="7"/>
    </row>
    <row r="902" spans="33:34" ht="14" x14ac:dyDescent="0.2">
      <c r="AG902" s="1"/>
      <c r="AH902" s="7"/>
    </row>
    <row r="903" spans="33:34" ht="14" x14ac:dyDescent="0.2">
      <c r="AG903" s="1"/>
      <c r="AH903" s="7"/>
    </row>
    <row r="904" spans="33:34" ht="14" x14ac:dyDescent="0.2">
      <c r="AG904" s="1"/>
      <c r="AH904" s="7"/>
    </row>
    <row r="905" spans="33:34" ht="14" x14ac:dyDescent="0.2">
      <c r="AG905" s="1"/>
      <c r="AH905" s="7"/>
    </row>
    <row r="906" spans="33:34" ht="14" x14ac:dyDescent="0.2">
      <c r="AG906" s="1"/>
      <c r="AH906" s="7"/>
    </row>
    <row r="907" spans="33:34" ht="14" x14ac:dyDescent="0.2">
      <c r="AG907" s="1"/>
      <c r="AH907" s="7"/>
    </row>
    <row r="908" spans="33:34" ht="14" x14ac:dyDescent="0.2">
      <c r="AG908" s="1"/>
      <c r="AH908" s="7"/>
    </row>
    <row r="909" spans="33:34" ht="14" x14ac:dyDescent="0.2">
      <c r="AG909" s="1"/>
      <c r="AH909" s="7"/>
    </row>
    <row r="910" spans="33:34" ht="14" x14ac:dyDescent="0.2">
      <c r="AG910" s="1"/>
      <c r="AH910" s="7"/>
    </row>
    <row r="911" spans="33:34" ht="14" x14ac:dyDescent="0.2">
      <c r="AG911" s="1"/>
      <c r="AH911" s="7"/>
    </row>
    <row r="912" spans="33:34" ht="14" x14ac:dyDescent="0.2">
      <c r="AG912" s="1"/>
      <c r="AH912" s="7"/>
    </row>
    <row r="913" spans="33:34" ht="14" x14ac:dyDescent="0.2">
      <c r="AG913" s="1"/>
      <c r="AH913" s="7"/>
    </row>
    <row r="914" spans="33:34" ht="14" x14ac:dyDescent="0.2">
      <c r="AG914" s="1"/>
      <c r="AH914" s="7"/>
    </row>
    <row r="915" spans="33:34" ht="14" x14ac:dyDescent="0.2">
      <c r="AG915" s="1"/>
      <c r="AH915" s="7"/>
    </row>
    <row r="916" spans="33:34" ht="14" x14ac:dyDescent="0.2">
      <c r="AG916" s="1"/>
      <c r="AH916" s="7"/>
    </row>
    <row r="917" spans="33:34" ht="14" x14ac:dyDescent="0.2">
      <c r="AG917" s="1"/>
      <c r="AH917" s="7"/>
    </row>
    <row r="918" spans="33:34" ht="14" x14ac:dyDescent="0.2">
      <c r="AG918" s="1"/>
      <c r="AH918" s="7"/>
    </row>
    <row r="919" spans="33:34" ht="14" x14ac:dyDescent="0.2">
      <c r="AG919" s="1"/>
      <c r="AH919" s="7"/>
    </row>
    <row r="920" spans="33:34" ht="14" x14ac:dyDescent="0.2">
      <c r="AG920" s="1"/>
      <c r="AH920" s="7"/>
    </row>
    <row r="921" spans="33:34" ht="14" x14ac:dyDescent="0.2">
      <c r="AG921" s="1"/>
      <c r="AH921" s="7"/>
    </row>
    <row r="922" spans="33:34" ht="14" x14ac:dyDescent="0.2">
      <c r="AG922" s="1"/>
      <c r="AH922" s="7"/>
    </row>
    <row r="923" spans="33:34" ht="14" x14ac:dyDescent="0.2">
      <c r="AG923" s="1"/>
      <c r="AH923" s="7"/>
    </row>
    <row r="924" spans="33:34" ht="14" x14ac:dyDescent="0.2">
      <c r="AG924" s="1"/>
      <c r="AH924" s="7"/>
    </row>
    <row r="925" spans="33:34" ht="14" x14ac:dyDescent="0.2">
      <c r="AG925" s="1"/>
      <c r="AH925" s="7"/>
    </row>
    <row r="926" spans="33:34" ht="14" x14ac:dyDescent="0.2">
      <c r="AG926" s="1"/>
      <c r="AH926" s="7"/>
    </row>
    <row r="927" spans="33:34" ht="14" x14ac:dyDescent="0.2">
      <c r="AG927" s="1"/>
      <c r="AH927" s="7"/>
    </row>
    <row r="928" spans="33:34" ht="14" x14ac:dyDescent="0.2">
      <c r="AG928" s="1"/>
      <c r="AH928" s="7"/>
    </row>
    <row r="929" spans="33:34" ht="14" x14ac:dyDescent="0.2">
      <c r="AG929" s="1"/>
      <c r="AH929" s="7"/>
    </row>
    <row r="930" spans="33:34" ht="14" x14ac:dyDescent="0.2">
      <c r="AG930" s="1"/>
      <c r="AH930" s="7"/>
    </row>
    <row r="931" spans="33:34" ht="14" x14ac:dyDescent="0.2">
      <c r="AG931" s="1"/>
      <c r="AH931" s="7"/>
    </row>
    <row r="932" spans="33:34" ht="14" x14ac:dyDescent="0.2">
      <c r="AG932" s="1"/>
      <c r="AH932" s="7"/>
    </row>
    <row r="933" spans="33:34" ht="14" x14ac:dyDescent="0.2">
      <c r="AG933" s="1"/>
      <c r="AH933" s="7"/>
    </row>
    <row r="934" spans="33:34" ht="14" x14ac:dyDescent="0.2">
      <c r="AG934" s="1"/>
      <c r="AH934" s="7"/>
    </row>
    <row r="935" spans="33:34" ht="14" x14ac:dyDescent="0.2">
      <c r="AG935" s="1"/>
      <c r="AH935" s="7"/>
    </row>
    <row r="936" spans="33:34" ht="14" x14ac:dyDescent="0.2">
      <c r="AG936" s="1"/>
      <c r="AH936" s="7"/>
    </row>
    <row r="937" spans="33:34" ht="14" x14ac:dyDescent="0.2">
      <c r="AG937" s="1"/>
      <c r="AH937" s="7"/>
    </row>
    <row r="938" spans="33:34" ht="14" x14ac:dyDescent="0.2">
      <c r="AG938" s="1"/>
      <c r="AH938" s="7"/>
    </row>
    <row r="939" spans="33:34" ht="14" x14ac:dyDescent="0.2">
      <c r="AG939" s="1"/>
      <c r="AH939" s="7"/>
    </row>
    <row r="940" spans="33:34" ht="14" x14ac:dyDescent="0.2">
      <c r="AG940" s="1"/>
      <c r="AH940" s="7"/>
    </row>
    <row r="941" spans="33:34" ht="14" x14ac:dyDescent="0.2">
      <c r="AG941" s="1"/>
      <c r="AH941" s="7"/>
    </row>
    <row r="942" spans="33:34" ht="14" x14ac:dyDescent="0.2">
      <c r="AG942" s="1"/>
      <c r="AH942" s="7"/>
    </row>
    <row r="943" spans="33:34" ht="14" x14ac:dyDescent="0.2">
      <c r="AG943" s="1"/>
      <c r="AH943" s="7"/>
    </row>
    <row r="944" spans="33:34" ht="14" x14ac:dyDescent="0.2">
      <c r="AG944" s="1"/>
      <c r="AH944" s="7"/>
    </row>
    <row r="945" spans="33:34" ht="14" x14ac:dyDescent="0.2">
      <c r="AG945" s="1"/>
      <c r="AH945" s="7"/>
    </row>
    <row r="946" spans="33:34" ht="14" x14ac:dyDescent="0.2">
      <c r="AG946" s="1"/>
      <c r="AH946" s="7"/>
    </row>
    <row r="947" spans="33:34" ht="14" x14ac:dyDescent="0.2">
      <c r="AG947" s="1"/>
      <c r="AH947" s="7"/>
    </row>
    <row r="948" spans="33:34" ht="14" x14ac:dyDescent="0.2">
      <c r="AG948" s="1"/>
      <c r="AH948" s="7"/>
    </row>
    <row r="949" spans="33:34" ht="14" x14ac:dyDescent="0.2">
      <c r="AG949" s="1"/>
      <c r="AH949" s="7"/>
    </row>
    <row r="950" spans="33:34" ht="14" x14ac:dyDescent="0.2">
      <c r="AG950" s="1"/>
      <c r="AH950" s="7"/>
    </row>
    <row r="951" spans="33:34" ht="14" x14ac:dyDescent="0.2">
      <c r="AG951" s="1"/>
      <c r="AH951" s="7"/>
    </row>
    <row r="952" spans="33:34" ht="14" x14ac:dyDescent="0.2">
      <c r="AG952" s="1"/>
      <c r="AH952" s="7"/>
    </row>
    <row r="953" spans="33:34" ht="14" x14ac:dyDescent="0.2">
      <c r="AG953" s="1"/>
      <c r="AH953" s="7"/>
    </row>
    <row r="954" spans="33:34" ht="14" x14ac:dyDescent="0.2">
      <c r="AG954" s="1"/>
      <c r="AH954" s="7"/>
    </row>
    <row r="955" spans="33:34" ht="14" x14ac:dyDescent="0.2">
      <c r="AG955" s="1"/>
      <c r="AH955" s="7"/>
    </row>
    <row r="956" spans="33:34" ht="14" x14ac:dyDescent="0.2">
      <c r="AG956" s="1"/>
      <c r="AH956" s="7"/>
    </row>
    <row r="957" spans="33:34" ht="14" x14ac:dyDescent="0.2">
      <c r="AG957" s="1"/>
      <c r="AH957" s="7"/>
    </row>
    <row r="958" spans="33:34" ht="14" x14ac:dyDescent="0.2">
      <c r="AG958" s="1"/>
      <c r="AH958" s="7"/>
    </row>
    <row r="959" spans="33:34" ht="14" x14ac:dyDescent="0.2">
      <c r="AG959" s="1"/>
      <c r="AH959" s="7"/>
    </row>
    <row r="960" spans="33:34" ht="14" x14ac:dyDescent="0.2">
      <c r="AG960" s="1"/>
      <c r="AH960" s="7"/>
    </row>
    <row r="961" spans="33:34" ht="14" x14ac:dyDescent="0.2">
      <c r="AG961" s="1"/>
      <c r="AH961" s="7"/>
    </row>
    <row r="962" spans="33:34" ht="14" x14ac:dyDescent="0.2">
      <c r="AG962" s="1"/>
      <c r="AH962" s="7"/>
    </row>
    <row r="963" spans="33:34" ht="14" x14ac:dyDescent="0.2">
      <c r="AG963" s="1"/>
      <c r="AH963" s="7"/>
    </row>
    <row r="964" spans="33:34" ht="14" x14ac:dyDescent="0.2">
      <c r="AG964" s="1"/>
      <c r="AH964" s="7"/>
    </row>
    <row r="965" spans="33:34" ht="14" x14ac:dyDescent="0.2">
      <c r="AG965" s="1"/>
      <c r="AH965" s="7"/>
    </row>
    <row r="966" spans="33:34" ht="14" x14ac:dyDescent="0.2">
      <c r="AG966" s="1"/>
      <c r="AH966" s="7"/>
    </row>
    <row r="967" spans="33:34" ht="14" x14ac:dyDescent="0.2">
      <c r="AG967" s="1"/>
      <c r="AH967" s="7"/>
    </row>
    <row r="968" spans="33:34" ht="14" x14ac:dyDescent="0.2">
      <c r="AG968" s="1"/>
      <c r="AH968" s="7"/>
    </row>
    <row r="969" spans="33:34" ht="14" x14ac:dyDescent="0.2">
      <c r="AG969" s="1"/>
      <c r="AH969" s="7"/>
    </row>
    <row r="970" spans="33:34" ht="14" x14ac:dyDescent="0.2">
      <c r="AG970" s="1"/>
      <c r="AH970" s="7"/>
    </row>
    <row r="971" spans="33:34" ht="14" x14ac:dyDescent="0.2">
      <c r="AG971" s="1"/>
      <c r="AH971" s="7"/>
    </row>
    <row r="972" spans="33:34" ht="14" x14ac:dyDescent="0.2">
      <c r="AG972" s="1"/>
      <c r="AH972" s="7"/>
    </row>
    <row r="973" spans="33:34" ht="14" x14ac:dyDescent="0.2">
      <c r="AG973" s="1"/>
      <c r="AH973" s="7"/>
    </row>
    <row r="974" spans="33:34" ht="14" x14ac:dyDescent="0.2">
      <c r="AG974" s="1"/>
      <c r="AH974" s="7"/>
    </row>
    <row r="975" spans="33:34" ht="14" x14ac:dyDescent="0.2">
      <c r="AG975" s="1"/>
      <c r="AH975" s="7"/>
    </row>
    <row r="976" spans="33:34" ht="14" x14ac:dyDescent="0.2">
      <c r="AG976" s="1"/>
      <c r="AH976" s="7"/>
    </row>
    <row r="977" spans="33:34" ht="14" x14ac:dyDescent="0.2">
      <c r="AG977" s="1"/>
      <c r="AH977" s="7"/>
    </row>
    <row r="978" spans="33:34" ht="14" x14ac:dyDescent="0.2">
      <c r="AG978" s="1"/>
      <c r="AH978" s="7"/>
    </row>
    <row r="979" spans="33:34" ht="14" x14ac:dyDescent="0.2">
      <c r="AG979" s="1"/>
      <c r="AH979" s="7"/>
    </row>
    <row r="980" spans="33:34" ht="14" x14ac:dyDescent="0.2">
      <c r="AG980" s="1"/>
      <c r="AH980" s="7"/>
    </row>
    <row r="981" spans="33:34" ht="14" x14ac:dyDescent="0.2">
      <c r="AG981" s="1"/>
      <c r="AH981" s="7"/>
    </row>
    <row r="982" spans="33:34" ht="14" x14ac:dyDescent="0.2">
      <c r="AG982" s="1"/>
      <c r="AH982" s="7"/>
    </row>
    <row r="983" spans="33:34" ht="14" x14ac:dyDescent="0.2">
      <c r="AG983" s="1"/>
      <c r="AH983" s="7"/>
    </row>
    <row r="984" spans="33:34" ht="14" x14ac:dyDescent="0.2">
      <c r="AG984" s="1"/>
      <c r="AH984" s="7"/>
    </row>
    <row r="985" spans="33:34" ht="14" x14ac:dyDescent="0.2">
      <c r="AG985" s="1"/>
      <c r="AH985" s="7"/>
    </row>
    <row r="986" spans="33:34" ht="14" x14ac:dyDescent="0.2">
      <c r="AG986" s="1"/>
      <c r="AH986" s="7"/>
    </row>
    <row r="987" spans="33:34" ht="14" x14ac:dyDescent="0.2">
      <c r="AG987" s="1"/>
      <c r="AH987" s="7"/>
    </row>
    <row r="988" spans="33:34" ht="14" x14ac:dyDescent="0.2">
      <c r="AG988" s="1"/>
      <c r="AH988" s="7"/>
    </row>
    <row r="989" spans="33:34" ht="14" x14ac:dyDescent="0.2">
      <c r="AG989" s="1"/>
      <c r="AH989" s="7"/>
    </row>
    <row r="990" spans="33:34" ht="14" x14ac:dyDescent="0.2">
      <c r="AG990" s="1"/>
      <c r="AH990" s="7"/>
    </row>
    <row r="991" spans="33:34" ht="14" x14ac:dyDescent="0.2">
      <c r="AG991" s="1"/>
      <c r="AH991" s="7"/>
    </row>
    <row r="992" spans="33:34" ht="14" x14ac:dyDescent="0.2">
      <c r="AG992" s="1"/>
      <c r="AH992" s="7"/>
    </row>
    <row r="993" spans="33:34" ht="14" x14ac:dyDescent="0.2">
      <c r="AG993" s="1"/>
      <c r="AH993" s="7"/>
    </row>
    <row r="994" spans="33:34" ht="14" x14ac:dyDescent="0.2">
      <c r="AG994" s="1"/>
      <c r="AH994" s="7"/>
    </row>
    <row r="995" spans="33:34" ht="14" x14ac:dyDescent="0.2">
      <c r="AG995" s="1"/>
      <c r="AH995" s="7"/>
    </row>
    <row r="996" spans="33:34" ht="14" x14ac:dyDescent="0.2">
      <c r="AG996" s="1"/>
      <c r="AH996" s="7"/>
    </row>
    <row r="997" spans="33:34" ht="14" x14ac:dyDescent="0.2">
      <c r="AG997" s="1"/>
      <c r="AH997" s="7"/>
    </row>
    <row r="998" spans="33:34" ht="14" x14ac:dyDescent="0.2">
      <c r="AG998" s="1"/>
      <c r="AH998" s="7"/>
    </row>
    <row r="999" spans="33:34" ht="14" x14ac:dyDescent="0.2">
      <c r="AG999" s="1"/>
      <c r="AH999" s="7"/>
    </row>
    <row r="1000" spans="33:34" ht="14" x14ac:dyDescent="0.2">
      <c r="AG1000" s="1"/>
      <c r="AH1000" s="7"/>
    </row>
    <row r="1001" spans="33:34" ht="14" x14ac:dyDescent="0.2">
      <c r="AG1001" s="1"/>
      <c r="AH1001" s="7"/>
    </row>
    <row r="1002" spans="33:34" ht="14" x14ac:dyDescent="0.2">
      <c r="AG1002" s="1"/>
      <c r="AH1002" s="7"/>
    </row>
    <row r="1003" spans="33:34" ht="14" x14ac:dyDescent="0.2">
      <c r="AG1003" s="1"/>
      <c r="AH1003" s="7"/>
    </row>
    <row r="1004" spans="33:34" ht="14" x14ac:dyDescent="0.2">
      <c r="AG1004" s="1"/>
      <c r="AH1004" s="7"/>
    </row>
    <row r="1005" spans="33:34" ht="14" x14ac:dyDescent="0.2">
      <c r="AG1005" s="1"/>
      <c r="AH1005" s="7"/>
    </row>
    <row r="1006" spans="33:34" ht="14" x14ac:dyDescent="0.2">
      <c r="AG1006" s="1"/>
      <c r="AH1006" s="7"/>
    </row>
    <row r="1007" spans="33:34" ht="14" x14ac:dyDescent="0.2">
      <c r="AG1007" s="1"/>
      <c r="AH1007" s="7"/>
    </row>
  </sheetData>
  <conditionalFormatting sqref="B43">
    <cfRule type="cellIs" dxfId="10" priority="3" operator="greaterThanOrEqual">
      <formula>0</formula>
    </cfRule>
    <cfRule type="cellIs" dxfId="9" priority="4" operator="lessThanOrEqual">
      <formula>0</formula>
    </cfRule>
  </conditionalFormatting>
  <conditionalFormatting sqref="B2:H2 J2:AF2 V4">
    <cfRule type="cellIs" dxfId="8" priority="7" operator="greaterThan">
      <formula>4200</formula>
    </cfRule>
  </conditionalFormatting>
  <conditionalFormatting sqref="B33:AG33 AJ33:BG33">
    <cfRule type="cellIs" dxfId="7" priority="1" operator="greaterThanOrEqual">
      <formula>0</formula>
    </cfRule>
    <cfRule type="cellIs" dxfId="6" priority="2" operator="lessThanOrEqual">
      <formula>0</formula>
    </cfRule>
  </conditionalFormatting>
  <conditionalFormatting sqref="AH33">
    <cfRule type="cellIs" dxfId="5" priority="5" operator="greaterThanOrEqual">
      <formula>1</formula>
    </cfRule>
    <cfRule type="cellIs" dxfId="4" priority="6" operator="lessThan">
      <formula>1</formula>
    </cfRule>
  </conditionalFormatting>
  <printOptions horizontalCentered="1" gridLines="1"/>
  <pageMargins left="0.7" right="0.7" top="0.75" bottom="0.75" header="0" footer="0"/>
  <pageSetup paperSize="9" fitToHeight="0" pageOrder="overThenDown" orientation="landscape" cellComments="atEnd"/>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outlinePr summaryBelow="0" summaryRight="0"/>
  </sheetPr>
  <dimension ref="B1:Q990"/>
  <sheetViews>
    <sheetView topLeftCell="A4" workbookViewId="0">
      <selection activeCell="Z41" sqref="Z41"/>
    </sheetView>
  </sheetViews>
  <sheetFormatPr baseColWidth="10" defaultColWidth="12.796875" defaultRowHeight="15.75" customHeight="1" x14ac:dyDescent="0.2"/>
  <cols>
    <col min="2" max="2" width="17.796875" customWidth="1"/>
    <col min="3" max="5" width="12.796875" customWidth="1"/>
    <col min="6" max="6" width="14.796875" customWidth="1"/>
    <col min="7" max="8" width="12.796875" customWidth="1"/>
    <col min="13" max="13" width="19.3984375" customWidth="1"/>
  </cols>
  <sheetData>
    <row r="1" spans="2:11" ht="15.75" customHeight="1" x14ac:dyDescent="0.2">
      <c r="C1" s="1"/>
      <c r="D1" s="105" t="s">
        <v>9</v>
      </c>
      <c r="E1" s="106"/>
      <c r="F1" s="106"/>
      <c r="G1" s="106"/>
      <c r="H1" s="106"/>
    </row>
    <row r="2" spans="2:11" ht="15.75" customHeight="1" x14ac:dyDescent="0.2">
      <c r="B2" s="87" t="s">
        <v>250</v>
      </c>
      <c r="C2" s="2" t="s">
        <v>251</v>
      </c>
      <c r="D2" s="2" t="s">
        <v>252</v>
      </c>
      <c r="E2" s="2" t="s">
        <v>253</v>
      </c>
      <c r="F2" s="2" t="s">
        <v>60</v>
      </c>
      <c r="G2" s="2" t="s">
        <v>254</v>
      </c>
      <c r="H2" s="2" t="s">
        <v>255</v>
      </c>
    </row>
    <row r="3" spans="2:11" ht="15.75" customHeight="1" x14ac:dyDescent="0.2">
      <c r="B3" s="4" t="s">
        <v>135</v>
      </c>
      <c r="C3" s="34">
        <v>23</v>
      </c>
      <c r="D3" s="34">
        <f>127*12</f>
        <v>1524</v>
      </c>
      <c r="E3" s="34">
        <v>799</v>
      </c>
      <c r="F3" s="34">
        <f>(41*12)+28</f>
        <v>520</v>
      </c>
      <c r="G3" s="34">
        <f t="shared" ref="G3:G13" si="0">D3-E3-F3+C3</f>
        <v>228</v>
      </c>
      <c r="H3" s="34">
        <f t="shared" ref="H3:H6" si="1">G3*25</f>
        <v>5700</v>
      </c>
      <c r="J3" s="4">
        <f>G3</f>
        <v>228</v>
      </c>
      <c r="K3" s="4" t="s">
        <v>256</v>
      </c>
    </row>
    <row r="4" spans="2:11" ht="15.75" customHeight="1" x14ac:dyDescent="0.2">
      <c r="B4" s="4" t="s">
        <v>257</v>
      </c>
      <c r="C4" s="34">
        <v>25</v>
      </c>
      <c r="D4" s="34">
        <f t="shared" ref="D4:D6" si="2">5*28</f>
        <v>140</v>
      </c>
      <c r="E4" s="34">
        <v>163</v>
      </c>
      <c r="F4" s="34">
        <v>0</v>
      </c>
      <c r="G4" s="34">
        <f t="shared" si="0"/>
        <v>2</v>
      </c>
      <c r="H4" s="34">
        <f t="shared" si="1"/>
        <v>50</v>
      </c>
      <c r="J4" s="4">
        <f>SUM(G4:G6)</f>
        <v>17</v>
      </c>
      <c r="K4" s="4" t="s">
        <v>258</v>
      </c>
    </row>
    <row r="5" spans="2:11" ht="15.75" customHeight="1" x14ac:dyDescent="0.2">
      <c r="B5" s="4" t="s">
        <v>259</v>
      </c>
      <c r="C5" s="34">
        <v>30</v>
      </c>
      <c r="D5" s="34">
        <f t="shared" si="2"/>
        <v>140</v>
      </c>
      <c r="E5" s="34">
        <v>81</v>
      </c>
      <c r="F5" s="34">
        <f>(2*28)+22</f>
        <v>78</v>
      </c>
      <c r="G5" s="34">
        <f t="shared" si="0"/>
        <v>11</v>
      </c>
      <c r="H5" s="34">
        <f t="shared" si="1"/>
        <v>275</v>
      </c>
      <c r="J5" s="4">
        <f>SUM(G7:G10)</f>
        <v>107</v>
      </c>
      <c r="K5" s="4" t="s">
        <v>260</v>
      </c>
    </row>
    <row r="6" spans="2:11" ht="15.75" customHeight="1" x14ac:dyDescent="0.2">
      <c r="B6" s="4" t="s">
        <v>261</v>
      </c>
      <c r="C6" s="34">
        <v>56</v>
      </c>
      <c r="D6" s="34">
        <f t="shared" si="2"/>
        <v>140</v>
      </c>
      <c r="E6" s="34">
        <v>97</v>
      </c>
      <c r="F6" s="34">
        <f>(2*28)+39</f>
        <v>95</v>
      </c>
      <c r="G6" s="34">
        <f t="shared" si="0"/>
        <v>4</v>
      </c>
      <c r="H6" s="34">
        <f t="shared" si="1"/>
        <v>100</v>
      </c>
      <c r="J6" s="4">
        <f>SUM(G11:G13)</f>
        <v>2</v>
      </c>
      <c r="K6" s="4" t="s">
        <v>262</v>
      </c>
    </row>
    <row r="7" spans="2:11" ht="15.75" customHeight="1" x14ac:dyDescent="0.2">
      <c r="B7" s="4" t="s">
        <v>263</v>
      </c>
      <c r="C7" s="34">
        <v>0</v>
      </c>
      <c r="D7" s="34">
        <f>5*24</f>
        <v>120</v>
      </c>
      <c r="E7" s="34">
        <v>63</v>
      </c>
      <c r="F7" s="34">
        <f>(2*24)+9</f>
        <v>57</v>
      </c>
      <c r="G7" s="34">
        <f t="shared" si="0"/>
        <v>0</v>
      </c>
      <c r="H7" s="34">
        <f t="shared" ref="H7:H10" si="3">G7*15</f>
        <v>0</v>
      </c>
    </row>
    <row r="8" spans="2:11" ht="15.75" customHeight="1" x14ac:dyDescent="0.2">
      <c r="B8" s="4" t="s">
        <v>264</v>
      </c>
      <c r="C8" s="34">
        <v>0</v>
      </c>
      <c r="D8" s="34">
        <f t="shared" ref="D8:D9" si="4">2*24</f>
        <v>48</v>
      </c>
      <c r="E8" s="34">
        <v>13</v>
      </c>
      <c r="F8" s="34">
        <v>9</v>
      </c>
      <c r="G8" s="34">
        <f t="shared" si="0"/>
        <v>26</v>
      </c>
      <c r="H8" s="34">
        <f t="shared" si="3"/>
        <v>390</v>
      </c>
    </row>
    <row r="9" spans="2:11" ht="15.75" customHeight="1" x14ac:dyDescent="0.2">
      <c r="B9" s="4" t="s">
        <v>265</v>
      </c>
      <c r="C9" s="34">
        <v>0</v>
      </c>
      <c r="D9" s="34">
        <f t="shared" si="4"/>
        <v>48</v>
      </c>
      <c r="E9" s="34">
        <v>16</v>
      </c>
      <c r="F9" s="34">
        <v>25</v>
      </c>
      <c r="G9" s="34">
        <f t="shared" si="0"/>
        <v>7</v>
      </c>
      <c r="H9" s="34">
        <f t="shared" si="3"/>
        <v>105</v>
      </c>
    </row>
    <row r="10" spans="2:11" ht="15.75" customHeight="1" x14ac:dyDescent="0.2">
      <c r="B10" s="4" t="s">
        <v>266</v>
      </c>
      <c r="C10" s="34">
        <v>0</v>
      </c>
      <c r="D10" s="34">
        <f>5*24</f>
        <v>120</v>
      </c>
      <c r="E10" s="34">
        <v>46</v>
      </c>
      <c r="F10" s="34">
        <v>0</v>
      </c>
      <c r="G10" s="34">
        <f t="shared" si="0"/>
        <v>74</v>
      </c>
      <c r="H10" s="34">
        <f t="shared" si="3"/>
        <v>1110</v>
      </c>
    </row>
    <row r="11" spans="2:11" ht="15.75" customHeight="1" x14ac:dyDescent="0.2">
      <c r="B11" s="4" t="s">
        <v>267</v>
      </c>
      <c r="C11" s="34">
        <v>0</v>
      </c>
      <c r="D11" s="34">
        <f t="shared" ref="D11:D13" si="5">2*24</f>
        <v>48</v>
      </c>
      <c r="E11" s="34">
        <v>5</v>
      </c>
      <c r="F11" s="34">
        <f>24+19</f>
        <v>43</v>
      </c>
      <c r="G11" s="34">
        <f t="shared" si="0"/>
        <v>0</v>
      </c>
      <c r="H11" s="34">
        <f t="shared" ref="H11:H13" si="6">G11*45</f>
        <v>0</v>
      </c>
    </row>
    <row r="12" spans="2:11" ht="15.75" customHeight="1" x14ac:dyDescent="0.2">
      <c r="B12" s="4" t="s">
        <v>268</v>
      </c>
      <c r="C12" s="34">
        <v>0</v>
      </c>
      <c r="D12" s="34">
        <f t="shared" si="5"/>
        <v>48</v>
      </c>
      <c r="E12" s="34">
        <v>15</v>
      </c>
      <c r="F12" s="34">
        <f>24+8</f>
        <v>32</v>
      </c>
      <c r="G12" s="34">
        <f t="shared" si="0"/>
        <v>1</v>
      </c>
      <c r="H12" s="34">
        <f t="shared" si="6"/>
        <v>45</v>
      </c>
    </row>
    <row r="13" spans="2:11" ht="15.75" customHeight="1" x14ac:dyDescent="0.2">
      <c r="B13" s="4" t="s">
        <v>269</v>
      </c>
      <c r="C13" s="34">
        <v>0</v>
      </c>
      <c r="D13" s="34">
        <f t="shared" si="5"/>
        <v>48</v>
      </c>
      <c r="E13" s="34">
        <v>9</v>
      </c>
      <c r="F13" s="34">
        <f>24+14</f>
        <v>38</v>
      </c>
      <c r="G13" s="34">
        <f t="shared" si="0"/>
        <v>1</v>
      </c>
      <c r="H13" s="34">
        <f t="shared" si="6"/>
        <v>45</v>
      </c>
    </row>
    <row r="14" spans="2:11" ht="15.75" customHeight="1" x14ac:dyDescent="0.2">
      <c r="C14" s="1"/>
      <c r="D14" s="1"/>
      <c r="E14" s="1"/>
      <c r="F14" s="1"/>
      <c r="G14" s="1"/>
      <c r="H14" s="27">
        <f>SUM(H3:H11)</f>
        <v>7730</v>
      </c>
    </row>
    <row r="15" spans="2:11" ht="15.75" customHeight="1" x14ac:dyDescent="0.2">
      <c r="C15" s="1"/>
      <c r="D15" s="1"/>
      <c r="E15" s="1"/>
      <c r="F15" s="1"/>
      <c r="G15" s="1"/>
      <c r="H15" s="1"/>
    </row>
    <row r="16" spans="2:11" ht="15.75" customHeight="1" x14ac:dyDescent="0.2">
      <c r="C16" s="1"/>
      <c r="D16" s="105" t="s">
        <v>10</v>
      </c>
      <c r="E16" s="106"/>
      <c r="F16" s="106"/>
      <c r="G16" s="106"/>
      <c r="H16" s="106"/>
    </row>
    <row r="17" spans="2:11" ht="15.75" customHeight="1" x14ac:dyDescent="0.2">
      <c r="B17" s="87" t="s">
        <v>250</v>
      </c>
      <c r="C17" s="2" t="s">
        <v>270</v>
      </c>
      <c r="D17" s="2" t="s">
        <v>252</v>
      </c>
      <c r="E17" s="2" t="s">
        <v>253</v>
      </c>
      <c r="F17" s="2" t="s">
        <v>60</v>
      </c>
      <c r="G17" s="2" t="s">
        <v>254</v>
      </c>
      <c r="H17" s="2" t="s">
        <v>255</v>
      </c>
    </row>
    <row r="18" spans="2:11" ht="15.75" customHeight="1" x14ac:dyDescent="0.2">
      <c r="B18" s="4" t="s">
        <v>135</v>
      </c>
      <c r="C18" s="34">
        <f>(41*12)+28</f>
        <v>520</v>
      </c>
      <c r="D18" s="34">
        <f>100*12</f>
        <v>1200</v>
      </c>
      <c r="E18" s="88">
        <v>1020</v>
      </c>
      <c r="F18" s="88">
        <f>(57*12)</f>
        <v>684</v>
      </c>
      <c r="G18" s="34">
        <f t="shared" ref="G18:G28" si="7">D18-E18-F18+C18</f>
        <v>16</v>
      </c>
      <c r="H18" s="34">
        <f t="shared" ref="H18:H21" si="8">G18*25</f>
        <v>400</v>
      </c>
      <c r="J18" s="4">
        <f>G18</f>
        <v>16</v>
      </c>
      <c r="K18" s="4" t="s">
        <v>256</v>
      </c>
    </row>
    <row r="19" spans="2:11" ht="15.75" customHeight="1" x14ac:dyDescent="0.2">
      <c r="B19" s="4" t="s">
        <v>257</v>
      </c>
      <c r="C19" s="34">
        <v>0</v>
      </c>
      <c r="D19" s="34">
        <f>7*28</f>
        <v>196</v>
      </c>
      <c r="E19" s="88">
        <v>192</v>
      </c>
      <c r="F19" s="88">
        <f>(2*28)+18</f>
        <v>74</v>
      </c>
      <c r="G19" s="34">
        <f t="shared" si="7"/>
        <v>-70</v>
      </c>
      <c r="H19" s="34">
        <f t="shared" si="8"/>
        <v>-1750</v>
      </c>
      <c r="J19" s="4">
        <f>SUM(G19:G21)</f>
        <v>10</v>
      </c>
      <c r="K19" s="4" t="s">
        <v>258</v>
      </c>
    </row>
    <row r="20" spans="2:11" ht="15.75" customHeight="1" x14ac:dyDescent="0.2">
      <c r="B20" s="4" t="s">
        <v>259</v>
      </c>
      <c r="C20" s="34">
        <f>(2*28)+22</f>
        <v>78</v>
      </c>
      <c r="D20" s="34">
        <f>4*28</f>
        <v>112</v>
      </c>
      <c r="E20" s="88">
        <v>76</v>
      </c>
      <c r="F20" s="88">
        <f>(1*28)+26</f>
        <v>54</v>
      </c>
      <c r="G20" s="34">
        <f t="shared" si="7"/>
        <v>60</v>
      </c>
      <c r="H20" s="34">
        <f t="shared" si="8"/>
        <v>1500</v>
      </c>
      <c r="J20" s="4">
        <f>SUM(G22:G25)</f>
        <v>61</v>
      </c>
      <c r="K20" s="4" t="s">
        <v>260</v>
      </c>
    </row>
    <row r="21" spans="2:11" ht="15.75" customHeight="1" x14ac:dyDescent="0.2">
      <c r="B21" s="4" t="s">
        <v>261</v>
      </c>
      <c r="C21" s="34">
        <f>(2*28)+39</f>
        <v>95</v>
      </c>
      <c r="D21" s="34">
        <f>3*28</f>
        <v>84</v>
      </c>
      <c r="E21" s="88">
        <v>117</v>
      </c>
      <c r="F21" s="88">
        <f>(1*28)+14</f>
        <v>42</v>
      </c>
      <c r="G21" s="34">
        <f t="shared" si="7"/>
        <v>20</v>
      </c>
      <c r="H21" s="34">
        <f t="shared" si="8"/>
        <v>500</v>
      </c>
      <c r="J21" s="4">
        <f>SUM(G26:G28)</f>
        <v>5</v>
      </c>
      <c r="K21" s="4" t="s">
        <v>262</v>
      </c>
    </row>
    <row r="22" spans="2:11" ht="15.75" customHeight="1" x14ac:dyDescent="0.2">
      <c r="B22" s="4" t="s">
        <v>263</v>
      </c>
      <c r="C22" s="34">
        <f>(2*24)+9</f>
        <v>57</v>
      </c>
      <c r="D22" s="34">
        <f t="shared" ref="D22:D24" si="9">6*24</f>
        <v>144</v>
      </c>
      <c r="E22" s="88">
        <v>190</v>
      </c>
      <c r="F22" s="88">
        <f>(3*24)+2</f>
        <v>74</v>
      </c>
      <c r="G22" s="34">
        <f t="shared" si="7"/>
        <v>-63</v>
      </c>
      <c r="H22" s="34">
        <f t="shared" ref="H22:H25" si="10">G22*15</f>
        <v>-945</v>
      </c>
    </row>
    <row r="23" spans="2:11" ht="15.75" customHeight="1" x14ac:dyDescent="0.2">
      <c r="B23" s="4" t="s">
        <v>264</v>
      </c>
      <c r="C23" s="34">
        <v>9</v>
      </c>
      <c r="D23" s="34">
        <f t="shared" si="9"/>
        <v>144</v>
      </c>
      <c r="E23" s="88">
        <v>40</v>
      </c>
      <c r="F23" s="88">
        <v>9</v>
      </c>
      <c r="G23" s="34">
        <f t="shared" si="7"/>
        <v>104</v>
      </c>
      <c r="H23" s="34">
        <f t="shared" si="10"/>
        <v>1560</v>
      </c>
    </row>
    <row r="24" spans="2:11" ht="15.75" customHeight="1" x14ac:dyDescent="0.2">
      <c r="B24" s="4" t="s">
        <v>265</v>
      </c>
      <c r="C24" s="34">
        <v>25</v>
      </c>
      <c r="D24" s="34">
        <f t="shared" si="9"/>
        <v>144</v>
      </c>
      <c r="E24" s="88">
        <v>69</v>
      </c>
      <c r="F24" s="88">
        <f>(3*24)+8</f>
        <v>80</v>
      </c>
      <c r="G24" s="34">
        <f t="shared" si="7"/>
        <v>20</v>
      </c>
      <c r="H24" s="34">
        <f t="shared" si="10"/>
        <v>300</v>
      </c>
    </row>
    <row r="25" spans="2:11" ht="15.75" customHeight="1" x14ac:dyDescent="0.2">
      <c r="B25" s="4" t="s">
        <v>266</v>
      </c>
      <c r="C25" s="34">
        <v>0</v>
      </c>
      <c r="D25" s="34">
        <v>0</v>
      </c>
      <c r="E25" s="88">
        <v>0</v>
      </c>
      <c r="F25" s="88">
        <v>0</v>
      </c>
      <c r="G25" s="34">
        <f t="shared" si="7"/>
        <v>0</v>
      </c>
      <c r="H25" s="34">
        <f t="shared" si="10"/>
        <v>0</v>
      </c>
    </row>
    <row r="26" spans="2:11" ht="15.75" customHeight="1" x14ac:dyDescent="0.2">
      <c r="B26" s="4" t="s">
        <v>267</v>
      </c>
      <c r="C26" s="34">
        <f>24+19</f>
        <v>43</v>
      </c>
      <c r="D26" s="34">
        <v>0</v>
      </c>
      <c r="E26" s="88">
        <v>35</v>
      </c>
      <c r="F26" s="88">
        <v>9</v>
      </c>
      <c r="G26" s="34">
        <f t="shared" si="7"/>
        <v>-1</v>
      </c>
      <c r="H26" s="34">
        <f t="shared" ref="H26:H28" si="11">G26*45</f>
        <v>-45</v>
      </c>
    </row>
    <row r="27" spans="2:11" ht="15.75" customHeight="1" x14ac:dyDescent="0.2">
      <c r="B27" s="4" t="s">
        <v>268</v>
      </c>
      <c r="C27" s="34">
        <f>24+8</f>
        <v>32</v>
      </c>
      <c r="D27" s="34">
        <v>0</v>
      </c>
      <c r="E27" s="88">
        <v>11</v>
      </c>
      <c r="F27" s="88">
        <v>18</v>
      </c>
      <c r="G27" s="34">
        <f t="shared" si="7"/>
        <v>3</v>
      </c>
      <c r="H27" s="34">
        <f t="shared" si="11"/>
        <v>135</v>
      </c>
    </row>
    <row r="28" spans="2:11" ht="15.75" customHeight="1" x14ac:dyDescent="0.2">
      <c r="B28" s="4" t="s">
        <v>269</v>
      </c>
      <c r="C28" s="34">
        <f>24+14</f>
        <v>38</v>
      </c>
      <c r="D28" s="34">
        <v>0</v>
      </c>
      <c r="E28" s="88">
        <v>9</v>
      </c>
      <c r="F28" s="88">
        <f>2+24</f>
        <v>26</v>
      </c>
      <c r="G28" s="34">
        <f t="shared" si="7"/>
        <v>3</v>
      </c>
      <c r="H28" s="34">
        <f t="shared" si="11"/>
        <v>135</v>
      </c>
    </row>
    <row r="29" spans="2:11" ht="15.75" customHeight="1" x14ac:dyDescent="0.2">
      <c r="C29" s="1"/>
      <c r="D29" s="1"/>
      <c r="E29" s="1"/>
      <c r="F29" s="1"/>
      <c r="G29" s="1"/>
      <c r="H29" s="27">
        <f>SUM(H18:H26)</f>
        <v>1520</v>
      </c>
    </row>
    <row r="30" spans="2:11" ht="15.75" customHeight="1" x14ac:dyDescent="0.2">
      <c r="C30" s="1"/>
      <c r="D30" s="1"/>
      <c r="E30" s="1"/>
      <c r="F30" s="1"/>
      <c r="G30" s="1"/>
      <c r="H30" s="1"/>
    </row>
    <row r="31" spans="2:11" ht="15.75" customHeight="1" x14ac:dyDescent="0.2">
      <c r="C31" s="1"/>
      <c r="D31" s="105" t="s">
        <v>11</v>
      </c>
      <c r="E31" s="106"/>
      <c r="F31" s="106"/>
      <c r="G31" s="106"/>
      <c r="H31" s="106"/>
    </row>
    <row r="32" spans="2:11" ht="15.75" customHeight="1" x14ac:dyDescent="0.2">
      <c r="B32" s="87" t="s">
        <v>250</v>
      </c>
      <c r="C32" s="2" t="s">
        <v>270</v>
      </c>
      <c r="D32" s="2" t="s">
        <v>252</v>
      </c>
      <c r="E32" s="2" t="s">
        <v>253</v>
      </c>
      <c r="F32" s="2" t="s">
        <v>60</v>
      </c>
      <c r="G32" s="2" t="s">
        <v>254</v>
      </c>
      <c r="H32" s="2" t="s">
        <v>255</v>
      </c>
    </row>
    <row r="33" spans="2:14" ht="15.75" customHeight="1" x14ac:dyDescent="0.2">
      <c r="B33" s="4" t="s">
        <v>135</v>
      </c>
      <c r="C33" s="88">
        <f>(57*12)</f>
        <v>684</v>
      </c>
      <c r="D33" s="34">
        <v>0</v>
      </c>
      <c r="E33" s="88">
        <v>533</v>
      </c>
      <c r="F33" s="88">
        <f>(7*12)+42</f>
        <v>126</v>
      </c>
      <c r="G33" s="34">
        <f t="shared" ref="G33:G43" si="12">D33-E33-F33+C33</f>
        <v>25</v>
      </c>
      <c r="H33" s="34">
        <f t="shared" ref="H33:H36" si="13">G33*25</f>
        <v>625</v>
      </c>
      <c r="J33" s="4">
        <f>G33</f>
        <v>25</v>
      </c>
      <c r="K33" s="4" t="s">
        <v>256</v>
      </c>
    </row>
    <row r="34" spans="2:14" ht="15.75" customHeight="1" x14ac:dyDescent="0.2">
      <c r="B34" s="4" t="s">
        <v>257</v>
      </c>
      <c r="C34" s="88">
        <f>(2*28)+18</f>
        <v>74</v>
      </c>
      <c r="D34" s="88">
        <f>7*28</f>
        <v>196</v>
      </c>
      <c r="E34" s="34">
        <v>112</v>
      </c>
      <c r="F34" s="88">
        <f>(5*28)+21</f>
        <v>161</v>
      </c>
      <c r="G34" s="34">
        <f t="shared" si="12"/>
        <v>-3</v>
      </c>
      <c r="H34" s="34">
        <f t="shared" si="13"/>
        <v>-75</v>
      </c>
      <c r="J34" s="4">
        <f>SUM(G34:G36)</f>
        <v>-29</v>
      </c>
      <c r="K34" s="4" t="s">
        <v>258</v>
      </c>
    </row>
    <row r="35" spans="2:14" ht="15.75" customHeight="1" x14ac:dyDescent="0.2">
      <c r="B35" s="4" t="s">
        <v>259</v>
      </c>
      <c r="C35" s="88">
        <f>(1*28)+26</f>
        <v>54</v>
      </c>
      <c r="D35" s="88">
        <f>3*28</f>
        <v>84</v>
      </c>
      <c r="E35" s="34">
        <v>41</v>
      </c>
      <c r="F35" s="88">
        <f>(3*28)+13</f>
        <v>97</v>
      </c>
      <c r="G35" s="34">
        <f t="shared" si="12"/>
        <v>0</v>
      </c>
      <c r="H35" s="34">
        <f t="shared" si="13"/>
        <v>0</v>
      </c>
      <c r="J35" s="4">
        <f>SUM(G37:G40)</f>
        <v>-22</v>
      </c>
      <c r="K35" s="4" t="s">
        <v>260</v>
      </c>
    </row>
    <row r="36" spans="2:14" ht="15.75" customHeight="1" x14ac:dyDescent="0.2">
      <c r="B36" s="4" t="s">
        <v>261</v>
      </c>
      <c r="C36" s="88">
        <f>(1*28)+14</f>
        <v>42</v>
      </c>
      <c r="D36" s="88">
        <f>(2*28)</f>
        <v>56</v>
      </c>
      <c r="E36" s="34">
        <v>58</v>
      </c>
      <c r="F36" s="88">
        <f>(2*28)+10</f>
        <v>66</v>
      </c>
      <c r="G36" s="34">
        <f t="shared" si="12"/>
        <v>-26</v>
      </c>
      <c r="H36" s="34">
        <f t="shared" si="13"/>
        <v>-650</v>
      </c>
      <c r="J36" s="4">
        <f>SUM(G41:G43)</f>
        <v>0</v>
      </c>
      <c r="K36" s="4" t="s">
        <v>262</v>
      </c>
    </row>
    <row r="37" spans="2:14" ht="15.75" customHeight="1" x14ac:dyDescent="0.2">
      <c r="B37" s="4" t="s">
        <v>263</v>
      </c>
      <c r="C37" s="88">
        <f>(3*24)+2</f>
        <v>74</v>
      </c>
      <c r="D37" s="88">
        <f>5*24</f>
        <v>120</v>
      </c>
      <c r="E37" s="34">
        <f>54+19</f>
        <v>73</v>
      </c>
      <c r="F37" s="88">
        <f>(5*24)+17</f>
        <v>137</v>
      </c>
      <c r="G37" s="34">
        <f t="shared" si="12"/>
        <v>-16</v>
      </c>
      <c r="H37" s="34">
        <f t="shared" ref="H37:H40" si="14">G37*15</f>
        <v>-240</v>
      </c>
    </row>
    <row r="38" spans="2:14" ht="15.75" customHeight="1" x14ac:dyDescent="0.2">
      <c r="B38" s="4" t="s">
        <v>264</v>
      </c>
      <c r="C38" s="88">
        <v>9</v>
      </c>
      <c r="D38" s="88">
        <f>3*24</f>
        <v>72</v>
      </c>
      <c r="E38" s="34">
        <f>7+32</f>
        <v>39</v>
      </c>
      <c r="F38" s="88">
        <f>(1*24)+23</f>
        <v>47</v>
      </c>
      <c r="G38" s="34">
        <f t="shared" si="12"/>
        <v>-5</v>
      </c>
      <c r="H38" s="34">
        <f t="shared" si="14"/>
        <v>-75</v>
      </c>
    </row>
    <row r="39" spans="2:14" ht="15.75" customHeight="1" x14ac:dyDescent="0.2">
      <c r="B39" s="4" t="s">
        <v>265</v>
      </c>
      <c r="C39" s="88">
        <f>(3*24)+8</f>
        <v>80</v>
      </c>
      <c r="D39" s="88">
        <f>2*24</f>
        <v>48</v>
      </c>
      <c r="E39" s="34">
        <f>23+32</f>
        <v>55</v>
      </c>
      <c r="F39" s="88">
        <f>(3*24)+2</f>
        <v>74</v>
      </c>
      <c r="G39" s="34">
        <f t="shared" si="12"/>
        <v>-1</v>
      </c>
      <c r="H39" s="34">
        <f t="shared" si="14"/>
        <v>-15</v>
      </c>
    </row>
    <row r="40" spans="2:14" ht="15.75" customHeight="1" x14ac:dyDescent="0.2">
      <c r="B40" s="4" t="s">
        <v>266</v>
      </c>
      <c r="C40" s="88">
        <v>0</v>
      </c>
      <c r="D40" s="34">
        <v>0</v>
      </c>
      <c r="E40" s="34">
        <v>0</v>
      </c>
      <c r="F40" s="34">
        <v>0</v>
      </c>
      <c r="G40" s="34">
        <f t="shared" si="12"/>
        <v>0</v>
      </c>
      <c r="H40" s="34">
        <f t="shared" si="14"/>
        <v>0</v>
      </c>
    </row>
    <row r="41" spans="2:14" ht="15.75" customHeight="1" x14ac:dyDescent="0.2">
      <c r="B41" s="4" t="s">
        <v>267</v>
      </c>
      <c r="C41" s="88">
        <v>9</v>
      </c>
      <c r="D41" s="34">
        <v>0</v>
      </c>
      <c r="E41" s="34">
        <v>6</v>
      </c>
      <c r="F41" s="88">
        <v>2</v>
      </c>
      <c r="G41" s="34">
        <f t="shared" si="12"/>
        <v>1</v>
      </c>
      <c r="H41" s="34">
        <f t="shared" ref="H41:H43" si="15">G41*45</f>
        <v>45</v>
      </c>
    </row>
    <row r="42" spans="2:14" ht="15.75" customHeight="1" x14ac:dyDescent="0.2">
      <c r="B42" s="4" t="s">
        <v>268</v>
      </c>
      <c r="C42" s="88">
        <v>18</v>
      </c>
      <c r="D42" s="34">
        <v>0</v>
      </c>
      <c r="E42" s="34">
        <v>5</v>
      </c>
      <c r="F42" s="88">
        <v>14</v>
      </c>
      <c r="G42" s="34">
        <f t="shared" si="12"/>
        <v>-1</v>
      </c>
      <c r="H42" s="34">
        <f t="shared" si="15"/>
        <v>-45</v>
      </c>
    </row>
    <row r="43" spans="2:14" ht="15.75" customHeight="1" x14ac:dyDescent="0.2">
      <c r="B43" s="4" t="s">
        <v>269</v>
      </c>
      <c r="C43" s="88">
        <f>2+24</f>
        <v>26</v>
      </c>
      <c r="D43" s="34">
        <v>0</v>
      </c>
      <c r="E43" s="34">
        <v>2</v>
      </c>
      <c r="F43" s="88">
        <v>24</v>
      </c>
      <c r="G43" s="34">
        <f t="shared" si="12"/>
        <v>0</v>
      </c>
      <c r="H43" s="34">
        <f t="shared" si="15"/>
        <v>0</v>
      </c>
    </row>
    <row r="44" spans="2:14" ht="15" x14ac:dyDescent="0.2">
      <c r="C44" s="1"/>
      <c r="D44" s="1"/>
      <c r="E44" s="1"/>
      <c r="F44" s="1"/>
      <c r="G44" s="1"/>
      <c r="H44" s="27">
        <f>SUM(H33:H41)</f>
        <v>-385</v>
      </c>
      <c r="M44" s="89"/>
      <c r="N44" s="89"/>
    </row>
    <row r="45" spans="2:14" ht="15" x14ac:dyDescent="0.2">
      <c r="C45" s="1"/>
      <c r="D45" s="1"/>
      <c r="E45" s="1"/>
      <c r="F45" s="1"/>
      <c r="G45" s="1"/>
      <c r="H45" s="1"/>
      <c r="N45" s="89"/>
    </row>
    <row r="46" spans="2:14" ht="15" x14ac:dyDescent="0.2">
      <c r="C46" s="1"/>
      <c r="D46" s="105" t="s">
        <v>12</v>
      </c>
      <c r="E46" s="106"/>
      <c r="F46" s="106"/>
      <c r="G46" s="106"/>
      <c r="H46" s="106"/>
      <c r="M46" s="89"/>
      <c r="N46" s="89"/>
    </row>
    <row r="47" spans="2:14" ht="15" x14ac:dyDescent="0.2">
      <c r="B47" s="87" t="s">
        <v>250</v>
      </c>
      <c r="C47" s="2" t="s">
        <v>271</v>
      </c>
      <c r="D47" s="2" t="s">
        <v>252</v>
      </c>
      <c r="E47" s="2" t="s">
        <v>253</v>
      </c>
      <c r="F47" s="2" t="s">
        <v>60</v>
      </c>
      <c r="G47" s="2" t="s">
        <v>254</v>
      </c>
      <c r="H47" s="2" t="s">
        <v>255</v>
      </c>
      <c r="M47" s="89"/>
      <c r="N47" s="89"/>
    </row>
    <row r="48" spans="2:14" ht="15" x14ac:dyDescent="0.2">
      <c r="B48" s="4" t="s">
        <v>135</v>
      </c>
      <c r="C48" s="88">
        <f t="shared" ref="C48:C58" si="16">F33</f>
        <v>126</v>
      </c>
      <c r="D48" s="34">
        <f>41*12</f>
        <v>492</v>
      </c>
      <c r="E48" s="34">
        <v>593</v>
      </c>
      <c r="F48" s="88">
        <f>(1*12)+23</f>
        <v>35</v>
      </c>
      <c r="G48" s="34">
        <f t="shared" ref="G48:G58" si="17">D48-E48-F48+C48</f>
        <v>-10</v>
      </c>
      <c r="H48" s="34">
        <f t="shared" ref="H48:H51" si="18">G48*25</f>
        <v>-250</v>
      </c>
      <c r="J48" s="4">
        <f>G48</f>
        <v>-10</v>
      </c>
      <c r="K48" s="4" t="s">
        <v>256</v>
      </c>
      <c r="M48" s="89"/>
      <c r="N48" s="89"/>
    </row>
    <row r="49" spans="2:14" ht="15.75" customHeight="1" x14ac:dyDescent="0.2">
      <c r="B49" s="4" t="s">
        <v>257</v>
      </c>
      <c r="C49" s="88">
        <f t="shared" si="16"/>
        <v>161</v>
      </c>
      <c r="D49" s="34">
        <v>0</v>
      </c>
      <c r="E49" s="34">
        <v>161</v>
      </c>
      <c r="F49" s="88">
        <f>(2*28)+4</f>
        <v>60</v>
      </c>
      <c r="G49" s="34">
        <f t="shared" si="17"/>
        <v>-60</v>
      </c>
      <c r="H49" s="34">
        <f t="shared" si="18"/>
        <v>-1500</v>
      </c>
      <c r="J49" s="4">
        <f>SUM(G49:G51)</f>
        <v>-60</v>
      </c>
      <c r="K49" s="4" t="s">
        <v>258</v>
      </c>
    </row>
    <row r="50" spans="2:14" ht="15.75" customHeight="1" x14ac:dyDescent="0.2">
      <c r="B50" s="4" t="s">
        <v>259</v>
      </c>
      <c r="C50" s="88">
        <f t="shared" si="16"/>
        <v>97</v>
      </c>
      <c r="D50" s="34">
        <v>0</v>
      </c>
      <c r="E50" s="34">
        <v>46</v>
      </c>
      <c r="F50" s="88">
        <f>(1*28)+19</f>
        <v>47</v>
      </c>
      <c r="G50" s="34">
        <f t="shared" si="17"/>
        <v>4</v>
      </c>
      <c r="H50" s="34">
        <f t="shared" si="18"/>
        <v>100</v>
      </c>
      <c r="J50" s="4">
        <f>SUM(G52:G55)</f>
        <v>-34</v>
      </c>
      <c r="K50" s="4" t="s">
        <v>260</v>
      </c>
    </row>
    <row r="51" spans="2:14" ht="15.75" customHeight="1" x14ac:dyDescent="0.2">
      <c r="B51" s="4" t="s">
        <v>261</v>
      </c>
      <c r="C51" s="88">
        <f t="shared" si="16"/>
        <v>66</v>
      </c>
      <c r="D51" s="34">
        <v>0</v>
      </c>
      <c r="E51" s="34">
        <v>70</v>
      </c>
      <c r="F51" s="88">
        <f>(0*28)+0</f>
        <v>0</v>
      </c>
      <c r="G51" s="34">
        <f t="shared" si="17"/>
        <v>-4</v>
      </c>
      <c r="H51" s="34">
        <f t="shared" si="18"/>
        <v>-100</v>
      </c>
      <c r="J51" s="4">
        <f>SUM(G56:G58)</f>
        <v>-2</v>
      </c>
      <c r="K51" s="4" t="s">
        <v>262</v>
      </c>
    </row>
    <row r="52" spans="2:14" ht="15.75" customHeight="1" x14ac:dyDescent="0.2">
      <c r="B52" s="4" t="s">
        <v>263</v>
      </c>
      <c r="C52" s="88">
        <f t="shared" si="16"/>
        <v>137</v>
      </c>
      <c r="D52" s="34">
        <v>0</v>
      </c>
      <c r="E52" s="34">
        <v>84</v>
      </c>
      <c r="F52" s="88">
        <f>(1*24)+29</f>
        <v>53</v>
      </c>
      <c r="G52" s="34">
        <f t="shared" si="17"/>
        <v>0</v>
      </c>
      <c r="H52" s="34">
        <f t="shared" ref="H52:H55" si="19">G52*15</f>
        <v>0</v>
      </c>
    </row>
    <row r="53" spans="2:14" ht="15.75" customHeight="1" x14ac:dyDescent="0.2">
      <c r="B53" s="4" t="s">
        <v>264</v>
      </c>
      <c r="C53" s="88">
        <f t="shared" si="16"/>
        <v>47</v>
      </c>
      <c r="D53" s="34">
        <v>0</v>
      </c>
      <c r="E53" s="34">
        <v>22</v>
      </c>
      <c r="F53" s="88">
        <f>(1*24)+18</f>
        <v>42</v>
      </c>
      <c r="G53" s="34">
        <f t="shared" si="17"/>
        <v>-17</v>
      </c>
      <c r="H53" s="34">
        <f t="shared" si="19"/>
        <v>-255</v>
      </c>
    </row>
    <row r="54" spans="2:14" ht="15" x14ac:dyDescent="0.2">
      <c r="B54" s="4" t="s">
        <v>265</v>
      </c>
      <c r="C54" s="88">
        <f t="shared" si="16"/>
        <v>74</v>
      </c>
      <c r="D54" s="34">
        <v>0</v>
      </c>
      <c r="E54" s="34">
        <v>30</v>
      </c>
      <c r="F54" s="88">
        <f>(1*24)+37</f>
        <v>61</v>
      </c>
      <c r="G54" s="34">
        <f t="shared" si="17"/>
        <v>-17</v>
      </c>
      <c r="H54" s="34">
        <f t="shared" si="19"/>
        <v>-255</v>
      </c>
      <c r="M54" s="89"/>
      <c r="N54" s="89"/>
    </row>
    <row r="55" spans="2:14" ht="15" x14ac:dyDescent="0.2">
      <c r="B55" s="4" t="s">
        <v>266</v>
      </c>
      <c r="C55" s="88">
        <f t="shared" si="16"/>
        <v>0</v>
      </c>
      <c r="D55" s="34">
        <v>0</v>
      </c>
      <c r="E55" s="34">
        <v>0</v>
      </c>
      <c r="F55" s="34">
        <v>0</v>
      </c>
      <c r="G55" s="34">
        <f t="shared" si="17"/>
        <v>0</v>
      </c>
      <c r="H55" s="34">
        <f t="shared" si="19"/>
        <v>0</v>
      </c>
      <c r="M55" s="89"/>
      <c r="N55" s="89"/>
    </row>
    <row r="56" spans="2:14" ht="15" x14ac:dyDescent="0.2">
      <c r="B56" s="4" t="s">
        <v>267</v>
      </c>
      <c r="C56" s="88">
        <f t="shared" si="16"/>
        <v>2</v>
      </c>
      <c r="D56" s="34">
        <v>0</v>
      </c>
      <c r="E56" s="34">
        <v>2</v>
      </c>
      <c r="F56" s="34">
        <v>0</v>
      </c>
      <c r="G56" s="34">
        <f t="shared" si="17"/>
        <v>0</v>
      </c>
      <c r="H56" s="34">
        <f t="shared" ref="H56:H58" si="20">G56*45</f>
        <v>0</v>
      </c>
      <c r="M56" s="89"/>
      <c r="N56" s="89"/>
    </row>
    <row r="57" spans="2:14" ht="15.75" customHeight="1" x14ac:dyDescent="0.2">
      <c r="B57" s="4" t="s">
        <v>268</v>
      </c>
      <c r="C57" s="88">
        <f t="shared" si="16"/>
        <v>14</v>
      </c>
      <c r="D57" s="34">
        <v>0</v>
      </c>
      <c r="E57" s="34">
        <v>8</v>
      </c>
      <c r="F57" s="34">
        <v>8</v>
      </c>
      <c r="G57" s="34">
        <f t="shared" si="17"/>
        <v>-2</v>
      </c>
      <c r="H57" s="34">
        <f t="shared" si="20"/>
        <v>-90</v>
      </c>
    </row>
    <row r="58" spans="2:14" ht="15.75" customHeight="1" x14ac:dyDescent="0.2">
      <c r="B58" s="4" t="s">
        <v>269</v>
      </c>
      <c r="C58" s="88">
        <f t="shared" si="16"/>
        <v>24</v>
      </c>
      <c r="D58" s="34">
        <v>0</v>
      </c>
      <c r="E58" s="34">
        <v>5</v>
      </c>
      <c r="F58" s="34">
        <v>19</v>
      </c>
      <c r="G58" s="34">
        <f t="shared" si="17"/>
        <v>0</v>
      </c>
      <c r="H58" s="34">
        <f t="shared" si="20"/>
        <v>0</v>
      </c>
    </row>
    <row r="59" spans="2:14" ht="15.75" customHeight="1" x14ac:dyDescent="0.2">
      <c r="C59" s="1"/>
      <c r="D59" s="1"/>
      <c r="E59" s="1"/>
      <c r="F59" s="1"/>
      <c r="G59" s="1"/>
      <c r="H59" s="27">
        <f>SUM(H48:H56)</f>
        <v>-2260</v>
      </c>
    </row>
    <row r="60" spans="2:14" ht="15.75" customHeight="1" x14ac:dyDescent="0.2">
      <c r="C60" s="1"/>
      <c r="D60" s="1"/>
      <c r="E60" s="1"/>
      <c r="F60" s="1"/>
      <c r="G60" s="1"/>
      <c r="H60" s="1"/>
    </row>
    <row r="61" spans="2:14" ht="15.75" customHeight="1" x14ac:dyDescent="0.2">
      <c r="C61" s="1"/>
      <c r="D61" s="105" t="s">
        <v>1</v>
      </c>
      <c r="E61" s="106"/>
      <c r="F61" s="106"/>
      <c r="G61" s="106"/>
      <c r="H61" s="106"/>
    </row>
    <row r="62" spans="2:14" ht="15.75" customHeight="1" x14ac:dyDescent="0.2">
      <c r="B62" s="87" t="s">
        <v>250</v>
      </c>
      <c r="C62" s="2" t="s">
        <v>272</v>
      </c>
      <c r="D62" s="2" t="s">
        <v>252</v>
      </c>
      <c r="E62" s="2" t="s">
        <v>253</v>
      </c>
      <c r="F62" s="2" t="s">
        <v>60</v>
      </c>
      <c r="G62" s="2" t="s">
        <v>254</v>
      </c>
      <c r="H62" s="2" t="s">
        <v>255</v>
      </c>
    </row>
    <row r="63" spans="2:14" ht="14" x14ac:dyDescent="0.2">
      <c r="B63" s="4" t="s">
        <v>135</v>
      </c>
      <c r="C63" s="88">
        <f>(1*12)+23</f>
        <v>35</v>
      </c>
      <c r="D63" s="34">
        <f>100*12</f>
        <v>1200</v>
      </c>
      <c r="E63" s="34">
        <v>673</v>
      </c>
      <c r="F63" s="88">
        <v>549</v>
      </c>
      <c r="G63" s="34">
        <f t="shared" ref="G63:G73" si="21">D63-E63-F63+C63</f>
        <v>13</v>
      </c>
      <c r="H63" s="34">
        <f t="shared" ref="H63:H66" si="22">G63*25</f>
        <v>325</v>
      </c>
      <c r="J63" s="4">
        <f>G63</f>
        <v>13</v>
      </c>
      <c r="K63" s="4" t="s">
        <v>256</v>
      </c>
    </row>
    <row r="64" spans="2:14" ht="14" x14ac:dyDescent="0.2">
      <c r="B64" s="4" t="s">
        <v>257</v>
      </c>
      <c r="C64" s="88">
        <f>(2*28)+4</f>
        <v>60</v>
      </c>
      <c r="D64" s="34">
        <f t="shared" ref="D64:D66" si="23">5*28</f>
        <v>140</v>
      </c>
      <c r="E64" s="34">
        <v>124</v>
      </c>
      <c r="F64" s="33">
        <f>(2*28)+16</f>
        <v>72</v>
      </c>
      <c r="G64" s="34">
        <f t="shared" si="21"/>
        <v>4</v>
      </c>
      <c r="H64" s="34">
        <f t="shared" si="22"/>
        <v>100</v>
      </c>
      <c r="J64" s="4">
        <f>SUM(G64:G66)</f>
        <v>67</v>
      </c>
      <c r="K64" s="4" t="s">
        <v>258</v>
      </c>
    </row>
    <row r="65" spans="2:14" ht="14" x14ac:dyDescent="0.2">
      <c r="B65" s="4" t="s">
        <v>259</v>
      </c>
      <c r="C65" s="88">
        <f>(1*28)+19</f>
        <v>47</v>
      </c>
      <c r="D65" s="34">
        <f t="shared" si="23"/>
        <v>140</v>
      </c>
      <c r="E65" s="34">
        <v>54</v>
      </c>
      <c r="F65" s="33">
        <f>(2*28)+6</f>
        <v>62</v>
      </c>
      <c r="G65" s="34">
        <f t="shared" si="21"/>
        <v>71</v>
      </c>
      <c r="H65" s="34">
        <f t="shared" si="22"/>
        <v>1775</v>
      </c>
      <c r="J65" s="4">
        <f>SUM(G67:G70)</f>
        <v>80</v>
      </c>
      <c r="K65" s="4" t="s">
        <v>260</v>
      </c>
    </row>
    <row r="66" spans="2:14" ht="14" x14ac:dyDescent="0.2">
      <c r="B66" s="4" t="s">
        <v>261</v>
      </c>
      <c r="C66" s="88">
        <f>(0*28)+0</f>
        <v>0</v>
      </c>
      <c r="D66" s="34">
        <f t="shared" si="23"/>
        <v>140</v>
      </c>
      <c r="E66" s="34">
        <v>47</v>
      </c>
      <c r="F66" s="33">
        <f>(3*28)+17</f>
        <v>101</v>
      </c>
      <c r="G66" s="34">
        <f t="shared" si="21"/>
        <v>-8</v>
      </c>
      <c r="H66" s="34">
        <f t="shared" si="22"/>
        <v>-200</v>
      </c>
      <c r="J66" s="4">
        <f>SUM(G71:G73)</f>
        <v>2</v>
      </c>
      <c r="K66" s="4" t="s">
        <v>262</v>
      </c>
    </row>
    <row r="67" spans="2:14" ht="14" x14ac:dyDescent="0.2">
      <c r="B67" s="4" t="s">
        <v>263</v>
      </c>
      <c r="C67" s="88">
        <f>(1*24)+29</f>
        <v>53</v>
      </c>
      <c r="D67" s="34">
        <v>0</v>
      </c>
      <c r="E67" s="34">
        <v>35</v>
      </c>
      <c r="F67" s="88">
        <v>0</v>
      </c>
      <c r="G67" s="34">
        <f t="shared" si="21"/>
        <v>18</v>
      </c>
      <c r="H67" s="34">
        <f t="shared" ref="H67:H70" si="24">G67*15</f>
        <v>270</v>
      </c>
    </row>
    <row r="68" spans="2:14" ht="14" x14ac:dyDescent="0.2">
      <c r="B68" s="4" t="s">
        <v>264</v>
      </c>
      <c r="C68" s="88">
        <f>(1*24)+18</f>
        <v>42</v>
      </c>
      <c r="D68" s="34">
        <v>0</v>
      </c>
      <c r="E68" s="34">
        <v>14</v>
      </c>
      <c r="F68" s="88">
        <v>0</v>
      </c>
      <c r="G68" s="34">
        <f t="shared" si="21"/>
        <v>28</v>
      </c>
      <c r="H68" s="34">
        <f t="shared" si="24"/>
        <v>420</v>
      </c>
    </row>
    <row r="69" spans="2:14" ht="14" x14ac:dyDescent="0.2">
      <c r="B69" s="4" t="s">
        <v>265</v>
      </c>
      <c r="C69" s="88">
        <f>(1*24)+37</f>
        <v>61</v>
      </c>
      <c r="D69" s="34">
        <f t="shared" ref="D69:D70" si="25">3*24</f>
        <v>72</v>
      </c>
      <c r="E69" s="34">
        <v>77</v>
      </c>
      <c r="F69" s="31">
        <f>(0*24)+30</f>
        <v>30</v>
      </c>
      <c r="G69" s="34">
        <f t="shared" si="21"/>
        <v>26</v>
      </c>
      <c r="H69" s="34">
        <f t="shared" si="24"/>
        <v>390</v>
      </c>
    </row>
    <row r="70" spans="2:14" ht="14" x14ac:dyDescent="0.2">
      <c r="B70" s="4" t="s">
        <v>266</v>
      </c>
      <c r="C70" s="34">
        <v>0</v>
      </c>
      <c r="D70" s="34">
        <f t="shared" si="25"/>
        <v>72</v>
      </c>
      <c r="E70" s="34">
        <v>37</v>
      </c>
      <c r="F70" s="31">
        <f>(1*24)+3</f>
        <v>27</v>
      </c>
      <c r="G70" s="34">
        <f t="shared" si="21"/>
        <v>8</v>
      </c>
      <c r="H70" s="34">
        <f t="shared" si="24"/>
        <v>120</v>
      </c>
    </row>
    <row r="71" spans="2:14" ht="14" x14ac:dyDescent="0.2">
      <c r="B71" s="4" t="s">
        <v>267</v>
      </c>
      <c r="C71" s="34">
        <v>0</v>
      </c>
      <c r="D71" s="34">
        <v>0</v>
      </c>
      <c r="E71" s="34">
        <v>0</v>
      </c>
      <c r="F71" s="34">
        <v>0</v>
      </c>
      <c r="G71" s="34">
        <f t="shared" si="21"/>
        <v>0</v>
      </c>
      <c r="H71" s="34">
        <f t="shared" ref="H71:H73" si="26">G71*45</f>
        <v>0</v>
      </c>
    </row>
    <row r="72" spans="2:14" ht="14" x14ac:dyDescent="0.2">
      <c r="B72" s="4" t="s">
        <v>268</v>
      </c>
      <c r="C72" s="34">
        <v>8</v>
      </c>
      <c r="D72" s="34">
        <v>0</v>
      </c>
      <c r="E72" s="34">
        <v>6</v>
      </c>
      <c r="F72" s="34">
        <v>0</v>
      </c>
      <c r="G72" s="34">
        <f t="shared" si="21"/>
        <v>2</v>
      </c>
      <c r="H72" s="34">
        <f t="shared" si="26"/>
        <v>90</v>
      </c>
    </row>
    <row r="73" spans="2:14" ht="14" x14ac:dyDescent="0.2">
      <c r="B73" s="4" t="s">
        <v>269</v>
      </c>
      <c r="C73" s="34">
        <v>19</v>
      </c>
      <c r="D73" s="34">
        <v>0</v>
      </c>
      <c r="E73" s="34">
        <v>6</v>
      </c>
      <c r="F73" s="34">
        <v>13</v>
      </c>
      <c r="G73" s="34">
        <f t="shared" si="21"/>
        <v>0</v>
      </c>
      <c r="H73" s="34">
        <f t="shared" si="26"/>
        <v>0</v>
      </c>
    </row>
    <row r="74" spans="2:14" ht="14" x14ac:dyDescent="0.2">
      <c r="C74" s="1"/>
      <c r="D74" s="1"/>
      <c r="E74" s="1"/>
      <c r="F74" s="1"/>
      <c r="G74" s="1"/>
      <c r="H74" s="27">
        <f>SUM(H63:H71)</f>
        <v>3200</v>
      </c>
    </row>
    <row r="75" spans="2:14" ht="14" x14ac:dyDescent="0.2">
      <c r="C75" s="1"/>
      <c r="D75" s="1"/>
      <c r="E75" s="1"/>
      <c r="F75" s="1"/>
      <c r="G75" s="1"/>
      <c r="H75" s="1"/>
    </row>
    <row r="76" spans="2:14" ht="14" x14ac:dyDescent="0.2">
      <c r="C76" s="1"/>
      <c r="D76" s="105" t="s">
        <v>25</v>
      </c>
      <c r="E76" s="106"/>
      <c r="F76" s="106"/>
      <c r="G76" s="106"/>
      <c r="H76" s="106"/>
    </row>
    <row r="77" spans="2:14" ht="14" x14ac:dyDescent="0.2">
      <c r="B77" s="87" t="s">
        <v>250</v>
      </c>
      <c r="C77" s="2" t="s">
        <v>273</v>
      </c>
      <c r="D77" s="2" t="s">
        <v>252</v>
      </c>
      <c r="E77" s="2" t="s">
        <v>253</v>
      </c>
      <c r="F77" s="2" t="s">
        <v>60</v>
      </c>
      <c r="G77" s="2" t="s">
        <v>254</v>
      </c>
      <c r="H77" s="2" t="s">
        <v>255</v>
      </c>
    </row>
    <row r="78" spans="2:14" ht="14" x14ac:dyDescent="0.2">
      <c r="B78" s="4" t="s">
        <v>135</v>
      </c>
      <c r="C78" s="88">
        <v>549</v>
      </c>
      <c r="D78" s="34">
        <v>0</v>
      </c>
      <c r="E78" s="34">
        <v>430</v>
      </c>
      <c r="F78" s="88">
        <v>80</v>
      </c>
      <c r="G78" s="34">
        <f t="shared" ref="G78:G88" si="27">D78-E78-F78+C78</f>
        <v>39</v>
      </c>
      <c r="H78" s="34">
        <f t="shared" ref="H78:H81" si="28">G78*25</f>
        <v>975</v>
      </c>
      <c r="J78" s="4">
        <f>G78</f>
        <v>39</v>
      </c>
      <c r="K78" s="4" t="s">
        <v>256</v>
      </c>
      <c r="M78" s="14" t="s">
        <v>274</v>
      </c>
    </row>
    <row r="79" spans="2:14" ht="15" x14ac:dyDescent="0.2">
      <c r="B79" s="4" t="s">
        <v>257</v>
      </c>
      <c r="C79" s="33">
        <f>(2*28)+16</f>
        <v>72</v>
      </c>
      <c r="D79" s="34">
        <f t="shared" ref="D79:D81" si="29">3*28</f>
        <v>84</v>
      </c>
      <c r="E79" s="34">
        <v>84</v>
      </c>
      <c r="F79" s="33">
        <f>(2*28)+20</f>
        <v>76</v>
      </c>
      <c r="G79" s="34">
        <f t="shared" si="27"/>
        <v>-4</v>
      </c>
      <c r="H79" s="34">
        <f t="shared" si="28"/>
        <v>-100</v>
      </c>
      <c r="J79" s="4">
        <f>SUM(G79:G81)</f>
        <v>-3</v>
      </c>
      <c r="K79" s="4" t="s">
        <v>258</v>
      </c>
      <c r="M79" s="89" t="s">
        <v>275</v>
      </c>
      <c r="N79" s="89">
        <v>84</v>
      </c>
    </row>
    <row r="80" spans="2:14" ht="15" x14ac:dyDescent="0.2">
      <c r="B80" s="4" t="s">
        <v>259</v>
      </c>
      <c r="C80" s="33">
        <f>(2*28)+6</f>
        <v>62</v>
      </c>
      <c r="D80" s="34">
        <f t="shared" si="29"/>
        <v>84</v>
      </c>
      <c r="E80" s="34">
        <v>40</v>
      </c>
      <c r="F80" s="33">
        <f>(5*28)+5</f>
        <v>145</v>
      </c>
      <c r="G80" s="34">
        <f t="shared" si="27"/>
        <v>-39</v>
      </c>
      <c r="H80" s="34">
        <f t="shared" si="28"/>
        <v>-975</v>
      </c>
      <c r="J80" s="4">
        <f>SUM(G82:G85)</f>
        <v>16</v>
      </c>
      <c r="K80" s="4" t="s">
        <v>260</v>
      </c>
      <c r="M80" s="89" t="s">
        <v>276</v>
      </c>
      <c r="N80" s="89">
        <v>54</v>
      </c>
    </row>
    <row r="81" spans="2:14" ht="15" x14ac:dyDescent="0.2">
      <c r="B81" s="4" t="s">
        <v>261</v>
      </c>
      <c r="C81" s="33">
        <f>(3*28)+17</f>
        <v>101</v>
      </c>
      <c r="D81" s="34">
        <f t="shared" si="29"/>
        <v>84</v>
      </c>
      <c r="E81" s="34">
        <v>42</v>
      </c>
      <c r="F81" s="33">
        <f>(3*28)+19</f>
        <v>103</v>
      </c>
      <c r="G81" s="34">
        <f t="shared" si="27"/>
        <v>40</v>
      </c>
      <c r="H81" s="34">
        <f t="shared" si="28"/>
        <v>1000</v>
      </c>
      <c r="J81" s="4">
        <f>SUM(G86:G88)</f>
        <v>0</v>
      </c>
      <c r="K81" s="4" t="s">
        <v>262</v>
      </c>
      <c r="M81" s="89" t="s">
        <v>277</v>
      </c>
      <c r="N81" s="89">
        <v>42</v>
      </c>
    </row>
    <row r="82" spans="2:14" ht="15" x14ac:dyDescent="0.2">
      <c r="B82" s="4" t="s">
        <v>263</v>
      </c>
      <c r="C82" s="88">
        <v>0</v>
      </c>
      <c r="D82" s="34">
        <f t="shared" ref="D82:D84" si="30">3*24</f>
        <v>72</v>
      </c>
      <c r="E82" s="34">
        <v>42</v>
      </c>
      <c r="F82" s="88">
        <v>30</v>
      </c>
      <c r="G82" s="34">
        <f t="shared" si="27"/>
        <v>0</v>
      </c>
      <c r="H82" s="34">
        <f t="shared" ref="H82:H85" si="31">G82*15</f>
        <v>0</v>
      </c>
      <c r="M82" s="89" t="s">
        <v>278</v>
      </c>
      <c r="N82" s="89">
        <v>40</v>
      </c>
    </row>
    <row r="83" spans="2:14" ht="15" x14ac:dyDescent="0.2">
      <c r="B83" s="4" t="s">
        <v>264</v>
      </c>
      <c r="C83" s="88">
        <v>0</v>
      </c>
      <c r="D83" s="34">
        <f t="shared" si="30"/>
        <v>72</v>
      </c>
      <c r="E83" s="34">
        <v>26</v>
      </c>
      <c r="F83" s="88">
        <f>24+19</f>
        <v>43</v>
      </c>
      <c r="G83" s="34">
        <f t="shared" si="27"/>
        <v>3</v>
      </c>
      <c r="H83" s="34">
        <f t="shared" si="31"/>
        <v>45</v>
      </c>
      <c r="M83" s="89" t="s">
        <v>279</v>
      </c>
      <c r="N83" s="89">
        <v>42</v>
      </c>
    </row>
    <row r="84" spans="2:14" ht="15" x14ac:dyDescent="0.2">
      <c r="B84" s="4" t="s">
        <v>265</v>
      </c>
      <c r="C84" s="31">
        <f>(0*24)+30</f>
        <v>30</v>
      </c>
      <c r="D84" s="34">
        <f t="shared" si="30"/>
        <v>72</v>
      </c>
      <c r="E84" s="34">
        <v>42</v>
      </c>
      <c r="F84" s="31">
        <v>4</v>
      </c>
      <c r="G84" s="34">
        <f t="shared" si="27"/>
        <v>56</v>
      </c>
      <c r="H84" s="34">
        <f t="shared" si="31"/>
        <v>840</v>
      </c>
      <c r="M84" s="89" t="s">
        <v>280</v>
      </c>
      <c r="N84" s="89">
        <v>42</v>
      </c>
    </row>
    <row r="85" spans="2:14" ht="15" x14ac:dyDescent="0.2">
      <c r="B85" s="4" t="s">
        <v>266</v>
      </c>
      <c r="C85" s="31">
        <f>(1*24)+3</f>
        <v>27</v>
      </c>
      <c r="D85" s="34">
        <v>0</v>
      </c>
      <c r="E85" s="34">
        <v>54</v>
      </c>
      <c r="F85" s="31">
        <v>16</v>
      </c>
      <c r="G85" s="34">
        <f t="shared" si="27"/>
        <v>-43</v>
      </c>
      <c r="H85" s="34">
        <f t="shared" si="31"/>
        <v>-645</v>
      </c>
      <c r="M85" s="89" t="s">
        <v>281</v>
      </c>
      <c r="N85" s="89">
        <v>26</v>
      </c>
    </row>
    <row r="86" spans="2:14" ht="14" x14ac:dyDescent="0.2">
      <c r="B86" s="4" t="s">
        <v>267</v>
      </c>
      <c r="C86" s="34">
        <v>0</v>
      </c>
      <c r="D86" s="34">
        <v>0</v>
      </c>
      <c r="E86" s="34">
        <v>0</v>
      </c>
      <c r="F86" s="34">
        <v>0</v>
      </c>
      <c r="G86" s="34">
        <f t="shared" si="27"/>
        <v>0</v>
      </c>
      <c r="H86" s="34">
        <f t="shared" ref="H86:H88" si="32">G86*45</f>
        <v>0</v>
      </c>
    </row>
    <row r="87" spans="2:14" ht="14" x14ac:dyDescent="0.2">
      <c r="B87" s="4" t="s">
        <v>268</v>
      </c>
      <c r="C87" s="34">
        <v>0</v>
      </c>
      <c r="D87" s="34">
        <v>0</v>
      </c>
      <c r="E87" s="34">
        <v>0</v>
      </c>
      <c r="F87" s="34">
        <v>0</v>
      </c>
      <c r="G87" s="34">
        <f t="shared" si="27"/>
        <v>0</v>
      </c>
      <c r="H87" s="34">
        <f t="shared" si="32"/>
        <v>0</v>
      </c>
    </row>
    <row r="88" spans="2:14" ht="14" x14ac:dyDescent="0.2">
      <c r="B88" s="4" t="s">
        <v>269</v>
      </c>
      <c r="C88" s="34">
        <v>13</v>
      </c>
      <c r="D88" s="34">
        <v>0</v>
      </c>
      <c r="E88" s="34">
        <v>3</v>
      </c>
      <c r="F88" s="34">
        <v>10</v>
      </c>
      <c r="G88" s="34">
        <f t="shared" si="27"/>
        <v>0</v>
      </c>
      <c r="H88" s="34">
        <f t="shared" si="32"/>
        <v>0</v>
      </c>
    </row>
    <row r="89" spans="2:14" ht="14" x14ac:dyDescent="0.2">
      <c r="C89" s="1"/>
      <c r="D89" s="1"/>
      <c r="E89" s="1"/>
      <c r="F89" s="1"/>
      <c r="G89" s="1"/>
      <c r="H89" s="27">
        <f>SUM(H78:H86)</f>
        <v>1140</v>
      </c>
    </row>
    <row r="90" spans="2:14" ht="14" x14ac:dyDescent="0.2">
      <c r="C90" s="1"/>
      <c r="D90" s="1"/>
      <c r="E90" s="1"/>
      <c r="F90" s="1"/>
      <c r="G90" s="1"/>
      <c r="H90" s="1"/>
    </row>
    <row r="91" spans="2:14" ht="14" x14ac:dyDescent="0.2">
      <c r="C91" s="1"/>
      <c r="D91" s="1"/>
      <c r="E91" s="1"/>
      <c r="F91" s="1"/>
      <c r="G91" s="1"/>
      <c r="H91" s="1"/>
    </row>
    <row r="92" spans="2:14" ht="14" x14ac:dyDescent="0.2">
      <c r="C92" s="1"/>
      <c r="D92" s="105" t="s">
        <v>3</v>
      </c>
      <c r="E92" s="106"/>
      <c r="F92" s="106"/>
      <c r="G92" s="106"/>
      <c r="H92" s="106"/>
    </row>
    <row r="93" spans="2:14" ht="14" x14ac:dyDescent="0.2">
      <c r="B93" s="87" t="s">
        <v>250</v>
      </c>
      <c r="C93" s="2" t="s">
        <v>282</v>
      </c>
      <c r="D93" s="2" t="s">
        <v>252</v>
      </c>
      <c r="E93" s="2" t="s">
        <v>253</v>
      </c>
      <c r="F93" s="2" t="s">
        <v>60</v>
      </c>
      <c r="G93" s="2" t="s">
        <v>254</v>
      </c>
      <c r="H93" s="2" t="s">
        <v>255</v>
      </c>
      <c r="M93" s="14" t="s">
        <v>283</v>
      </c>
    </row>
    <row r="94" spans="2:14" ht="15" x14ac:dyDescent="0.2">
      <c r="B94" s="4" t="s">
        <v>135</v>
      </c>
      <c r="C94" s="88">
        <v>80</v>
      </c>
      <c r="D94" s="34">
        <f>90*12</f>
        <v>1080</v>
      </c>
      <c r="E94" s="34">
        <v>583</v>
      </c>
      <c r="F94" s="88">
        <v>525</v>
      </c>
      <c r="G94" s="34">
        <f t="shared" ref="G94:G104" si="33">D94-E94-F94+C94</f>
        <v>52</v>
      </c>
      <c r="H94" s="34">
        <f t="shared" ref="H94:H97" si="34">G94*25</f>
        <v>1300</v>
      </c>
      <c r="J94" s="4">
        <f>G94</f>
        <v>52</v>
      </c>
      <c r="K94" s="4" t="s">
        <v>256</v>
      </c>
      <c r="M94" s="89" t="s">
        <v>281</v>
      </c>
      <c r="N94" s="89">
        <v>39</v>
      </c>
    </row>
    <row r="95" spans="2:14" ht="15" x14ac:dyDescent="0.2">
      <c r="B95" s="4" t="s">
        <v>257</v>
      </c>
      <c r="C95" s="33">
        <f>(2*28)+20</f>
        <v>76</v>
      </c>
      <c r="D95" s="34">
        <f t="shared" ref="D95:D96" si="35">3*28</f>
        <v>84</v>
      </c>
      <c r="E95" s="34">
        <v>117</v>
      </c>
      <c r="F95" s="33">
        <v>97</v>
      </c>
      <c r="G95" s="34">
        <f t="shared" si="33"/>
        <v>-54</v>
      </c>
      <c r="H95" s="34">
        <f t="shared" si="34"/>
        <v>-1350</v>
      </c>
      <c r="J95" s="4">
        <f>SUM(G95:G97)</f>
        <v>5</v>
      </c>
      <c r="K95" s="4" t="s">
        <v>258</v>
      </c>
      <c r="M95" s="89" t="s">
        <v>276</v>
      </c>
      <c r="N95" s="89">
        <v>26</v>
      </c>
    </row>
    <row r="96" spans="2:14" ht="15" x14ac:dyDescent="0.2">
      <c r="B96" s="4" t="s">
        <v>259</v>
      </c>
      <c r="C96" s="33">
        <f>(5*28)+5</f>
        <v>145</v>
      </c>
      <c r="D96" s="34">
        <f t="shared" si="35"/>
        <v>84</v>
      </c>
      <c r="E96" s="34">
        <v>30</v>
      </c>
      <c r="F96" s="33">
        <v>121</v>
      </c>
      <c r="G96" s="34">
        <f t="shared" si="33"/>
        <v>78</v>
      </c>
      <c r="H96" s="34">
        <f t="shared" si="34"/>
        <v>1950</v>
      </c>
      <c r="J96" s="4">
        <f>SUM(G98:G101)</f>
        <v>39</v>
      </c>
      <c r="K96" s="4" t="s">
        <v>260</v>
      </c>
      <c r="M96" s="89" t="s">
        <v>275</v>
      </c>
      <c r="N96" s="89">
        <v>117</v>
      </c>
    </row>
    <row r="97" spans="2:14" ht="15" x14ac:dyDescent="0.2">
      <c r="B97" s="4" t="s">
        <v>261</v>
      </c>
      <c r="C97" s="33">
        <f>(3*28)+19</f>
        <v>103</v>
      </c>
      <c r="D97" s="34">
        <f>(2*28)</f>
        <v>56</v>
      </c>
      <c r="E97" s="34">
        <v>66</v>
      </c>
      <c r="F97" s="33">
        <v>112</v>
      </c>
      <c r="G97" s="34">
        <f t="shared" si="33"/>
        <v>-19</v>
      </c>
      <c r="H97" s="34">
        <f t="shared" si="34"/>
        <v>-475</v>
      </c>
      <c r="J97" s="4">
        <f>SUM(G102:G104)</f>
        <v>0</v>
      </c>
      <c r="K97" s="4" t="s">
        <v>262</v>
      </c>
      <c r="M97" s="89" t="s">
        <v>280</v>
      </c>
      <c r="N97" s="89">
        <v>69</v>
      </c>
    </row>
    <row r="98" spans="2:14" ht="15" x14ac:dyDescent="0.2">
      <c r="B98" s="4" t="s">
        <v>263</v>
      </c>
      <c r="C98" s="88">
        <v>30</v>
      </c>
      <c r="D98" s="34">
        <f t="shared" ref="D98:D99" si="36">3*24</f>
        <v>72</v>
      </c>
      <c r="E98" s="34">
        <v>69</v>
      </c>
      <c r="F98" s="88">
        <v>3</v>
      </c>
      <c r="G98" s="34">
        <f t="shared" si="33"/>
        <v>30</v>
      </c>
      <c r="H98" s="34">
        <f t="shared" ref="H98:H101" si="37">G98*15</f>
        <v>450</v>
      </c>
      <c r="M98" s="89" t="s">
        <v>277</v>
      </c>
      <c r="N98" s="89">
        <v>16</v>
      </c>
    </row>
    <row r="99" spans="2:14" ht="15" x14ac:dyDescent="0.2">
      <c r="B99" s="4" t="s">
        <v>264</v>
      </c>
      <c r="C99" s="88">
        <f>24+19</f>
        <v>43</v>
      </c>
      <c r="D99" s="34">
        <f t="shared" si="36"/>
        <v>72</v>
      </c>
      <c r="E99" s="34">
        <v>39</v>
      </c>
      <c r="F99" s="88">
        <v>39</v>
      </c>
      <c r="G99" s="34">
        <f t="shared" si="33"/>
        <v>37</v>
      </c>
      <c r="H99" s="34">
        <f t="shared" si="37"/>
        <v>555</v>
      </c>
      <c r="M99" s="89" t="s">
        <v>279</v>
      </c>
      <c r="N99" s="89">
        <v>66</v>
      </c>
    </row>
    <row r="100" spans="2:14" ht="15" x14ac:dyDescent="0.2">
      <c r="B100" s="4" t="s">
        <v>265</v>
      </c>
      <c r="C100" s="31">
        <v>4</v>
      </c>
      <c r="D100" s="34">
        <f>2*24</f>
        <v>48</v>
      </c>
      <c r="E100" s="34">
        <v>16</v>
      </c>
      <c r="F100" s="31">
        <v>30</v>
      </c>
      <c r="G100" s="34">
        <f t="shared" si="33"/>
        <v>6</v>
      </c>
      <c r="H100" s="34">
        <f t="shared" si="37"/>
        <v>90</v>
      </c>
      <c r="M100" s="89" t="s">
        <v>278</v>
      </c>
      <c r="N100" s="89">
        <v>30</v>
      </c>
    </row>
    <row r="101" spans="2:14" ht="14" x14ac:dyDescent="0.2">
      <c r="B101" s="4" t="s">
        <v>266</v>
      </c>
      <c r="C101" s="31">
        <v>16</v>
      </c>
      <c r="D101" s="34">
        <v>0</v>
      </c>
      <c r="E101" s="34">
        <v>26</v>
      </c>
      <c r="F101" s="31">
        <v>24</v>
      </c>
      <c r="G101" s="34">
        <f t="shared" si="33"/>
        <v>-34</v>
      </c>
      <c r="H101" s="34">
        <f t="shared" si="37"/>
        <v>-510</v>
      </c>
    </row>
    <row r="102" spans="2:14" ht="14" x14ac:dyDescent="0.2">
      <c r="B102" s="4" t="s">
        <v>267</v>
      </c>
      <c r="C102" s="34">
        <v>0</v>
      </c>
      <c r="D102" s="34">
        <v>0</v>
      </c>
      <c r="E102" s="34">
        <v>0</v>
      </c>
      <c r="F102" s="34">
        <v>0</v>
      </c>
      <c r="G102" s="34">
        <f t="shared" si="33"/>
        <v>0</v>
      </c>
      <c r="H102" s="34">
        <f t="shared" ref="H102:H104" si="38">G102*45</f>
        <v>0</v>
      </c>
    </row>
    <row r="103" spans="2:14" ht="14" x14ac:dyDescent="0.2">
      <c r="B103" s="4" t="s">
        <v>268</v>
      </c>
      <c r="C103" s="34">
        <v>0</v>
      </c>
      <c r="D103" s="34">
        <v>0</v>
      </c>
      <c r="E103" s="34">
        <v>0</v>
      </c>
      <c r="F103" s="34">
        <v>0</v>
      </c>
      <c r="G103" s="34">
        <f t="shared" si="33"/>
        <v>0</v>
      </c>
      <c r="H103" s="34">
        <f t="shared" si="38"/>
        <v>0</v>
      </c>
    </row>
    <row r="104" spans="2:14" ht="14" x14ac:dyDescent="0.2">
      <c r="B104" s="4" t="s">
        <v>269</v>
      </c>
      <c r="C104" s="34">
        <v>10</v>
      </c>
      <c r="D104" s="34">
        <v>0</v>
      </c>
      <c r="E104" s="34">
        <v>3</v>
      </c>
      <c r="F104" s="34">
        <v>7</v>
      </c>
      <c r="G104" s="34">
        <f t="shared" si="33"/>
        <v>0</v>
      </c>
      <c r="H104" s="34">
        <f t="shared" si="38"/>
        <v>0</v>
      </c>
    </row>
    <row r="105" spans="2:14" ht="14" x14ac:dyDescent="0.2">
      <c r="C105" s="1"/>
      <c r="D105" s="1"/>
      <c r="E105" s="1"/>
      <c r="F105" s="1"/>
      <c r="G105" s="1"/>
      <c r="H105" s="27">
        <f>SUM(H94:H102)</f>
        <v>2010</v>
      </c>
    </row>
    <row r="106" spans="2:14" ht="14" x14ac:dyDescent="0.2">
      <c r="C106" s="1"/>
      <c r="D106" s="1"/>
      <c r="E106" s="1"/>
      <c r="F106" s="1"/>
      <c r="G106" s="1"/>
      <c r="H106" s="1"/>
    </row>
    <row r="107" spans="2:14" ht="14" x14ac:dyDescent="0.2">
      <c r="C107" s="1"/>
      <c r="D107" s="1"/>
      <c r="E107" s="1"/>
      <c r="F107" s="1"/>
      <c r="G107" s="1"/>
      <c r="H107" s="1"/>
    </row>
    <row r="108" spans="2:14" ht="14" x14ac:dyDescent="0.2">
      <c r="C108" s="1"/>
      <c r="D108" s="105" t="s">
        <v>4</v>
      </c>
      <c r="E108" s="106"/>
      <c r="F108" s="106"/>
      <c r="G108" s="106"/>
      <c r="H108" s="106"/>
    </row>
    <row r="109" spans="2:14" ht="14" x14ac:dyDescent="0.2">
      <c r="B109" s="87" t="s">
        <v>250</v>
      </c>
      <c r="C109" s="2" t="s">
        <v>284</v>
      </c>
      <c r="D109" s="2" t="s">
        <v>252</v>
      </c>
      <c r="E109" s="2" t="s">
        <v>253</v>
      </c>
      <c r="F109" s="2" t="s">
        <v>60</v>
      </c>
      <c r="G109" s="2" t="s">
        <v>254</v>
      </c>
      <c r="H109" s="2" t="s">
        <v>255</v>
      </c>
      <c r="J109" s="14" t="s">
        <v>285</v>
      </c>
      <c r="M109" s="14" t="s">
        <v>286</v>
      </c>
    </row>
    <row r="110" spans="2:14" ht="15" x14ac:dyDescent="0.2">
      <c r="B110" s="4" t="s">
        <v>135</v>
      </c>
      <c r="C110" s="88">
        <v>525</v>
      </c>
      <c r="D110" s="34">
        <f>50*12</f>
        <v>600</v>
      </c>
      <c r="E110" s="34">
        <v>806</v>
      </c>
      <c r="F110" s="88">
        <f>(20*12)+29</f>
        <v>269</v>
      </c>
      <c r="G110" s="34">
        <f t="shared" ref="G110:G120" si="39">D110-E110-F110+C110</f>
        <v>50</v>
      </c>
      <c r="H110" s="34">
        <f t="shared" ref="H110:H113" si="40">G110*25</f>
        <v>1250</v>
      </c>
      <c r="J110" s="4">
        <f>G110</f>
        <v>50</v>
      </c>
      <c r="K110" s="4" t="s">
        <v>256</v>
      </c>
      <c r="M110" s="89" t="s">
        <v>278</v>
      </c>
      <c r="N110" s="89">
        <v>52</v>
      </c>
    </row>
    <row r="111" spans="2:14" ht="15" x14ac:dyDescent="0.2">
      <c r="B111" s="4" t="s">
        <v>257</v>
      </c>
      <c r="C111" s="33">
        <v>97</v>
      </c>
      <c r="D111" s="34">
        <f t="shared" ref="D111:D113" si="41">4*28</f>
        <v>112</v>
      </c>
      <c r="E111" s="34">
        <v>150</v>
      </c>
      <c r="F111" s="33">
        <f>(3*28)+29</f>
        <v>113</v>
      </c>
      <c r="G111" s="34">
        <f t="shared" si="39"/>
        <v>-54</v>
      </c>
      <c r="H111" s="34">
        <f t="shared" si="40"/>
        <v>-1350</v>
      </c>
      <c r="J111" s="4">
        <f>SUM(G111:G113)</f>
        <v>7</v>
      </c>
      <c r="K111" s="4" t="s">
        <v>258</v>
      </c>
      <c r="M111" s="89" t="s">
        <v>280</v>
      </c>
      <c r="N111" s="89">
        <v>39</v>
      </c>
    </row>
    <row r="112" spans="2:14" ht="15" x14ac:dyDescent="0.2">
      <c r="B112" s="4" t="s">
        <v>259</v>
      </c>
      <c r="C112" s="33">
        <v>121</v>
      </c>
      <c r="D112" s="34">
        <f t="shared" si="41"/>
        <v>112</v>
      </c>
      <c r="E112" s="34">
        <v>52</v>
      </c>
      <c r="F112" s="33">
        <f>(3*28)+27</f>
        <v>111</v>
      </c>
      <c r="G112" s="34">
        <f t="shared" si="39"/>
        <v>70</v>
      </c>
      <c r="H112" s="34">
        <f t="shared" si="40"/>
        <v>1750</v>
      </c>
      <c r="J112" s="4">
        <f>SUM(G114:G117)</f>
        <v>30</v>
      </c>
      <c r="K112" s="4" t="s">
        <v>260</v>
      </c>
      <c r="M112" s="89" t="s">
        <v>277</v>
      </c>
      <c r="N112" s="89">
        <v>54</v>
      </c>
    </row>
    <row r="113" spans="2:14" ht="15" x14ac:dyDescent="0.2">
      <c r="B113" s="4" t="s">
        <v>261</v>
      </c>
      <c r="C113" s="33">
        <v>112</v>
      </c>
      <c r="D113" s="34">
        <f t="shared" si="41"/>
        <v>112</v>
      </c>
      <c r="E113" s="34">
        <v>76</v>
      </c>
      <c r="F113" s="33">
        <f>(5*28)+17</f>
        <v>157</v>
      </c>
      <c r="G113" s="34">
        <f t="shared" si="39"/>
        <v>-9</v>
      </c>
      <c r="H113" s="34">
        <f t="shared" si="40"/>
        <v>-225</v>
      </c>
      <c r="J113" s="4">
        <f>SUM(G118:G120)</f>
        <v>7</v>
      </c>
      <c r="K113" s="4" t="s">
        <v>262</v>
      </c>
      <c r="M113" s="89" t="s">
        <v>279</v>
      </c>
      <c r="N113" s="89">
        <v>76</v>
      </c>
    </row>
    <row r="114" spans="2:14" ht="15" x14ac:dyDescent="0.2">
      <c r="B114" s="4" t="s">
        <v>263</v>
      </c>
      <c r="C114" s="88">
        <v>3</v>
      </c>
      <c r="D114" s="34">
        <v>72</v>
      </c>
      <c r="E114" s="34">
        <v>39</v>
      </c>
      <c r="F114" s="88">
        <f>24+37</f>
        <v>61</v>
      </c>
      <c r="G114" s="34">
        <f t="shared" si="39"/>
        <v>-25</v>
      </c>
      <c r="H114" s="34">
        <f t="shared" ref="H114:H117" si="42">G114*15</f>
        <v>-375</v>
      </c>
      <c r="M114" s="89" t="s">
        <v>275</v>
      </c>
      <c r="N114" s="89">
        <v>150</v>
      </c>
    </row>
    <row r="115" spans="2:14" ht="15" x14ac:dyDescent="0.2">
      <c r="B115" s="4" t="s">
        <v>264</v>
      </c>
      <c r="C115" s="88">
        <v>39</v>
      </c>
      <c r="D115" s="34">
        <v>72</v>
      </c>
      <c r="E115" s="34">
        <v>42</v>
      </c>
      <c r="F115" s="88">
        <f>24+14</f>
        <v>38</v>
      </c>
      <c r="G115" s="34">
        <f t="shared" si="39"/>
        <v>31</v>
      </c>
      <c r="H115" s="34">
        <f t="shared" si="42"/>
        <v>465</v>
      </c>
      <c r="M115" s="89" t="s">
        <v>281</v>
      </c>
      <c r="N115" s="89">
        <v>42</v>
      </c>
    </row>
    <row r="116" spans="2:14" ht="15" x14ac:dyDescent="0.2">
      <c r="B116" s="4" t="s">
        <v>265</v>
      </c>
      <c r="C116" s="31">
        <v>30</v>
      </c>
      <c r="D116" s="34">
        <v>72</v>
      </c>
      <c r="E116" s="34">
        <v>54</v>
      </c>
      <c r="F116" s="88">
        <f>24+38</f>
        <v>62</v>
      </c>
      <c r="G116" s="34">
        <f t="shared" si="39"/>
        <v>-14</v>
      </c>
      <c r="H116" s="34">
        <f t="shared" si="42"/>
        <v>-210</v>
      </c>
      <c r="M116" s="89" t="s">
        <v>276</v>
      </c>
      <c r="N116" s="89">
        <v>39</v>
      </c>
    </row>
    <row r="117" spans="2:14" ht="14" x14ac:dyDescent="0.2">
      <c r="B117" s="4" t="s">
        <v>266</v>
      </c>
      <c r="C117" s="31">
        <v>24</v>
      </c>
      <c r="D117" s="34">
        <v>72</v>
      </c>
      <c r="E117" s="34">
        <v>39</v>
      </c>
      <c r="F117" s="88">
        <f>19</f>
        <v>19</v>
      </c>
      <c r="G117" s="34">
        <f t="shared" si="39"/>
        <v>38</v>
      </c>
      <c r="H117" s="34">
        <f t="shared" si="42"/>
        <v>570</v>
      </c>
    </row>
    <row r="118" spans="2:14" ht="14" x14ac:dyDescent="0.2">
      <c r="B118" s="4" t="s">
        <v>267</v>
      </c>
      <c r="C118" s="34">
        <v>0</v>
      </c>
      <c r="D118" s="34">
        <v>0</v>
      </c>
      <c r="E118" s="34">
        <v>0</v>
      </c>
      <c r="F118" s="34">
        <v>0</v>
      </c>
      <c r="G118" s="34">
        <f t="shared" si="39"/>
        <v>0</v>
      </c>
      <c r="H118" s="34">
        <f t="shared" ref="H118:H120" si="43">G118*45</f>
        <v>0</v>
      </c>
    </row>
    <row r="119" spans="2:14" ht="14" x14ac:dyDescent="0.2">
      <c r="B119" s="4" t="s">
        <v>268</v>
      </c>
      <c r="C119" s="34">
        <v>0</v>
      </c>
      <c r="D119" s="34">
        <v>0</v>
      </c>
      <c r="E119" s="34">
        <v>0</v>
      </c>
      <c r="F119" s="34">
        <v>0</v>
      </c>
      <c r="G119" s="34">
        <f t="shared" si="39"/>
        <v>0</v>
      </c>
      <c r="H119" s="34">
        <f t="shared" si="43"/>
        <v>0</v>
      </c>
    </row>
    <row r="120" spans="2:14" ht="14" x14ac:dyDescent="0.2">
      <c r="B120" s="4" t="s">
        <v>269</v>
      </c>
      <c r="C120" s="34">
        <v>7</v>
      </c>
      <c r="D120" s="34">
        <v>0</v>
      </c>
      <c r="E120" s="34">
        <v>0</v>
      </c>
      <c r="F120" s="34">
        <v>0</v>
      </c>
      <c r="G120" s="34">
        <f t="shared" si="39"/>
        <v>7</v>
      </c>
      <c r="H120" s="34">
        <f t="shared" si="43"/>
        <v>315</v>
      </c>
    </row>
    <row r="121" spans="2:14" ht="14" x14ac:dyDescent="0.2">
      <c r="C121" s="1"/>
      <c r="D121" s="1"/>
      <c r="E121" s="1"/>
      <c r="F121" s="1"/>
      <c r="G121" s="1"/>
      <c r="H121" s="27">
        <f>SUM(H110:H118)</f>
        <v>1875</v>
      </c>
    </row>
    <row r="122" spans="2:14" ht="14" x14ac:dyDescent="0.2">
      <c r="C122" s="1"/>
      <c r="D122" s="1"/>
      <c r="E122" s="1"/>
      <c r="F122" s="1"/>
      <c r="G122" s="1"/>
      <c r="H122" s="1"/>
    </row>
    <row r="123" spans="2:14" ht="14" x14ac:dyDescent="0.2">
      <c r="C123" s="1"/>
      <c r="D123" s="1"/>
      <c r="E123" s="1"/>
      <c r="F123" s="1"/>
      <c r="G123" s="1"/>
      <c r="H123" s="1"/>
    </row>
    <row r="124" spans="2:14" ht="14" x14ac:dyDescent="0.2">
      <c r="C124" s="1"/>
      <c r="D124" s="105" t="s">
        <v>5</v>
      </c>
      <c r="E124" s="106"/>
      <c r="F124" s="106"/>
      <c r="G124" s="106"/>
      <c r="H124" s="106"/>
    </row>
    <row r="125" spans="2:14" ht="14" x14ac:dyDescent="0.2">
      <c r="B125" s="87" t="s">
        <v>250</v>
      </c>
      <c r="C125" s="2" t="s">
        <v>287</v>
      </c>
      <c r="D125" s="2" t="s">
        <v>252</v>
      </c>
      <c r="E125" s="2" t="s">
        <v>253</v>
      </c>
      <c r="F125" s="2" t="s">
        <v>60</v>
      </c>
      <c r="G125" s="2" t="s">
        <v>254</v>
      </c>
      <c r="H125" s="2" t="s">
        <v>255</v>
      </c>
      <c r="J125" s="14" t="s">
        <v>288</v>
      </c>
      <c r="M125" s="14" t="s">
        <v>289</v>
      </c>
    </row>
    <row r="126" spans="2:14" ht="15" x14ac:dyDescent="0.2">
      <c r="B126" s="4" t="s">
        <v>135</v>
      </c>
      <c r="C126" s="88">
        <f>(20*12)+29+50</f>
        <v>319</v>
      </c>
      <c r="D126" s="34">
        <f>50*12</f>
        <v>600</v>
      </c>
      <c r="E126" s="34">
        <v>866</v>
      </c>
      <c r="F126" s="88">
        <f>(2*12)+50</f>
        <v>74</v>
      </c>
      <c r="G126" s="34">
        <f t="shared" ref="G126:G136" si="44">D126-E126-F126+C126</f>
        <v>-21</v>
      </c>
      <c r="H126" s="34">
        <f t="shared" ref="H126:H129" si="45">G126*25</f>
        <v>-525</v>
      </c>
      <c r="J126" s="4">
        <f>G126</f>
        <v>-21</v>
      </c>
      <c r="K126" s="4" t="s">
        <v>256</v>
      </c>
      <c r="M126" s="89" t="s">
        <v>290</v>
      </c>
      <c r="N126" s="89" t="s">
        <v>291</v>
      </c>
    </row>
    <row r="127" spans="2:14" ht="15" x14ac:dyDescent="0.2">
      <c r="B127" s="4" t="s">
        <v>257</v>
      </c>
      <c r="C127" s="33">
        <f>(3*28)+29</f>
        <v>113</v>
      </c>
      <c r="D127" s="34">
        <f t="shared" ref="D127:D129" si="46">4*28</f>
        <v>112</v>
      </c>
      <c r="E127" s="34">
        <v>168</v>
      </c>
      <c r="F127" s="33">
        <f>(4*28)+29</f>
        <v>141</v>
      </c>
      <c r="G127" s="34">
        <f t="shared" si="44"/>
        <v>-84</v>
      </c>
      <c r="H127" s="34">
        <f t="shared" si="45"/>
        <v>-2100</v>
      </c>
      <c r="J127" s="4">
        <f>SUM(G127:G129)</f>
        <v>4</v>
      </c>
      <c r="K127" s="4" t="s">
        <v>258</v>
      </c>
      <c r="M127" s="89" t="s">
        <v>280</v>
      </c>
      <c r="N127" s="89">
        <v>99</v>
      </c>
    </row>
    <row r="128" spans="2:14" ht="15" x14ac:dyDescent="0.2">
      <c r="B128" s="4" t="s">
        <v>259</v>
      </c>
      <c r="C128" s="33">
        <f>(3*28)+27</f>
        <v>111</v>
      </c>
      <c r="D128" s="34">
        <f t="shared" si="46"/>
        <v>112</v>
      </c>
      <c r="E128" s="34">
        <v>74</v>
      </c>
      <c r="F128" s="33">
        <f>(3*28)+34</f>
        <v>118</v>
      </c>
      <c r="G128" s="34">
        <f t="shared" si="44"/>
        <v>31</v>
      </c>
      <c r="H128" s="34">
        <f t="shared" si="45"/>
        <v>775</v>
      </c>
      <c r="J128" s="4">
        <f>SUM(G130:G133)</f>
        <v>17</v>
      </c>
      <c r="K128" s="4" t="s">
        <v>260</v>
      </c>
      <c r="M128" s="89" t="s">
        <v>281</v>
      </c>
      <c r="N128" s="89">
        <v>40</v>
      </c>
    </row>
    <row r="129" spans="2:14" ht="15" x14ac:dyDescent="0.2">
      <c r="B129" s="4" t="s">
        <v>261</v>
      </c>
      <c r="C129" s="33">
        <f>(5*28)+17</f>
        <v>157</v>
      </c>
      <c r="D129" s="34">
        <f t="shared" si="46"/>
        <v>112</v>
      </c>
      <c r="E129" s="34">
        <v>62</v>
      </c>
      <c r="F129" s="33">
        <f>(4*28)+38</f>
        <v>150</v>
      </c>
      <c r="G129" s="34">
        <f t="shared" si="44"/>
        <v>57</v>
      </c>
      <c r="H129" s="34">
        <f t="shared" si="45"/>
        <v>1425</v>
      </c>
      <c r="J129" s="4">
        <f>SUM(G134:G136)</f>
        <v>0</v>
      </c>
      <c r="K129" s="4" t="s">
        <v>262</v>
      </c>
      <c r="M129" s="89" t="s">
        <v>277</v>
      </c>
      <c r="N129" s="89">
        <v>77</v>
      </c>
    </row>
    <row r="130" spans="2:14" ht="15" x14ac:dyDescent="0.2">
      <c r="B130" s="4" t="s">
        <v>263</v>
      </c>
      <c r="C130" s="88">
        <f>24+37</f>
        <v>61</v>
      </c>
      <c r="D130" s="34">
        <f t="shared" ref="D130:D133" si="47">24*4</f>
        <v>96</v>
      </c>
      <c r="E130" s="34">
        <v>99</v>
      </c>
      <c r="F130" s="88">
        <f>(24*3)+30</f>
        <v>102</v>
      </c>
      <c r="G130" s="34">
        <f t="shared" si="44"/>
        <v>-44</v>
      </c>
      <c r="H130" s="34">
        <f t="shared" ref="H130:H133" si="48">G130*15</f>
        <v>-660</v>
      </c>
      <c r="M130" s="89" t="s">
        <v>276</v>
      </c>
      <c r="N130" s="89">
        <v>30</v>
      </c>
    </row>
    <row r="131" spans="2:14" ht="14" x14ac:dyDescent="0.2">
      <c r="B131" s="4" t="s">
        <v>264</v>
      </c>
      <c r="C131" s="88">
        <f>24+14</f>
        <v>38</v>
      </c>
      <c r="D131" s="34">
        <f t="shared" si="47"/>
        <v>96</v>
      </c>
      <c r="E131" s="34">
        <v>40</v>
      </c>
      <c r="F131" s="88">
        <f>(24*2)+21</f>
        <v>69</v>
      </c>
      <c r="G131" s="34">
        <f t="shared" si="44"/>
        <v>25</v>
      </c>
      <c r="H131" s="34">
        <f t="shared" si="48"/>
        <v>375</v>
      </c>
    </row>
    <row r="132" spans="2:14" ht="15" x14ac:dyDescent="0.2">
      <c r="B132" s="4" t="s">
        <v>265</v>
      </c>
      <c r="C132" s="88">
        <f>24+38</f>
        <v>62</v>
      </c>
      <c r="D132" s="34">
        <f t="shared" si="47"/>
        <v>96</v>
      </c>
      <c r="E132" s="34">
        <v>77</v>
      </c>
      <c r="F132" s="88">
        <f>(24*3)+29</f>
        <v>101</v>
      </c>
      <c r="G132" s="34">
        <f t="shared" si="44"/>
        <v>-20</v>
      </c>
      <c r="H132" s="34">
        <f t="shared" si="48"/>
        <v>-300</v>
      </c>
      <c r="M132" s="89" t="s">
        <v>275</v>
      </c>
      <c r="N132" s="89">
        <v>168</v>
      </c>
    </row>
    <row r="133" spans="2:14" ht="15" x14ac:dyDescent="0.2">
      <c r="B133" s="4" t="s">
        <v>266</v>
      </c>
      <c r="C133" s="88">
        <f>19</f>
        <v>19</v>
      </c>
      <c r="D133" s="34">
        <f t="shared" si="47"/>
        <v>96</v>
      </c>
      <c r="E133" s="34">
        <v>30</v>
      </c>
      <c r="F133" s="88">
        <f>(24*0)+29</f>
        <v>29</v>
      </c>
      <c r="G133" s="34">
        <f t="shared" si="44"/>
        <v>56</v>
      </c>
      <c r="H133" s="34">
        <f t="shared" si="48"/>
        <v>840</v>
      </c>
      <c r="M133" s="89" t="s">
        <v>278</v>
      </c>
      <c r="N133" s="89">
        <v>74</v>
      </c>
    </row>
    <row r="134" spans="2:14" ht="15" x14ac:dyDescent="0.2">
      <c r="B134" s="4" t="s">
        <v>267</v>
      </c>
      <c r="C134" s="34">
        <v>0</v>
      </c>
      <c r="D134" s="34">
        <v>0</v>
      </c>
      <c r="E134" s="34">
        <v>0</v>
      </c>
      <c r="F134" s="34">
        <v>0</v>
      </c>
      <c r="G134" s="34">
        <f t="shared" si="44"/>
        <v>0</v>
      </c>
      <c r="H134" s="34">
        <f t="shared" ref="H134:H136" si="49">G134*45</f>
        <v>0</v>
      </c>
      <c r="M134" s="89" t="s">
        <v>279</v>
      </c>
      <c r="N134" s="89">
        <v>62</v>
      </c>
    </row>
    <row r="135" spans="2:14" ht="14" x14ac:dyDescent="0.2">
      <c r="B135" s="4" t="s">
        <v>268</v>
      </c>
      <c r="C135" s="34">
        <v>0</v>
      </c>
      <c r="D135" s="34">
        <v>0</v>
      </c>
      <c r="E135" s="34">
        <v>0</v>
      </c>
      <c r="F135" s="34">
        <v>0</v>
      </c>
      <c r="G135" s="34">
        <f t="shared" si="44"/>
        <v>0</v>
      </c>
      <c r="H135" s="34">
        <f t="shared" si="49"/>
        <v>0</v>
      </c>
    </row>
    <row r="136" spans="2:14" ht="14" x14ac:dyDescent="0.2">
      <c r="B136" s="4" t="s">
        <v>269</v>
      </c>
      <c r="C136" s="34">
        <v>0</v>
      </c>
      <c r="D136" s="34">
        <v>0</v>
      </c>
      <c r="E136" s="34">
        <v>0</v>
      </c>
      <c r="F136" s="34">
        <v>0</v>
      </c>
      <c r="G136" s="34">
        <f t="shared" si="44"/>
        <v>0</v>
      </c>
      <c r="H136" s="34">
        <f t="shared" si="49"/>
        <v>0</v>
      </c>
    </row>
    <row r="137" spans="2:14" ht="14" x14ac:dyDescent="0.2">
      <c r="C137" s="1"/>
      <c r="D137" s="1"/>
      <c r="E137" s="1"/>
      <c r="F137" s="1"/>
      <c r="G137" s="1"/>
      <c r="H137" s="27">
        <f>SUM(H126:H134)</f>
        <v>-170</v>
      </c>
    </row>
    <row r="138" spans="2:14" ht="14" x14ac:dyDescent="0.2">
      <c r="C138" s="1"/>
      <c r="D138" s="1"/>
      <c r="E138" s="1"/>
      <c r="F138" s="1"/>
      <c r="G138" s="1"/>
      <c r="H138" s="1"/>
    </row>
    <row r="139" spans="2:14" ht="14" x14ac:dyDescent="0.2">
      <c r="C139" s="1"/>
      <c r="D139" s="1"/>
      <c r="E139" s="1"/>
      <c r="F139" s="1"/>
      <c r="G139" s="1"/>
      <c r="H139" s="1"/>
    </row>
    <row r="140" spans="2:14" ht="14" x14ac:dyDescent="0.2">
      <c r="C140" s="1"/>
      <c r="D140" s="105" t="s">
        <v>6</v>
      </c>
      <c r="E140" s="106"/>
      <c r="F140" s="106"/>
      <c r="G140" s="106"/>
      <c r="H140" s="106"/>
    </row>
    <row r="141" spans="2:14" ht="14" x14ac:dyDescent="0.2">
      <c r="B141" s="87" t="s">
        <v>250</v>
      </c>
      <c r="C141" s="2" t="s">
        <v>292</v>
      </c>
      <c r="D141" s="2" t="s">
        <v>252</v>
      </c>
      <c r="E141" s="2" t="s">
        <v>253</v>
      </c>
      <c r="F141" s="2" t="s">
        <v>60</v>
      </c>
      <c r="G141" s="2" t="s">
        <v>254</v>
      </c>
      <c r="H141" s="2" t="s">
        <v>255</v>
      </c>
      <c r="J141" s="14" t="s">
        <v>293</v>
      </c>
      <c r="M141" s="14" t="s">
        <v>294</v>
      </c>
    </row>
    <row r="142" spans="2:14" ht="15" x14ac:dyDescent="0.2">
      <c r="B142" s="4" t="s">
        <v>135</v>
      </c>
      <c r="C142" s="88">
        <f>(2*12)+50</f>
        <v>74</v>
      </c>
      <c r="D142" s="34">
        <f>54*12</f>
        <v>648</v>
      </c>
      <c r="E142" s="34">
        <v>633</v>
      </c>
      <c r="F142" s="34">
        <f>(9*12)+20</f>
        <v>128</v>
      </c>
      <c r="G142" s="34">
        <f t="shared" ref="G142:G149" si="50">D142-E142-F142+C142</f>
        <v>-39</v>
      </c>
      <c r="H142" s="34">
        <f t="shared" ref="H142:H145" si="51">G142*25</f>
        <v>-975</v>
      </c>
      <c r="J142" s="4">
        <f>G142</f>
        <v>-39</v>
      </c>
      <c r="K142" s="4" t="s">
        <v>256</v>
      </c>
      <c r="M142" s="89" t="s">
        <v>290</v>
      </c>
      <c r="N142" s="89" t="s">
        <v>291</v>
      </c>
    </row>
    <row r="143" spans="2:14" ht="15" x14ac:dyDescent="0.2">
      <c r="B143" s="4" t="s">
        <v>257</v>
      </c>
      <c r="C143" s="33">
        <f>(4*28)+29</f>
        <v>141</v>
      </c>
      <c r="D143" s="34">
        <v>0</v>
      </c>
      <c r="E143" s="34">
        <v>132</v>
      </c>
      <c r="F143" s="34">
        <v>0</v>
      </c>
      <c r="G143" s="34">
        <f t="shared" si="50"/>
        <v>9</v>
      </c>
      <c r="H143" s="34">
        <f t="shared" si="51"/>
        <v>225</v>
      </c>
      <c r="J143" s="4">
        <f>SUM(G143:G145)</f>
        <v>1</v>
      </c>
      <c r="K143" s="4" t="s">
        <v>258</v>
      </c>
      <c r="M143" s="89" t="s">
        <v>279</v>
      </c>
      <c r="N143" s="89">
        <v>55</v>
      </c>
    </row>
    <row r="144" spans="2:14" ht="15" x14ac:dyDescent="0.2">
      <c r="B144" s="4" t="s">
        <v>259</v>
      </c>
      <c r="C144" s="33">
        <f>(3*28)+34</f>
        <v>118</v>
      </c>
      <c r="D144" s="34">
        <v>0</v>
      </c>
      <c r="E144" s="34">
        <v>44</v>
      </c>
      <c r="F144" s="34">
        <f>(2*28)+28</f>
        <v>84</v>
      </c>
      <c r="G144" s="34">
        <f t="shared" si="50"/>
        <v>-10</v>
      </c>
      <c r="H144" s="34">
        <f t="shared" si="51"/>
        <v>-250</v>
      </c>
      <c r="J144" s="4">
        <f>SUM(G146:G149)</f>
        <v>42</v>
      </c>
      <c r="K144" s="4" t="s">
        <v>260</v>
      </c>
      <c r="M144" s="89" t="s">
        <v>276</v>
      </c>
      <c r="N144" s="89">
        <v>24</v>
      </c>
    </row>
    <row r="145" spans="2:17" ht="15" x14ac:dyDescent="0.2">
      <c r="B145" s="4" t="s">
        <v>261</v>
      </c>
      <c r="C145" s="33">
        <f>(4*28)+38</f>
        <v>150</v>
      </c>
      <c r="D145" s="34">
        <v>0</v>
      </c>
      <c r="E145" s="34">
        <v>55</v>
      </c>
      <c r="F145" s="34">
        <f>(2*28)+37</f>
        <v>93</v>
      </c>
      <c r="G145" s="34">
        <f t="shared" si="50"/>
        <v>2</v>
      </c>
      <c r="H145" s="34">
        <f t="shared" si="51"/>
        <v>50</v>
      </c>
      <c r="M145" s="89" t="s">
        <v>275</v>
      </c>
      <c r="N145" s="89">
        <v>132</v>
      </c>
    </row>
    <row r="146" spans="2:17" ht="15" x14ac:dyDescent="0.2">
      <c r="B146" s="4" t="s">
        <v>263</v>
      </c>
      <c r="C146" s="88">
        <f>(24*3)+30</f>
        <v>102</v>
      </c>
      <c r="D146" s="34">
        <v>0</v>
      </c>
      <c r="E146" s="34">
        <v>97</v>
      </c>
      <c r="F146" s="34">
        <v>2</v>
      </c>
      <c r="G146" s="34">
        <f t="shared" si="50"/>
        <v>3</v>
      </c>
      <c r="H146" s="34">
        <f t="shared" ref="H146:H149" si="52">G146*15</f>
        <v>45</v>
      </c>
      <c r="M146" s="89" t="s">
        <v>280</v>
      </c>
      <c r="N146" s="89">
        <v>97</v>
      </c>
    </row>
    <row r="147" spans="2:17" ht="15" x14ac:dyDescent="0.2">
      <c r="B147" s="4" t="s">
        <v>264</v>
      </c>
      <c r="C147" s="88">
        <f>(24*2)+21</f>
        <v>69</v>
      </c>
      <c r="D147" s="34">
        <v>0</v>
      </c>
      <c r="E147" s="34">
        <v>12</v>
      </c>
      <c r="F147" s="34">
        <f>24+18</f>
        <v>42</v>
      </c>
      <c r="G147" s="34">
        <f t="shared" si="50"/>
        <v>15</v>
      </c>
      <c r="H147" s="34">
        <f t="shared" si="52"/>
        <v>225</v>
      </c>
      <c r="M147" s="89" t="s">
        <v>277</v>
      </c>
      <c r="N147" s="89">
        <v>46</v>
      </c>
    </row>
    <row r="148" spans="2:17" ht="15" x14ac:dyDescent="0.2">
      <c r="B148" s="4" t="s">
        <v>265</v>
      </c>
      <c r="C148" s="88">
        <f>(24*3)+29</f>
        <v>101</v>
      </c>
      <c r="D148" s="34">
        <v>0</v>
      </c>
      <c r="E148" s="34">
        <v>46</v>
      </c>
      <c r="F148" s="34">
        <f>24+12</f>
        <v>36</v>
      </c>
      <c r="G148" s="34">
        <f t="shared" si="50"/>
        <v>19</v>
      </c>
      <c r="H148" s="34">
        <f t="shared" si="52"/>
        <v>285</v>
      </c>
      <c r="M148" s="89" t="s">
        <v>281</v>
      </c>
      <c r="N148" s="89">
        <v>12</v>
      </c>
    </row>
    <row r="149" spans="2:17" ht="15" x14ac:dyDescent="0.2">
      <c r="B149" s="4" t="s">
        <v>266</v>
      </c>
      <c r="C149" s="88">
        <f>(24*0)+29</f>
        <v>29</v>
      </c>
      <c r="D149" s="34">
        <v>0</v>
      </c>
      <c r="E149" s="34">
        <v>24</v>
      </c>
      <c r="F149" s="34">
        <v>0</v>
      </c>
      <c r="G149" s="34">
        <f t="shared" si="50"/>
        <v>5</v>
      </c>
      <c r="H149" s="34">
        <f t="shared" si="52"/>
        <v>75</v>
      </c>
      <c r="M149" s="89" t="s">
        <v>278</v>
      </c>
      <c r="N149" s="89">
        <v>44</v>
      </c>
    </row>
    <row r="150" spans="2:17" ht="14" x14ac:dyDescent="0.2">
      <c r="C150" s="1"/>
      <c r="D150" s="1"/>
      <c r="E150" s="1"/>
      <c r="F150" s="1"/>
      <c r="G150" s="1"/>
      <c r="H150" s="27">
        <f>SUM(H142:H149)</f>
        <v>-320</v>
      </c>
    </row>
    <row r="151" spans="2:17" ht="14" x14ac:dyDescent="0.2">
      <c r="C151" s="1"/>
      <c r="D151" s="1"/>
      <c r="E151" s="1"/>
      <c r="F151" s="1"/>
      <c r="G151" s="1"/>
      <c r="H151" s="1"/>
    </row>
    <row r="152" spans="2:17" ht="14" x14ac:dyDescent="0.2">
      <c r="C152" s="1"/>
      <c r="D152" s="1"/>
      <c r="E152" s="1"/>
      <c r="F152" s="1"/>
      <c r="G152" s="1"/>
      <c r="H152" s="1"/>
    </row>
    <row r="153" spans="2:17" ht="14" x14ac:dyDescent="0.2">
      <c r="C153" s="1"/>
      <c r="D153" s="105" t="s">
        <v>7</v>
      </c>
      <c r="E153" s="106"/>
      <c r="F153" s="106"/>
      <c r="G153" s="106"/>
      <c r="H153" s="106"/>
    </row>
    <row r="154" spans="2:17" ht="15" x14ac:dyDescent="0.2">
      <c r="B154" s="87" t="s">
        <v>250</v>
      </c>
      <c r="C154" s="2" t="s">
        <v>295</v>
      </c>
      <c r="D154" s="2" t="s">
        <v>252</v>
      </c>
      <c r="E154" s="2" t="s">
        <v>253</v>
      </c>
      <c r="F154" s="2" t="s">
        <v>60</v>
      </c>
      <c r="G154" s="2" t="s">
        <v>254</v>
      </c>
      <c r="H154" s="2" t="s">
        <v>255</v>
      </c>
      <c r="J154" s="14" t="s">
        <v>296</v>
      </c>
      <c r="M154" s="107" t="s">
        <v>297</v>
      </c>
      <c r="N154" s="106"/>
      <c r="O154" s="106"/>
      <c r="P154" s="106"/>
      <c r="Q154" s="106"/>
    </row>
    <row r="155" spans="2:17" ht="15" x14ac:dyDescent="0.2">
      <c r="B155" s="4" t="s">
        <v>135</v>
      </c>
      <c r="C155" s="34">
        <f>(9*12)+20</f>
        <v>128</v>
      </c>
      <c r="D155" s="34">
        <f>54*12</f>
        <v>648</v>
      </c>
      <c r="E155" s="34">
        <v>580</v>
      </c>
      <c r="F155" s="34">
        <f>(16*12)+48</f>
        <v>240</v>
      </c>
      <c r="G155" s="34">
        <f t="shared" ref="G155:G162" si="53">D155-E155-F155+C155</f>
        <v>-44</v>
      </c>
      <c r="H155" s="34">
        <f t="shared" ref="H155:H158" si="54">G155*25</f>
        <v>-1100</v>
      </c>
      <c r="J155" s="4">
        <f>G155</f>
        <v>-44</v>
      </c>
      <c r="K155" s="4" t="s">
        <v>256</v>
      </c>
      <c r="M155" s="89" t="s">
        <v>290</v>
      </c>
      <c r="N155" s="89" t="s">
        <v>291</v>
      </c>
      <c r="O155" s="89"/>
      <c r="P155" s="89"/>
      <c r="Q155" s="89"/>
    </row>
    <row r="156" spans="2:17" ht="15" x14ac:dyDescent="0.2">
      <c r="B156" s="4" t="s">
        <v>257</v>
      </c>
      <c r="C156" s="34">
        <v>0</v>
      </c>
      <c r="D156" s="34">
        <f t="shared" ref="D156:D158" si="55">4*28</f>
        <v>112</v>
      </c>
      <c r="E156" s="34">
        <v>58</v>
      </c>
      <c r="F156" s="34">
        <f>(3*28)+26</f>
        <v>110</v>
      </c>
      <c r="G156" s="34">
        <f t="shared" si="53"/>
        <v>-56</v>
      </c>
      <c r="H156" s="34">
        <f t="shared" si="54"/>
        <v>-1400</v>
      </c>
      <c r="J156" s="4">
        <f>SUM(G156:G158)</f>
        <v>-68</v>
      </c>
      <c r="K156" s="4" t="s">
        <v>258</v>
      </c>
      <c r="M156" s="89" t="s">
        <v>278</v>
      </c>
      <c r="N156" s="89">
        <v>50</v>
      </c>
      <c r="O156" s="89"/>
      <c r="P156" s="89"/>
      <c r="Q156" s="89"/>
    </row>
    <row r="157" spans="2:17" ht="15" x14ac:dyDescent="0.2">
      <c r="B157" s="4" t="s">
        <v>259</v>
      </c>
      <c r="C157" s="34">
        <f>(2*28)+28</f>
        <v>84</v>
      </c>
      <c r="D157" s="34">
        <f t="shared" si="55"/>
        <v>112</v>
      </c>
      <c r="E157" s="34">
        <v>50</v>
      </c>
      <c r="F157" s="34">
        <f>(4*28)+17</f>
        <v>129</v>
      </c>
      <c r="G157" s="34">
        <f t="shared" si="53"/>
        <v>17</v>
      </c>
      <c r="H157" s="34">
        <f t="shared" si="54"/>
        <v>425</v>
      </c>
      <c r="J157" s="4">
        <f>SUM(G159:G162)</f>
        <v>160</v>
      </c>
      <c r="K157" s="4" t="s">
        <v>260</v>
      </c>
      <c r="M157" s="89" t="s">
        <v>279</v>
      </c>
      <c r="N157" s="89">
        <v>73</v>
      </c>
      <c r="O157" s="89"/>
      <c r="P157" s="89"/>
      <c r="Q157" s="89"/>
    </row>
    <row r="158" spans="2:17" ht="15" x14ac:dyDescent="0.2">
      <c r="B158" s="4" t="s">
        <v>261</v>
      </c>
      <c r="C158" s="34">
        <f>(2*28)+37</f>
        <v>93</v>
      </c>
      <c r="D158" s="34">
        <f t="shared" si="55"/>
        <v>112</v>
      </c>
      <c r="E158" s="34">
        <v>73</v>
      </c>
      <c r="F158" s="34">
        <f>(5*28)+21</f>
        <v>161</v>
      </c>
      <c r="G158" s="34">
        <f t="shared" si="53"/>
        <v>-29</v>
      </c>
      <c r="H158" s="34">
        <f t="shared" si="54"/>
        <v>-725</v>
      </c>
      <c r="M158" s="89" t="s">
        <v>277</v>
      </c>
      <c r="N158" s="89">
        <v>46</v>
      </c>
      <c r="O158" s="89"/>
      <c r="P158" s="89"/>
      <c r="Q158" s="89"/>
    </row>
    <row r="159" spans="2:17" ht="15" x14ac:dyDescent="0.2">
      <c r="B159" s="4" t="s">
        <v>263</v>
      </c>
      <c r="C159" s="34">
        <v>2</v>
      </c>
      <c r="D159" s="34">
        <f t="shared" ref="D159:D162" si="56">4*24</f>
        <v>96</v>
      </c>
      <c r="E159" s="34">
        <v>81</v>
      </c>
      <c r="F159" s="34">
        <f>(1*24)+8</f>
        <v>32</v>
      </c>
      <c r="G159" s="34">
        <f t="shared" si="53"/>
        <v>-15</v>
      </c>
      <c r="H159" s="34">
        <f t="shared" ref="H159:H162" si="57">G159*15</f>
        <v>-225</v>
      </c>
      <c r="M159" s="89" t="s">
        <v>281</v>
      </c>
      <c r="N159" s="89">
        <v>46</v>
      </c>
      <c r="O159" s="89"/>
      <c r="P159" s="89"/>
      <c r="Q159" s="89"/>
    </row>
    <row r="160" spans="2:17" ht="15" x14ac:dyDescent="0.2">
      <c r="B160" s="4" t="s">
        <v>264</v>
      </c>
      <c r="C160" s="34">
        <f>24+18</f>
        <v>42</v>
      </c>
      <c r="D160" s="34">
        <f t="shared" si="56"/>
        <v>96</v>
      </c>
      <c r="E160" s="34">
        <v>46</v>
      </c>
      <c r="F160" s="34">
        <f>(1*24)+15</f>
        <v>39</v>
      </c>
      <c r="G160" s="34">
        <f t="shared" si="53"/>
        <v>53</v>
      </c>
      <c r="H160" s="34">
        <f t="shared" si="57"/>
        <v>795</v>
      </c>
      <c r="M160" s="89" t="s">
        <v>275</v>
      </c>
      <c r="N160" s="89">
        <v>58</v>
      </c>
      <c r="O160" s="89"/>
      <c r="P160" s="89"/>
      <c r="Q160" s="89"/>
    </row>
    <row r="161" spans="2:17" ht="15" x14ac:dyDescent="0.2">
      <c r="B161" s="4" t="s">
        <v>265</v>
      </c>
      <c r="C161" s="34">
        <f>24+12</f>
        <v>36</v>
      </c>
      <c r="D161" s="34">
        <f t="shared" si="56"/>
        <v>96</v>
      </c>
      <c r="E161" s="34">
        <v>46</v>
      </c>
      <c r="F161" s="34">
        <f>(0*24)+21</f>
        <v>21</v>
      </c>
      <c r="G161" s="34">
        <f t="shared" si="53"/>
        <v>65</v>
      </c>
      <c r="H161" s="34">
        <f t="shared" si="57"/>
        <v>975</v>
      </c>
      <c r="M161" s="89" t="s">
        <v>280</v>
      </c>
      <c r="N161" s="89">
        <v>81</v>
      </c>
      <c r="O161" s="89"/>
      <c r="P161" s="89"/>
      <c r="Q161" s="89"/>
    </row>
    <row r="162" spans="2:17" ht="15" x14ac:dyDescent="0.2">
      <c r="B162" s="4" t="s">
        <v>266</v>
      </c>
      <c r="C162" s="34">
        <v>0</v>
      </c>
      <c r="D162" s="34">
        <f t="shared" si="56"/>
        <v>96</v>
      </c>
      <c r="E162" s="34">
        <v>19</v>
      </c>
      <c r="F162" s="34">
        <f>(0*24)+20</f>
        <v>20</v>
      </c>
      <c r="G162" s="34">
        <f t="shared" si="53"/>
        <v>57</v>
      </c>
      <c r="H162" s="34">
        <f t="shared" si="57"/>
        <v>855</v>
      </c>
      <c r="M162" s="89" t="s">
        <v>276</v>
      </c>
      <c r="N162" s="89">
        <v>19</v>
      </c>
      <c r="O162" s="89"/>
      <c r="P162" s="89"/>
      <c r="Q162" s="89"/>
    </row>
    <row r="163" spans="2:17" ht="14" x14ac:dyDescent="0.2">
      <c r="C163" s="1"/>
      <c r="D163" s="1"/>
      <c r="E163" s="1"/>
      <c r="F163" s="1"/>
      <c r="G163" s="1"/>
      <c r="H163" s="27">
        <f>SUM(H155:H162)</f>
        <v>-400</v>
      </c>
    </row>
    <row r="164" spans="2:17" ht="14" x14ac:dyDescent="0.2">
      <c r="C164" s="1"/>
      <c r="D164" s="1"/>
      <c r="E164" s="1"/>
      <c r="F164" s="1"/>
      <c r="G164" s="1"/>
      <c r="H164" s="1"/>
    </row>
    <row r="165" spans="2:17" ht="14" x14ac:dyDescent="0.2">
      <c r="C165" s="1"/>
      <c r="D165" s="1"/>
      <c r="E165" s="1"/>
      <c r="F165" s="1"/>
      <c r="G165" s="1"/>
      <c r="H165" s="1"/>
    </row>
    <row r="166" spans="2:17" ht="14" x14ac:dyDescent="0.2">
      <c r="C166" s="1"/>
      <c r="D166" s="1"/>
      <c r="E166" s="1"/>
      <c r="F166" s="1"/>
      <c r="G166" s="1"/>
      <c r="H166" s="1"/>
    </row>
    <row r="167" spans="2:17" ht="14" x14ac:dyDescent="0.2">
      <c r="C167" s="1"/>
      <c r="D167" s="1"/>
      <c r="E167" s="1"/>
      <c r="F167" s="1"/>
      <c r="G167" s="1"/>
      <c r="H167" s="1"/>
    </row>
    <row r="168" spans="2:17" ht="14" x14ac:dyDescent="0.2">
      <c r="C168" s="1"/>
      <c r="D168" s="105" t="s">
        <v>8</v>
      </c>
      <c r="E168" s="106"/>
      <c r="F168" s="106"/>
      <c r="G168" s="106"/>
      <c r="H168" s="106"/>
    </row>
    <row r="169" spans="2:17" ht="15" x14ac:dyDescent="0.2">
      <c r="B169" s="87" t="s">
        <v>250</v>
      </c>
      <c r="C169" s="2" t="s">
        <v>298</v>
      </c>
      <c r="D169" s="2" t="s">
        <v>252</v>
      </c>
      <c r="E169" s="2" t="s">
        <v>253</v>
      </c>
      <c r="F169" s="2" t="s">
        <v>60</v>
      </c>
      <c r="G169" s="2" t="s">
        <v>254</v>
      </c>
      <c r="H169" s="2" t="s">
        <v>255</v>
      </c>
      <c r="J169" s="14" t="s">
        <v>299</v>
      </c>
      <c r="M169" s="89" t="s">
        <v>275</v>
      </c>
      <c r="N169" s="89">
        <v>111</v>
      </c>
      <c r="O169" s="90"/>
      <c r="P169" s="90"/>
      <c r="Q169" s="90"/>
    </row>
    <row r="170" spans="2:17" ht="15" x14ac:dyDescent="0.2">
      <c r="B170" s="4" t="s">
        <v>135</v>
      </c>
      <c r="C170" s="34">
        <f>(16*12)+48</f>
        <v>240</v>
      </c>
      <c r="D170" s="34">
        <f>50*12</f>
        <v>600</v>
      </c>
      <c r="E170" s="34">
        <v>548</v>
      </c>
      <c r="F170" s="34">
        <f>20*12+20</f>
        <v>260</v>
      </c>
      <c r="G170" s="34">
        <f t="shared" ref="G170:G177" si="58">D170-E170-F170+C170</f>
        <v>32</v>
      </c>
      <c r="H170" s="34">
        <f t="shared" ref="H170:H173" si="59">G170*25</f>
        <v>800</v>
      </c>
      <c r="J170" s="4">
        <f>G170</f>
        <v>32</v>
      </c>
      <c r="K170" s="4" t="s">
        <v>256</v>
      </c>
      <c r="M170" s="89" t="s">
        <v>278</v>
      </c>
      <c r="N170" s="89">
        <v>58</v>
      </c>
      <c r="O170" s="89"/>
      <c r="P170" s="89"/>
      <c r="Q170" s="89"/>
    </row>
    <row r="171" spans="2:17" ht="15" x14ac:dyDescent="0.2">
      <c r="B171" s="4" t="s">
        <v>257</v>
      </c>
      <c r="C171" s="34">
        <f>(3*28)+26</f>
        <v>110</v>
      </c>
      <c r="D171" s="34">
        <v>0</v>
      </c>
      <c r="E171" s="34">
        <v>111</v>
      </c>
      <c r="F171" s="34">
        <v>0</v>
      </c>
      <c r="G171" s="34">
        <f t="shared" si="58"/>
        <v>-1</v>
      </c>
      <c r="H171" s="34">
        <f t="shared" si="59"/>
        <v>-25</v>
      </c>
      <c r="J171" s="4">
        <f>SUM(G171:G173)</f>
        <v>15</v>
      </c>
      <c r="K171" s="4" t="s">
        <v>258</v>
      </c>
      <c r="M171" s="89" t="s">
        <v>279</v>
      </c>
      <c r="N171" s="89">
        <v>90</v>
      </c>
      <c r="O171" s="89"/>
      <c r="P171" s="89"/>
      <c r="Q171" s="89"/>
    </row>
    <row r="172" spans="2:17" ht="15" x14ac:dyDescent="0.2">
      <c r="B172" s="4" t="s">
        <v>259</v>
      </c>
      <c r="C172" s="34">
        <f>(4*28)+17</f>
        <v>129</v>
      </c>
      <c r="D172" s="34">
        <v>0</v>
      </c>
      <c r="E172" s="34">
        <v>58</v>
      </c>
      <c r="F172" s="34">
        <f>28+32</f>
        <v>60</v>
      </c>
      <c r="G172" s="34">
        <f t="shared" si="58"/>
        <v>11</v>
      </c>
      <c r="H172" s="34">
        <f t="shared" si="59"/>
        <v>275</v>
      </c>
      <c r="J172" s="4">
        <f>SUM(G174:G177)</f>
        <v>42</v>
      </c>
      <c r="K172" s="4" t="s">
        <v>260</v>
      </c>
      <c r="M172" s="89" t="s">
        <v>277</v>
      </c>
      <c r="N172" s="89">
        <v>12</v>
      </c>
      <c r="O172" s="89"/>
      <c r="P172" s="89"/>
      <c r="Q172" s="89"/>
    </row>
    <row r="173" spans="2:17" ht="15" x14ac:dyDescent="0.2">
      <c r="B173" s="4" t="s">
        <v>261</v>
      </c>
      <c r="C173" s="34">
        <f>(5*28)+21</f>
        <v>161</v>
      </c>
      <c r="D173" s="34">
        <v>0</v>
      </c>
      <c r="E173" s="34">
        <v>90</v>
      </c>
      <c r="F173" s="34">
        <f>28+38</f>
        <v>66</v>
      </c>
      <c r="G173" s="34">
        <f t="shared" si="58"/>
        <v>5</v>
      </c>
      <c r="H173" s="34">
        <f t="shared" si="59"/>
        <v>125</v>
      </c>
      <c r="M173" s="89" t="s">
        <v>276</v>
      </c>
      <c r="N173" s="89">
        <v>9</v>
      </c>
      <c r="O173" s="89"/>
      <c r="P173" s="89"/>
      <c r="Q173" s="89"/>
    </row>
    <row r="174" spans="2:17" ht="15" x14ac:dyDescent="0.2">
      <c r="B174" s="4" t="s">
        <v>263</v>
      </c>
      <c r="C174" s="34">
        <f>(1*24)+8</f>
        <v>32</v>
      </c>
      <c r="D174" s="34">
        <v>0</v>
      </c>
      <c r="E174" s="34">
        <v>28</v>
      </c>
      <c r="F174" s="34">
        <v>0</v>
      </c>
      <c r="G174" s="34">
        <f t="shared" si="58"/>
        <v>4</v>
      </c>
      <c r="H174" s="34">
        <f t="shared" ref="H174:H177" si="60">G174*15</f>
        <v>60</v>
      </c>
      <c r="M174" s="89" t="s">
        <v>281</v>
      </c>
      <c r="N174" s="89">
        <v>21</v>
      </c>
      <c r="O174" s="89"/>
      <c r="P174" s="89"/>
      <c r="Q174" s="89"/>
    </row>
    <row r="175" spans="2:17" ht="15" x14ac:dyDescent="0.2">
      <c r="B175" s="4" t="s">
        <v>264</v>
      </c>
      <c r="C175" s="34">
        <f>(1*24)+15</f>
        <v>39</v>
      </c>
      <c r="D175" s="34">
        <v>0</v>
      </c>
      <c r="E175" s="34">
        <v>21</v>
      </c>
      <c r="F175" s="34">
        <v>0</v>
      </c>
      <c r="G175" s="34">
        <f t="shared" si="58"/>
        <v>18</v>
      </c>
      <c r="H175" s="34">
        <f t="shared" si="60"/>
        <v>270</v>
      </c>
      <c r="M175" s="89" t="s">
        <v>280</v>
      </c>
      <c r="N175" s="89">
        <v>28</v>
      </c>
      <c r="O175" s="89"/>
      <c r="P175" s="89"/>
      <c r="Q175" s="89"/>
    </row>
    <row r="176" spans="2:17" ht="15" x14ac:dyDescent="0.2">
      <c r="B176" s="4" t="s">
        <v>265</v>
      </c>
      <c r="C176" s="34">
        <f>(0*24)+21</f>
        <v>21</v>
      </c>
      <c r="D176" s="34">
        <v>0</v>
      </c>
      <c r="E176" s="34">
        <v>12</v>
      </c>
      <c r="F176" s="34">
        <v>0</v>
      </c>
      <c r="G176" s="34">
        <f t="shared" si="58"/>
        <v>9</v>
      </c>
      <c r="H176" s="34">
        <f t="shared" si="60"/>
        <v>135</v>
      </c>
      <c r="M176" s="89"/>
      <c r="N176" s="89"/>
      <c r="O176" s="89"/>
      <c r="P176" s="89"/>
      <c r="Q176" s="89"/>
    </row>
    <row r="177" spans="2:17" ht="15" x14ac:dyDescent="0.2">
      <c r="B177" s="4" t="s">
        <v>266</v>
      </c>
      <c r="C177" s="34">
        <f>(0*24)+20</f>
        <v>20</v>
      </c>
      <c r="D177" s="34">
        <v>0</v>
      </c>
      <c r="E177" s="34">
        <v>9</v>
      </c>
      <c r="F177" s="34">
        <v>0</v>
      </c>
      <c r="G177" s="34">
        <f t="shared" si="58"/>
        <v>11</v>
      </c>
      <c r="H177" s="34">
        <f t="shared" si="60"/>
        <v>165</v>
      </c>
      <c r="M177" s="89"/>
      <c r="N177" s="89"/>
      <c r="O177" s="89"/>
      <c r="P177" s="89"/>
      <c r="Q177" s="89"/>
    </row>
    <row r="178" spans="2:17" ht="14" x14ac:dyDescent="0.2">
      <c r="C178" s="1"/>
      <c r="D178" s="1"/>
      <c r="E178" s="1"/>
      <c r="F178" s="1"/>
      <c r="G178" s="1"/>
      <c r="H178" s="27">
        <f>SUM(H170:H177)</f>
        <v>1805</v>
      </c>
    </row>
    <row r="179" spans="2:17" ht="14" x14ac:dyDescent="0.2">
      <c r="C179" s="1"/>
      <c r="D179" s="1"/>
      <c r="E179" s="1"/>
      <c r="F179" s="1"/>
      <c r="G179" s="1"/>
      <c r="H179" s="1"/>
    </row>
    <row r="180" spans="2:17" ht="14" x14ac:dyDescent="0.2">
      <c r="C180" s="1"/>
      <c r="D180" s="1"/>
      <c r="E180" s="1"/>
      <c r="F180" s="1"/>
      <c r="G180" s="1"/>
      <c r="H180" s="1"/>
    </row>
    <row r="181" spans="2:17" ht="14" x14ac:dyDescent="0.2">
      <c r="C181" s="1"/>
      <c r="D181" s="1"/>
      <c r="E181" s="1"/>
      <c r="F181" s="1"/>
      <c r="G181" s="1"/>
      <c r="H181" s="1"/>
    </row>
    <row r="182" spans="2:17" ht="14" x14ac:dyDescent="0.2">
      <c r="C182" s="1"/>
      <c r="D182" s="1"/>
      <c r="E182" s="1"/>
      <c r="F182" s="1"/>
      <c r="G182" s="1"/>
      <c r="H182" s="1"/>
    </row>
    <row r="183" spans="2:17" ht="15" x14ac:dyDescent="0.2">
      <c r="C183" s="1"/>
      <c r="D183" s="105" t="s">
        <v>9</v>
      </c>
      <c r="E183" s="106"/>
      <c r="F183" s="106"/>
      <c r="G183" s="106"/>
      <c r="H183" s="106"/>
      <c r="M183" s="89" t="s">
        <v>290</v>
      </c>
      <c r="N183" s="89" t="s">
        <v>291</v>
      </c>
    </row>
    <row r="184" spans="2:17" ht="15" x14ac:dyDescent="0.2">
      <c r="B184" s="87" t="s">
        <v>250</v>
      </c>
      <c r="C184" s="2" t="s">
        <v>251</v>
      </c>
      <c r="D184" s="2" t="s">
        <v>252</v>
      </c>
      <c r="E184" s="2" t="s">
        <v>253</v>
      </c>
      <c r="F184" s="2" t="s">
        <v>60</v>
      </c>
      <c r="G184" s="2" t="s">
        <v>254</v>
      </c>
      <c r="H184" s="2" t="s">
        <v>255</v>
      </c>
      <c r="J184" s="14" t="s">
        <v>300</v>
      </c>
      <c r="M184" s="89" t="s">
        <v>278</v>
      </c>
      <c r="N184" s="89">
        <v>37</v>
      </c>
    </row>
    <row r="185" spans="2:17" ht="15" x14ac:dyDescent="0.2">
      <c r="B185" s="4" t="s">
        <v>135</v>
      </c>
      <c r="C185" s="34">
        <f>20*12+20</f>
        <v>260</v>
      </c>
      <c r="D185" s="34">
        <f>50*12</f>
        <v>600</v>
      </c>
      <c r="E185" s="34">
        <v>444</v>
      </c>
      <c r="F185" s="34">
        <f>26*12+60</f>
        <v>372</v>
      </c>
      <c r="G185" s="34">
        <f t="shared" ref="G185:G192" si="61">D185-E185-F185+C185</f>
        <v>44</v>
      </c>
      <c r="H185" s="34">
        <f t="shared" ref="H185:H188" si="62">G185*25</f>
        <v>1100</v>
      </c>
      <c r="J185" s="4">
        <f>G185</f>
        <v>44</v>
      </c>
      <c r="K185" s="4" t="s">
        <v>256</v>
      </c>
      <c r="M185" s="89" t="s">
        <v>279</v>
      </c>
      <c r="N185" s="89">
        <v>68</v>
      </c>
    </row>
    <row r="186" spans="2:17" ht="15" x14ac:dyDescent="0.2">
      <c r="B186" s="4" t="s">
        <v>257</v>
      </c>
      <c r="C186" s="34">
        <v>0</v>
      </c>
      <c r="D186" s="34">
        <f>4*28</f>
        <v>112</v>
      </c>
      <c r="E186" s="34">
        <v>75</v>
      </c>
      <c r="F186" s="34">
        <f>28+32</f>
        <v>60</v>
      </c>
      <c r="G186" s="34">
        <f t="shared" si="61"/>
        <v>-23</v>
      </c>
      <c r="H186" s="34">
        <f t="shared" si="62"/>
        <v>-575</v>
      </c>
      <c r="J186" s="4">
        <f>SUM(G186:G188)</f>
        <v>-63</v>
      </c>
      <c r="K186" s="4" t="s">
        <v>258</v>
      </c>
      <c r="M186" s="89" t="s">
        <v>275</v>
      </c>
      <c r="N186" s="89">
        <v>75</v>
      </c>
    </row>
    <row r="187" spans="2:17" ht="15" x14ac:dyDescent="0.2">
      <c r="B187" s="4" t="s">
        <v>259</v>
      </c>
      <c r="C187" s="34">
        <f>28+32</f>
        <v>60</v>
      </c>
      <c r="D187" s="34">
        <f t="shared" ref="D187:D188" si="63">3*28</f>
        <v>84</v>
      </c>
      <c r="E187" s="34">
        <v>37</v>
      </c>
      <c r="F187" s="34">
        <f>(28*3)+25</f>
        <v>109</v>
      </c>
      <c r="G187" s="34">
        <f t="shared" si="61"/>
        <v>-2</v>
      </c>
      <c r="H187" s="34">
        <f t="shared" si="62"/>
        <v>-50</v>
      </c>
      <c r="J187" s="4">
        <f>SUM(G189:G192)</f>
        <v>2</v>
      </c>
      <c r="K187" s="4" t="s">
        <v>260</v>
      </c>
      <c r="M187" s="89" t="s">
        <v>277</v>
      </c>
      <c r="N187" s="89">
        <v>31</v>
      </c>
    </row>
    <row r="188" spans="2:17" ht="15" x14ac:dyDescent="0.2">
      <c r="B188" s="4" t="s">
        <v>261</v>
      </c>
      <c r="C188" s="34">
        <f>28+38</f>
        <v>66</v>
      </c>
      <c r="D188" s="34">
        <f t="shared" si="63"/>
        <v>84</v>
      </c>
      <c r="E188" s="34">
        <v>68</v>
      </c>
      <c r="F188" s="34">
        <f>(28*3)+36</f>
        <v>120</v>
      </c>
      <c r="G188" s="34">
        <f t="shared" si="61"/>
        <v>-38</v>
      </c>
      <c r="H188" s="34">
        <f t="shared" si="62"/>
        <v>-950</v>
      </c>
      <c r="M188" s="89" t="s">
        <v>280</v>
      </c>
      <c r="N188" s="89">
        <v>43</v>
      </c>
    </row>
    <row r="189" spans="2:17" ht="15" x14ac:dyDescent="0.2">
      <c r="B189" s="4" t="s">
        <v>263</v>
      </c>
      <c r="C189" s="34">
        <v>0</v>
      </c>
      <c r="D189" s="34">
        <f>6*24</f>
        <v>144</v>
      </c>
      <c r="E189" s="34">
        <v>43</v>
      </c>
      <c r="F189" s="34">
        <f>(24*3)+30</f>
        <v>102</v>
      </c>
      <c r="G189" s="34">
        <f t="shared" si="61"/>
        <v>-1</v>
      </c>
      <c r="H189" s="34">
        <f t="shared" ref="H189:H192" si="64">G189*15</f>
        <v>-15</v>
      </c>
      <c r="M189" s="89" t="s">
        <v>281</v>
      </c>
      <c r="N189" s="89">
        <v>15</v>
      </c>
    </row>
    <row r="190" spans="2:17" ht="15" x14ac:dyDescent="0.2">
      <c r="B190" s="4" t="s">
        <v>264</v>
      </c>
      <c r="C190" s="34">
        <v>0</v>
      </c>
      <c r="D190" s="34">
        <f t="shared" ref="D190:D191" si="65">4*24</f>
        <v>96</v>
      </c>
      <c r="E190" s="34">
        <v>15</v>
      </c>
      <c r="F190" s="34">
        <f>(24*1)+7</f>
        <v>31</v>
      </c>
      <c r="G190" s="34">
        <f t="shared" si="61"/>
        <v>50</v>
      </c>
      <c r="H190" s="34">
        <f t="shared" si="64"/>
        <v>750</v>
      </c>
      <c r="M190" s="89" t="s">
        <v>301</v>
      </c>
      <c r="N190" s="89">
        <v>0</v>
      </c>
    </row>
    <row r="191" spans="2:17" ht="14" x14ac:dyDescent="0.2">
      <c r="B191" s="4" t="s">
        <v>265</v>
      </c>
      <c r="C191" s="34">
        <v>0</v>
      </c>
      <c r="D191" s="34">
        <f t="shared" si="65"/>
        <v>96</v>
      </c>
      <c r="E191" s="34">
        <v>31</v>
      </c>
      <c r="F191" s="34">
        <f>(24*4)+16</f>
        <v>112</v>
      </c>
      <c r="G191" s="34">
        <f t="shared" si="61"/>
        <v>-47</v>
      </c>
      <c r="H191" s="34">
        <f t="shared" si="64"/>
        <v>-705</v>
      </c>
    </row>
    <row r="192" spans="2:17" ht="14" x14ac:dyDescent="0.2">
      <c r="B192" s="4" t="s">
        <v>266</v>
      </c>
      <c r="C192" s="34">
        <v>0</v>
      </c>
      <c r="D192" s="34">
        <v>0</v>
      </c>
      <c r="E192" s="34">
        <v>0</v>
      </c>
      <c r="F192" s="34">
        <v>0</v>
      </c>
      <c r="G192" s="34">
        <f t="shared" si="61"/>
        <v>0</v>
      </c>
      <c r="H192" s="34">
        <f t="shared" si="64"/>
        <v>0</v>
      </c>
    </row>
    <row r="193" spans="2:14" ht="14" x14ac:dyDescent="0.2">
      <c r="C193" s="1"/>
      <c r="D193" s="1"/>
      <c r="E193" s="1"/>
      <c r="F193" s="1"/>
      <c r="G193" s="1"/>
      <c r="H193" s="27">
        <f>SUM(H185:H192)</f>
        <v>-445</v>
      </c>
    </row>
    <row r="194" spans="2:14" ht="14" x14ac:dyDescent="0.2">
      <c r="C194" s="1"/>
      <c r="D194" s="1"/>
      <c r="E194" s="1"/>
      <c r="F194" s="1"/>
      <c r="G194" s="1"/>
      <c r="H194" s="1"/>
    </row>
    <row r="195" spans="2:14" ht="14" x14ac:dyDescent="0.2">
      <c r="C195" s="1"/>
      <c r="D195" s="1"/>
      <c r="E195" s="1"/>
      <c r="F195" s="1"/>
      <c r="G195" s="1"/>
      <c r="H195" s="1"/>
    </row>
    <row r="196" spans="2:14" ht="14" x14ac:dyDescent="0.2">
      <c r="C196" s="1"/>
      <c r="D196" s="105" t="s">
        <v>10</v>
      </c>
      <c r="E196" s="106"/>
      <c r="F196" s="106"/>
      <c r="G196" s="106"/>
      <c r="H196" s="106"/>
    </row>
    <row r="197" spans="2:14" ht="15" x14ac:dyDescent="0.2">
      <c r="B197" s="87" t="s">
        <v>250</v>
      </c>
      <c r="C197" s="2" t="s">
        <v>302</v>
      </c>
      <c r="D197" s="2" t="s">
        <v>252</v>
      </c>
      <c r="E197" s="2" t="s">
        <v>253</v>
      </c>
      <c r="F197" s="2" t="s">
        <v>60</v>
      </c>
      <c r="G197" s="2" t="s">
        <v>254</v>
      </c>
      <c r="H197" s="2" t="s">
        <v>255</v>
      </c>
      <c r="J197" s="14" t="s">
        <v>303</v>
      </c>
      <c r="M197" s="89" t="s">
        <v>275</v>
      </c>
      <c r="N197" s="89">
        <v>84</v>
      </c>
    </row>
    <row r="198" spans="2:14" ht="15" x14ac:dyDescent="0.2">
      <c r="B198" s="4" t="s">
        <v>135</v>
      </c>
      <c r="C198" s="34">
        <f>26*12+60</f>
        <v>372</v>
      </c>
      <c r="D198" s="34">
        <f>50*12</f>
        <v>600</v>
      </c>
      <c r="E198" s="34">
        <v>688</v>
      </c>
      <c r="F198" s="34">
        <f>22*12+29</f>
        <v>293</v>
      </c>
      <c r="G198" s="34">
        <f t="shared" ref="G198:G205" si="66">D198-E198-F198+C198</f>
        <v>-9</v>
      </c>
      <c r="H198" s="34">
        <f t="shared" ref="H198:H201" si="67">G198*25</f>
        <v>-225</v>
      </c>
      <c r="J198" s="4">
        <f>G198</f>
        <v>-9</v>
      </c>
      <c r="K198" s="4" t="s">
        <v>256</v>
      </c>
      <c r="M198" s="89" t="s">
        <v>279</v>
      </c>
      <c r="N198" s="89">
        <v>80</v>
      </c>
    </row>
    <row r="199" spans="2:14" ht="15" x14ac:dyDescent="0.2">
      <c r="B199" s="4" t="s">
        <v>257</v>
      </c>
      <c r="C199" s="34">
        <f>28+32</f>
        <v>60</v>
      </c>
      <c r="D199" s="34">
        <f>7*28</f>
        <v>196</v>
      </c>
      <c r="E199" s="34">
        <v>84</v>
      </c>
      <c r="F199" s="34">
        <f>(28*4)+19</f>
        <v>131</v>
      </c>
      <c r="G199" s="34">
        <f t="shared" si="66"/>
        <v>41</v>
      </c>
      <c r="H199" s="34">
        <f t="shared" si="67"/>
        <v>1025</v>
      </c>
      <c r="J199" s="4">
        <f>SUM(G199:G201)</f>
        <v>91</v>
      </c>
      <c r="K199" s="4" t="s">
        <v>258</v>
      </c>
      <c r="M199" s="89" t="s">
        <v>278</v>
      </c>
      <c r="N199" s="89">
        <v>49</v>
      </c>
    </row>
    <row r="200" spans="2:14" ht="15" x14ac:dyDescent="0.2">
      <c r="B200" s="4" t="s">
        <v>259</v>
      </c>
      <c r="C200" s="34">
        <f>(28*3)+25</f>
        <v>109</v>
      </c>
      <c r="D200" s="34">
        <f t="shared" ref="D200:D201" si="68">5*28</f>
        <v>140</v>
      </c>
      <c r="E200" s="34">
        <v>49</v>
      </c>
      <c r="F200" s="34">
        <f>(28*4)+26</f>
        <v>138</v>
      </c>
      <c r="G200" s="34">
        <f t="shared" si="66"/>
        <v>62</v>
      </c>
      <c r="H200" s="34">
        <f t="shared" si="67"/>
        <v>1550</v>
      </c>
      <c r="J200" s="4">
        <f>SUM(G202:G205)</f>
        <v>58</v>
      </c>
      <c r="K200" s="4" t="s">
        <v>260</v>
      </c>
      <c r="M200" s="89" t="s">
        <v>277</v>
      </c>
      <c r="N200" s="89">
        <v>36</v>
      </c>
    </row>
    <row r="201" spans="2:14" ht="15" x14ac:dyDescent="0.2">
      <c r="B201" s="4" t="s">
        <v>261</v>
      </c>
      <c r="C201" s="34">
        <f>(28*3)+36</f>
        <v>120</v>
      </c>
      <c r="D201" s="34">
        <f t="shared" si="68"/>
        <v>140</v>
      </c>
      <c r="E201" s="34">
        <v>80</v>
      </c>
      <c r="F201" s="34">
        <f>(28*6)+24</f>
        <v>192</v>
      </c>
      <c r="G201" s="34">
        <f t="shared" si="66"/>
        <v>-12</v>
      </c>
      <c r="H201" s="34">
        <f t="shared" si="67"/>
        <v>-300</v>
      </c>
      <c r="M201" s="89" t="s">
        <v>280</v>
      </c>
      <c r="N201" s="89">
        <v>91</v>
      </c>
    </row>
    <row r="202" spans="2:14" ht="15" x14ac:dyDescent="0.2">
      <c r="B202" s="4" t="s">
        <v>263</v>
      </c>
      <c r="C202" s="34">
        <f>(24*3)+30</f>
        <v>102</v>
      </c>
      <c r="D202" s="34">
        <f>4*24</f>
        <v>96</v>
      </c>
      <c r="E202" s="34">
        <v>91</v>
      </c>
      <c r="F202" s="34">
        <f>(24*3)+30</f>
        <v>102</v>
      </c>
      <c r="G202" s="34">
        <f t="shared" si="66"/>
        <v>5</v>
      </c>
      <c r="H202" s="34">
        <f t="shared" ref="H202:H205" si="69">G202*15</f>
        <v>75</v>
      </c>
      <c r="M202" s="89" t="s">
        <v>281</v>
      </c>
      <c r="N202" s="89">
        <v>21</v>
      </c>
    </row>
    <row r="203" spans="2:14" ht="14" x14ac:dyDescent="0.2">
      <c r="B203" s="4" t="s">
        <v>264</v>
      </c>
      <c r="C203" s="34">
        <f>(24*1)+7</f>
        <v>31</v>
      </c>
      <c r="D203" s="34">
        <f t="shared" ref="D203:D204" si="70">3*24</f>
        <v>72</v>
      </c>
      <c r="E203" s="34">
        <v>21</v>
      </c>
      <c r="F203" s="34">
        <f>(24*1)+19</f>
        <v>43</v>
      </c>
      <c r="G203" s="34">
        <f t="shared" si="66"/>
        <v>39</v>
      </c>
      <c r="H203" s="34">
        <f t="shared" si="69"/>
        <v>585</v>
      </c>
    </row>
    <row r="204" spans="2:14" ht="14" x14ac:dyDescent="0.2">
      <c r="B204" s="4" t="s">
        <v>265</v>
      </c>
      <c r="C204" s="34">
        <f>(24*4)+16</f>
        <v>112</v>
      </c>
      <c r="D204" s="34">
        <f t="shared" si="70"/>
        <v>72</v>
      </c>
      <c r="E204" s="34">
        <v>36</v>
      </c>
      <c r="F204" s="34">
        <f>(24*5)+14</f>
        <v>134</v>
      </c>
      <c r="G204" s="34">
        <f t="shared" si="66"/>
        <v>14</v>
      </c>
      <c r="H204" s="34">
        <f t="shared" si="69"/>
        <v>210</v>
      </c>
    </row>
    <row r="205" spans="2:14" ht="14" x14ac:dyDescent="0.2">
      <c r="B205" s="4" t="s">
        <v>266</v>
      </c>
      <c r="C205" s="34">
        <v>0</v>
      </c>
      <c r="D205" s="34">
        <v>0</v>
      </c>
      <c r="E205" s="34">
        <v>0</v>
      </c>
      <c r="F205" s="34">
        <v>0</v>
      </c>
      <c r="G205" s="34">
        <f t="shared" si="66"/>
        <v>0</v>
      </c>
      <c r="H205" s="34">
        <f t="shared" si="69"/>
        <v>0</v>
      </c>
    </row>
    <row r="206" spans="2:14" ht="14" x14ac:dyDescent="0.2">
      <c r="C206" s="1"/>
      <c r="D206" s="1"/>
      <c r="E206" s="1"/>
      <c r="F206" s="1"/>
      <c r="G206" s="1"/>
      <c r="H206" s="27">
        <f>SUM(H198:H205)</f>
        <v>2920</v>
      </c>
    </row>
    <row r="207" spans="2:14" ht="14" x14ac:dyDescent="0.2">
      <c r="C207" s="1"/>
      <c r="D207" s="1"/>
      <c r="E207" s="1"/>
      <c r="F207" s="1"/>
      <c r="G207" s="1"/>
      <c r="H207" s="1"/>
    </row>
    <row r="208" spans="2:14" ht="14" x14ac:dyDescent="0.2">
      <c r="C208" s="1"/>
      <c r="D208" s="1"/>
      <c r="E208" s="1"/>
      <c r="F208" s="1"/>
      <c r="G208" s="1"/>
      <c r="H208" s="1"/>
    </row>
    <row r="209" spans="2:14" ht="15" x14ac:dyDescent="0.2">
      <c r="C209" s="1"/>
      <c r="D209" s="105" t="s">
        <v>11</v>
      </c>
      <c r="E209" s="106"/>
      <c r="F209" s="106"/>
      <c r="G209" s="106"/>
      <c r="H209" s="106"/>
      <c r="M209" s="89" t="s">
        <v>278</v>
      </c>
      <c r="N209" s="89">
        <v>22</v>
      </c>
    </row>
    <row r="210" spans="2:14" ht="15" x14ac:dyDescent="0.2">
      <c r="B210" s="87" t="s">
        <v>250</v>
      </c>
      <c r="C210" s="2" t="s">
        <v>270</v>
      </c>
      <c r="D210" s="2" t="s">
        <v>252</v>
      </c>
      <c r="E210" s="2" t="s">
        <v>253</v>
      </c>
      <c r="F210" s="2" t="s">
        <v>60</v>
      </c>
      <c r="G210" s="2" t="s">
        <v>254</v>
      </c>
      <c r="H210" s="2" t="s">
        <v>255</v>
      </c>
      <c r="J210" s="14" t="s">
        <v>304</v>
      </c>
      <c r="M210" s="89" t="s">
        <v>279</v>
      </c>
      <c r="N210" s="89">
        <v>39</v>
      </c>
    </row>
    <row r="211" spans="2:14" ht="15" x14ac:dyDescent="0.2">
      <c r="B211" s="4" t="s">
        <v>135</v>
      </c>
      <c r="C211" s="34">
        <f>22*12+29</f>
        <v>293</v>
      </c>
      <c r="D211" s="34">
        <f>50*12</f>
        <v>600</v>
      </c>
      <c r="E211" s="34">
        <v>333</v>
      </c>
      <c r="F211" s="34">
        <f>42*12+51</f>
        <v>555</v>
      </c>
      <c r="G211" s="34">
        <f t="shared" ref="G211:G218" si="71">D211-E211-F211+C211</f>
        <v>5</v>
      </c>
      <c r="H211" s="34">
        <f t="shared" ref="H211:H214" si="72">G211*25</f>
        <v>125</v>
      </c>
      <c r="J211" s="4">
        <f>G211</f>
        <v>5</v>
      </c>
      <c r="K211" s="4" t="s">
        <v>256</v>
      </c>
      <c r="M211" s="89" t="s">
        <v>275</v>
      </c>
      <c r="N211" s="89">
        <v>64</v>
      </c>
    </row>
    <row r="212" spans="2:14" ht="15" x14ac:dyDescent="0.2">
      <c r="B212" s="4" t="s">
        <v>257</v>
      </c>
      <c r="C212" s="34">
        <f>(28*4)+19</f>
        <v>131</v>
      </c>
      <c r="D212" s="34">
        <v>0</v>
      </c>
      <c r="E212" s="34">
        <v>64</v>
      </c>
      <c r="F212" s="34">
        <f>(28*2)+10</f>
        <v>66</v>
      </c>
      <c r="G212" s="34">
        <f t="shared" si="71"/>
        <v>1</v>
      </c>
      <c r="H212" s="34">
        <f t="shared" si="72"/>
        <v>25</v>
      </c>
      <c r="J212" s="4">
        <f>SUM(G212:G214)</f>
        <v>2</v>
      </c>
      <c r="K212" s="4" t="s">
        <v>258</v>
      </c>
      <c r="M212" s="89" t="s">
        <v>277</v>
      </c>
      <c r="N212" s="89">
        <v>17</v>
      </c>
    </row>
    <row r="213" spans="2:14" ht="15" x14ac:dyDescent="0.2">
      <c r="B213" s="4" t="s">
        <v>259</v>
      </c>
      <c r="C213" s="34">
        <f>(28*4)+26</f>
        <v>138</v>
      </c>
      <c r="D213" s="34">
        <v>0</v>
      </c>
      <c r="E213" s="34">
        <v>22</v>
      </c>
      <c r="F213" s="34">
        <f>(28*3)+33</f>
        <v>117</v>
      </c>
      <c r="G213" s="34">
        <f t="shared" si="71"/>
        <v>-1</v>
      </c>
      <c r="H213" s="34">
        <f t="shared" si="72"/>
        <v>-25</v>
      </c>
      <c r="J213" s="4">
        <f>SUM(G215:G218)</f>
        <v>-37</v>
      </c>
      <c r="K213" s="4" t="s">
        <v>260</v>
      </c>
      <c r="M213" s="89" t="s">
        <v>280</v>
      </c>
      <c r="N213" s="89">
        <v>28</v>
      </c>
    </row>
    <row r="214" spans="2:14" ht="15" x14ac:dyDescent="0.2">
      <c r="B214" s="4" t="s">
        <v>261</v>
      </c>
      <c r="C214" s="34">
        <f>(28*6)+24</f>
        <v>192</v>
      </c>
      <c r="D214" s="34">
        <v>0</v>
      </c>
      <c r="E214" s="34">
        <v>39</v>
      </c>
      <c r="F214" s="34">
        <f>(28*4)+39</f>
        <v>151</v>
      </c>
      <c r="G214" s="34">
        <f t="shared" si="71"/>
        <v>2</v>
      </c>
      <c r="H214" s="34">
        <f t="shared" si="72"/>
        <v>50</v>
      </c>
      <c r="M214" s="89" t="s">
        <v>281</v>
      </c>
      <c r="N214" s="89">
        <v>13</v>
      </c>
    </row>
    <row r="215" spans="2:14" ht="14" x14ac:dyDescent="0.2">
      <c r="B215" s="4" t="s">
        <v>263</v>
      </c>
      <c r="C215" s="34">
        <f>(24*3)+30</f>
        <v>102</v>
      </c>
      <c r="D215" s="34">
        <v>0</v>
      </c>
      <c r="E215" s="34">
        <v>28</v>
      </c>
      <c r="F215" s="34">
        <f>(24*3)+28</f>
        <v>100</v>
      </c>
      <c r="G215" s="34">
        <f t="shared" si="71"/>
        <v>-26</v>
      </c>
      <c r="H215" s="34">
        <f t="shared" ref="H215:H218" si="73">G215*15</f>
        <v>-390</v>
      </c>
    </row>
    <row r="216" spans="2:14" ht="14" x14ac:dyDescent="0.2">
      <c r="B216" s="4" t="s">
        <v>264</v>
      </c>
      <c r="C216" s="34">
        <f>(24*1)+19</f>
        <v>43</v>
      </c>
      <c r="D216" s="34">
        <v>0</v>
      </c>
      <c r="E216" s="34">
        <v>13</v>
      </c>
      <c r="F216" s="34">
        <f>(24*1)+20</f>
        <v>44</v>
      </c>
      <c r="G216" s="34">
        <f t="shared" si="71"/>
        <v>-14</v>
      </c>
      <c r="H216" s="34">
        <f t="shared" si="73"/>
        <v>-210</v>
      </c>
    </row>
    <row r="217" spans="2:14" ht="14" x14ac:dyDescent="0.2">
      <c r="B217" s="4" t="s">
        <v>265</v>
      </c>
      <c r="C217" s="34">
        <f>(24*5)+14</f>
        <v>134</v>
      </c>
      <c r="D217" s="34">
        <v>0</v>
      </c>
      <c r="E217" s="34">
        <v>17</v>
      </c>
      <c r="F217" s="34">
        <f>(24*4)+18</f>
        <v>114</v>
      </c>
      <c r="G217" s="34">
        <f t="shared" si="71"/>
        <v>3</v>
      </c>
      <c r="H217" s="34">
        <f t="shared" si="73"/>
        <v>45</v>
      </c>
    </row>
    <row r="218" spans="2:14" ht="14" x14ac:dyDescent="0.2">
      <c r="B218" s="4" t="s">
        <v>266</v>
      </c>
      <c r="C218" s="34">
        <v>0</v>
      </c>
      <c r="D218" s="34">
        <v>0</v>
      </c>
      <c r="E218" s="34">
        <v>0</v>
      </c>
      <c r="F218" s="34">
        <v>0</v>
      </c>
      <c r="G218" s="34">
        <f t="shared" si="71"/>
        <v>0</v>
      </c>
      <c r="H218" s="34">
        <f t="shared" si="73"/>
        <v>0</v>
      </c>
    </row>
    <row r="219" spans="2:14" ht="14" x14ac:dyDescent="0.2">
      <c r="C219" s="1"/>
      <c r="D219" s="1"/>
      <c r="E219" s="1"/>
      <c r="F219" s="1"/>
      <c r="G219" s="1"/>
      <c r="H219" s="27">
        <f>SUM(H211:H218)</f>
        <v>-380</v>
      </c>
    </row>
    <row r="220" spans="2:14" ht="14" x14ac:dyDescent="0.2">
      <c r="C220" s="1"/>
      <c r="D220" s="1"/>
      <c r="E220" s="1"/>
      <c r="F220" s="1"/>
      <c r="G220" s="1"/>
      <c r="H220" s="1"/>
    </row>
    <row r="221" spans="2:14" ht="14" x14ac:dyDescent="0.2">
      <c r="C221" s="1"/>
      <c r="D221" s="1"/>
      <c r="E221" s="1"/>
      <c r="F221" s="1"/>
      <c r="G221" s="1"/>
      <c r="H221" s="1"/>
    </row>
    <row r="222" spans="2:14" ht="14" x14ac:dyDescent="0.2">
      <c r="C222" s="1"/>
      <c r="D222" s="1"/>
      <c r="E222" s="1"/>
      <c r="F222" s="1"/>
      <c r="G222" s="1"/>
      <c r="H222" s="1"/>
    </row>
    <row r="223" spans="2:14" ht="14" x14ac:dyDescent="0.2">
      <c r="C223" s="1"/>
      <c r="D223" s="105" t="s">
        <v>12</v>
      </c>
      <c r="E223" s="106"/>
      <c r="F223" s="106"/>
      <c r="G223" s="106"/>
      <c r="H223" s="106"/>
    </row>
    <row r="224" spans="2:14" ht="15" x14ac:dyDescent="0.2">
      <c r="B224" s="87" t="s">
        <v>250</v>
      </c>
      <c r="C224" s="2" t="s">
        <v>271</v>
      </c>
      <c r="D224" s="2" t="s">
        <v>252</v>
      </c>
      <c r="E224" s="2" t="s">
        <v>253</v>
      </c>
      <c r="F224" s="2" t="s">
        <v>60</v>
      </c>
      <c r="G224" s="2" t="s">
        <v>254</v>
      </c>
      <c r="H224" s="2" t="s">
        <v>255</v>
      </c>
      <c r="J224" s="14" t="s">
        <v>305</v>
      </c>
      <c r="M224" s="89" t="s">
        <v>275</v>
      </c>
      <c r="N224" s="89">
        <v>64</v>
      </c>
    </row>
    <row r="225" spans="2:14" ht="15" x14ac:dyDescent="0.2">
      <c r="B225" s="4" t="s">
        <v>135</v>
      </c>
      <c r="C225" s="34">
        <f>42*12+51</f>
        <v>555</v>
      </c>
      <c r="D225" s="34">
        <v>0</v>
      </c>
      <c r="E225" s="34">
        <v>358</v>
      </c>
      <c r="F225" s="34">
        <f>14*12+44</f>
        <v>212</v>
      </c>
      <c r="G225" s="34">
        <f t="shared" ref="G225:G232" si="74">D225-E225-F225+C225</f>
        <v>-15</v>
      </c>
      <c r="H225" s="34">
        <f t="shared" ref="H225:H228" si="75">G225*25</f>
        <v>-375</v>
      </c>
      <c r="J225" s="4">
        <f>G225</f>
        <v>-15</v>
      </c>
      <c r="K225" s="4" t="s">
        <v>256</v>
      </c>
      <c r="M225" s="89" t="s">
        <v>281</v>
      </c>
      <c r="N225" s="89">
        <v>12</v>
      </c>
    </row>
    <row r="226" spans="2:14" ht="15" x14ac:dyDescent="0.2">
      <c r="B226" s="4" t="s">
        <v>257</v>
      </c>
      <c r="C226" s="34">
        <f>(28*2)+10</f>
        <v>66</v>
      </c>
      <c r="D226" s="34">
        <v>0</v>
      </c>
      <c r="E226" s="34">
        <v>64</v>
      </c>
      <c r="F226" s="34">
        <f>(28*2)+10</f>
        <v>66</v>
      </c>
      <c r="G226" s="34">
        <f t="shared" si="74"/>
        <v>-64</v>
      </c>
      <c r="H226" s="34">
        <f t="shared" si="75"/>
        <v>-1600</v>
      </c>
      <c r="J226" s="4">
        <f>SUM(G226:G228)</f>
        <v>-130</v>
      </c>
      <c r="K226" s="4" t="s">
        <v>258</v>
      </c>
      <c r="M226" s="89" t="s">
        <v>279</v>
      </c>
      <c r="N226" s="89">
        <v>37</v>
      </c>
    </row>
    <row r="227" spans="2:14" ht="15" x14ac:dyDescent="0.2">
      <c r="B227" s="4" t="s">
        <v>259</v>
      </c>
      <c r="C227" s="34">
        <f>(28*3)+33</f>
        <v>117</v>
      </c>
      <c r="D227" s="34">
        <v>0</v>
      </c>
      <c r="E227" s="34">
        <v>29</v>
      </c>
      <c r="F227" s="34">
        <f>(28*3)+33</f>
        <v>117</v>
      </c>
      <c r="G227" s="34">
        <f t="shared" si="74"/>
        <v>-29</v>
      </c>
      <c r="H227" s="34">
        <f t="shared" si="75"/>
        <v>-725</v>
      </c>
      <c r="J227" s="4">
        <f>SUM(G229:G232)</f>
        <v>-47</v>
      </c>
      <c r="K227" s="4" t="s">
        <v>260</v>
      </c>
      <c r="M227" s="89" t="s">
        <v>278</v>
      </c>
      <c r="N227" s="89">
        <v>29</v>
      </c>
    </row>
    <row r="228" spans="2:14" ht="15" x14ac:dyDescent="0.2">
      <c r="B228" s="4" t="s">
        <v>261</v>
      </c>
      <c r="C228" s="34">
        <f>(28*4)+39</f>
        <v>151</v>
      </c>
      <c r="D228" s="34">
        <v>0</v>
      </c>
      <c r="E228" s="34">
        <v>37</v>
      </c>
      <c r="F228" s="34">
        <f>(28*4)+39</f>
        <v>151</v>
      </c>
      <c r="G228" s="34">
        <f t="shared" si="74"/>
        <v>-37</v>
      </c>
      <c r="H228" s="34">
        <f t="shared" si="75"/>
        <v>-925</v>
      </c>
      <c r="M228" s="89" t="s">
        <v>280</v>
      </c>
      <c r="N228" s="89">
        <v>29</v>
      </c>
    </row>
    <row r="229" spans="2:14" ht="15" x14ac:dyDescent="0.2">
      <c r="B229" s="4" t="s">
        <v>263</v>
      </c>
      <c r="C229" s="34">
        <f>(24*3)+28</f>
        <v>100</v>
      </c>
      <c r="D229" s="34">
        <v>0</v>
      </c>
      <c r="E229" s="34">
        <v>29</v>
      </c>
      <c r="F229" s="34">
        <f>(24*3)+28</f>
        <v>100</v>
      </c>
      <c r="G229" s="34">
        <f t="shared" si="74"/>
        <v>-29</v>
      </c>
      <c r="H229" s="34">
        <f t="shared" ref="H229:H232" si="76">G229*15</f>
        <v>-435</v>
      </c>
      <c r="M229" s="89" t="s">
        <v>277</v>
      </c>
      <c r="N229" s="89">
        <v>6</v>
      </c>
    </row>
    <row r="230" spans="2:14" ht="14" x14ac:dyDescent="0.2">
      <c r="B230" s="4" t="s">
        <v>264</v>
      </c>
      <c r="C230" s="34">
        <f>(24*1)+20</f>
        <v>44</v>
      </c>
      <c r="D230" s="34">
        <v>0</v>
      </c>
      <c r="E230" s="34">
        <v>12</v>
      </c>
      <c r="F230" s="34">
        <f>(24*1)+20</f>
        <v>44</v>
      </c>
      <c r="G230" s="34">
        <f t="shared" si="74"/>
        <v>-12</v>
      </c>
      <c r="H230" s="34">
        <f t="shared" si="76"/>
        <v>-180</v>
      </c>
    </row>
    <row r="231" spans="2:14" ht="14" x14ac:dyDescent="0.2">
      <c r="B231" s="4" t="s">
        <v>265</v>
      </c>
      <c r="C231" s="34">
        <f>(24*4)+18</f>
        <v>114</v>
      </c>
      <c r="D231" s="34">
        <v>0</v>
      </c>
      <c r="E231" s="34">
        <v>6</v>
      </c>
      <c r="F231" s="34">
        <f>(24*4)+18</f>
        <v>114</v>
      </c>
      <c r="G231" s="34">
        <f t="shared" si="74"/>
        <v>-6</v>
      </c>
      <c r="H231" s="34">
        <f t="shared" si="76"/>
        <v>-90</v>
      </c>
    </row>
    <row r="232" spans="2:14" ht="14" x14ac:dyDescent="0.2">
      <c r="B232" s="4" t="s">
        <v>266</v>
      </c>
      <c r="C232" s="34">
        <v>0</v>
      </c>
      <c r="D232" s="34">
        <v>0</v>
      </c>
      <c r="E232" s="34">
        <v>0</v>
      </c>
      <c r="F232" s="34">
        <v>0</v>
      </c>
      <c r="G232" s="34">
        <f t="shared" si="74"/>
        <v>0</v>
      </c>
      <c r="H232" s="34">
        <f t="shared" si="76"/>
        <v>0</v>
      </c>
    </row>
    <row r="233" spans="2:14" ht="14" x14ac:dyDescent="0.2">
      <c r="C233" s="1"/>
      <c r="D233" s="1"/>
      <c r="E233" s="1"/>
      <c r="F233" s="1"/>
      <c r="G233" s="1"/>
      <c r="H233" s="27">
        <f>SUM(H225:H232)</f>
        <v>-4330</v>
      </c>
    </row>
    <row r="234" spans="2:14" ht="14" x14ac:dyDescent="0.2">
      <c r="C234" s="1"/>
      <c r="D234" s="1"/>
      <c r="E234" s="1"/>
      <c r="F234" s="1"/>
      <c r="G234" s="1"/>
      <c r="H234" s="1"/>
    </row>
    <row r="235" spans="2:14" ht="14" x14ac:dyDescent="0.2">
      <c r="C235" s="1"/>
      <c r="D235" s="1"/>
      <c r="E235" s="1"/>
      <c r="F235" s="1"/>
      <c r="G235" s="1"/>
      <c r="H235" s="1"/>
    </row>
    <row r="236" spans="2:14" ht="14" x14ac:dyDescent="0.2">
      <c r="C236" s="1"/>
      <c r="D236" s="1"/>
      <c r="E236" s="1"/>
      <c r="F236" s="1"/>
      <c r="G236" s="1"/>
      <c r="H236" s="1"/>
    </row>
    <row r="237" spans="2:14" ht="14" x14ac:dyDescent="0.2">
      <c r="C237" s="1"/>
      <c r="D237" s="1"/>
      <c r="E237" s="1"/>
      <c r="F237" s="1"/>
      <c r="G237" s="1"/>
      <c r="H237" s="1"/>
    </row>
    <row r="238" spans="2:14" ht="14" x14ac:dyDescent="0.2">
      <c r="C238" s="1"/>
      <c r="D238" s="1"/>
      <c r="E238" s="1"/>
      <c r="F238" s="1"/>
      <c r="G238" s="1"/>
      <c r="H238" s="1"/>
      <c r="J238" s="108" t="s">
        <v>306</v>
      </c>
      <c r="K238" s="96"/>
      <c r="L238" s="4" t="s">
        <v>255</v>
      </c>
    </row>
    <row r="239" spans="2:14" ht="14" x14ac:dyDescent="0.2">
      <c r="C239" s="1"/>
      <c r="D239" s="1"/>
      <c r="E239" s="1"/>
      <c r="F239" s="1"/>
      <c r="G239" s="1"/>
      <c r="H239" s="1"/>
      <c r="J239" s="4">
        <f t="shared" ref="J239:J242" si="77">J110+J94+J78+J63+J126+J142+J170+J185+J198+J211+J225</f>
        <v>151</v>
      </c>
      <c r="K239" s="4" t="s">
        <v>256</v>
      </c>
      <c r="L239" s="4">
        <f t="shared" ref="L239:L240" si="78">J239*25</f>
        <v>3775</v>
      </c>
    </row>
    <row r="240" spans="2:14" ht="14" x14ac:dyDescent="0.2">
      <c r="C240" s="1"/>
      <c r="D240" s="1"/>
      <c r="E240" s="1"/>
      <c r="F240" s="1"/>
      <c r="G240" s="1"/>
      <c r="H240" s="1"/>
      <c r="J240" s="4">
        <f t="shared" si="77"/>
        <v>-4</v>
      </c>
      <c r="K240" s="4" t="s">
        <v>258</v>
      </c>
      <c r="L240" s="4">
        <f t="shared" si="78"/>
        <v>-100</v>
      </c>
    </row>
    <row r="241" spans="3:12" ht="14" x14ac:dyDescent="0.2">
      <c r="C241" s="1"/>
      <c r="D241" s="1"/>
      <c r="E241" s="1"/>
      <c r="F241" s="1"/>
      <c r="G241" s="1"/>
      <c r="H241" s="1"/>
      <c r="J241" s="4">
        <f t="shared" si="77"/>
        <v>242</v>
      </c>
      <c r="K241" s="4" t="s">
        <v>260</v>
      </c>
      <c r="L241" s="4">
        <f>J241*15</f>
        <v>3630</v>
      </c>
    </row>
    <row r="242" spans="3:12" ht="14" x14ac:dyDescent="0.2">
      <c r="C242" s="1"/>
      <c r="D242" s="1"/>
      <c r="E242" s="1"/>
      <c r="F242" s="1"/>
      <c r="G242" s="1"/>
      <c r="H242" s="1"/>
      <c r="J242" s="4">
        <f t="shared" si="77"/>
        <v>9</v>
      </c>
      <c r="K242" s="4" t="s">
        <v>262</v>
      </c>
      <c r="L242" s="4">
        <f>J242*45</f>
        <v>405</v>
      </c>
    </row>
    <row r="243" spans="3:12" ht="14" x14ac:dyDescent="0.2">
      <c r="C243" s="1"/>
      <c r="D243" s="1"/>
      <c r="E243" s="1"/>
      <c r="F243" s="1"/>
      <c r="G243" s="1"/>
      <c r="H243" s="1"/>
    </row>
    <row r="244" spans="3:12" ht="14" x14ac:dyDescent="0.2">
      <c r="C244" s="1"/>
      <c r="D244" s="1"/>
      <c r="E244" s="1"/>
      <c r="F244" s="1"/>
      <c r="G244" s="1"/>
      <c r="H244" s="1"/>
      <c r="K244" s="4" t="s">
        <v>0</v>
      </c>
      <c r="L244" s="91">
        <f>SUM(L239:L242)</f>
        <v>7710</v>
      </c>
    </row>
    <row r="245" spans="3:12" ht="14" x14ac:dyDescent="0.2">
      <c r="C245" s="1"/>
      <c r="D245" s="1"/>
      <c r="E245" s="1"/>
      <c r="F245" s="1"/>
      <c r="G245" s="1"/>
      <c r="H245" s="1"/>
    </row>
    <row r="246" spans="3:12" ht="14" x14ac:dyDescent="0.2">
      <c r="C246" s="1"/>
      <c r="D246" s="1"/>
      <c r="E246" s="1"/>
      <c r="F246" s="1"/>
      <c r="G246" s="1"/>
      <c r="H246" s="1"/>
    </row>
    <row r="247" spans="3:12" ht="14" x14ac:dyDescent="0.2">
      <c r="C247" s="1"/>
      <c r="D247" s="1"/>
      <c r="E247" s="1"/>
      <c r="F247" s="1"/>
      <c r="G247" s="1"/>
      <c r="H247" s="1"/>
    </row>
    <row r="248" spans="3:12" ht="14" x14ac:dyDescent="0.2">
      <c r="C248" s="1"/>
      <c r="D248" s="1"/>
      <c r="E248" s="1"/>
      <c r="F248" s="1"/>
      <c r="G248" s="1"/>
      <c r="H248" s="1"/>
    </row>
    <row r="249" spans="3:12" ht="14" x14ac:dyDescent="0.2">
      <c r="C249" s="1"/>
      <c r="D249" s="1"/>
      <c r="E249" s="1"/>
      <c r="F249" s="1"/>
      <c r="G249" s="1"/>
      <c r="H249" s="1"/>
    </row>
    <row r="250" spans="3:12" ht="14" x14ac:dyDescent="0.2">
      <c r="C250" s="1"/>
      <c r="D250" s="1"/>
      <c r="E250" s="1"/>
      <c r="F250" s="1"/>
      <c r="G250" s="1"/>
      <c r="H250" s="1"/>
    </row>
    <row r="251" spans="3:12" ht="14" x14ac:dyDescent="0.2">
      <c r="C251" s="1"/>
      <c r="D251" s="1"/>
      <c r="E251" s="1"/>
      <c r="F251" s="1"/>
      <c r="G251" s="1"/>
      <c r="H251" s="1"/>
    </row>
    <row r="252" spans="3:12" ht="14" x14ac:dyDescent="0.2">
      <c r="C252" s="1"/>
      <c r="D252" s="1"/>
      <c r="E252" s="1"/>
      <c r="F252" s="1"/>
      <c r="G252" s="1"/>
      <c r="H252" s="1"/>
    </row>
    <row r="253" spans="3:12" ht="14" x14ac:dyDescent="0.2">
      <c r="C253" s="1"/>
      <c r="D253" s="1"/>
      <c r="E253" s="1"/>
      <c r="F253" s="1"/>
      <c r="G253" s="1"/>
      <c r="H253" s="1"/>
    </row>
    <row r="254" spans="3:12" ht="14" x14ac:dyDescent="0.2">
      <c r="C254" s="1"/>
      <c r="D254" s="1"/>
      <c r="E254" s="1"/>
      <c r="F254" s="1"/>
      <c r="G254" s="1"/>
      <c r="H254" s="1"/>
    </row>
    <row r="255" spans="3:12" ht="14" x14ac:dyDescent="0.2">
      <c r="C255" s="1"/>
      <c r="D255" s="1"/>
      <c r="E255" s="1"/>
      <c r="F255" s="1"/>
      <c r="G255" s="1"/>
      <c r="H255" s="1"/>
    </row>
    <row r="256" spans="3:12" ht="14" x14ac:dyDescent="0.2">
      <c r="C256" s="1"/>
      <c r="D256" s="1"/>
      <c r="E256" s="1"/>
      <c r="F256" s="1"/>
      <c r="G256" s="1"/>
      <c r="H256" s="1"/>
    </row>
    <row r="257" spans="3:8" ht="14" x14ac:dyDescent="0.2">
      <c r="C257" s="1"/>
      <c r="D257" s="1"/>
      <c r="E257" s="1"/>
      <c r="F257" s="1"/>
      <c r="G257" s="1"/>
      <c r="H257" s="1"/>
    </row>
    <row r="258" spans="3:8" ht="14" x14ac:dyDescent="0.2">
      <c r="C258" s="1"/>
      <c r="D258" s="1"/>
      <c r="E258" s="1"/>
      <c r="F258" s="1"/>
      <c r="G258" s="1"/>
      <c r="H258" s="1"/>
    </row>
    <row r="259" spans="3:8" ht="14" x14ac:dyDescent="0.2">
      <c r="C259" s="1"/>
      <c r="D259" s="1"/>
      <c r="E259" s="1"/>
      <c r="F259" s="1"/>
      <c r="G259" s="1"/>
      <c r="H259" s="1"/>
    </row>
    <row r="260" spans="3:8" ht="14" x14ac:dyDescent="0.2">
      <c r="C260" s="1"/>
      <c r="D260" s="1"/>
      <c r="E260" s="1"/>
      <c r="F260" s="1"/>
      <c r="G260" s="1"/>
      <c r="H260" s="1"/>
    </row>
    <row r="261" spans="3:8" ht="14" x14ac:dyDescent="0.2">
      <c r="C261" s="1"/>
      <c r="D261" s="1"/>
      <c r="E261" s="1"/>
      <c r="F261" s="1"/>
      <c r="G261" s="1"/>
      <c r="H261" s="1"/>
    </row>
    <row r="262" spans="3:8" ht="14" x14ac:dyDescent="0.2">
      <c r="C262" s="1"/>
      <c r="D262" s="1"/>
      <c r="E262" s="1"/>
      <c r="F262" s="1"/>
      <c r="G262" s="1"/>
      <c r="H262" s="1"/>
    </row>
    <row r="263" spans="3:8" ht="14" x14ac:dyDescent="0.2">
      <c r="C263" s="1"/>
      <c r="D263" s="1"/>
      <c r="E263" s="1"/>
      <c r="F263" s="1"/>
      <c r="G263" s="1"/>
      <c r="H263" s="1"/>
    </row>
    <row r="264" spans="3:8" ht="14" x14ac:dyDescent="0.2">
      <c r="C264" s="1"/>
      <c r="D264" s="1"/>
      <c r="E264" s="1"/>
      <c r="F264" s="1"/>
      <c r="G264" s="1"/>
      <c r="H264" s="1"/>
    </row>
    <row r="265" spans="3:8" ht="14" x14ac:dyDescent="0.2">
      <c r="C265" s="1"/>
      <c r="D265" s="1"/>
      <c r="E265" s="1"/>
      <c r="F265" s="1"/>
      <c r="G265" s="1"/>
      <c r="H265" s="1"/>
    </row>
    <row r="266" spans="3:8" ht="14" x14ac:dyDescent="0.2">
      <c r="C266" s="1"/>
      <c r="D266" s="1"/>
      <c r="E266" s="1"/>
      <c r="F266" s="1"/>
      <c r="G266" s="1"/>
      <c r="H266" s="1"/>
    </row>
    <row r="267" spans="3:8" ht="14" x14ac:dyDescent="0.2">
      <c r="C267" s="1"/>
      <c r="D267" s="1"/>
      <c r="E267" s="1"/>
      <c r="F267" s="1"/>
      <c r="G267" s="1"/>
      <c r="H267" s="1"/>
    </row>
    <row r="268" spans="3:8" ht="14" x14ac:dyDescent="0.2">
      <c r="C268" s="1"/>
      <c r="D268" s="1"/>
      <c r="E268" s="1"/>
      <c r="F268" s="1"/>
      <c r="G268" s="1"/>
      <c r="H268" s="1"/>
    </row>
    <row r="269" spans="3:8" ht="14" x14ac:dyDescent="0.2">
      <c r="C269" s="1"/>
      <c r="D269" s="1"/>
      <c r="E269" s="1"/>
      <c r="F269" s="1"/>
      <c r="G269" s="1"/>
      <c r="H269" s="1"/>
    </row>
    <row r="270" spans="3:8" ht="14" x14ac:dyDescent="0.2">
      <c r="C270" s="1"/>
      <c r="D270" s="1"/>
      <c r="E270" s="1"/>
      <c r="F270" s="1"/>
      <c r="G270" s="1"/>
      <c r="H270" s="1"/>
    </row>
    <row r="271" spans="3:8" ht="14" x14ac:dyDescent="0.2">
      <c r="C271" s="1"/>
      <c r="D271" s="1"/>
      <c r="E271" s="1"/>
      <c r="F271" s="1"/>
      <c r="G271" s="1"/>
      <c r="H271" s="1"/>
    </row>
    <row r="272" spans="3:8" ht="14" x14ac:dyDescent="0.2">
      <c r="C272" s="1"/>
      <c r="D272" s="1"/>
      <c r="E272" s="1"/>
      <c r="F272" s="1"/>
      <c r="G272" s="1"/>
      <c r="H272" s="1"/>
    </row>
    <row r="273" spans="3:8" ht="14" x14ac:dyDescent="0.2">
      <c r="C273" s="1"/>
      <c r="D273" s="1"/>
      <c r="E273" s="1"/>
      <c r="F273" s="1"/>
      <c r="G273" s="1"/>
      <c r="H273" s="1"/>
    </row>
    <row r="274" spans="3:8" ht="14" x14ac:dyDescent="0.2">
      <c r="C274" s="1"/>
      <c r="D274" s="1"/>
      <c r="E274" s="1"/>
      <c r="F274" s="1"/>
      <c r="G274" s="1"/>
      <c r="H274" s="1"/>
    </row>
    <row r="275" spans="3:8" ht="14" x14ac:dyDescent="0.2">
      <c r="C275" s="1"/>
      <c r="D275" s="1"/>
      <c r="E275" s="1"/>
      <c r="F275" s="1"/>
      <c r="G275" s="1"/>
      <c r="H275" s="1"/>
    </row>
    <row r="276" spans="3:8" ht="14" x14ac:dyDescent="0.2">
      <c r="C276" s="1"/>
      <c r="D276" s="1"/>
      <c r="E276" s="1"/>
      <c r="F276" s="1"/>
      <c r="G276" s="1"/>
      <c r="H276" s="1"/>
    </row>
    <row r="277" spans="3:8" ht="14" x14ac:dyDescent="0.2">
      <c r="C277" s="1"/>
      <c r="D277" s="1"/>
      <c r="E277" s="1"/>
      <c r="F277" s="1"/>
      <c r="G277" s="1"/>
      <c r="H277" s="1"/>
    </row>
    <row r="278" spans="3:8" ht="14" x14ac:dyDescent="0.2">
      <c r="C278" s="1"/>
      <c r="D278" s="1"/>
      <c r="E278" s="1"/>
      <c r="F278" s="1"/>
      <c r="G278" s="1"/>
      <c r="H278" s="1"/>
    </row>
    <row r="279" spans="3:8" ht="14" x14ac:dyDescent="0.2">
      <c r="C279" s="1"/>
      <c r="D279" s="1"/>
      <c r="E279" s="1"/>
      <c r="F279" s="1"/>
      <c r="G279" s="1"/>
      <c r="H279" s="1"/>
    </row>
    <row r="280" spans="3:8" ht="14" x14ac:dyDescent="0.2">
      <c r="C280" s="1"/>
      <c r="D280" s="1"/>
      <c r="E280" s="1"/>
      <c r="F280" s="1"/>
      <c r="G280" s="1"/>
      <c r="H280" s="1"/>
    </row>
    <row r="281" spans="3:8" ht="14" x14ac:dyDescent="0.2">
      <c r="C281" s="1"/>
      <c r="D281" s="1"/>
      <c r="E281" s="1"/>
      <c r="F281" s="1"/>
      <c r="G281" s="1"/>
      <c r="H281" s="1"/>
    </row>
    <row r="282" spans="3:8" ht="14" x14ac:dyDescent="0.2">
      <c r="C282" s="1"/>
      <c r="D282" s="1"/>
      <c r="E282" s="1"/>
      <c r="F282" s="1"/>
      <c r="G282" s="1"/>
      <c r="H282" s="1"/>
    </row>
    <row r="283" spans="3:8" ht="14" x14ac:dyDescent="0.2">
      <c r="C283" s="1"/>
      <c r="D283" s="1"/>
      <c r="E283" s="1"/>
      <c r="F283" s="1"/>
      <c r="G283" s="1"/>
      <c r="H283" s="1"/>
    </row>
    <row r="284" spans="3:8" ht="14" x14ac:dyDescent="0.2">
      <c r="C284" s="1"/>
      <c r="D284" s="1"/>
      <c r="E284" s="1"/>
      <c r="F284" s="1"/>
      <c r="G284" s="1"/>
      <c r="H284" s="1"/>
    </row>
    <row r="285" spans="3:8" ht="14" x14ac:dyDescent="0.2">
      <c r="C285" s="1"/>
      <c r="D285" s="1"/>
      <c r="E285" s="1"/>
      <c r="F285" s="1"/>
      <c r="G285" s="1"/>
      <c r="H285" s="1"/>
    </row>
    <row r="286" spans="3:8" ht="14" x14ac:dyDescent="0.2">
      <c r="C286" s="1"/>
      <c r="D286" s="1"/>
      <c r="E286" s="1"/>
      <c r="F286" s="1"/>
      <c r="G286" s="1"/>
      <c r="H286" s="1"/>
    </row>
    <row r="287" spans="3:8" ht="14" x14ac:dyDescent="0.2">
      <c r="C287" s="1"/>
      <c r="D287" s="1"/>
      <c r="E287" s="1"/>
      <c r="F287" s="1"/>
      <c r="G287" s="1"/>
      <c r="H287" s="1"/>
    </row>
    <row r="288" spans="3:8" ht="14" x14ac:dyDescent="0.2">
      <c r="C288" s="1"/>
      <c r="D288" s="1"/>
      <c r="E288" s="1"/>
      <c r="F288" s="1"/>
      <c r="G288" s="1"/>
      <c r="H288" s="1"/>
    </row>
    <row r="289" spans="3:8" ht="14" x14ac:dyDescent="0.2">
      <c r="C289" s="1"/>
      <c r="D289" s="1"/>
      <c r="E289" s="1"/>
      <c r="F289" s="1"/>
      <c r="G289" s="1"/>
      <c r="H289" s="1"/>
    </row>
    <row r="290" spans="3:8" ht="14" x14ac:dyDescent="0.2">
      <c r="C290" s="1"/>
      <c r="D290" s="1"/>
      <c r="E290" s="1"/>
      <c r="F290" s="1"/>
      <c r="G290" s="1"/>
      <c r="H290" s="1"/>
    </row>
    <row r="291" spans="3:8" ht="14" x14ac:dyDescent="0.2">
      <c r="C291" s="1"/>
      <c r="D291" s="1"/>
      <c r="E291" s="1"/>
      <c r="F291" s="1"/>
      <c r="G291" s="1"/>
      <c r="H291" s="1"/>
    </row>
    <row r="292" spans="3:8" ht="14" x14ac:dyDescent="0.2">
      <c r="C292" s="1"/>
      <c r="D292" s="1"/>
      <c r="E292" s="1"/>
      <c r="F292" s="1"/>
      <c r="G292" s="1"/>
      <c r="H292" s="1"/>
    </row>
    <row r="293" spans="3:8" ht="14" x14ac:dyDescent="0.2">
      <c r="C293" s="1"/>
      <c r="D293" s="1"/>
      <c r="E293" s="1"/>
      <c r="F293" s="1"/>
      <c r="G293" s="1"/>
      <c r="H293" s="1"/>
    </row>
    <row r="294" spans="3:8" ht="14" x14ac:dyDescent="0.2">
      <c r="C294" s="1"/>
      <c r="D294" s="1"/>
      <c r="E294" s="1"/>
      <c r="F294" s="1"/>
      <c r="G294" s="1"/>
      <c r="H294" s="1"/>
    </row>
    <row r="295" spans="3:8" ht="14" x14ac:dyDescent="0.2">
      <c r="C295" s="1"/>
      <c r="D295" s="1"/>
      <c r="E295" s="1"/>
      <c r="F295" s="1"/>
      <c r="G295" s="1"/>
      <c r="H295" s="1"/>
    </row>
    <row r="296" spans="3:8" ht="14" x14ac:dyDescent="0.2">
      <c r="C296" s="1"/>
      <c r="D296" s="1"/>
      <c r="E296" s="1"/>
      <c r="F296" s="1"/>
      <c r="G296" s="1"/>
      <c r="H296" s="1"/>
    </row>
    <row r="297" spans="3:8" ht="14" x14ac:dyDescent="0.2">
      <c r="C297" s="1"/>
      <c r="D297" s="1"/>
      <c r="E297" s="1"/>
      <c r="F297" s="1"/>
      <c r="G297" s="1"/>
      <c r="H297" s="1"/>
    </row>
    <row r="298" spans="3:8" ht="14" x14ac:dyDescent="0.2">
      <c r="C298" s="1"/>
      <c r="D298" s="1"/>
      <c r="E298" s="1"/>
      <c r="F298" s="1"/>
      <c r="G298" s="1"/>
      <c r="H298" s="1"/>
    </row>
    <row r="299" spans="3:8" ht="14" x14ac:dyDescent="0.2">
      <c r="C299" s="1"/>
      <c r="D299" s="1"/>
      <c r="E299" s="1"/>
      <c r="F299" s="1"/>
      <c r="G299" s="1"/>
      <c r="H299" s="1"/>
    </row>
    <row r="300" spans="3:8" ht="14" x14ac:dyDescent="0.2">
      <c r="C300" s="1"/>
      <c r="D300" s="1"/>
      <c r="E300" s="1"/>
      <c r="F300" s="1"/>
      <c r="G300" s="1"/>
      <c r="H300" s="1"/>
    </row>
    <row r="301" spans="3:8" ht="14" x14ac:dyDescent="0.2">
      <c r="C301" s="1"/>
      <c r="D301" s="1"/>
      <c r="E301" s="1"/>
      <c r="F301" s="1"/>
      <c r="G301" s="1"/>
      <c r="H301" s="1"/>
    </row>
    <row r="302" spans="3:8" ht="14" x14ac:dyDescent="0.2">
      <c r="C302" s="1"/>
      <c r="D302" s="1"/>
      <c r="E302" s="1"/>
      <c r="F302" s="1"/>
      <c r="G302" s="1"/>
      <c r="H302" s="1"/>
    </row>
    <row r="303" spans="3:8" ht="14" x14ac:dyDescent="0.2">
      <c r="C303" s="1"/>
      <c r="D303" s="1"/>
      <c r="E303" s="1"/>
      <c r="F303" s="1"/>
      <c r="G303" s="1"/>
      <c r="H303" s="1"/>
    </row>
    <row r="304" spans="3:8" ht="14" x14ac:dyDescent="0.2">
      <c r="C304" s="1"/>
      <c r="D304" s="1"/>
      <c r="E304" s="1"/>
      <c r="F304" s="1"/>
      <c r="G304" s="1"/>
      <c r="H304" s="1"/>
    </row>
    <row r="305" spans="3:8" ht="14" x14ac:dyDescent="0.2">
      <c r="C305" s="1"/>
      <c r="D305" s="1"/>
      <c r="E305" s="1"/>
      <c r="F305" s="1"/>
      <c r="G305" s="1"/>
      <c r="H305" s="1"/>
    </row>
    <row r="306" spans="3:8" ht="14" x14ac:dyDescent="0.2">
      <c r="C306" s="1"/>
      <c r="D306" s="1"/>
      <c r="E306" s="1"/>
      <c r="F306" s="1"/>
      <c r="G306" s="1"/>
      <c r="H306" s="1"/>
    </row>
    <row r="307" spans="3:8" ht="14" x14ac:dyDescent="0.2">
      <c r="C307" s="1"/>
      <c r="D307" s="1"/>
      <c r="E307" s="1"/>
      <c r="F307" s="1"/>
      <c r="G307" s="1"/>
      <c r="H307" s="1"/>
    </row>
    <row r="308" spans="3:8" ht="14" x14ac:dyDescent="0.2">
      <c r="C308" s="1"/>
      <c r="D308" s="1"/>
      <c r="E308" s="1"/>
      <c r="F308" s="1"/>
      <c r="G308" s="1"/>
      <c r="H308" s="1"/>
    </row>
    <row r="309" spans="3:8" ht="14" x14ac:dyDescent="0.2">
      <c r="C309" s="1"/>
      <c r="D309" s="1"/>
      <c r="E309" s="1"/>
      <c r="F309" s="1"/>
      <c r="G309" s="1"/>
      <c r="H309" s="1"/>
    </row>
    <row r="310" spans="3:8" ht="14" x14ac:dyDescent="0.2">
      <c r="C310" s="1"/>
      <c r="D310" s="1"/>
      <c r="E310" s="1"/>
      <c r="F310" s="1"/>
      <c r="G310" s="1"/>
      <c r="H310" s="1"/>
    </row>
    <row r="311" spans="3:8" ht="14" x14ac:dyDescent="0.2">
      <c r="C311" s="1"/>
      <c r="D311" s="1"/>
      <c r="E311" s="1"/>
      <c r="F311" s="1"/>
      <c r="G311" s="1"/>
      <c r="H311" s="1"/>
    </row>
    <row r="312" spans="3:8" ht="14" x14ac:dyDescent="0.2">
      <c r="C312" s="1"/>
      <c r="D312" s="1"/>
      <c r="E312" s="1"/>
      <c r="F312" s="1"/>
      <c r="G312" s="1"/>
      <c r="H312" s="1"/>
    </row>
    <row r="313" spans="3:8" ht="14" x14ac:dyDescent="0.2">
      <c r="C313" s="1"/>
      <c r="D313" s="1"/>
      <c r="E313" s="1"/>
      <c r="F313" s="1"/>
      <c r="G313" s="1"/>
      <c r="H313" s="1"/>
    </row>
    <row r="314" spans="3:8" ht="14" x14ac:dyDescent="0.2">
      <c r="C314" s="1"/>
      <c r="D314" s="1"/>
      <c r="E314" s="1"/>
      <c r="F314" s="1"/>
      <c r="G314" s="1"/>
      <c r="H314" s="1"/>
    </row>
    <row r="315" spans="3:8" ht="14" x14ac:dyDescent="0.2">
      <c r="C315" s="1"/>
      <c r="D315" s="1"/>
      <c r="E315" s="1"/>
      <c r="F315" s="1"/>
      <c r="G315" s="1"/>
      <c r="H315" s="1"/>
    </row>
    <row r="316" spans="3:8" ht="14" x14ac:dyDescent="0.2">
      <c r="C316" s="1"/>
      <c r="D316" s="1"/>
      <c r="E316" s="1"/>
      <c r="F316" s="1"/>
      <c r="G316" s="1"/>
      <c r="H316" s="1"/>
    </row>
    <row r="317" spans="3:8" ht="14" x14ac:dyDescent="0.2">
      <c r="C317" s="1"/>
      <c r="D317" s="1"/>
      <c r="E317" s="1"/>
      <c r="F317" s="1"/>
      <c r="G317" s="1"/>
      <c r="H317" s="1"/>
    </row>
    <row r="318" spans="3:8" ht="14" x14ac:dyDescent="0.2">
      <c r="C318" s="1"/>
      <c r="D318" s="1"/>
      <c r="E318" s="1"/>
      <c r="F318" s="1"/>
      <c r="G318" s="1"/>
      <c r="H318" s="1"/>
    </row>
    <row r="319" spans="3:8" ht="14" x14ac:dyDescent="0.2">
      <c r="C319" s="1"/>
      <c r="D319" s="1"/>
      <c r="E319" s="1"/>
      <c r="F319" s="1"/>
      <c r="G319" s="1"/>
      <c r="H319" s="1"/>
    </row>
    <row r="320" spans="3:8" ht="14" x14ac:dyDescent="0.2">
      <c r="C320" s="1"/>
      <c r="D320" s="1"/>
      <c r="E320" s="1"/>
      <c r="F320" s="1"/>
      <c r="G320" s="1"/>
      <c r="H320" s="1"/>
    </row>
    <row r="321" spans="3:8" ht="14" x14ac:dyDescent="0.2">
      <c r="C321" s="1"/>
      <c r="D321" s="1"/>
      <c r="E321" s="1"/>
      <c r="F321" s="1"/>
      <c r="G321" s="1"/>
      <c r="H321" s="1"/>
    </row>
    <row r="322" spans="3:8" ht="14" x14ac:dyDescent="0.2">
      <c r="C322" s="1"/>
      <c r="D322" s="1"/>
      <c r="E322" s="1"/>
      <c r="F322" s="1"/>
      <c r="G322" s="1"/>
      <c r="H322" s="1"/>
    </row>
    <row r="323" spans="3:8" ht="14" x14ac:dyDescent="0.2">
      <c r="C323" s="1"/>
      <c r="D323" s="1"/>
      <c r="E323" s="1"/>
      <c r="F323" s="1"/>
      <c r="G323" s="1"/>
      <c r="H323" s="1"/>
    </row>
    <row r="324" spans="3:8" ht="14" x14ac:dyDescent="0.2">
      <c r="C324" s="1"/>
      <c r="D324" s="1"/>
      <c r="E324" s="1"/>
      <c r="F324" s="1"/>
      <c r="G324" s="1"/>
      <c r="H324" s="1"/>
    </row>
    <row r="325" spans="3:8" ht="14" x14ac:dyDescent="0.2">
      <c r="C325" s="1"/>
      <c r="D325" s="1"/>
      <c r="E325" s="1"/>
      <c r="F325" s="1"/>
      <c r="G325" s="1"/>
      <c r="H325" s="1"/>
    </row>
    <row r="326" spans="3:8" ht="14" x14ac:dyDescent="0.2">
      <c r="C326" s="1"/>
      <c r="D326" s="1"/>
      <c r="E326" s="1"/>
      <c r="F326" s="1"/>
      <c r="G326" s="1"/>
      <c r="H326" s="1"/>
    </row>
    <row r="327" spans="3:8" ht="14" x14ac:dyDescent="0.2">
      <c r="C327" s="1"/>
      <c r="D327" s="1"/>
      <c r="E327" s="1"/>
      <c r="F327" s="1"/>
      <c r="G327" s="1"/>
      <c r="H327" s="1"/>
    </row>
    <row r="328" spans="3:8" ht="14" x14ac:dyDescent="0.2">
      <c r="C328" s="1"/>
      <c r="D328" s="1"/>
      <c r="E328" s="1"/>
      <c r="F328" s="1"/>
      <c r="G328" s="1"/>
      <c r="H328" s="1"/>
    </row>
    <row r="329" spans="3:8" ht="14" x14ac:dyDescent="0.2">
      <c r="C329" s="1"/>
      <c r="D329" s="1"/>
      <c r="E329" s="1"/>
      <c r="F329" s="1"/>
      <c r="G329" s="1"/>
      <c r="H329" s="1"/>
    </row>
    <row r="330" spans="3:8" ht="14" x14ac:dyDescent="0.2">
      <c r="C330" s="1"/>
      <c r="D330" s="1"/>
      <c r="E330" s="1"/>
      <c r="F330" s="1"/>
      <c r="G330" s="1"/>
      <c r="H330" s="1"/>
    </row>
    <row r="331" spans="3:8" ht="14" x14ac:dyDescent="0.2">
      <c r="C331" s="1"/>
      <c r="D331" s="1"/>
      <c r="E331" s="1"/>
      <c r="F331" s="1"/>
      <c r="G331" s="1"/>
      <c r="H331" s="1"/>
    </row>
    <row r="332" spans="3:8" ht="14" x14ac:dyDescent="0.2">
      <c r="C332" s="1"/>
      <c r="D332" s="1"/>
      <c r="E332" s="1"/>
      <c r="F332" s="1"/>
      <c r="G332" s="1"/>
      <c r="H332" s="1"/>
    </row>
    <row r="333" spans="3:8" ht="14" x14ac:dyDescent="0.2">
      <c r="C333" s="1"/>
      <c r="D333" s="1"/>
      <c r="E333" s="1"/>
      <c r="F333" s="1"/>
      <c r="G333" s="1"/>
      <c r="H333" s="1"/>
    </row>
    <row r="334" spans="3:8" ht="14" x14ac:dyDescent="0.2">
      <c r="C334" s="1"/>
      <c r="D334" s="1"/>
      <c r="E334" s="1"/>
      <c r="F334" s="1"/>
      <c r="G334" s="1"/>
      <c r="H334" s="1"/>
    </row>
    <row r="335" spans="3:8" ht="14" x14ac:dyDescent="0.2">
      <c r="C335" s="1"/>
      <c r="D335" s="1"/>
      <c r="E335" s="1"/>
      <c r="F335" s="1"/>
      <c r="G335" s="1"/>
      <c r="H335" s="1"/>
    </row>
    <row r="336" spans="3:8" ht="14" x14ac:dyDescent="0.2">
      <c r="C336" s="1"/>
      <c r="D336" s="1"/>
      <c r="E336" s="1"/>
      <c r="F336" s="1"/>
      <c r="G336" s="1"/>
      <c r="H336" s="1"/>
    </row>
    <row r="337" spans="3:8" ht="14" x14ac:dyDescent="0.2">
      <c r="C337" s="1"/>
      <c r="D337" s="1"/>
      <c r="E337" s="1"/>
      <c r="F337" s="1"/>
      <c r="G337" s="1"/>
      <c r="H337" s="1"/>
    </row>
    <row r="338" spans="3:8" ht="14" x14ac:dyDescent="0.2">
      <c r="C338" s="1"/>
      <c r="D338" s="1"/>
      <c r="E338" s="1"/>
      <c r="F338" s="1"/>
      <c r="G338" s="1"/>
      <c r="H338" s="1"/>
    </row>
    <row r="339" spans="3:8" ht="14" x14ac:dyDescent="0.2">
      <c r="C339" s="1"/>
      <c r="D339" s="1"/>
      <c r="E339" s="1"/>
      <c r="F339" s="1"/>
      <c r="G339" s="1"/>
      <c r="H339" s="1"/>
    </row>
    <row r="340" spans="3:8" ht="14" x14ac:dyDescent="0.2">
      <c r="C340" s="1"/>
      <c r="D340" s="1"/>
      <c r="E340" s="1"/>
      <c r="F340" s="1"/>
      <c r="G340" s="1"/>
      <c r="H340" s="1"/>
    </row>
    <row r="341" spans="3:8" ht="14" x14ac:dyDescent="0.2">
      <c r="C341" s="1"/>
      <c r="D341" s="1"/>
      <c r="E341" s="1"/>
      <c r="F341" s="1"/>
      <c r="G341" s="1"/>
      <c r="H341" s="1"/>
    </row>
    <row r="342" spans="3:8" ht="14" x14ac:dyDescent="0.2">
      <c r="C342" s="1"/>
      <c r="D342" s="1"/>
      <c r="E342" s="1"/>
      <c r="F342" s="1"/>
      <c r="G342" s="1"/>
      <c r="H342" s="1"/>
    </row>
    <row r="343" spans="3:8" ht="14" x14ac:dyDescent="0.2">
      <c r="C343" s="1"/>
      <c r="D343" s="1"/>
      <c r="E343" s="1"/>
      <c r="F343" s="1"/>
      <c r="G343" s="1"/>
      <c r="H343" s="1"/>
    </row>
    <row r="344" spans="3:8" ht="14" x14ac:dyDescent="0.2">
      <c r="C344" s="1"/>
      <c r="D344" s="1"/>
      <c r="E344" s="1"/>
      <c r="F344" s="1"/>
      <c r="G344" s="1"/>
      <c r="H344" s="1"/>
    </row>
    <row r="345" spans="3:8" ht="14" x14ac:dyDescent="0.2">
      <c r="C345" s="1"/>
      <c r="D345" s="1"/>
      <c r="E345" s="1"/>
      <c r="F345" s="1"/>
      <c r="G345" s="1"/>
      <c r="H345" s="1"/>
    </row>
    <row r="346" spans="3:8" ht="14" x14ac:dyDescent="0.2">
      <c r="C346" s="1"/>
      <c r="D346" s="1"/>
      <c r="E346" s="1"/>
      <c r="F346" s="1"/>
      <c r="G346" s="1"/>
      <c r="H346" s="1"/>
    </row>
    <row r="347" spans="3:8" ht="14" x14ac:dyDescent="0.2">
      <c r="C347" s="1"/>
      <c r="D347" s="1"/>
      <c r="E347" s="1"/>
      <c r="F347" s="1"/>
      <c r="G347" s="1"/>
      <c r="H347" s="1"/>
    </row>
    <row r="348" spans="3:8" ht="14" x14ac:dyDescent="0.2">
      <c r="C348" s="1"/>
      <c r="D348" s="1"/>
      <c r="E348" s="1"/>
      <c r="F348" s="1"/>
      <c r="G348" s="1"/>
      <c r="H348" s="1"/>
    </row>
    <row r="349" spans="3:8" ht="14" x14ac:dyDescent="0.2">
      <c r="C349" s="1"/>
      <c r="D349" s="1"/>
      <c r="E349" s="1"/>
      <c r="F349" s="1"/>
      <c r="G349" s="1"/>
      <c r="H349" s="1"/>
    </row>
    <row r="350" spans="3:8" ht="14" x14ac:dyDescent="0.2">
      <c r="C350" s="1"/>
      <c r="D350" s="1"/>
      <c r="E350" s="1"/>
      <c r="F350" s="1"/>
      <c r="G350" s="1"/>
      <c r="H350" s="1"/>
    </row>
    <row r="351" spans="3:8" ht="14" x14ac:dyDescent="0.2">
      <c r="C351" s="1"/>
      <c r="D351" s="1"/>
      <c r="E351" s="1"/>
      <c r="F351" s="1"/>
      <c r="G351" s="1"/>
      <c r="H351" s="1"/>
    </row>
    <row r="352" spans="3:8" ht="14" x14ac:dyDescent="0.2">
      <c r="C352" s="1"/>
      <c r="D352" s="1"/>
      <c r="E352" s="1"/>
      <c r="F352" s="1"/>
      <c r="G352" s="1"/>
      <c r="H352" s="1"/>
    </row>
    <row r="353" spans="3:8" ht="14" x14ac:dyDescent="0.2">
      <c r="C353" s="1"/>
      <c r="D353" s="1"/>
      <c r="E353" s="1"/>
      <c r="F353" s="1"/>
      <c r="G353" s="1"/>
      <c r="H353" s="1"/>
    </row>
    <row r="354" spans="3:8" ht="14" x14ac:dyDescent="0.2">
      <c r="C354" s="1"/>
      <c r="D354" s="1"/>
      <c r="E354" s="1"/>
      <c r="F354" s="1"/>
      <c r="G354" s="1"/>
      <c r="H354" s="1"/>
    </row>
    <row r="355" spans="3:8" ht="14" x14ac:dyDescent="0.2">
      <c r="C355" s="1"/>
      <c r="D355" s="1"/>
      <c r="E355" s="1"/>
      <c r="F355" s="1"/>
      <c r="G355" s="1"/>
      <c r="H355" s="1"/>
    </row>
    <row r="356" spans="3:8" ht="14" x14ac:dyDescent="0.2">
      <c r="C356" s="1"/>
      <c r="D356" s="1"/>
      <c r="E356" s="1"/>
      <c r="F356" s="1"/>
      <c r="G356" s="1"/>
      <c r="H356" s="1"/>
    </row>
    <row r="357" spans="3:8" ht="14" x14ac:dyDescent="0.2">
      <c r="C357" s="1"/>
      <c r="D357" s="1"/>
      <c r="E357" s="1"/>
      <c r="F357" s="1"/>
      <c r="G357" s="1"/>
      <c r="H357" s="1"/>
    </row>
    <row r="358" spans="3:8" ht="14" x14ac:dyDescent="0.2">
      <c r="C358" s="1"/>
      <c r="D358" s="1"/>
      <c r="E358" s="1"/>
      <c r="F358" s="1"/>
      <c r="G358" s="1"/>
      <c r="H358" s="1"/>
    </row>
    <row r="359" spans="3:8" ht="14" x14ac:dyDescent="0.2">
      <c r="C359" s="1"/>
      <c r="D359" s="1"/>
      <c r="E359" s="1"/>
      <c r="F359" s="1"/>
      <c r="G359" s="1"/>
      <c r="H359" s="1"/>
    </row>
    <row r="360" spans="3:8" ht="14" x14ac:dyDescent="0.2">
      <c r="C360" s="1"/>
      <c r="D360" s="1"/>
      <c r="E360" s="1"/>
      <c r="F360" s="1"/>
      <c r="G360" s="1"/>
      <c r="H360" s="1"/>
    </row>
    <row r="361" spans="3:8" ht="14" x14ac:dyDescent="0.2">
      <c r="C361" s="1"/>
      <c r="D361" s="1"/>
      <c r="E361" s="1"/>
      <c r="F361" s="1"/>
      <c r="G361" s="1"/>
      <c r="H361" s="1"/>
    </row>
    <row r="362" spans="3:8" ht="14" x14ac:dyDescent="0.2">
      <c r="C362" s="1"/>
      <c r="D362" s="1"/>
      <c r="E362" s="1"/>
      <c r="F362" s="1"/>
      <c r="G362" s="1"/>
      <c r="H362" s="1"/>
    </row>
    <row r="363" spans="3:8" ht="14" x14ac:dyDescent="0.2">
      <c r="C363" s="1"/>
      <c r="D363" s="1"/>
      <c r="E363" s="1"/>
      <c r="F363" s="1"/>
      <c r="G363" s="1"/>
      <c r="H363" s="1"/>
    </row>
    <row r="364" spans="3:8" ht="14" x14ac:dyDescent="0.2">
      <c r="C364" s="1"/>
      <c r="D364" s="1"/>
      <c r="E364" s="1"/>
      <c r="F364" s="1"/>
      <c r="G364" s="1"/>
      <c r="H364" s="1"/>
    </row>
    <row r="365" spans="3:8" ht="14" x14ac:dyDescent="0.2">
      <c r="C365" s="1"/>
      <c r="D365" s="1"/>
      <c r="E365" s="1"/>
      <c r="F365" s="1"/>
      <c r="G365" s="1"/>
      <c r="H365" s="1"/>
    </row>
    <row r="366" spans="3:8" ht="14" x14ac:dyDescent="0.2">
      <c r="C366" s="1"/>
      <c r="D366" s="1"/>
      <c r="E366" s="1"/>
      <c r="F366" s="1"/>
      <c r="G366" s="1"/>
      <c r="H366" s="1"/>
    </row>
    <row r="367" spans="3:8" ht="14" x14ac:dyDescent="0.2">
      <c r="C367" s="1"/>
      <c r="D367" s="1"/>
      <c r="E367" s="1"/>
      <c r="F367" s="1"/>
      <c r="G367" s="1"/>
      <c r="H367" s="1"/>
    </row>
    <row r="368" spans="3:8" ht="14" x14ac:dyDescent="0.2">
      <c r="C368" s="1"/>
      <c r="D368" s="1"/>
      <c r="E368" s="1"/>
      <c r="F368" s="1"/>
      <c r="G368" s="1"/>
      <c r="H368" s="1"/>
    </row>
    <row r="369" spans="3:8" ht="14" x14ac:dyDescent="0.2">
      <c r="C369" s="1"/>
      <c r="D369" s="1"/>
      <c r="E369" s="1"/>
      <c r="F369" s="1"/>
      <c r="G369" s="1"/>
      <c r="H369" s="1"/>
    </row>
    <row r="370" spans="3:8" ht="14" x14ac:dyDescent="0.2">
      <c r="C370" s="1"/>
      <c r="D370" s="1"/>
      <c r="E370" s="1"/>
      <c r="F370" s="1"/>
      <c r="G370" s="1"/>
      <c r="H370" s="1"/>
    </row>
    <row r="371" spans="3:8" ht="14" x14ac:dyDescent="0.2">
      <c r="C371" s="1"/>
      <c r="D371" s="1"/>
      <c r="E371" s="1"/>
      <c r="F371" s="1"/>
      <c r="G371" s="1"/>
      <c r="H371" s="1"/>
    </row>
    <row r="372" spans="3:8" ht="14" x14ac:dyDescent="0.2">
      <c r="C372" s="1"/>
      <c r="D372" s="1"/>
      <c r="E372" s="1"/>
      <c r="F372" s="1"/>
      <c r="G372" s="1"/>
      <c r="H372" s="1"/>
    </row>
    <row r="373" spans="3:8" ht="14" x14ac:dyDescent="0.2">
      <c r="C373" s="1"/>
      <c r="D373" s="1"/>
      <c r="E373" s="1"/>
      <c r="F373" s="1"/>
      <c r="G373" s="1"/>
      <c r="H373" s="1"/>
    </row>
    <row r="374" spans="3:8" ht="14" x14ac:dyDescent="0.2">
      <c r="C374" s="1"/>
      <c r="D374" s="1"/>
      <c r="E374" s="1"/>
      <c r="F374" s="1"/>
      <c r="G374" s="1"/>
      <c r="H374" s="1"/>
    </row>
    <row r="375" spans="3:8" ht="14" x14ac:dyDescent="0.2">
      <c r="C375" s="1"/>
      <c r="D375" s="1"/>
      <c r="E375" s="1"/>
      <c r="F375" s="1"/>
      <c r="G375" s="1"/>
      <c r="H375" s="1"/>
    </row>
    <row r="376" spans="3:8" ht="14" x14ac:dyDescent="0.2">
      <c r="C376" s="1"/>
      <c r="D376" s="1"/>
      <c r="E376" s="1"/>
      <c r="F376" s="1"/>
      <c r="G376" s="1"/>
      <c r="H376" s="1"/>
    </row>
    <row r="377" spans="3:8" ht="14" x14ac:dyDescent="0.2">
      <c r="C377" s="1"/>
      <c r="D377" s="1"/>
      <c r="E377" s="1"/>
      <c r="F377" s="1"/>
      <c r="G377" s="1"/>
      <c r="H377" s="1"/>
    </row>
    <row r="378" spans="3:8" ht="14" x14ac:dyDescent="0.2">
      <c r="C378" s="1"/>
      <c r="D378" s="1"/>
      <c r="E378" s="1"/>
      <c r="F378" s="1"/>
      <c r="G378" s="1"/>
      <c r="H378" s="1"/>
    </row>
    <row r="379" spans="3:8" ht="14" x14ac:dyDescent="0.2">
      <c r="C379" s="1"/>
      <c r="D379" s="1"/>
      <c r="E379" s="1"/>
      <c r="F379" s="1"/>
      <c r="G379" s="1"/>
      <c r="H379" s="1"/>
    </row>
    <row r="380" spans="3:8" ht="14" x14ac:dyDescent="0.2">
      <c r="C380" s="1"/>
      <c r="D380" s="1"/>
      <c r="E380" s="1"/>
      <c r="F380" s="1"/>
      <c r="G380" s="1"/>
      <c r="H380" s="1"/>
    </row>
    <row r="381" spans="3:8" ht="14" x14ac:dyDescent="0.2">
      <c r="C381" s="1"/>
      <c r="D381" s="1"/>
      <c r="E381" s="1"/>
      <c r="F381" s="1"/>
      <c r="G381" s="1"/>
      <c r="H381" s="1"/>
    </row>
    <row r="382" spans="3:8" ht="14" x14ac:dyDescent="0.2">
      <c r="C382" s="1"/>
      <c r="D382" s="1"/>
      <c r="E382" s="1"/>
      <c r="F382" s="1"/>
      <c r="G382" s="1"/>
      <c r="H382" s="1"/>
    </row>
    <row r="383" spans="3:8" ht="14" x14ac:dyDescent="0.2">
      <c r="C383" s="1"/>
      <c r="D383" s="1"/>
      <c r="E383" s="1"/>
      <c r="F383" s="1"/>
      <c r="G383" s="1"/>
      <c r="H383" s="1"/>
    </row>
    <row r="384" spans="3:8" ht="14" x14ac:dyDescent="0.2">
      <c r="C384" s="1"/>
      <c r="D384" s="1"/>
      <c r="E384" s="1"/>
      <c r="F384" s="1"/>
      <c r="G384" s="1"/>
      <c r="H384" s="1"/>
    </row>
    <row r="385" spans="3:8" ht="14" x14ac:dyDescent="0.2">
      <c r="C385" s="1"/>
      <c r="D385" s="1"/>
      <c r="E385" s="1"/>
      <c r="F385" s="1"/>
      <c r="G385" s="1"/>
      <c r="H385" s="1"/>
    </row>
    <row r="386" spans="3:8" ht="14" x14ac:dyDescent="0.2">
      <c r="C386" s="1"/>
      <c r="D386" s="1"/>
      <c r="E386" s="1"/>
      <c r="F386" s="1"/>
      <c r="G386" s="1"/>
      <c r="H386" s="1"/>
    </row>
    <row r="387" spans="3:8" ht="14" x14ac:dyDescent="0.2">
      <c r="C387" s="1"/>
      <c r="D387" s="1"/>
      <c r="E387" s="1"/>
      <c r="F387" s="1"/>
      <c r="G387" s="1"/>
      <c r="H387" s="1"/>
    </row>
    <row r="388" spans="3:8" ht="14" x14ac:dyDescent="0.2">
      <c r="C388" s="1"/>
      <c r="D388" s="1"/>
      <c r="E388" s="1"/>
      <c r="F388" s="1"/>
      <c r="G388" s="1"/>
      <c r="H388" s="1"/>
    </row>
    <row r="389" spans="3:8" ht="14" x14ac:dyDescent="0.2">
      <c r="C389" s="1"/>
      <c r="D389" s="1"/>
      <c r="E389" s="1"/>
      <c r="F389" s="1"/>
      <c r="G389" s="1"/>
      <c r="H389" s="1"/>
    </row>
    <row r="390" spans="3:8" ht="14" x14ac:dyDescent="0.2">
      <c r="C390" s="1"/>
      <c r="D390" s="1"/>
      <c r="E390" s="1"/>
      <c r="F390" s="1"/>
      <c r="G390" s="1"/>
      <c r="H390" s="1"/>
    </row>
    <row r="391" spans="3:8" ht="14" x14ac:dyDescent="0.2">
      <c r="C391" s="1"/>
      <c r="D391" s="1"/>
      <c r="E391" s="1"/>
      <c r="F391" s="1"/>
      <c r="G391" s="1"/>
      <c r="H391" s="1"/>
    </row>
    <row r="392" spans="3:8" ht="14" x14ac:dyDescent="0.2">
      <c r="C392" s="1"/>
      <c r="D392" s="1"/>
      <c r="E392" s="1"/>
      <c r="F392" s="1"/>
      <c r="G392" s="1"/>
      <c r="H392" s="1"/>
    </row>
    <row r="393" spans="3:8" ht="14" x14ac:dyDescent="0.2">
      <c r="C393" s="1"/>
      <c r="D393" s="1"/>
      <c r="E393" s="1"/>
      <c r="F393" s="1"/>
      <c r="G393" s="1"/>
      <c r="H393" s="1"/>
    </row>
    <row r="394" spans="3:8" ht="14" x14ac:dyDescent="0.2">
      <c r="C394" s="1"/>
      <c r="D394" s="1"/>
      <c r="E394" s="1"/>
      <c r="F394" s="1"/>
      <c r="G394" s="1"/>
      <c r="H394" s="1"/>
    </row>
    <row r="395" spans="3:8" ht="14" x14ac:dyDescent="0.2">
      <c r="C395" s="1"/>
      <c r="D395" s="1"/>
      <c r="E395" s="1"/>
      <c r="F395" s="1"/>
      <c r="G395" s="1"/>
      <c r="H395" s="1"/>
    </row>
    <row r="396" spans="3:8" ht="14" x14ac:dyDescent="0.2">
      <c r="C396" s="1"/>
      <c r="D396" s="1"/>
      <c r="E396" s="1"/>
      <c r="F396" s="1"/>
      <c r="G396" s="1"/>
      <c r="H396" s="1"/>
    </row>
    <row r="397" spans="3:8" ht="14" x14ac:dyDescent="0.2">
      <c r="C397" s="1"/>
      <c r="D397" s="1"/>
      <c r="E397" s="1"/>
      <c r="F397" s="1"/>
      <c r="G397" s="1"/>
      <c r="H397" s="1"/>
    </row>
    <row r="398" spans="3:8" ht="14" x14ac:dyDescent="0.2">
      <c r="C398" s="1"/>
      <c r="D398" s="1"/>
      <c r="E398" s="1"/>
      <c r="F398" s="1"/>
      <c r="G398" s="1"/>
      <c r="H398" s="1"/>
    </row>
    <row r="399" spans="3:8" ht="14" x14ac:dyDescent="0.2">
      <c r="C399" s="1"/>
      <c r="D399" s="1"/>
      <c r="E399" s="1"/>
      <c r="F399" s="1"/>
      <c r="G399" s="1"/>
      <c r="H399" s="1"/>
    </row>
    <row r="400" spans="3:8" ht="14" x14ac:dyDescent="0.2">
      <c r="C400" s="1"/>
      <c r="D400" s="1"/>
      <c r="E400" s="1"/>
      <c r="F400" s="1"/>
      <c r="G400" s="1"/>
      <c r="H400" s="1"/>
    </row>
    <row r="401" spans="3:8" ht="14" x14ac:dyDescent="0.2">
      <c r="C401" s="1"/>
      <c r="D401" s="1"/>
      <c r="E401" s="1"/>
      <c r="F401" s="1"/>
      <c r="G401" s="1"/>
      <c r="H401" s="1"/>
    </row>
    <row r="402" spans="3:8" ht="14" x14ac:dyDescent="0.2">
      <c r="C402" s="1"/>
      <c r="D402" s="1"/>
      <c r="E402" s="1"/>
      <c r="F402" s="1"/>
      <c r="G402" s="1"/>
      <c r="H402" s="1"/>
    </row>
    <row r="403" spans="3:8" ht="14" x14ac:dyDescent="0.2">
      <c r="C403" s="1"/>
      <c r="D403" s="1"/>
      <c r="E403" s="1"/>
      <c r="F403" s="1"/>
      <c r="G403" s="1"/>
      <c r="H403" s="1"/>
    </row>
    <row r="404" spans="3:8" ht="14" x14ac:dyDescent="0.2">
      <c r="C404" s="1"/>
      <c r="D404" s="1"/>
      <c r="E404" s="1"/>
      <c r="F404" s="1"/>
      <c r="G404" s="1"/>
      <c r="H404" s="1"/>
    </row>
    <row r="405" spans="3:8" ht="14" x14ac:dyDescent="0.2">
      <c r="C405" s="1"/>
      <c r="D405" s="1"/>
      <c r="E405" s="1"/>
      <c r="F405" s="1"/>
      <c r="G405" s="1"/>
      <c r="H405" s="1"/>
    </row>
    <row r="406" spans="3:8" ht="14" x14ac:dyDescent="0.2">
      <c r="C406" s="1"/>
      <c r="D406" s="1"/>
      <c r="E406" s="1"/>
      <c r="F406" s="1"/>
      <c r="G406" s="1"/>
      <c r="H406" s="1"/>
    </row>
    <row r="407" spans="3:8" ht="14" x14ac:dyDescent="0.2">
      <c r="C407" s="1"/>
      <c r="D407" s="1"/>
      <c r="E407" s="1"/>
      <c r="F407" s="1"/>
      <c r="G407" s="1"/>
      <c r="H407" s="1"/>
    </row>
    <row r="408" spans="3:8" ht="14" x14ac:dyDescent="0.2">
      <c r="C408" s="1"/>
      <c r="D408" s="1"/>
      <c r="E408" s="1"/>
      <c r="F408" s="1"/>
      <c r="G408" s="1"/>
      <c r="H408" s="1"/>
    </row>
    <row r="409" spans="3:8" ht="14" x14ac:dyDescent="0.2">
      <c r="C409" s="1"/>
      <c r="D409" s="1"/>
      <c r="E409" s="1"/>
      <c r="F409" s="1"/>
      <c r="G409" s="1"/>
      <c r="H409" s="1"/>
    </row>
    <row r="410" spans="3:8" ht="14" x14ac:dyDescent="0.2">
      <c r="C410" s="1"/>
      <c r="D410" s="1"/>
      <c r="E410" s="1"/>
      <c r="F410" s="1"/>
      <c r="G410" s="1"/>
      <c r="H410" s="1"/>
    </row>
    <row r="411" spans="3:8" ht="14" x14ac:dyDescent="0.2">
      <c r="C411" s="1"/>
      <c r="D411" s="1"/>
      <c r="E411" s="1"/>
      <c r="F411" s="1"/>
      <c r="G411" s="1"/>
      <c r="H411" s="1"/>
    </row>
    <row r="412" spans="3:8" ht="14" x14ac:dyDescent="0.2">
      <c r="C412" s="1"/>
      <c r="D412" s="1"/>
      <c r="E412" s="1"/>
      <c r="F412" s="1"/>
      <c r="G412" s="1"/>
      <c r="H412" s="1"/>
    </row>
    <row r="413" spans="3:8" ht="14" x14ac:dyDescent="0.2">
      <c r="C413" s="1"/>
      <c r="D413" s="1"/>
      <c r="E413" s="1"/>
      <c r="F413" s="1"/>
      <c r="G413" s="1"/>
      <c r="H413" s="1"/>
    </row>
    <row r="414" spans="3:8" ht="14" x14ac:dyDescent="0.2">
      <c r="C414" s="1"/>
      <c r="D414" s="1"/>
      <c r="E414" s="1"/>
      <c r="F414" s="1"/>
      <c r="G414" s="1"/>
      <c r="H414" s="1"/>
    </row>
    <row r="415" spans="3:8" ht="14" x14ac:dyDescent="0.2">
      <c r="C415" s="1"/>
      <c r="D415" s="1"/>
      <c r="E415" s="1"/>
      <c r="F415" s="1"/>
      <c r="G415" s="1"/>
      <c r="H415" s="1"/>
    </row>
    <row r="416" spans="3:8" ht="14" x14ac:dyDescent="0.2">
      <c r="C416" s="1"/>
      <c r="D416" s="1"/>
      <c r="E416" s="1"/>
      <c r="F416" s="1"/>
      <c r="G416" s="1"/>
      <c r="H416" s="1"/>
    </row>
    <row r="417" spans="3:8" ht="14" x14ac:dyDescent="0.2">
      <c r="C417" s="1"/>
      <c r="D417" s="1"/>
      <c r="E417" s="1"/>
      <c r="F417" s="1"/>
      <c r="G417" s="1"/>
      <c r="H417" s="1"/>
    </row>
    <row r="418" spans="3:8" ht="14" x14ac:dyDescent="0.2">
      <c r="C418" s="1"/>
      <c r="D418" s="1"/>
      <c r="E418" s="1"/>
      <c r="F418" s="1"/>
      <c r="G418" s="1"/>
      <c r="H418" s="1"/>
    </row>
    <row r="419" spans="3:8" ht="14" x14ac:dyDescent="0.2">
      <c r="C419" s="1"/>
      <c r="D419" s="1"/>
      <c r="E419" s="1"/>
      <c r="F419" s="1"/>
      <c r="G419" s="1"/>
      <c r="H419" s="1"/>
    </row>
    <row r="420" spans="3:8" ht="14" x14ac:dyDescent="0.2">
      <c r="C420" s="1"/>
      <c r="D420" s="1"/>
      <c r="E420" s="1"/>
      <c r="F420" s="1"/>
      <c r="G420" s="1"/>
      <c r="H420" s="1"/>
    </row>
    <row r="421" spans="3:8" ht="14" x14ac:dyDescent="0.2">
      <c r="C421" s="1"/>
      <c r="D421" s="1"/>
      <c r="E421" s="1"/>
      <c r="F421" s="1"/>
      <c r="G421" s="1"/>
      <c r="H421" s="1"/>
    </row>
    <row r="422" spans="3:8" ht="14" x14ac:dyDescent="0.2">
      <c r="C422" s="1"/>
      <c r="D422" s="1"/>
      <c r="E422" s="1"/>
      <c r="F422" s="1"/>
      <c r="G422" s="1"/>
      <c r="H422" s="1"/>
    </row>
    <row r="423" spans="3:8" ht="14" x14ac:dyDescent="0.2">
      <c r="C423" s="1"/>
      <c r="D423" s="1"/>
      <c r="E423" s="1"/>
      <c r="F423" s="1"/>
      <c r="G423" s="1"/>
      <c r="H423" s="1"/>
    </row>
    <row r="424" spans="3:8" ht="14" x14ac:dyDescent="0.2">
      <c r="C424" s="1"/>
      <c r="D424" s="1"/>
      <c r="E424" s="1"/>
      <c r="F424" s="1"/>
      <c r="G424" s="1"/>
      <c r="H424" s="1"/>
    </row>
    <row r="425" spans="3:8" ht="14" x14ac:dyDescent="0.2">
      <c r="C425" s="1"/>
      <c r="D425" s="1"/>
      <c r="E425" s="1"/>
      <c r="F425" s="1"/>
      <c r="G425" s="1"/>
      <c r="H425" s="1"/>
    </row>
    <row r="426" spans="3:8" ht="14" x14ac:dyDescent="0.2">
      <c r="C426" s="1"/>
      <c r="D426" s="1"/>
      <c r="E426" s="1"/>
      <c r="F426" s="1"/>
      <c r="G426" s="1"/>
      <c r="H426" s="1"/>
    </row>
    <row r="427" spans="3:8" ht="14" x14ac:dyDescent="0.2">
      <c r="C427" s="1"/>
      <c r="D427" s="1"/>
      <c r="E427" s="1"/>
      <c r="F427" s="1"/>
      <c r="G427" s="1"/>
      <c r="H427" s="1"/>
    </row>
    <row r="428" spans="3:8" ht="14" x14ac:dyDescent="0.2">
      <c r="C428" s="1"/>
      <c r="D428" s="1"/>
      <c r="E428" s="1"/>
      <c r="F428" s="1"/>
      <c r="G428" s="1"/>
      <c r="H428" s="1"/>
    </row>
    <row r="429" spans="3:8" ht="14" x14ac:dyDescent="0.2">
      <c r="C429" s="1"/>
      <c r="D429" s="1"/>
      <c r="E429" s="1"/>
      <c r="F429" s="1"/>
      <c r="G429" s="1"/>
      <c r="H429" s="1"/>
    </row>
    <row r="430" spans="3:8" ht="14" x14ac:dyDescent="0.2">
      <c r="C430" s="1"/>
      <c r="D430" s="1"/>
      <c r="E430" s="1"/>
      <c r="F430" s="1"/>
      <c r="G430" s="1"/>
      <c r="H430" s="1"/>
    </row>
    <row r="431" spans="3:8" ht="14" x14ac:dyDescent="0.2">
      <c r="C431" s="1"/>
      <c r="D431" s="1"/>
      <c r="E431" s="1"/>
      <c r="F431" s="1"/>
      <c r="G431" s="1"/>
      <c r="H431" s="1"/>
    </row>
    <row r="432" spans="3:8" ht="14" x14ac:dyDescent="0.2">
      <c r="C432" s="1"/>
      <c r="D432" s="1"/>
      <c r="E432" s="1"/>
      <c r="F432" s="1"/>
      <c r="G432" s="1"/>
      <c r="H432" s="1"/>
    </row>
    <row r="433" spans="3:8" ht="14" x14ac:dyDescent="0.2">
      <c r="C433" s="1"/>
      <c r="D433" s="1"/>
      <c r="E433" s="1"/>
      <c r="F433" s="1"/>
      <c r="G433" s="1"/>
      <c r="H433" s="1"/>
    </row>
    <row r="434" spans="3:8" ht="14" x14ac:dyDescent="0.2">
      <c r="C434" s="1"/>
      <c r="D434" s="1"/>
      <c r="E434" s="1"/>
      <c r="F434" s="1"/>
      <c r="G434" s="1"/>
      <c r="H434" s="1"/>
    </row>
    <row r="435" spans="3:8" ht="14" x14ac:dyDescent="0.2">
      <c r="C435" s="1"/>
      <c r="D435" s="1"/>
      <c r="E435" s="1"/>
      <c r="F435" s="1"/>
      <c r="G435" s="1"/>
      <c r="H435" s="1"/>
    </row>
    <row r="436" spans="3:8" ht="14" x14ac:dyDescent="0.2">
      <c r="C436" s="1"/>
      <c r="D436" s="1"/>
      <c r="E436" s="1"/>
      <c r="F436" s="1"/>
      <c r="G436" s="1"/>
      <c r="H436" s="1"/>
    </row>
    <row r="437" spans="3:8" ht="14" x14ac:dyDescent="0.2">
      <c r="C437" s="1"/>
      <c r="D437" s="1"/>
      <c r="E437" s="1"/>
      <c r="F437" s="1"/>
      <c r="G437" s="1"/>
      <c r="H437" s="1"/>
    </row>
    <row r="438" spans="3:8" ht="14" x14ac:dyDescent="0.2">
      <c r="C438" s="1"/>
      <c r="D438" s="1"/>
      <c r="E438" s="1"/>
      <c r="F438" s="1"/>
      <c r="G438" s="1"/>
      <c r="H438" s="1"/>
    </row>
    <row r="439" spans="3:8" ht="14" x14ac:dyDescent="0.2">
      <c r="C439" s="1"/>
      <c r="D439" s="1"/>
      <c r="E439" s="1"/>
      <c r="F439" s="1"/>
      <c r="G439" s="1"/>
      <c r="H439" s="1"/>
    </row>
    <row r="440" spans="3:8" ht="14" x14ac:dyDescent="0.2">
      <c r="C440" s="1"/>
      <c r="D440" s="1"/>
      <c r="E440" s="1"/>
      <c r="F440" s="1"/>
      <c r="G440" s="1"/>
      <c r="H440" s="1"/>
    </row>
    <row r="441" spans="3:8" ht="14" x14ac:dyDescent="0.2">
      <c r="C441" s="1"/>
      <c r="D441" s="1"/>
      <c r="E441" s="1"/>
      <c r="F441" s="1"/>
      <c r="G441" s="1"/>
      <c r="H441" s="1"/>
    </row>
    <row r="442" spans="3:8" ht="14" x14ac:dyDescent="0.2">
      <c r="C442" s="1"/>
      <c r="D442" s="1"/>
      <c r="E442" s="1"/>
      <c r="F442" s="1"/>
      <c r="G442" s="1"/>
      <c r="H442" s="1"/>
    </row>
    <row r="443" spans="3:8" ht="14" x14ac:dyDescent="0.2">
      <c r="C443" s="1"/>
      <c r="D443" s="1"/>
      <c r="E443" s="1"/>
      <c r="F443" s="1"/>
      <c r="G443" s="1"/>
      <c r="H443" s="1"/>
    </row>
    <row r="444" spans="3:8" ht="14" x14ac:dyDescent="0.2">
      <c r="C444" s="1"/>
      <c r="D444" s="1"/>
      <c r="E444" s="1"/>
      <c r="F444" s="1"/>
      <c r="G444" s="1"/>
      <c r="H444" s="1"/>
    </row>
    <row r="445" spans="3:8" ht="14" x14ac:dyDescent="0.2">
      <c r="C445" s="1"/>
      <c r="D445" s="1"/>
      <c r="E445" s="1"/>
      <c r="F445" s="1"/>
      <c r="G445" s="1"/>
      <c r="H445" s="1"/>
    </row>
    <row r="446" spans="3:8" ht="14" x14ac:dyDescent="0.2">
      <c r="C446" s="1"/>
      <c r="D446" s="1"/>
      <c r="E446" s="1"/>
      <c r="F446" s="1"/>
      <c r="G446" s="1"/>
      <c r="H446" s="1"/>
    </row>
    <row r="447" spans="3:8" ht="14" x14ac:dyDescent="0.2">
      <c r="C447" s="1"/>
      <c r="D447" s="1"/>
      <c r="E447" s="1"/>
      <c r="F447" s="1"/>
      <c r="G447" s="1"/>
      <c r="H447" s="1"/>
    </row>
    <row r="448" spans="3:8" ht="14" x14ac:dyDescent="0.2">
      <c r="C448" s="1"/>
      <c r="D448" s="1"/>
      <c r="E448" s="1"/>
      <c r="F448" s="1"/>
      <c r="G448" s="1"/>
      <c r="H448" s="1"/>
    </row>
    <row r="449" spans="3:8" ht="14" x14ac:dyDescent="0.2">
      <c r="C449" s="1"/>
      <c r="D449" s="1"/>
      <c r="E449" s="1"/>
      <c r="F449" s="1"/>
      <c r="G449" s="1"/>
      <c r="H449" s="1"/>
    </row>
    <row r="450" spans="3:8" ht="14" x14ac:dyDescent="0.2">
      <c r="C450" s="1"/>
      <c r="D450" s="1"/>
      <c r="E450" s="1"/>
      <c r="F450" s="1"/>
      <c r="G450" s="1"/>
      <c r="H450" s="1"/>
    </row>
    <row r="451" spans="3:8" ht="14" x14ac:dyDescent="0.2">
      <c r="C451" s="1"/>
      <c r="D451" s="1"/>
      <c r="E451" s="1"/>
      <c r="F451" s="1"/>
      <c r="G451" s="1"/>
      <c r="H451" s="1"/>
    </row>
    <row r="452" spans="3:8" ht="14" x14ac:dyDescent="0.2">
      <c r="C452" s="1"/>
      <c r="D452" s="1"/>
      <c r="E452" s="1"/>
      <c r="F452" s="1"/>
      <c r="G452" s="1"/>
      <c r="H452" s="1"/>
    </row>
    <row r="453" spans="3:8" ht="14" x14ac:dyDescent="0.2">
      <c r="C453" s="1"/>
      <c r="D453" s="1"/>
      <c r="E453" s="1"/>
      <c r="F453" s="1"/>
      <c r="G453" s="1"/>
      <c r="H453" s="1"/>
    </row>
    <row r="454" spans="3:8" ht="14" x14ac:dyDescent="0.2">
      <c r="C454" s="1"/>
      <c r="D454" s="1"/>
      <c r="E454" s="1"/>
      <c r="F454" s="1"/>
      <c r="G454" s="1"/>
      <c r="H454" s="1"/>
    </row>
    <row r="455" spans="3:8" ht="14" x14ac:dyDescent="0.2">
      <c r="C455" s="1"/>
      <c r="D455" s="1"/>
      <c r="E455" s="1"/>
      <c r="F455" s="1"/>
      <c r="G455" s="1"/>
      <c r="H455" s="1"/>
    </row>
    <row r="456" spans="3:8" ht="14" x14ac:dyDescent="0.2">
      <c r="C456" s="1"/>
      <c r="D456" s="1"/>
      <c r="E456" s="1"/>
      <c r="F456" s="1"/>
      <c r="G456" s="1"/>
      <c r="H456" s="1"/>
    </row>
    <row r="457" spans="3:8" ht="14" x14ac:dyDescent="0.2">
      <c r="C457" s="1"/>
      <c r="D457" s="1"/>
      <c r="E457" s="1"/>
      <c r="F457" s="1"/>
      <c r="G457" s="1"/>
      <c r="H457" s="1"/>
    </row>
    <row r="458" spans="3:8" ht="14" x14ac:dyDescent="0.2">
      <c r="C458" s="1"/>
      <c r="D458" s="1"/>
      <c r="E458" s="1"/>
      <c r="F458" s="1"/>
      <c r="G458" s="1"/>
      <c r="H458" s="1"/>
    </row>
    <row r="459" spans="3:8" ht="14" x14ac:dyDescent="0.2">
      <c r="C459" s="1"/>
      <c r="D459" s="1"/>
      <c r="E459" s="1"/>
      <c r="F459" s="1"/>
      <c r="G459" s="1"/>
      <c r="H459" s="1"/>
    </row>
    <row r="460" spans="3:8" ht="14" x14ac:dyDescent="0.2">
      <c r="C460" s="1"/>
      <c r="D460" s="1"/>
      <c r="E460" s="1"/>
      <c r="F460" s="1"/>
      <c r="G460" s="1"/>
      <c r="H460" s="1"/>
    </row>
    <row r="461" spans="3:8" ht="14" x14ac:dyDescent="0.2">
      <c r="C461" s="1"/>
      <c r="D461" s="1"/>
      <c r="E461" s="1"/>
      <c r="F461" s="1"/>
      <c r="G461" s="1"/>
      <c r="H461" s="1"/>
    </row>
    <row r="462" spans="3:8" ht="14" x14ac:dyDescent="0.2">
      <c r="C462" s="1"/>
      <c r="D462" s="1"/>
      <c r="E462" s="1"/>
      <c r="F462" s="1"/>
      <c r="G462" s="1"/>
      <c r="H462" s="1"/>
    </row>
    <row r="463" spans="3:8" ht="14" x14ac:dyDescent="0.2">
      <c r="C463" s="1"/>
      <c r="D463" s="1"/>
      <c r="E463" s="1"/>
      <c r="F463" s="1"/>
      <c r="G463" s="1"/>
      <c r="H463" s="1"/>
    </row>
    <row r="464" spans="3:8" ht="14" x14ac:dyDescent="0.2">
      <c r="C464" s="1"/>
      <c r="D464" s="1"/>
      <c r="E464" s="1"/>
      <c r="F464" s="1"/>
      <c r="G464" s="1"/>
      <c r="H464" s="1"/>
    </row>
    <row r="465" spans="3:8" ht="14" x14ac:dyDescent="0.2">
      <c r="C465" s="1"/>
      <c r="D465" s="1"/>
      <c r="E465" s="1"/>
      <c r="F465" s="1"/>
      <c r="G465" s="1"/>
      <c r="H465" s="1"/>
    </row>
    <row r="466" spans="3:8" ht="14" x14ac:dyDescent="0.2">
      <c r="C466" s="1"/>
      <c r="D466" s="1"/>
      <c r="E466" s="1"/>
      <c r="F466" s="1"/>
      <c r="G466" s="1"/>
      <c r="H466" s="1"/>
    </row>
    <row r="467" spans="3:8" ht="14" x14ac:dyDescent="0.2">
      <c r="C467" s="1"/>
      <c r="D467" s="1"/>
      <c r="E467" s="1"/>
      <c r="F467" s="1"/>
      <c r="G467" s="1"/>
      <c r="H467" s="1"/>
    </row>
    <row r="468" spans="3:8" ht="14" x14ac:dyDescent="0.2">
      <c r="C468" s="1"/>
      <c r="D468" s="1"/>
      <c r="E468" s="1"/>
      <c r="F468" s="1"/>
      <c r="G468" s="1"/>
      <c r="H468" s="1"/>
    </row>
    <row r="469" spans="3:8" ht="14" x14ac:dyDescent="0.2">
      <c r="C469" s="1"/>
      <c r="D469" s="1"/>
      <c r="E469" s="1"/>
      <c r="F469" s="1"/>
      <c r="G469" s="1"/>
      <c r="H469" s="1"/>
    </row>
    <row r="470" spans="3:8" ht="14" x14ac:dyDescent="0.2">
      <c r="C470" s="1"/>
      <c r="D470" s="1"/>
      <c r="E470" s="1"/>
      <c r="F470" s="1"/>
      <c r="G470" s="1"/>
      <c r="H470" s="1"/>
    </row>
    <row r="471" spans="3:8" ht="14" x14ac:dyDescent="0.2">
      <c r="C471" s="1"/>
      <c r="D471" s="1"/>
      <c r="E471" s="1"/>
      <c r="F471" s="1"/>
      <c r="G471" s="1"/>
      <c r="H471" s="1"/>
    </row>
    <row r="472" spans="3:8" ht="14" x14ac:dyDescent="0.2">
      <c r="C472" s="1"/>
      <c r="D472" s="1"/>
      <c r="E472" s="1"/>
      <c r="F472" s="1"/>
      <c r="G472" s="1"/>
      <c r="H472" s="1"/>
    </row>
    <row r="473" spans="3:8" ht="14" x14ac:dyDescent="0.2">
      <c r="C473" s="1"/>
      <c r="D473" s="1"/>
      <c r="E473" s="1"/>
      <c r="F473" s="1"/>
      <c r="G473" s="1"/>
      <c r="H473" s="1"/>
    </row>
    <row r="474" spans="3:8" ht="14" x14ac:dyDescent="0.2">
      <c r="C474" s="1"/>
      <c r="D474" s="1"/>
      <c r="E474" s="1"/>
      <c r="F474" s="1"/>
      <c r="G474" s="1"/>
      <c r="H474" s="1"/>
    </row>
    <row r="475" spans="3:8" ht="14" x14ac:dyDescent="0.2">
      <c r="C475" s="1"/>
      <c r="D475" s="1"/>
      <c r="E475" s="1"/>
      <c r="F475" s="1"/>
      <c r="G475" s="1"/>
      <c r="H475" s="1"/>
    </row>
    <row r="476" spans="3:8" ht="14" x14ac:dyDescent="0.2">
      <c r="C476" s="1"/>
      <c r="D476" s="1"/>
      <c r="E476" s="1"/>
      <c r="F476" s="1"/>
      <c r="G476" s="1"/>
      <c r="H476" s="1"/>
    </row>
    <row r="477" spans="3:8" ht="14" x14ac:dyDescent="0.2">
      <c r="C477" s="1"/>
      <c r="D477" s="1"/>
      <c r="E477" s="1"/>
      <c r="F477" s="1"/>
      <c r="G477" s="1"/>
      <c r="H477" s="1"/>
    </row>
    <row r="478" spans="3:8" ht="14" x14ac:dyDescent="0.2">
      <c r="C478" s="1"/>
      <c r="D478" s="1"/>
      <c r="E478" s="1"/>
      <c r="F478" s="1"/>
      <c r="G478" s="1"/>
      <c r="H478" s="1"/>
    </row>
    <row r="479" spans="3:8" ht="14" x14ac:dyDescent="0.2">
      <c r="C479" s="1"/>
      <c r="D479" s="1"/>
      <c r="E479" s="1"/>
      <c r="F479" s="1"/>
      <c r="G479" s="1"/>
      <c r="H479" s="1"/>
    </row>
    <row r="480" spans="3:8" ht="14" x14ac:dyDescent="0.2">
      <c r="C480" s="1"/>
      <c r="D480" s="1"/>
      <c r="E480" s="1"/>
      <c r="F480" s="1"/>
      <c r="G480" s="1"/>
      <c r="H480" s="1"/>
    </row>
    <row r="481" spans="3:8" ht="14" x14ac:dyDescent="0.2">
      <c r="C481" s="1"/>
      <c r="D481" s="1"/>
      <c r="E481" s="1"/>
      <c r="F481" s="1"/>
      <c r="G481" s="1"/>
      <c r="H481" s="1"/>
    </row>
    <row r="482" spans="3:8" ht="14" x14ac:dyDescent="0.2">
      <c r="C482" s="1"/>
      <c r="D482" s="1"/>
      <c r="E482" s="1"/>
      <c r="F482" s="1"/>
      <c r="G482" s="1"/>
      <c r="H482" s="1"/>
    </row>
    <row r="483" spans="3:8" ht="14" x14ac:dyDescent="0.2">
      <c r="C483" s="1"/>
      <c r="D483" s="1"/>
      <c r="E483" s="1"/>
      <c r="F483" s="1"/>
      <c r="G483" s="1"/>
      <c r="H483" s="1"/>
    </row>
    <row r="484" spans="3:8" ht="14" x14ac:dyDescent="0.2">
      <c r="C484" s="1"/>
      <c r="D484" s="1"/>
      <c r="E484" s="1"/>
      <c r="F484" s="1"/>
      <c r="G484" s="1"/>
      <c r="H484" s="1"/>
    </row>
    <row r="485" spans="3:8" ht="14" x14ac:dyDescent="0.2">
      <c r="C485" s="1"/>
      <c r="D485" s="1"/>
      <c r="E485" s="1"/>
      <c r="F485" s="1"/>
      <c r="G485" s="1"/>
      <c r="H485" s="1"/>
    </row>
    <row r="486" spans="3:8" ht="14" x14ac:dyDescent="0.2">
      <c r="C486" s="1"/>
      <c r="D486" s="1"/>
      <c r="E486" s="1"/>
      <c r="F486" s="1"/>
      <c r="G486" s="1"/>
      <c r="H486" s="1"/>
    </row>
    <row r="487" spans="3:8" ht="14" x14ac:dyDescent="0.2">
      <c r="C487" s="1"/>
      <c r="D487" s="1"/>
      <c r="E487" s="1"/>
      <c r="F487" s="1"/>
      <c r="G487" s="1"/>
      <c r="H487" s="1"/>
    </row>
    <row r="488" spans="3:8" ht="14" x14ac:dyDescent="0.2">
      <c r="C488" s="1"/>
      <c r="D488" s="1"/>
      <c r="E488" s="1"/>
      <c r="F488" s="1"/>
      <c r="G488" s="1"/>
      <c r="H488" s="1"/>
    </row>
    <row r="489" spans="3:8" ht="14" x14ac:dyDescent="0.2">
      <c r="C489" s="1"/>
      <c r="D489" s="1"/>
      <c r="E489" s="1"/>
      <c r="F489" s="1"/>
      <c r="G489" s="1"/>
      <c r="H489" s="1"/>
    </row>
    <row r="490" spans="3:8" ht="14" x14ac:dyDescent="0.2">
      <c r="C490" s="1"/>
      <c r="D490" s="1"/>
      <c r="E490" s="1"/>
      <c r="F490" s="1"/>
      <c r="G490" s="1"/>
      <c r="H490" s="1"/>
    </row>
    <row r="491" spans="3:8" ht="14" x14ac:dyDescent="0.2">
      <c r="C491" s="1"/>
      <c r="D491" s="1"/>
      <c r="E491" s="1"/>
      <c r="F491" s="1"/>
      <c r="G491" s="1"/>
      <c r="H491" s="1"/>
    </row>
    <row r="492" spans="3:8" ht="14" x14ac:dyDescent="0.2">
      <c r="C492" s="1"/>
      <c r="D492" s="1"/>
      <c r="E492" s="1"/>
      <c r="F492" s="1"/>
      <c r="G492" s="1"/>
      <c r="H492" s="1"/>
    </row>
    <row r="493" spans="3:8" ht="14" x14ac:dyDescent="0.2">
      <c r="C493" s="1"/>
      <c r="D493" s="1"/>
      <c r="E493" s="1"/>
      <c r="F493" s="1"/>
      <c r="G493" s="1"/>
      <c r="H493" s="1"/>
    </row>
    <row r="494" spans="3:8" ht="14" x14ac:dyDescent="0.2">
      <c r="C494" s="1"/>
      <c r="D494" s="1"/>
      <c r="E494" s="1"/>
      <c r="F494" s="1"/>
      <c r="G494" s="1"/>
      <c r="H494" s="1"/>
    </row>
    <row r="495" spans="3:8" ht="14" x14ac:dyDescent="0.2">
      <c r="C495" s="1"/>
      <c r="D495" s="1"/>
      <c r="E495" s="1"/>
      <c r="F495" s="1"/>
      <c r="G495" s="1"/>
      <c r="H495" s="1"/>
    </row>
    <row r="496" spans="3:8" ht="14" x14ac:dyDescent="0.2">
      <c r="C496" s="1"/>
      <c r="D496" s="1"/>
      <c r="E496" s="1"/>
      <c r="F496" s="1"/>
      <c r="G496" s="1"/>
      <c r="H496" s="1"/>
    </row>
    <row r="497" spans="3:8" ht="14" x14ac:dyDescent="0.2">
      <c r="C497" s="1"/>
      <c r="D497" s="1"/>
      <c r="E497" s="1"/>
      <c r="F497" s="1"/>
      <c r="G497" s="1"/>
      <c r="H497" s="1"/>
    </row>
    <row r="498" spans="3:8" ht="14" x14ac:dyDescent="0.2">
      <c r="C498" s="1"/>
      <c r="D498" s="1"/>
      <c r="E498" s="1"/>
      <c r="F498" s="1"/>
      <c r="G498" s="1"/>
      <c r="H498" s="1"/>
    </row>
    <row r="499" spans="3:8" ht="14" x14ac:dyDescent="0.2">
      <c r="C499" s="1"/>
      <c r="D499" s="1"/>
      <c r="E499" s="1"/>
      <c r="F499" s="1"/>
      <c r="G499" s="1"/>
      <c r="H499" s="1"/>
    </row>
    <row r="500" spans="3:8" ht="14" x14ac:dyDescent="0.2">
      <c r="C500" s="1"/>
      <c r="D500" s="1"/>
      <c r="E500" s="1"/>
      <c r="F500" s="1"/>
      <c r="G500" s="1"/>
      <c r="H500" s="1"/>
    </row>
    <row r="501" spans="3:8" ht="14" x14ac:dyDescent="0.2">
      <c r="C501" s="1"/>
      <c r="D501" s="1"/>
      <c r="E501" s="1"/>
      <c r="F501" s="1"/>
      <c r="G501" s="1"/>
      <c r="H501" s="1"/>
    </row>
    <row r="502" spans="3:8" ht="14" x14ac:dyDescent="0.2">
      <c r="C502" s="1"/>
      <c r="D502" s="1"/>
      <c r="E502" s="1"/>
      <c r="F502" s="1"/>
      <c r="G502" s="1"/>
      <c r="H502" s="1"/>
    </row>
    <row r="503" spans="3:8" ht="14" x14ac:dyDescent="0.2">
      <c r="C503" s="1"/>
      <c r="D503" s="1"/>
      <c r="E503" s="1"/>
      <c r="F503" s="1"/>
      <c r="G503" s="1"/>
      <c r="H503" s="1"/>
    </row>
    <row r="504" spans="3:8" ht="14" x14ac:dyDescent="0.2">
      <c r="C504" s="1"/>
      <c r="D504" s="1"/>
      <c r="E504" s="1"/>
      <c r="F504" s="1"/>
      <c r="G504" s="1"/>
      <c r="H504" s="1"/>
    </row>
    <row r="505" spans="3:8" ht="14" x14ac:dyDescent="0.2">
      <c r="C505" s="1"/>
      <c r="D505" s="1"/>
      <c r="E505" s="1"/>
      <c r="F505" s="1"/>
      <c r="G505" s="1"/>
      <c r="H505" s="1"/>
    </row>
    <row r="506" spans="3:8" ht="14" x14ac:dyDescent="0.2">
      <c r="C506" s="1"/>
      <c r="D506" s="1"/>
      <c r="E506" s="1"/>
      <c r="F506" s="1"/>
      <c r="G506" s="1"/>
      <c r="H506" s="1"/>
    </row>
    <row r="507" spans="3:8" ht="14" x14ac:dyDescent="0.2">
      <c r="C507" s="1"/>
      <c r="D507" s="1"/>
      <c r="E507" s="1"/>
      <c r="F507" s="1"/>
      <c r="G507" s="1"/>
      <c r="H507" s="1"/>
    </row>
    <row r="508" spans="3:8" ht="14" x14ac:dyDescent="0.2">
      <c r="C508" s="1"/>
      <c r="D508" s="1"/>
      <c r="E508" s="1"/>
      <c r="F508" s="1"/>
      <c r="G508" s="1"/>
      <c r="H508" s="1"/>
    </row>
    <row r="509" spans="3:8" ht="14" x14ac:dyDescent="0.2">
      <c r="C509" s="1"/>
      <c r="D509" s="1"/>
      <c r="E509" s="1"/>
      <c r="F509" s="1"/>
      <c r="G509" s="1"/>
      <c r="H509" s="1"/>
    </row>
    <row r="510" spans="3:8" ht="14" x14ac:dyDescent="0.2">
      <c r="C510" s="1"/>
      <c r="D510" s="1"/>
      <c r="E510" s="1"/>
      <c r="F510" s="1"/>
      <c r="G510" s="1"/>
      <c r="H510" s="1"/>
    </row>
    <row r="511" spans="3:8" ht="14" x14ac:dyDescent="0.2">
      <c r="C511" s="1"/>
      <c r="D511" s="1"/>
      <c r="E511" s="1"/>
      <c r="F511" s="1"/>
      <c r="G511" s="1"/>
      <c r="H511" s="1"/>
    </row>
    <row r="512" spans="3:8" ht="14" x14ac:dyDescent="0.2">
      <c r="C512" s="1"/>
      <c r="D512" s="1"/>
      <c r="E512" s="1"/>
      <c r="F512" s="1"/>
      <c r="G512" s="1"/>
      <c r="H512" s="1"/>
    </row>
    <row r="513" spans="3:8" ht="14" x14ac:dyDescent="0.2">
      <c r="C513" s="1"/>
      <c r="D513" s="1"/>
      <c r="E513" s="1"/>
      <c r="F513" s="1"/>
      <c r="G513" s="1"/>
      <c r="H513" s="1"/>
    </row>
    <row r="514" spans="3:8" ht="14" x14ac:dyDescent="0.2">
      <c r="C514" s="1"/>
      <c r="D514" s="1"/>
      <c r="E514" s="1"/>
      <c r="F514" s="1"/>
      <c r="G514" s="1"/>
      <c r="H514" s="1"/>
    </row>
    <row r="515" spans="3:8" ht="14" x14ac:dyDescent="0.2">
      <c r="C515" s="1"/>
      <c r="D515" s="1"/>
      <c r="E515" s="1"/>
      <c r="F515" s="1"/>
      <c r="G515" s="1"/>
      <c r="H515" s="1"/>
    </row>
    <row r="516" spans="3:8" ht="14" x14ac:dyDescent="0.2">
      <c r="C516" s="1"/>
      <c r="D516" s="1"/>
      <c r="E516" s="1"/>
      <c r="F516" s="1"/>
      <c r="G516" s="1"/>
      <c r="H516" s="1"/>
    </row>
    <row r="517" spans="3:8" ht="14" x14ac:dyDescent="0.2">
      <c r="C517" s="1"/>
      <c r="D517" s="1"/>
      <c r="E517" s="1"/>
      <c r="F517" s="1"/>
      <c r="G517" s="1"/>
      <c r="H517" s="1"/>
    </row>
    <row r="518" spans="3:8" ht="14" x14ac:dyDescent="0.2">
      <c r="C518" s="1"/>
      <c r="D518" s="1"/>
      <c r="E518" s="1"/>
      <c r="F518" s="1"/>
      <c r="G518" s="1"/>
      <c r="H518" s="1"/>
    </row>
    <row r="519" spans="3:8" ht="14" x14ac:dyDescent="0.2">
      <c r="C519" s="1"/>
      <c r="D519" s="1"/>
      <c r="E519" s="1"/>
      <c r="F519" s="1"/>
      <c r="G519" s="1"/>
      <c r="H519" s="1"/>
    </row>
    <row r="520" spans="3:8" ht="14" x14ac:dyDescent="0.2">
      <c r="C520" s="1"/>
      <c r="D520" s="1"/>
      <c r="E520" s="1"/>
      <c r="F520" s="1"/>
      <c r="G520" s="1"/>
      <c r="H520" s="1"/>
    </row>
    <row r="521" spans="3:8" ht="14" x14ac:dyDescent="0.2">
      <c r="C521" s="1"/>
      <c r="D521" s="1"/>
      <c r="E521" s="1"/>
      <c r="F521" s="1"/>
      <c r="G521" s="1"/>
      <c r="H521" s="1"/>
    </row>
    <row r="522" spans="3:8" ht="14" x14ac:dyDescent="0.2">
      <c r="C522" s="1"/>
      <c r="D522" s="1"/>
      <c r="E522" s="1"/>
      <c r="F522" s="1"/>
      <c r="G522" s="1"/>
      <c r="H522" s="1"/>
    </row>
    <row r="523" spans="3:8" ht="14" x14ac:dyDescent="0.2">
      <c r="C523" s="1"/>
      <c r="D523" s="1"/>
      <c r="E523" s="1"/>
      <c r="F523" s="1"/>
      <c r="G523" s="1"/>
      <c r="H523" s="1"/>
    </row>
    <row r="524" spans="3:8" ht="14" x14ac:dyDescent="0.2">
      <c r="C524" s="1"/>
      <c r="D524" s="1"/>
      <c r="E524" s="1"/>
      <c r="F524" s="1"/>
      <c r="G524" s="1"/>
      <c r="H524" s="1"/>
    </row>
    <row r="525" spans="3:8" ht="14" x14ac:dyDescent="0.2">
      <c r="C525" s="1"/>
      <c r="D525" s="1"/>
      <c r="E525" s="1"/>
      <c r="F525" s="1"/>
      <c r="G525" s="1"/>
      <c r="H525" s="1"/>
    </row>
    <row r="526" spans="3:8" ht="14" x14ac:dyDescent="0.2">
      <c r="C526" s="1"/>
      <c r="D526" s="1"/>
      <c r="E526" s="1"/>
      <c r="F526" s="1"/>
      <c r="G526" s="1"/>
      <c r="H526" s="1"/>
    </row>
    <row r="527" spans="3:8" ht="14" x14ac:dyDescent="0.2">
      <c r="C527" s="1"/>
      <c r="D527" s="1"/>
      <c r="E527" s="1"/>
      <c r="F527" s="1"/>
      <c r="G527" s="1"/>
      <c r="H527" s="1"/>
    </row>
    <row r="528" spans="3:8" ht="14" x14ac:dyDescent="0.2">
      <c r="C528" s="1"/>
      <c r="D528" s="1"/>
      <c r="E528" s="1"/>
      <c r="F528" s="1"/>
      <c r="G528" s="1"/>
      <c r="H528" s="1"/>
    </row>
    <row r="529" spans="3:8" ht="14" x14ac:dyDescent="0.2">
      <c r="C529" s="1"/>
      <c r="D529" s="1"/>
      <c r="E529" s="1"/>
      <c r="F529" s="1"/>
      <c r="G529" s="1"/>
      <c r="H529" s="1"/>
    </row>
    <row r="530" spans="3:8" ht="14" x14ac:dyDescent="0.2">
      <c r="C530" s="1"/>
      <c r="D530" s="1"/>
      <c r="E530" s="1"/>
      <c r="F530" s="1"/>
      <c r="G530" s="1"/>
      <c r="H530" s="1"/>
    </row>
    <row r="531" spans="3:8" ht="14" x14ac:dyDescent="0.2">
      <c r="C531" s="1"/>
      <c r="D531" s="1"/>
      <c r="E531" s="1"/>
      <c r="F531" s="1"/>
      <c r="G531" s="1"/>
      <c r="H531" s="1"/>
    </row>
    <row r="532" spans="3:8" ht="14" x14ac:dyDescent="0.2">
      <c r="C532" s="1"/>
      <c r="D532" s="1"/>
      <c r="E532" s="1"/>
      <c r="F532" s="1"/>
      <c r="G532" s="1"/>
      <c r="H532" s="1"/>
    </row>
    <row r="533" spans="3:8" ht="14" x14ac:dyDescent="0.2">
      <c r="C533" s="1"/>
      <c r="D533" s="1"/>
      <c r="E533" s="1"/>
      <c r="F533" s="1"/>
      <c r="G533" s="1"/>
      <c r="H533" s="1"/>
    </row>
    <row r="534" spans="3:8" ht="14" x14ac:dyDescent="0.2">
      <c r="C534" s="1"/>
      <c r="D534" s="1"/>
      <c r="E534" s="1"/>
      <c r="F534" s="1"/>
      <c r="G534" s="1"/>
      <c r="H534" s="1"/>
    </row>
    <row r="535" spans="3:8" ht="14" x14ac:dyDescent="0.2">
      <c r="C535" s="1"/>
      <c r="D535" s="1"/>
      <c r="E535" s="1"/>
      <c r="F535" s="1"/>
      <c r="G535" s="1"/>
      <c r="H535" s="1"/>
    </row>
    <row r="536" spans="3:8" ht="14" x14ac:dyDescent="0.2">
      <c r="C536" s="1"/>
      <c r="D536" s="1"/>
      <c r="E536" s="1"/>
      <c r="F536" s="1"/>
      <c r="G536" s="1"/>
      <c r="H536" s="1"/>
    </row>
    <row r="537" spans="3:8" ht="14" x14ac:dyDescent="0.2">
      <c r="C537" s="1"/>
      <c r="D537" s="1"/>
      <c r="E537" s="1"/>
      <c r="F537" s="1"/>
      <c r="G537" s="1"/>
      <c r="H537" s="1"/>
    </row>
    <row r="538" spans="3:8" ht="14" x14ac:dyDescent="0.2">
      <c r="C538" s="1"/>
      <c r="D538" s="1"/>
      <c r="E538" s="1"/>
      <c r="F538" s="1"/>
      <c r="G538" s="1"/>
      <c r="H538" s="1"/>
    </row>
    <row r="539" spans="3:8" ht="14" x14ac:dyDescent="0.2">
      <c r="C539" s="1"/>
      <c r="D539" s="1"/>
      <c r="E539" s="1"/>
      <c r="F539" s="1"/>
      <c r="G539" s="1"/>
      <c r="H539" s="1"/>
    </row>
    <row r="540" spans="3:8" ht="14" x14ac:dyDescent="0.2">
      <c r="C540" s="1"/>
      <c r="D540" s="1"/>
      <c r="E540" s="1"/>
      <c r="F540" s="1"/>
      <c r="G540" s="1"/>
      <c r="H540" s="1"/>
    </row>
    <row r="541" spans="3:8" ht="14" x14ac:dyDescent="0.2">
      <c r="C541" s="1"/>
      <c r="D541" s="1"/>
      <c r="E541" s="1"/>
      <c r="F541" s="1"/>
      <c r="G541" s="1"/>
      <c r="H541" s="1"/>
    </row>
    <row r="542" spans="3:8" ht="14" x14ac:dyDescent="0.2">
      <c r="C542" s="1"/>
      <c r="D542" s="1"/>
      <c r="E542" s="1"/>
      <c r="F542" s="1"/>
      <c r="G542" s="1"/>
      <c r="H542" s="1"/>
    </row>
    <row r="543" spans="3:8" ht="14" x14ac:dyDescent="0.2">
      <c r="C543" s="1"/>
      <c r="D543" s="1"/>
      <c r="E543" s="1"/>
      <c r="F543" s="1"/>
      <c r="G543" s="1"/>
      <c r="H543" s="1"/>
    </row>
    <row r="544" spans="3:8" ht="14" x14ac:dyDescent="0.2">
      <c r="C544" s="1"/>
      <c r="D544" s="1"/>
      <c r="E544" s="1"/>
      <c r="F544" s="1"/>
      <c r="G544" s="1"/>
      <c r="H544" s="1"/>
    </row>
    <row r="545" spans="3:8" ht="14" x14ac:dyDescent="0.2">
      <c r="C545" s="1"/>
      <c r="D545" s="1"/>
      <c r="E545" s="1"/>
      <c r="F545" s="1"/>
      <c r="G545" s="1"/>
      <c r="H545" s="1"/>
    </row>
    <row r="546" spans="3:8" ht="14" x14ac:dyDescent="0.2">
      <c r="C546" s="1"/>
      <c r="D546" s="1"/>
      <c r="E546" s="1"/>
      <c r="F546" s="1"/>
      <c r="G546" s="1"/>
      <c r="H546" s="1"/>
    </row>
    <row r="547" spans="3:8" ht="14" x14ac:dyDescent="0.2">
      <c r="C547" s="1"/>
      <c r="D547" s="1"/>
      <c r="E547" s="1"/>
      <c r="F547" s="1"/>
      <c r="G547" s="1"/>
      <c r="H547" s="1"/>
    </row>
    <row r="548" spans="3:8" ht="14" x14ac:dyDescent="0.2">
      <c r="C548" s="1"/>
      <c r="D548" s="1"/>
      <c r="E548" s="1"/>
      <c r="F548" s="1"/>
      <c r="G548" s="1"/>
      <c r="H548" s="1"/>
    </row>
    <row r="549" spans="3:8" ht="14" x14ac:dyDescent="0.2">
      <c r="C549" s="1"/>
      <c r="D549" s="1"/>
      <c r="E549" s="1"/>
      <c r="F549" s="1"/>
      <c r="G549" s="1"/>
      <c r="H549" s="1"/>
    </row>
    <row r="550" spans="3:8" ht="14" x14ac:dyDescent="0.2">
      <c r="C550" s="1"/>
      <c r="D550" s="1"/>
      <c r="E550" s="1"/>
      <c r="F550" s="1"/>
      <c r="G550" s="1"/>
      <c r="H550" s="1"/>
    </row>
    <row r="551" spans="3:8" ht="14" x14ac:dyDescent="0.2">
      <c r="C551" s="1"/>
      <c r="D551" s="1"/>
      <c r="E551" s="1"/>
      <c r="F551" s="1"/>
      <c r="G551" s="1"/>
      <c r="H551" s="1"/>
    </row>
    <row r="552" spans="3:8" ht="14" x14ac:dyDescent="0.2">
      <c r="C552" s="1"/>
      <c r="D552" s="1"/>
      <c r="E552" s="1"/>
      <c r="F552" s="1"/>
      <c r="G552" s="1"/>
      <c r="H552" s="1"/>
    </row>
    <row r="553" spans="3:8" ht="14" x14ac:dyDescent="0.2">
      <c r="C553" s="1"/>
      <c r="D553" s="1"/>
      <c r="E553" s="1"/>
      <c r="F553" s="1"/>
      <c r="G553" s="1"/>
      <c r="H553" s="1"/>
    </row>
    <row r="554" spans="3:8" ht="14" x14ac:dyDescent="0.2">
      <c r="C554" s="1"/>
      <c r="D554" s="1"/>
      <c r="E554" s="1"/>
      <c r="F554" s="1"/>
      <c r="G554" s="1"/>
      <c r="H554" s="1"/>
    </row>
    <row r="555" spans="3:8" ht="14" x14ac:dyDescent="0.2">
      <c r="C555" s="1"/>
      <c r="D555" s="1"/>
      <c r="E555" s="1"/>
      <c r="F555" s="1"/>
      <c r="G555" s="1"/>
      <c r="H555" s="1"/>
    </row>
    <row r="556" spans="3:8" ht="14" x14ac:dyDescent="0.2">
      <c r="C556" s="1"/>
      <c r="D556" s="1"/>
      <c r="E556" s="1"/>
      <c r="F556" s="1"/>
      <c r="G556" s="1"/>
      <c r="H556" s="1"/>
    </row>
    <row r="557" spans="3:8" ht="14" x14ac:dyDescent="0.2">
      <c r="C557" s="1"/>
      <c r="D557" s="1"/>
      <c r="E557" s="1"/>
      <c r="F557" s="1"/>
      <c r="G557" s="1"/>
      <c r="H557" s="1"/>
    </row>
    <row r="558" spans="3:8" ht="14" x14ac:dyDescent="0.2">
      <c r="C558" s="1"/>
      <c r="D558" s="1"/>
      <c r="E558" s="1"/>
      <c r="F558" s="1"/>
      <c r="G558" s="1"/>
      <c r="H558" s="1"/>
    </row>
    <row r="559" spans="3:8" ht="14" x14ac:dyDescent="0.2">
      <c r="C559" s="1"/>
      <c r="D559" s="1"/>
      <c r="E559" s="1"/>
      <c r="F559" s="1"/>
      <c r="G559" s="1"/>
      <c r="H559" s="1"/>
    </row>
    <row r="560" spans="3:8" ht="14" x14ac:dyDescent="0.2">
      <c r="C560" s="1"/>
      <c r="D560" s="1"/>
      <c r="E560" s="1"/>
      <c r="F560" s="1"/>
      <c r="G560" s="1"/>
      <c r="H560" s="1"/>
    </row>
    <row r="561" spans="3:8" ht="14" x14ac:dyDescent="0.2">
      <c r="C561" s="1"/>
      <c r="D561" s="1"/>
      <c r="E561" s="1"/>
      <c r="F561" s="1"/>
      <c r="G561" s="1"/>
      <c r="H561" s="1"/>
    </row>
    <row r="562" spans="3:8" ht="14" x14ac:dyDescent="0.2">
      <c r="C562" s="1"/>
      <c r="D562" s="1"/>
      <c r="E562" s="1"/>
      <c r="F562" s="1"/>
      <c r="G562" s="1"/>
      <c r="H562" s="1"/>
    </row>
    <row r="563" spans="3:8" ht="14" x14ac:dyDescent="0.2">
      <c r="C563" s="1"/>
      <c r="D563" s="1"/>
      <c r="E563" s="1"/>
      <c r="F563" s="1"/>
      <c r="G563" s="1"/>
      <c r="H563" s="1"/>
    </row>
    <row r="564" spans="3:8" ht="14" x14ac:dyDescent="0.2">
      <c r="C564" s="1"/>
      <c r="D564" s="1"/>
      <c r="E564" s="1"/>
      <c r="F564" s="1"/>
      <c r="G564" s="1"/>
      <c r="H564" s="1"/>
    </row>
    <row r="565" spans="3:8" ht="14" x14ac:dyDescent="0.2">
      <c r="C565" s="1"/>
      <c r="D565" s="1"/>
      <c r="E565" s="1"/>
      <c r="F565" s="1"/>
      <c r="G565" s="1"/>
      <c r="H565" s="1"/>
    </row>
    <row r="566" spans="3:8" ht="14" x14ac:dyDescent="0.2">
      <c r="C566" s="1"/>
      <c r="D566" s="1"/>
      <c r="E566" s="1"/>
      <c r="F566" s="1"/>
      <c r="G566" s="1"/>
      <c r="H566" s="1"/>
    </row>
    <row r="567" spans="3:8" ht="14" x14ac:dyDescent="0.2">
      <c r="C567" s="1"/>
      <c r="D567" s="1"/>
      <c r="E567" s="1"/>
      <c r="F567" s="1"/>
      <c r="G567" s="1"/>
      <c r="H567" s="1"/>
    </row>
    <row r="568" spans="3:8" ht="14" x14ac:dyDescent="0.2">
      <c r="C568" s="1"/>
      <c r="D568" s="1"/>
      <c r="E568" s="1"/>
      <c r="F568" s="1"/>
      <c r="G568" s="1"/>
      <c r="H568" s="1"/>
    </row>
    <row r="569" spans="3:8" ht="14" x14ac:dyDescent="0.2">
      <c r="C569" s="1"/>
      <c r="D569" s="1"/>
      <c r="E569" s="1"/>
      <c r="F569" s="1"/>
      <c r="G569" s="1"/>
      <c r="H569" s="1"/>
    </row>
    <row r="570" spans="3:8" ht="14" x14ac:dyDescent="0.2">
      <c r="C570" s="1"/>
      <c r="D570" s="1"/>
      <c r="E570" s="1"/>
      <c r="F570" s="1"/>
      <c r="G570" s="1"/>
      <c r="H570" s="1"/>
    </row>
    <row r="571" spans="3:8" ht="14" x14ac:dyDescent="0.2">
      <c r="C571" s="1"/>
      <c r="D571" s="1"/>
      <c r="E571" s="1"/>
      <c r="F571" s="1"/>
      <c r="G571" s="1"/>
      <c r="H571" s="1"/>
    </row>
    <row r="572" spans="3:8" ht="14" x14ac:dyDescent="0.2">
      <c r="C572" s="1"/>
      <c r="D572" s="1"/>
      <c r="E572" s="1"/>
      <c r="F572" s="1"/>
      <c r="G572" s="1"/>
      <c r="H572" s="1"/>
    </row>
    <row r="573" spans="3:8" ht="14" x14ac:dyDescent="0.2">
      <c r="C573" s="1"/>
      <c r="D573" s="1"/>
      <c r="E573" s="1"/>
      <c r="F573" s="1"/>
      <c r="G573" s="1"/>
      <c r="H573" s="1"/>
    </row>
    <row r="574" spans="3:8" ht="14" x14ac:dyDescent="0.2">
      <c r="C574" s="1"/>
      <c r="D574" s="1"/>
      <c r="E574" s="1"/>
      <c r="F574" s="1"/>
      <c r="G574" s="1"/>
      <c r="H574" s="1"/>
    </row>
    <row r="575" spans="3:8" ht="14" x14ac:dyDescent="0.2">
      <c r="C575" s="1"/>
      <c r="D575" s="1"/>
      <c r="E575" s="1"/>
      <c r="F575" s="1"/>
      <c r="G575" s="1"/>
      <c r="H575" s="1"/>
    </row>
    <row r="576" spans="3:8" ht="14" x14ac:dyDescent="0.2">
      <c r="C576" s="1"/>
      <c r="D576" s="1"/>
      <c r="E576" s="1"/>
      <c r="F576" s="1"/>
      <c r="G576" s="1"/>
      <c r="H576" s="1"/>
    </row>
    <row r="577" spans="3:8" ht="14" x14ac:dyDescent="0.2">
      <c r="C577" s="1"/>
      <c r="D577" s="1"/>
      <c r="E577" s="1"/>
      <c r="F577" s="1"/>
      <c r="G577" s="1"/>
      <c r="H577" s="1"/>
    </row>
    <row r="578" spans="3:8" ht="14" x14ac:dyDescent="0.2">
      <c r="C578" s="1"/>
      <c r="D578" s="1"/>
      <c r="E578" s="1"/>
      <c r="F578" s="1"/>
      <c r="G578" s="1"/>
      <c r="H578" s="1"/>
    </row>
    <row r="579" spans="3:8" ht="14" x14ac:dyDescent="0.2">
      <c r="C579" s="1"/>
      <c r="D579" s="1"/>
      <c r="E579" s="1"/>
      <c r="F579" s="1"/>
      <c r="G579" s="1"/>
      <c r="H579" s="1"/>
    </row>
    <row r="580" spans="3:8" ht="14" x14ac:dyDescent="0.2">
      <c r="C580" s="1"/>
      <c r="D580" s="1"/>
      <c r="E580" s="1"/>
      <c r="F580" s="1"/>
      <c r="G580" s="1"/>
      <c r="H580" s="1"/>
    </row>
    <row r="581" spans="3:8" ht="14" x14ac:dyDescent="0.2">
      <c r="C581" s="1"/>
      <c r="D581" s="1"/>
      <c r="E581" s="1"/>
      <c r="F581" s="1"/>
      <c r="G581" s="1"/>
      <c r="H581" s="1"/>
    </row>
    <row r="582" spans="3:8" ht="14" x14ac:dyDescent="0.2">
      <c r="C582" s="1"/>
      <c r="D582" s="1"/>
      <c r="E582" s="1"/>
      <c r="F582" s="1"/>
      <c r="G582" s="1"/>
      <c r="H582" s="1"/>
    </row>
    <row r="583" spans="3:8" ht="14" x14ac:dyDescent="0.2">
      <c r="C583" s="1"/>
      <c r="D583" s="1"/>
      <c r="E583" s="1"/>
      <c r="F583" s="1"/>
      <c r="G583" s="1"/>
      <c r="H583" s="1"/>
    </row>
    <row r="584" spans="3:8" ht="14" x14ac:dyDescent="0.2">
      <c r="C584" s="1"/>
      <c r="D584" s="1"/>
      <c r="E584" s="1"/>
      <c r="F584" s="1"/>
      <c r="G584" s="1"/>
      <c r="H584" s="1"/>
    </row>
    <row r="585" spans="3:8" ht="14" x14ac:dyDescent="0.2">
      <c r="C585" s="1"/>
      <c r="D585" s="1"/>
      <c r="E585" s="1"/>
      <c r="F585" s="1"/>
      <c r="G585" s="1"/>
      <c r="H585" s="1"/>
    </row>
    <row r="586" spans="3:8" ht="14" x14ac:dyDescent="0.2">
      <c r="C586" s="1"/>
      <c r="D586" s="1"/>
      <c r="E586" s="1"/>
      <c r="F586" s="1"/>
      <c r="G586" s="1"/>
      <c r="H586" s="1"/>
    </row>
    <row r="587" spans="3:8" ht="14" x14ac:dyDescent="0.2">
      <c r="C587" s="1"/>
      <c r="D587" s="1"/>
      <c r="E587" s="1"/>
      <c r="F587" s="1"/>
      <c r="G587" s="1"/>
      <c r="H587" s="1"/>
    </row>
    <row r="588" spans="3:8" ht="14" x14ac:dyDescent="0.2">
      <c r="C588" s="1"/>
      <c r="D588" s="1"/>
      <c r="E588" s="1"/>
      <c r="F588" s="1"/>
      <c r="G588" s="1"/>
      <c r="H588" s="1"/>
    </row>
    <row r="589" spans="3:8" ht="14" x14ac:dyDescent="0.2">
      <c r="C589" s="1"/>
      <c r="D589" s="1"/>
      <c r="E589" s="1"/>
      <c r="F589" s="1"/>
      <c r="G589" s="1"/>
      <c r="H589" s="1"/>
    </row>
    <row r="590" spans="3:8" ht="14" x14ac:dyDescent="0.2">
      <c r="C590" s="1"/>
      <c r="D590" s="1"/>
      <c r="E590" s="1"/>
      <c r="F590" s="1"/>
      <c r="G590" s="1"/>
      <c r="H590" s="1"/>
    </row>
    <row r="591" spans="3:8" ht="14" x14ac:dyDescent="0.2">
      <c r="C591" s="1"/>
      <c r="D591" s="1"/>
      <c r="E591" s="1"/>
      <c r="F591" s="1"/>
      <c r="G591" s="1"/>
      <c r="H591" s="1"/>
    </row>
    <row r="592" spans="3:8" ht="14" x14ac:dyDescent="0.2">
      <c r="C592" s="1"/>
      <c r="D592" s="1"/>
      <c r="E592" s="1"/>
      <c r="F592" s="1"/>
      <c r="G592" s="1"/>
      <c r="H592" s="1"/>
    </row>
    <row r="593" spans="3:8" ht="14" x14ac:dyDescent="0.2">
      <c r="C593" s="1"/>
      <c r="D593" s="1"/>
      <c r="E593" s="1"/>
      <c r="F593" s="1"/>
      <c r="G593" s="1"/>
      <c r="H593" s="1"/>
    </row>
    <row r="594" spans="3:8" ht="14" x14ac:dyDescent="0.2">
      <c r="C594" s="1"/>
      <c r="D594" s="1"/>
      <c r="E594" s="1"/>
      <c r="F594" s="1"/>
      <c r="G594" s="1"/>
      <c r="H594" s="1"/>
    </row>
    <row r="595" spans="3:8" ht="14" x14ac:dyDescent="0.2">
      <c r="C595" s="1"/>
      <c r="D595" s="1"/>
      <c r="E595" s="1"/>
      <c r="F595" s="1"/>
      <c r="G595" s="1"/>
      <c r="H595" s="1"/>
    </row>
    <row r="596" spans="3:8" ht="14" x14ac:dyDescent="0.2">
      <c r="C596" s="1"/>
      <c r="D596" s="1"/>
      <c r="E596" s="1"/>
      <c r="F596" s="1"/>
      <c r="G596" s="1"/>
      <c r="H596" s="1"/>
    </row>
    <row r="597" spans="3:8" ht="14" x14ac:dyDescent="0.2">
      <c r="C597" s="1"/>
      <c r="D597" s="1"/>
      <c r="E597" s="1"/>
      <c r="F597" s="1"/>
      <c r="G597" s="1"/>
      <c r="H597" s="1"/>
    </row>
    <row r="598" spans="3:8" ht="14" x14ac:dyDescent="0.2">
      <c r="C598" s="1"/>
      <c r="D598" s="1"/>
      <c r="E598" s="1"/>
      <c r="F598" s="1"/>
      <c r="G598" s="1"/>
      <c r="H598" s="1"/>
    </row>
    <row r="599" spans="3:8" ht="14" x14ac:dyDescent="0.2">
      <c r="C599" s="1"/>
      <c r="D599" s="1"/>
      <c r="E599" s="1"/>
      <c r="F599" s="1"/>
      <c r="G599" s="1"/>
      <c r="H599" s="1"/>
    </row>
    <row r="600" spans="3:8" ht="14" x14ac:dyDescent="0.2">
      <c r="C600" s="1"/>
      <c r="D600" s="1"/>
      <c r="E600" s="1"/>
      <c r="F600" s="1"/>
      <c r="G600" s="1"/>
      <c r="H600" s="1"/>
    </row>
    <row r="601" spans="3:8" ht="14" x14ac:dyDescent="0.2">
      <c r="C601" s="1"/>
      <c r="D601" s="1"/>
      <c r="E601" s="1"/>
      <c r="F601" s="1"/>
      <c r="G601" s="1"/>
      <c r="H601" s="1"/>
    </row>
    <row r="602" spans="3:8" ht="14" x14ac:dyDescent="0.2">
      <c r="C602" s="1"/>
      <c r="D602" s="1"/>
      <c r="E602" s="1"/>
      <c r="F602" s="1"/>
      <c r="G602" s="1"/>
      <c r="H602" s="1"/>
    </row>
    <row r="603" spans="3:8" ht="14" x14ac:dyDescent="0.2">
      <c r="C603" s="1"/>
      <c r="D603" s="1"/>
      <c r="E603" s="1"/>
      <c r="F603" s="1"/>
      <c r="G603" s="1"/>
      <c r="H603" s="1"/>
    </row>
    <row r="604" spans="3:8" ht="14" x14ac:dyDescent="0.2">
      <c r="C604" s="1"/>
      <c r="D604" s="1"/>
      <c r="E604" s="1"/>
      <c r="F604" s="1"/>
      <c r="G604" s="1"/>
      <c r="H604" s="1"/>
    </row>
    <row r="605" spans="3:8" ht="14" x14ac:dyDescent="0.2">
      <c r="C605" s="1"/>
      <c r="D605" s="1"/>
      <c r="E605" s="1"/>
      <c r="F605" s="1"/>
      <c r="G605" s="1"/>
      <c r="H605" s="1"/>
    </row>
    <row r="606" spans="3:8" ht="14" x14ac:dyDescent="0.2">
      <c r="C606" s="1"/>
      <c r="D606" s="1"/>
      <c r="E606" s="1"/>
      <c r="F606" s="1"/>
      <c r="G606" s="1"/>
      <c r="H606" s="1"/>
    </row>
    <row r="607" spans="3:8" ht="14" x14ac:dyDescent="0.2">
      <c r="C607" s="1"/>
      <c r="D607" s="1"/>
      <c r="E607" s="1"/>
      <c r="F607" s="1"/>
      <c r="G607" s="1"/>
      <c r="H607" s="1"/>
    </row>
    <row r="608" spans="3:8" ht="14" x14ac:dyDescent="0.2">
      <c r="C608" s="1"/>
      <c r="D608" s="1"/>
      <c r="E608" s="1"/>
      <c r="F608" s="1"/>
      <c r="G608" s="1"/>
      <c r="H608" s="1"/>
    </row>
    <row r="609" spans="3:8" ht="14" x14ac:dyDescent="0.2">
      <c r="C609" s="1"/>
      <c r="D609" s="1"/>
      <c r="E609" s="1"/>
      <c r="F609" s="1"/>
      <c r="G609" s="1"/>
      <c r="H609" s="1"/>
    </row>
    <row r="610" spans="3:8" ht="14" x14ac:dyDescent="0.2">
      <c r="C610" s="1"/>
      <c r="D610" s="1"/>
      <c r="E610" s="1"/>
      <c r="F610" s="1"/>
      <c r="G610" s="1"/>
      <c r="H610" s="1"/>
    </row>
    <row r="611" spans="3:8" ht="14" x14ac:dyDescent="0.2">
      <c r="C611" s="1"/>
      <c r="D611" s="1"/>
      <c r="E611" s="1"/>
      <c r="F611" s="1"/>
      <c r="G611" s="1"/>
      <c r="H611" s="1"/>
    </row>
    <row r="612" spans="3:8" ht="14" x14ac:dyDescent="0.2">
      <c r="C612" s="1"/>
      <c r="D612" s="1"/>
      <c r="E612" s="1"/>
      <c r="F612" s="1"/>
      <c r="G612" s="1"/>
      <c r="H612" s="1"/>
    </row>
    <row r="613" spans="3:8" ht="14" x14ac:dyDescent="0.2">
      <c r="C613" s="1"/>
      <c r="D613" s="1"/>
      <c r="E613" s="1"/>
      <c r="F613" s="1"/>
      <c r="G613" s="1"/>
      <c r="H613" s="1"/>
    </row>
    <row r="614" spans="3:8" ht="14" x14ac:dyDescent="0.2">
      <c r="C614" s="1"/>
      <c r="D614" s="1"/>
      <c r="E614" s="1"/>
      <c r="F614" s="1"/>
      <c r="G614" s="1"/>
      <c r="H614" s="1"/>
    </row>
    <row r="615" spans="3:8" ht="14" x14ac:dyDescent="0.2">
      <c r="C615" s="1"/>
      <c r="D615" s="1"/>
      <c r="E615" s="1"/>
      <c r="F615" s="1"/>
      <c r="G615" s="1"/>
      <c r="H615" s="1"/>
    </row>
    <row r="616" spans="3:8" ht="14" x14ac:dyDescent="0.2">
      <c r="C616" s="1"/>
      <c r="D616" s="1"/>
      <c r="E616" s="1"/>
      <c r="F616" s="1"/>
      <c r="G616" s="1"/>
      <c r="H616" s="1"/>
    </row>
    <row r="617" spans="3:8" ht="14" x14ac:dyDescent="0.2">
      <c r="C617" s="1"/>
      <c r="D617" s="1"/>
      <c r="E617" s="1"/>
      <c r="F617" s="1"/>
      <c r="G617" s="1"/>
      <c r="H617" s="1"/>
    </row>
    <row r="618" spans="3:8" ht="14" x14ac:dyDescent="0.2">
      <c r="C618" s="1"/>
      <c r="D618" s="1"/>
      <c r="E618" s="1"/>
      <c r="F618" s="1"/>
      <c r="G618" s="1"/>
      <c r="H618" s="1"/>
    </row>
    <row r="619" spans="3:8" ht="14" x14ac:dyDescent="0.2">
      <c r="C619" s="1"/>
      <c r="D619" s="1"/>
      <c r="E619" s="1"/>
      <c r="F619" s="1"/>
      <c r="G619" s="1"/>
      <c r="H619" s="1"/>
    </row>
    <row r="620" spans="3:8" ht="14" x14ac:dyDescent="0.2">
      <c r="C620" s="1"/>
      <c r="D620" s="1"/>
      <c r="E620" s="1"/>
      <c r="F620" s="1"/>
      <c r="G620" s="1"/>
      <c r="H620" s="1"/>
    </row>
    <row r="621" spans="3:8" ht="14" x14ac:dyDescent="0.2">
      <c r="C621" s="1"/>
      <c r="D621" s="1"/>
      <c r="E621" s="1"/>
      <c r="F621" s="1"/>
      <c r="G621" s="1"/>
      <c r="H621" s="1"/>
    </row>
    <row r="622" spans="3:8" ht="14" x14ac:dyDescent="0.2">
      <c r="C622" s="1"/>
      <c r="D622" s="1"/>
      <c r="E622" s="1"/>
      <c r="F622" s="1"/>
      <c r="G622" s="1"/>
      <c r="H622" s="1"/>
    </row>
    <row r="623" spans="3:8" ht="14" x14ac:dyDescent="0.2">
      <c r="C623" s="1"/>
      <c r="D623" s="1"/>
      <c r="E623" s="1"/>
      <c r="F623" s="1"/>
      <c r="G623" s="1"/>
      <c r="H623" s="1"/>
    </row>
    <row r="624" spans="3:8" ht="14" x14ac:dyDescent="0.2">
      <c r="C624" s="1"/>
      <c r="D624" s="1"/>
      <c r="E624" s="1"/>
      <c r="F624" s="1"/>
      <c r="G624" s="1"/>
      <c r="H624" s="1"/>
    </row>
    <row r="625" spans="3:8" ht="14" x14ac:dyDescent="0.2">
      <c r="C625" s="1"/>
      <c r="D625" s="1"/>
      <c r="E625" s="1"/>
      <c r="F625" s="1"/>
      <c r="G625" s="1"/>
      <c r="H625" s="1"/>
    </row>
    <row r="626" spans="3:8" ht="14" x14ac:dyDescent="0.2">
      <c r="C626" s="1"/>
      <c r="D626" s="1"/>
      <c r="E626" s="1"/>
      <c r="F626" s="1"/>
      <c r="G626" s="1"/>
      <c r="H626" s="1"/>
    </row>
    <row r="627" spans="3:8" ht="14" x14ac:dyDescent="0.2">
      <c r="C627" s="1"/>
      <c r="D627" s="1"/>
      <c r="E627" s="1"/>
      <c r="F627" s="1"/>
      <c r="G627" s="1"/>
      <c r="H627" s="1"/>
    </row>
    <row r="628" spans="3:8" ht="14" x14ac:dyDescent="0.2">
      <c r="C628" s="1"/>
      <c r="D628" s="1"/>
      <c r="E628" s="1"/>
      <c r="F628" s="1"/>
      <c r="G628" s="1"/>
      <c r="H628" s="1"/>
    </row>
    <row r="629" spans="3:8" ht="14" x14ac:dyDescent="0.2">
      <c r="C629" s="1"/>
      <c r="D629" s="1"/>
      <c r="E629" s="1"/>
      <c r="F629" s="1"/>
      <c r="G629" s="1"/>
      <c r="H629" s="1"/>
    </row>
    <row r="630" spans="3:8" ht="14" x14ac:dyDescent="0.2">
      <c r="C630" s="1"/>
      <c r="D630" s="1"/>
      <c r="E630" s="1"/>
      <c r="F630" s="1"/>
      <c r="G630" s="1"/>
      <c r="H630" s="1"/>
    </row>
    <row r="631" spans="3:8" ht="14" x14ac:dyDescent="0.2">
      <c r="C631" s="1"/>
      <c r="D631" s="1"/>
      <c r="E631" s="1"/>
      <c r="F631" s="1"/>
      <c r="G631" s="1"/>
      <c r="H631" s="1"/>
    </row>
    <row r="632" spans="3:8" ht="14" x14ac:dyDescent="0.2">
      <c r="C632" s="1"/>
      <c r="D632" s="1"/>
      <c r="E632" s="1"/>
      <c r="F632" s="1"/>
      <c r="G632" s="1"/>
      <c r="H632" s="1"/>
    </row>
    <row r="633" spans="3:8" ht="14" x14ac:dyDescent="0.2">
      <c r="C633" s="1"/>
      <c r="D633" s="1"/>
      <c r="E633" s="1"/>
      <c r="F633" s="1"/>
      <c r="G633" s="1"/>
      <c r="H633" s="1"/>
    </row>
    <row r="634" spans="3:8" ht="14" x14ac:dyDescent="0.2">
      <c r="C634" s="1"/>
      <c r="D634" s="1"/>
      <c r="E634" s="1"/>
      <c r="F634" s="1"/>
      <c r="G634" s="1"/>
      <c r="H634" s="1"/>
    </row>
    <row r="635" spans="3:8" ht="14" x14ac:dyDescent="0.2">
      <c r="C635" s="1"/>
      <c r="D635" s="1"/>
      <c r="E635" s="1"/>
      <c r="F635" s="1"/>
      <c r="G635" s="1"/>
      <c r="H635" s="1"/>
    </row>
    <row r="636" spans="3:8" ht="14" x14ac:dyDescent="0.2">
      <c r="C636" s="1"/>
      <c r="D636" s="1"/>
      <c r="E636" s="1"/>
      <c r="F636" s="1"/>
      <c r="G636" s="1"/>
      <c r="H636" s="1"/>
    </row>
    <row r="637" spans="3:8" ht="14" x14ac:dyDescent="0.2">
      <c r="C637" s="1"/>
      <c r="D637" s="1"/>
      <c r="E637" s="1"/>
      <c r="F637" s="1"/>
      <c r="G637" s="1"/>
      <c r="H637" s="1"/>
    </row>
    <row r="638" spans="3:8" ht="14" x14ac:dyDescent="0.2">
      <c r="C638" s="1"/>
      <c r="D638" s="1"/>
      <c r="E638" s="1"/>
      <c r="F638" s="1"/>
      <c r="G638" s="1"/>
      <c r="H638" s="1"/>
    </row>
    <row r="639" spans="3:8" ht="14" x14ac:dyDescent="0.2">
      <c r="C639" s="1"/>
      <c r="D639" s="1"/>
      <c r="E639" s="1"/>
      <c r="F639" s="1"/>
      <c r="G639" s="1"/>
      <c r="H639" s="1"/>
    </row>
    <row r="640" spans="3:8" ht="14" x14ac:dyDescent="0.2">
      <c r="C640" s="1"/>
      <c r="D640" s="1"/>
      <c r="E640" s="1"/>
      <c r="F640" s="1"/>
      <c r="G640" s="1"/>
      <c r="H640" s="1"/>
    </row>
    <row r="641" spans="3:8" ht="14" x14ac:dyDescent="0.2">
      <c r="C641" s="1"/>
      <c r="D641" s="1"/>
      <c r="E641" s="1"/>
      <c r="F641" s="1"/>
      <c r="G641" s="1"/>
      <c r="H641" s="1"/>
    </row>
    <row r="642" spans="3:8" ht="14" x14ac:dyDescent="0.2">
      <c r="C642" s="1"/>
      <c r="D642" s="1"/>
      <c r="E642" s="1"/>
      <c r="F642" s="1"/>
      <c r="G642" s="1"/>
      <c r="H642" s="1"/>
    </row>
    <row r="643" spans="3:8" ht="14" x14ac:dyDescent="0.2">
      <c r="C643" s="1"/>
      <c r="D643" s="1"/>
      <c r="E643" s="1"/>
      <c r="F643" s="1"/>
      <c r="G643" s="1"/>
      <c r="H643" s="1"/>
    </row>
    <row r="644" spans="3:8" ht="14" x14ac:dyDescent="0.2">
      <c r="C644" s="1"/>
      <c r="D644" s="1"/>
      <c r="E644" s="1"/>
      <c r="F644" s="1"/>
      <c r="G644" s="1"/>
      <c r="H644" s="1"/>
    </row>
    <row r="645" spans="3:8" ht="14" x14ac:dyDescent="0.2">
      <c r="C645" s="1"/>
      <c r="D645" s="1"/>
      <c r="E645" s="1"/>
      <c r="F645" s="1"/>
      <c r="G645" s="1"/>
      <c r="H645" s="1"/>
    </row>
    <row r="646" spans="3:8" ht="14" x14ac:dyDescent="0.2">
      <c r="C646" s="1"/>
      <c r="D646" s="1"/>
      <c r="E646" s="1"/>
      <c r="F646" s="1"/>
      <c r="G646" s="1"/>
      <c r="H646" s="1"/>
    </row>
    <row r="647" spans="3:8" ht="14" x14ac:dyDescent="0.2">
      <c r="C647" s="1"/>
      <c r="D647" s="1"/>
      <c r="E647" s="1"/>
      <c r="F647" s="1"/>
      <c r="G647" s="1"/>
      <c r="H647" s="1"/>
    </row>
    <row r="648" spans="3:8" ht="14" x14ac:dyDescent="0.2">
      <c r="C648" s="1"/>
      <c r="D648" s="1"/>
      <c r="E648" s="1"/>
      <c r="F648" s="1"/>
      <c r="G648" s="1"/>
      <c r="H648" s="1"/>
    </row>
    <row r="649" spans="3:8" ht="14" x14ac:dyDescent="0.2">
      <c r="C649" s="1"/>
      <c r="D649" s="1"/>
      <c r="E649" s="1"/>
      <c r="F649" s="1"/>
      <c r="G649" s="1"/>
      <c r="H649" s="1"/>
    </row>
    <row r="650" spans="3:8" ht="14" x14ac:dyDescent="0.2">
      <c r="C650" s="1"/>
      <c r="D650" s="1"/>
      <c r="E650" s="1"/>
      <c r="F650" s="1"/>
      <c r="G650" s="1"/>
      <c r="H650" s="1"/>
    </row>
    <row r="651" spans="3:8" ht="14" x14ac:dyDescent="0.2">
      <c r="C651" s="1"/>
      <c r="D651" s="1"/>
      <c r="E651" s="1"/>
      <c r="F651" s="1"/>
      <c r="G651" s="1"/>
      <c r="H651" s="1"/>
    </row>
    <row r="652" spans="3:8" ht="14" x14ac:dyDescent="0.2">
      <c r="C652" s="1"/>
      <c r="D652" s="1"/>
      <c r="E652" s="1"/>
      <c r="F652" s="1"/>
      <c r="G652" s="1"/>
      <c r="H652" s="1"/>
    </row>
    <row r="653" spans="3:8" ht="14" x14ac:dyDescent="0.2">
      <c r="C653" s="1"/>
      <c r="D653" s="1"/>
      <c r="E653" s="1"/>
      <c r="F653" s="1"/>
      <c r="G653" s="1"/>
      <c r="H653" s="1"/>
    </row>
    <row r="654" spans="3:8" ht="14" x14ac:dyDescent="0.2">
      <c r="C654" s="1"/>
      <c r="D654" s="1"/>
      <c r="E654" s="1"/>
      <c r="F654" s="1"/>
      <c r="G654" s="1"/>
      <c r="H654" s="1"/>
    </row>
    <row r="655" spans="3:8" ht="14" x14ac:dyDescent="0.2">
      <c r="C655" s="1"/>
      <c r="D655" s="1"/>
      <c r="E655" s="1"/>
      <c r="F655" s="1"/>
      <c r="G655" s="1"/>
      <c r="H655" s="1"/>
    </row>
    <row r="656" spans="3:8" ht="14" x14ac:dyDescent="0.2">
      <c r="C656" s="1"/>
      <c r="D656" s="1"/>
      <c r="E656" s="1"/>
      <c r="F656" s="1"/>
      <c r="G656" s="1"/>
      <c r="H656" s="1"/>
    </row>
    <row r="657" spans="3:8" ht="14" x14ac:dyDescent="0.2">
      <c r="C657" s="1"/>
      <c r="D657" s="1"/>
      <c r="E657" s="1"/>
      <c r="F657" s="1"/>
      <c r="G657" s="1"/>
      <c r="H657" s="1"/>
    </row>
    <row r="658" spans="3:8" ht="14" x14ac:dyDescent="0.2">
      <c r="C658" s="1"/>
      <c r="D658" s="1"/>
      <c r="E658" s="1"/>
      <c r="F658" s="1"/>
      <c r="G658" s="1"/>
      <c r="H658" s="1"/>
    </row>
    <row r="659" spans="3:8" ht="14" x14ac:dyDescent="0.2">
      <c r="C659" s="1"/>
      <c r="D659" s="1"/>
      <c r="E659" s="1"/>
      <c r="F659" s="1"/>
      <c r="G659" s="1"/>
      <c r="H659" s="1"/>
    </row>
    <row r="660" spans="3:8" ht="14" x14ac:dyDescent="0.2">
      <c r="C660" s="1"/>
      <c r="D660" s="1"/>
      <c r="E660" s="1"/>
      <c r="F660" s="1"/>
      <c r="G660" s="1"/>
      <c r="H660" s="1"/>
    </row>
    <row r="661" spans="3:8" ht="14" x14ac:dyDescent="0.2">
      <c r="C661" s="1"/>
      <c r="D661" s="1"/>
      <c r="E661" s="1"/>
      <c r="F661" s="1"/>
      <c r="G661" s="1"/>
      <c r="H661" s="1"/>
    </row>
    <row r="662" spans="3:8" ht="14" x14ac:dyDescent="0.2">
      <c r="C662" s="1"/>
      <c r="D662" s="1"/>
      <c r="E662" s="1"/>
      <c r="F662" s="1"/>
      <c r="G662" s="1"/>
      <c r="H662" s="1"/>
    </row>
    <row r="663" spans="3:8" ht="14" x14ac:dyDescent="0.2">
      <c r="C663" s="1"/>
      <c r="D663" s="1"/>
      <c r="E663" s="1"/>
      <c r="F663" s="1"/>
      <c r="G663" s="1"/>
      <c r="H663" s="1"/>
    </row>
    <row r="664" spans="3:8" ht="14" x14ac:dyDescent="0.2">
      <c r="C664" s="1"/>
      <c r="D664" s="1"/>
      <c r="E664" s="1"/>
      <c r="F664" s="1"/>
      <c r="G664" s="1"/>
      <c r="H664" s="1"/>
    </row>
    <row r="665" spans="3:8" ht="14" x14ac:dyDescent="0.2">
      <c r="C665" s="1"/>
      <c r="D665" s="1"/>
      <c r="E665" s="1"/>
      <c r="F665" s="1"/>
      <c r="G665" s="1"/>
      <c r="H665" s="1"/>
    </row>
    <row r="666" spans="3:8" ht="14" x14ac:dyDescent="0.2">
      <c r="C666" s="1"/>
      <c r="D666" s="1"/>
      <c r="E666" s="1"/>
      <c r="F666" s="1"/>
      <c r="G666" s="1"/>
      <c r="H666" s="1"/>
    </row>
    <row r="667" spans="3:8" ht="14" x14ac:dyDescent="0.2">
      <c r="C667" s="1"/>
      <c r="D667" s="1"/>
      <c r="E667" s="1"/>
      <c r="F667" s="1"/>
      <c r="G667" s="1"/>
      <c r="H667" s="1"/>
    </row>
    <row r="668" spans="3:8" ht="14" x14ac:dyDescent="0.2">
      <c r="C668" s="1"/>
      <c r="D668" s="1"/>
      <c r="E668" s="1"/>
      <c r="F668" s="1"/>
      <c r="G668" s="1"/>
      <c r="H668" s="1"/>
    </row>
    <row r="669" spans="3:8" ht="14" x14ac:dyDescent="0.2">
      <c r="C669" s="1"/>
      <c r="D669" s="1"/>
      <c r="E669" s="1"/>
      <c r="F669" s="1"/>
      <c r="G669" s="1"/>
      <c r="H669" s="1"/>
    </row>
    <row r="670" spans="3:8" ht="14" x14ac:dyDescent="0.2">
      <c r="C670" s="1"/>
      <c r="D670" s="1"/>
      <c r="E670" s="1"/>
      <c r="F670" s="1"/>
      <c r="G670" s="1"/>
      <c r="H670" s="1"/>
    </row>
    <row r="671" spans="3:8" ht="14" x14ac:dyDescent="0.2">
      <c r="C671" s="1"/>
      <c r="D671" s="1"/>
      <c r="E671" s="1"/>
      <c r="F671" s="1"/>
      <c r="G671" s="1"/>
      <c r="H671" s="1"/>
    </row>
    <row r="672" spans="3:8" ht="14" x14ac:dyDescent="0.2">
      <c r="C672" s="1"/>
      <c r="D672" s="1"/>
      <c r="E672" s="1"/>
      <c r="F672" s="1"/>
      <c r="G672" s="1"/>
      <c r="H672" s="1"/>
    </row>
    <row r="673" spans="3:8" ht="14" x14ac:dyDescent="0.2">
      <c r="C673" s="1"/>
      <c r="D673" s="1"/>
      <c r="E673" s="1"/>
      <c r="F673" s="1"/>
      <c r="G673" s="1"/>
      <c r="H673" s="1"/>
    </row>
    <row r="674" spans="3:8" ht="14" x14ac:dyDescent="0.2">
      <c r="C674" s="1"/>
      <c r="D674" s="1"/>
      <c r="E674" s="1"/>
      <c r="F674" s="1"/>
      <c r="G674" s="1"/>
      <c r="H674" s="1"/>
    </row>
    <row r="675" spans="3:8" ht="14" x14ac:dyDescent="0.2">
      <c r="C675" s="1"/>
      <c r="D675" s="1"/>
      <c r="E675" s="1"/>
      <c r="F675" s="1"/>
      <c r="G675" s="1"/>
      <c r="H675" s="1"/>
    </row>
    <row r="676" spans="3:8" ht="14" x14ac:dyDescent="0.2">
      <c r="C676" s="1"/>
      <c r="D676" s="1"/>
      <c r="E676" s="1"/>
      <c r="F676" s="1"/>
      <c r="G676" s="1"/>
      <c r="H676" s="1"/>
    </row>
    <row r="677" spans="3:8" ht="14" x14ac:dyDescent="0.2">
      <c r="C677" s="1"/>
      <c r="D677" s="1"/>
      <c r="E677" s="1"/>
      <c r="F677" s="1"/>
      <c r="G677" s="1"/>
      <c r="H677" s="1"/>
    </row>
    <row r="678" spans="3:8" ht="14" x14ac:dyDescent="0.2">
      <c r="C678" s="1"/>
      <c r="D678" s="1"/>
      <c r="E678" s="1"/>
      <c r="F678" s="1"/>
      <c r="G678" s="1"/>
      <c r="H678" s="1"/>
    </row>
    <row r="679" spans="3:8" ht="14" x14ac:dyDescent="0.2">
      <c r="C679" s="1"/>
      <c r="D679" s="1"/>
      <c r="E679" s="1"/>
      <c r="F679" s="1"/>
      <c r="G679" s="1"/>
      <c r="H679" s="1"/>
    </row>
    <row r="680" spans="3:8" ht="14" x14ac:dyDescent="0.2">
      <c r="C680" s="1"/>
      <c r="D680" s="1"/>
      <c r="E680" s="1"/>
      <c r="F680" s="1"/>
      <c r="G680" s="1"/>
      <c r="H680" s="1"/>
    </row>
    <row r="681" spans="3:8" ht="14" x14ac:dyDescent="0.2">
      <c r="C681" s="1"/>
      <c r="D681" s="1"/>
      <c r="E681" s="1"/>
      <c r="F681" s="1"/>
      <c r="G681" s="1"/>
      <c r="H681" s="1"/>
    </row>
    <row r="682" spans="3:8" ht="14" x14ac:dyDescent="0.2">
      <c r="C682" s="1"/>
      <c r="D682" s="1"/>
      <c r="E682" s="1"/>
      <c r="F682" s="1"/>
      <c r="G682" s="1"/>
      <c r="H682" s="1"/>
    </row>
    <row r="683" spans="3:8" ht="14" x14ac:dyDescent="0.2">
      <c r="C683" s="1"/>
      <c r="D683" s="1"/>
      <c r="E683" s="1"/>
      <c r="F683" s="1"/>
      <c r="G683" s="1"/>
      <c r="H683" s="1"/>
    </row>
    <row r="684" spans="3:8" ht="14" x14ac:dyDescent="0.2">
      <c r="C684" s="1"/>
      <c r="D684" s="1"/>
      <c r="E684" s="1"/>
      <c r="F684" s="1"/>
      <c r="G684" s="1"/>
      <c r="H684" s="1"/>
    </row>
    <row r="685" spans="3:8" ht="14" x14ac:dyDescent="0.2">
      <c r="C685" s="1"/>
      <c r="D685" s="1"/>
      <c r="E685" s="1"/>
      <c r="F685" s="1"/>
      <c r="G685" s="1"/>
      <c r="H685" s="1"/>
    </row>
    <row r="686" spans="3:8" ht="14" x14ac:dyDescent="0.2">
      <c r="C686" s="1"/>
      <c r="D686" s="1"/>
      <c r="E686" s="1"/>
      <c r="F686" s="1"/>
      <c r="G686" s="1"/>
      <c r="H686" s="1"/>
    </row>
    <row r="687" spans="3:8" ht="14" x14ac:dyDescent="0.2">
      <c r="C687" s="1"/>
      <c r="D687" s="1"/>
      <c r="E687" s="1"/>
      <c r="F687" s="1"/>
      <c r="G687" s="1"/>
      <c r="H687" s="1"/>
    </row>
    <row r="688" spans="3:8" ht="14" x14ac:dyDescent="0.2">
      <c r="C688" s="1"/>
      <c r="D688" s="1"/>
      <c r="E688" s="1"/>
      <c r="F688" s="1"/>
      <c r="G688" s="1"/>
      <c r="H688" s="1"/>
    </row>
    <row r="689" spans="3:8" ht="14" x14ac:dyDescent="0.2">
      <c r="C689" s="1"/>
      <c r="D689" s="1"/>
      <c r="E689" s="1"/>
      <c r="F689" s="1"/>
      <c r="G689" s="1"/>
      <c r="H689" s="1"/>
    </row>
    <row r="690" spans="3:8" ht="14" x14ac:dyDescent="0.2">
      <c r="C690" s="1"/>
      <c r="D690" s="1"/>
      <c r="E690" s="1"/>
      <c r="F690" s="1"/>
      <c r="G690" s="1"/>
      <c r="H690" s="1"/>
    </row>
    <row r="691" spans="3:8" ht="14" x14ac:dyDescent="0.2">
      <c r="C691" s="1"/>
      <c r="D691" s="1"/>
      <c r="E691" s="1"/>
      <c r="F691" s="1"/>
      <c r="G691" s="1"/>
      <c r="H691" s="1"/>
    </row>
    <row r="692" spans="3:8" ht="14" x14ac:dyDescent="0.2">
      <c r="C692" s="1"/>
      <c r="D692" s="1"/>
      <c r="E692" s="1"/>
      <c r="F692" s="1"/>
      <c r="G692" s="1"/>
      <c r="H692" s="1"/>
    </row>
    <row r="693" spans="3:8" ht="14" x14ac:dyDescent="0.2">
      <c r="C693" s="1"/>
      <c r="D693" s="1"/>
      <c r="E693" s="1"/>
      <c r="F693" s="1"/>
      <c r="G693" s="1"/>
      <c r="H693" s="1"/>
    </row>
    <row r="694" spans="3:8" ht="14" x14ac:dyDescent="0.2">
      <c r="C694" s="1"/>
      <c r="D694" s="1"/>
      <c r="E694" s="1"/>
      <c r="F694" s="1"/>
      <c r="G694" s="1"/>
      <c r="H694" s="1"/>
    </row>
    <row r="695" spans="3:8" ht="14" x14ac:dyDescent="0.2">
      <c r="C695" s="1"/>
      <c r="D695" s="1"/>
      <c r="E695" s="1"/>
      <c r="F695" s="1"/>
      <c r="G695" s="1"/>
      <c r="H695" s="1"/>
    </row>
    <row r="696" spans="3:8" ht="14" x14ac:dyDescent="0.2">
      <c r="C696" s="1"/>
      <c r="D696" s="1"/>
      <c r="E696" s="1"/>
      <c r="F696" s="1"/>
      <c r="G696" s="1"/>
      <c r="H696" s="1"/>
    </row>
    <row r="697" spans="3:8" ht="14" x14ac:dyDescent="0.2">
      <c r="C697" s="1"/>
      <c r="D697" s="1"/>
      <c r="E697" s="1"/>
      <c r="F697" s="1"/>
      <c r="G697" s="1"/>
      <c r="H697" s="1"/>
    </row>
    <row r="698" spans="3:8" ht="14" x14ac:dyDescent="0.2">
      <c r="C698" s="1"/>
      <c r="D698" s="1"/>
      <c r="E698" s="1"/>
      <c r="F698" s="1"/>
      <c r="G698" s="1"/>
      <c r="H698" s="1"/>
    </row>
    <row r="699" spans="3:8" ht="14" x14ac:dyDescent="0.2">
      <c r="C699" s="1"/>
      <c r="D699" s="1"/>
      <c r="E699" s="1"/>
      <c r="F699" s="1"/>
      <c r="G699" s="1"/>
      <c r="H699" s="1"/>
    </row>
    <row r="700" spans="3:8" ht="14" x14ac:dyDescent="0.2">
      <c r="C700" s="1"/>
      <c r="D700" s="1"/>
      <c r="E700" s="1"/>
      <c r="F700" s="1"/>
      <c r="G700" s="1"/>
      <c r="H700" s="1"/>
    </row>
    <row r="701" spans="3:8" ht="14" x14ac:dyDescent="0.2">
      <c r="C701" s="1"/>
      <c r="D701" s="1"/>
      <c r="E701" s="1"/>
      <c r="F701" s="1"/>
      <c r="G701" s="1"/>
      <c r="H701" s="1"/>
    </row>
    <row r="702" spans="3:8" ht="14" x14ac:dyDescent="0.2">
      <c r="C702" s="1"/>
      <c r="D702" s="1"/>
      <c r="E702" s="1"/>
      <c r="F702" s="1"/>
      <c r="G702" s="1"/>
      <c r="H702" s="1"/>
    </row>
    <row r="703" spans="3:8" ht="14" x14ac:dyDescent="0.2">
      <c r="C703" s="1"/>
      <c r="D703" s="1"/>
      <c r="E703" s="1"/>
      <c r="F703" s="1"/>
      <c r="G703" s="1"/>
      <c r="H703" s="1"/>
    </row>
    <row r="704" spans="3:8" ht="14" x14ac:dyDescent="0.2">
      <c r="C704" s="1"/>
      <c r="D704" s="1"/>
      <c r="E704" s="1"/>
      <c r="F704" s="1"/>
      <c r="G704" s="1"/>
      <c r="H704" s="1"/>
    </row>
    <row r="705" spans="3:8" ht="14" x14ac:dyDescent="0.2">
      <c r="C705" s="1"/>
      <c r="D705" s="1"/>
      <c r="E705" s="1"/>
      <c r="F705" s="1"/>
      <c r="G705" s="1"/>
      <c r="H705" s="1"/>
    </row>
    <row r="706" spans="3:8" ht="14" x14ac:dyDescent="0.2">
      <c r="C706" s="1"/>
      <c r="D706" s="1"/>
      <c r="E706" s="1"/>
      <c r="F706" s="1"/>
      <c r="G706" s="1"/>
      <c r="H706" s="1"/>
    </row>
    <row r="707" spans="3:8" ht="14" x14ac:dyDescent="0.2">
      <c r="C707" s="1"/>
      <c r="D707" s="1"/>
      <c r="E707" s="1"/>
      <c r="F707" s="1"/>
      <c r="G707" s="1"/>
      <c r="H707" s="1"/>
    </row>
    <row r="708" spans="3:8" ht="14" x14ac:dyDescent="0.2">
      <c r="C708" s="1"/>
      <c r="D708" s="1"/>
      <c r="E708" s="1"/>
      <c r="F708" s="1"/>
      <c r="G708" s="1"/>
      <c r="H708" s="1"/>
    </row>
    <row r="709" spans="3:8" ht="14" x14ac:dyDescent="0.2">
      <c r="C709" s="1"/>
      <c r="D709" s="1"/>
      <c r="E709" s="1"/>
      <c r="F709" s="1"/>
      <c r="G709" s="1"/>
      <c r="H709" s="1"/>
    </row>
    <row r="710" spans="3:8" ht="14" x14ac:dyDescent="0.2">
      <c r="C710" s="1"/>
      <c r="D710" s="1"/>
      <c r="E710" s="1"/>
      <c r="F710" s="1"/>
      <c r="G710" s="1"/>
      <c r="H710" s="1"/>
    </row>
    <row r="711" spans="3:8" ht="14" x14ac:dyDescent="0.2">
      <c r="C711" s="1"/>
      <c r="D711" s="1"/>
      <c r="E711" s="1"/>
      <c r="F711" s="1"/>
      <c r="G711" s="1"/>
      <c r="H711" s="1"/>
    </row>
    <row r="712" spans="3:8" ht="14" x14ac:dyDescent="0.2">
      <c r="C712" s="1"/>
      <c r="D712" s="1"/>
      <c r="E712" s="1"/>
      <c r="F712" s="1"/>
      <c r="G712" s="1"/>
      <c r="H712" s="1"/>
    </row>
    <row r="713" spans="3:8" ht="14" x14ac:dyDescent="0.2">
      <c r="C713" s="1"/>
      <c r="D713" s="1"/>
      <c r="E713" s="1"/>
      <c r="F713" s="1"/>
      <c r="G713" s="1"/>
      <c r="H713" s="1"/>
    </row>
    <row r="714" spans="3:8" ht="14" x14ac:dyDescent="0.2">
      <c r="C714" s="1"/>
      <c r="D714" s="1"/>
      <c r="E714" s="1"/>
      <c r="F714" s="1"/>
      <c r="G714" s="1"/>
      <c r="H714" s="1"/>
    </row>
    <row r="715" spans="3:8" ht="14" x14ac:dyDescent="0.2">
      <c r="C715" s="1"/>
      <c r="D715" s="1"/>
      <c r="E715" s="1"/>
      <c r="F715" s="1"/>
      <c r="G715" s="1"/>
      <c r="H715" s="1"/>
    </row>
    <row r="716" spans="3:8" ht="14" x14ac:dyDescent="0.2">
      <c r="C716" s="1"/>
      <c r="D716" s="1"/>
      <c r="E716" s="1"/>
      <c r="F716" s="1"/>
      <c r="G716" s="1"/>
      <c r="H716" s="1"/>
    </row>
    <row r="717" spans="3:8" ht="14" x14ac:dyDescent="0.2">
      <c r="C717" s="1"/>
      <c r="D717" s="1"/>
      <c r="E717" s="1"/>
      <c r="F717" s="1"/>
      <c r="G717" s="1"/>
      <c r="H717" s="1"/>
    </row>
    <row r="718" spans="3:8" ht="14" x14ac:dyDescent="0.2">
      <c r="C718" s="1"/>
      <c r="D718" s="1"/>
      <c r="E718" s="1"/>
      <c r="F718" s="1"/>
      <c r="G718" s="1"/>
      <c r="H718" s="1"/>
    </row>
    <row r="719" spans="3:8" ht="14" x14ac:dyDescent="0.2">
      <c r="C719" s="1"/>
      <c r="D719" s="1"/>
      <c r="E719" s="1"/>
      <c r="F719" s="1"/>
      <c r="G719" s="1"/>
      <c r="H719" s="1"/>
    </row>
    <row r="720" spans="3:8" ht="14" x14ac:dyDescent="0.2">
      <c r="C720" s="1"/>
      <c r="D720" s="1"/>
      <c r="E720" s="1"/>
      <c r="F720" s="1"/>
      <c r="G720" s="1"/>
      <c r="H720" s="1"/>
    </row>
    <row r="721" spans="3:8" ht="14" x14ac:dyDescent="0.2">
      <c r="C721" s="1"/>
      <c r="D721" s="1"/>
      <c r="E721" s="1"/>
      <c r="F721" s="1"/>
      <c r="G721" s="1"/>
      <c r="H721" s="1"/>
    </row>
    <row r="722" spans="3:8" ht="14" x14ac:dyDescent="0.2">
      <c r="C722" s="1"/>
      <c r="D722" s="1"/>
      <c r="E722" s="1"/>
      <c r="F722" s="1"/>
      <c r="G722" s="1"/>
      <c r="H722" s="1"/>
    </row>
    <row r="723" spans="3:8" ht="14" x14ac:dyDescent="0.2">
      <c r="C723" s="1"/>
      <c r="D723" s="1"/>
      <c r="E723" s="1"/>
      <c r="F723" s="1"/>
      <c r="G723" s="1"/>
      <c r="H723" s="1"/>
    </row>
    <row r="724" spans="3:8" ht="14" x14ac:dyDescent="0.2">
      <c r="C724" s="1"/>
      <c r="D724" s="1"/>
      <c r="E724" s="1"/>
      <c r="F724" s="1"/>
      <c r="G724" s="1"/>
      <c r="H724" s="1"/>
    </row>
    <row r="725" spans="3:8" ht="14" x14ac:dyDescent="0.2">
      <c r="C725" s="1"/>
      <c r="D725" s="1"/>
      <c r="E725" s="1"/>
      <c r="F725" s="1"/>
      <c r="G725" s="1"/>
      <c r="H725" s="1"/>
    </row>
    <row r="726" spans="3:8" ht="14" x14ac:dyDescent="0.2">
      <c r="C726" s="1"/>
      <c r="D726" s="1"/>
      <c r="E726" s="1"/>
      <c r="F726" s="1"/>
      <c r="G726" s="1"/>
      <c r="H726" s="1"/>
    </row>
    <row r="727" spans="3:8" ht="14" x14ac:dyDescent="0.2">
      <c r="C727" s="1"/>
      <c r="D727" s="1"/>
      <c r="E727" s="1"/>
      <c r="F727" s="1"/>
      <c r="G727" s="1"/>
      <c r="H727" s="1"/>
    </row>
    <row r="728" spans="3:8" ht="14" x14ac:dyDescent="0.2">
      <c r="C728" s="1"/>
      <c r="D728" s="1"/>
      <c r="E728" s="1"/>
      <c r="F728" s="1"/>
      <c r="G728" s="1"/>
      <c r="H728" s="1"/>
    </row>
    <row r="729" spans="3:8" ht="14" x14ac:dyDescent="0.2">
      <c r="C729" s="1"/>
      <c r="D729" s="1"/>
      <c r="E729" s="1"/>
      <c r="F729" s="1"/>
      <c r="G729" s="1"/>
      <c r="H729" s="1"/>
    </row>
    <row r="730" spans="3:8" ht="14" x14ac:dyDescent="0.2">
      <c r="C730" s="1"/>
      <c r="D730" s="1"/>
      <c r="E730" s="1"/>
      <c r="F730" s="1"/>
      <c r="G730" s="1"/>
      <c r="H730" s="1"/>
    </row>
    <row r="731" spans="3:8" ht="14" x14ac:dyDescent="0.2">
      <c r="C731" s="1"/>
      <c r="D731" s="1"/>
      <c r="E731" s="1"/>
      <c r="F731" s="1"/>
      <c r="G731" s="1"/>
      <c r="H731" s="1"/>
    </row>
    <row r="732" spans="3:8" ht="14" x14ac:dyDescent="0.2">
      <c r="C732" s="1"/>
      <c r="D732" s="1"/>
      <c r="E732" s="1"/>
      <c r="F732" s="1"/>
      <c r="G732" s="1"/>
      <c r="H732" s="1"/>
    </row>
    <row r="733" spans="3:8" ht="14" x14ac:dyDescent="0.2">
      <c r="C733" s="1"/>
      <c r="D733" s="1"/>
      <c r="E733" s="1"/>
      <c r="F733" s="1"/>
      <c r="G733" s="1"/>
      <c r="H733" s="1"/>
    </row>
    <row r="734" spans="3:8" ht="14" x14ac:dyDescent="0.2">
      <c r="C734" s="1"/>
      <c r="D734" s="1"/>
      <c r="E734" s="1"/>
      <c r="F734" s="1"/>
      <c r="G734" s="1"/>
      <c r="H734" s="1"/>
    </row>
    <row r="735" spans="3:8" ht="14" x14ac:dyDescent="0.2">
      <c r="C735" s="1"/>
      <c r="D735" s="1"/>
      <c r="E735" s="1"/>
      <c r="F735" s="1"/>
      <c r="G735" s="1"/>
      <c r="H735" s="1"/>
    </row>
    <row r="736" spans="3:8" ht="14" x14ac:dyDescent="0.2">
      <c r="C736" s="1"/>
      <c r="D736" s="1"/>
      <c r="E736" s="1"/>
      <c r="F736" s="1"/>
      <c r="G736" s="1"/>
      <c r="H736" s="1"/>
    </row>
    <row r="737" spans="3:8" ht="14" x14ac:dyDescent="0.2">
      <c r="C737" s="1"/>
      <c r="D737" s="1"/>
      <c r="E737" s="1"/>
      <c r="F737" s="1"/>
      <c r="G737" s="1"/>
      <c r="H737" s="1"/>
    </row>
    <row r="738" spans="3:8" ht="14" x14ac:dyDescent="0.2">
      <c r="C738" s="1"/>
      <c r="D738" s="1"/>
      <c r="E738" s="1"/>
      <c r="F738" s="1"/>
      <c r="G738" s="1"/>
      <c r="H738" s="1"/>
    </row>
    <row r="739" spans="3:8" ht="14" x14ac:dyDescent="0.2">
      <c r="C739" s="1"/>
      <c r="D739" s="1"/>
      <c r="E739" s="1"/>
      <c r="F739" s="1"/>
      <c r="G739" s="1"/>
      <c r="H739" s="1"/>
    </row>
    <row r="740" spans="3:8" ht="14" x14ac:dyDescent="0.2">
      <c r="C740" s="1"/>
      <c r="D740" s="1"/>
      <c r="E740" s="1"/>
      <c r="F740" s="1"/>
      <c r="G740" s="1"/>
      <c r="H740" s="1"/>
    </row>
    <row r="741" spans="3:8" ht="14" x14ac:dyDescent="0.2">
      <c r="C741" s="1"/>
      <c r="D741" s="1"/>
      <c r="E741" s="1"/>
      <c r="F741" s="1"/>
      <c r="G741" s="1"/>
      <c r="H741" s="1"/>
    </row>
    <row r="742" spans="3:8" ht="14" x14ac:dyDescent="0.2">
      <c r="C742" s="1"/>
      <c r="D742" s="1"/>
      <c r="E742" s="1"/>
      <c r="F742" s="1"/>
      <c r="G742" s="1"/>
      <c r="H742" s="1"/>
    </row>
    <row r="743" spans="3:8" ht="14" x14ac:dyDescent="0.2">
      <c r="C743" s="1"/>
      <c r="D743" s="1"/>
      <c r="E743" s="1"/>
      <c r="F743" s="1"/>
      <c r="G743" s="1"/>
      <c r="H743" s="1"/>
    </row>
    <row r="744" spans="3:8" ht="14" x14ac:dyDescent="0.2">
      <c r="C744" s="1"/>
      <c r="D744" s="1"/>
      <c r="E744" s="1"/>
      <c r="F744" s="1"/>
      <c r="G744" s="1"/>
      <c r="H744" s="1"/>
    </row>
    <row r="745" spans="3:8" ht="14" x14ac:dyDescent="0.2">
      <c r="C745" s="1"/>
      <c r="D745" s="1"/>
      <c r="E745" s="1"/>
      <c r="F745" s="1"/>
      <c r="G745" s="1"/>
      <c r="H745" s="1"/>
    </row>
    <row r="746" spans="3:8" ht="14" x14ac:dyDescent="0.2">
      <c r="C746" s="1"/>
      <c r="D746" s="1"/>
      <c r="E746" s="1"/>
      <c r="F746" s="1"/>
      <c r="G746" s="1"/>
      <c r="H746" s="1"/>
    </row>
    <row r="747" spans="3:8" ht="14" x14ac:dyDescent="0.2">
      <c r="C747" s="1"/>
      <c r="D747" s="1"/>
      <c r="E747" s="1"/>
      <c r="F747" s="1"/>
      <c r="G747" s="1"/>
      <c r="H747" s="1"/>
    </row>
    <row r="748" spans="3:8" ht="14" x14ac:dyDescent="0.2">
      <c r="C748" s="1"/>
      <c r="D748" s="1"/>
      <c r="E748" s="1"/>
      <c r="F748" s="1"/>
      <c r="G748" s="1"/>
      <c r="H748" s="1"/>
    </row>
    <row r="749" spans="3:8" ht="14" x14ac:dyDescent="0.2">
      <c r="C749" s="1"/>
      <c r="D749" s="1"/>
      <c r="E749" s="1"/>
      <c r="F749" s="1"/>
      <c r="G749" s="1"/>
      <c r="H749" s="1"/>
    </row>
    <row r="750" spans="3:8" ht="14" x14ac:dyDescent="0.2">
      <c r="C750" s="1"/>
      <c r="D750" s="1"/>
      <c r="E750" s="1"/>
      <c r="F750" s="1"/>
      <c r="G750" s="1"/>
      <c r="H750" s="1"/>
    </row>
    <row r="751" spans="3:8" ht="14" x14ac:dyDescent="0.2">
      <c r="C751" s="1"/>
      <c r="D751" s="1"/>
      <c r="E751" s="1"/>
      <c r="F751" s="1"/>
      <c r="G751" s="1"/>
      <c r="H751" s="1"/>
    </row>
    <row r="752" spans="3:8" ht="14" x14ac:dyDescent="0.2">
      <c r="C752" s="1"/>
      <c r="D752" s="1"/>
      <c r="E752" s="1"/>
      <c r="F752" s="1"/>
      <c r="G752" s="1"/>
      <c r="H752" s="1"/>
    </row>
    <row r="753" spans="3:8" ht="14" x14ac:dyDescent="0.2">
      <c r="C753" s="1"/>
      <c r="D753" s="1"/>
      <c r="E753" s="1"/>
      <c r="F753" s="1"/>
      <c r="G753" s="1"/>
      <c r="H753" s="1"/>
    </row>
    <row r="754" spans="3:8" ht="14" x14ac:dyDescent="0.2">
      <c r="C754" s="1"/>
      <c r="D754" s="1"/>
      <c r="E754" s="1"/>
      <c r="F754" s="1"/>
      <c r="G754" s="1"/>
      <c r="H754" s="1"/>
    </row>
    <row r="755" spans="3:8" ht="14" x14ac:dyDescent="0.2">
      <c r="C755" s="1"/>
      <c r="D755" s="1"/>
      <c r="E755" s="1"/>
      <c r="F755" s="1"/>
      <c r="G755" s="1"/>
      <c r="H755" s="1"/>
    </row>
    <row r="756" spans="3:8" ht="14" x14ac:dyDescent="0.2">
      <c r="C756" s="1"/>
      <c r="D756" s="1"/>
      <c r="E756" s="1"/>
      <c r="F756" s="1"/>
      <c r="G756" s="1"/>
      <c r="H756" s="1"/>
    </row>
    <row r="757" spans="3:8" ht="14" x14ac:dyDescent="0.2">
      <c r="C757" s="1"/>
      <c r="D757" s="1"/>
      <c r="E757" s="1"/>
      <c r="F757" s="1"/>
      <c r="G757" s="1"/>
      <c r="H757" s="1"/>
    </row>
    <row r="758" spans="3:8" ht="14" x14ac:dyDescent="0.2">
      <c r="C758" s="1"/>
      <c r="D758" s="1"/>
      <c r="E758" s="1"/>
      <c r="F758" s="1"/>
      <c r="G758" s="1"/>
      <c r="H758" s="1"/>
    </row>
    <row r="759" spans="3:8" ht="14" x14ac:dyDescent="0.2">
      <c r="C759" s="1"/>
      <c r="D759" s="1"/>
      <c r="E759" s="1"/>
      <c r="F759" s="1"/>
      <c r="G759" s="1"/>
      <c r="H759" s="1"/>
    </row>
    <row r="760" spans="3:8" ht="14" x14ac:dyDescent="0.2">
      <c r="C760" s="1"/>
      <c r="D760" s="1"/>
      <c r="E760" s="1"/>
      <c r="F760" s="1"/>
      <c r="G760" s="1"/>
      <c r="H760" s="1"/>
    </row>
    <row r="761" spans="3:8" ht="14" x14ac:dyDescent="0.2">
      <c r="C761" s="1"/>
      <c r="D761" s="1"/>
      <c r="E761" s="1"/>
      <c r="F761" s="1"/>
      <c r="G761" s="1"/>
      <c r="H761" s="1"/>
    </row>
    <row r="762" spans="3:8" ht="14" x14ac:dyDescent="0.2">
      <c r="C762" s="1"/>
      <c r="D762" s="1"/>
      <c r="E762" s="1"/>
      <c r="F762" s="1"/>
      <c r="G762" s="1"/>
      <c r="H762" s="1"/>
    </row>
    <row r="763" spans="3:8" ht="14" x14ac:dyDescent="0.2">
      <c r="C763" s="1"/>
      <c r="D763" s="1"/>
      <c r="E763" s="1"/>
      <c r="F763" s="1"/>
      <c r="G763" s="1"/>
      <c r="H763" s="1"/>
    </row>
    <row r="764" spans="3:8" ht="14" x14ac:dyDescent="0.2">
      <c r="C764" s="1"/>
      <c r="D764" s="1"/>
      <c r="E764" s="1"/>
      <c r="F764" s="1"/>
      <c r="G764" s="1"/>
      <c r="H764" s="1"/>
    </row>
    <row r="765" spans="3:8" ht="14" x14ac:dyDescent="0.2">
      <c r="C765" s="1"/>
      <c r="D765" s="1"/>
      <c r="E765" s="1"/>
      <c r="F765" s="1"/>
      <c r="G765" s="1"/>
      <c r="H765" s="1"/>
    </row>
    <row r="766" spans="3:8" ht="14" x14ac:dyDescent="0.2">
      <c r="C766" s="1"/>
      <c r="D766" s="1"/>
      <c r="E766" s="1"/>
      <c r="F766" s="1"/>
      <c r="G766" s="1"/>
      <c r="H766" s="1"/>
    </row>
    <row r="767" spans="3:8" ht="14" x14ac:dyDescent="0.2">
      <c r="C767" s="1"/>
      <c r="D767" s="1"/>
      <c r="E767" s="1"/>
      <c r="F767" s="1"/>
      <c r="G767" s="1"/>
      <c r="H767" s="1"/>
    </row>
    <row r="768" spans="3:8" ht="14" x14ac:dyDescent="0.2">
      <c r="C768" s="1"/>
      <c r="D768" s="1"/>
      <c r="E768" s="1"/>
      <c r="F768" s="1"/>
      <c r="G768" s="1"/>
      <c r="H768" s="1"/>
    </row>
    <row r="769" spans="3:8" ht="14" x14ac:dyDescent="0.2">
      <c r="C769" s="1"/>
      <c r="D769" s="1"/>
      <c r="E769" s="1"/>
      <c r="F769" s="1"/>
      <c r="G769" s="1"/>
      <c r="H769" s="1"/>
    </row>
    <row r="770" spans="3:8" ht="14" x14ac:dyDescent="0.2">
      <c r="C770" s="1"/>
      <c r="D770" s="1"/>
      <c r="E770" s="1"/>
      <c r="F770" s="1"/>
      <c r="G770" s="1"/>
      <c r="H770" s="1"/>
    </row>
    <row r="771" spans="3:8" ht="14" x14ac:dyDescent="0.2">
      <c r="C771" s="1"/>
      <c r="D771" s="1"/>
      <c r="E771" s="1"/>
      <c r="F771" s="1"/>
      <c r="G771" s="1"/>
      <c r="H771" s="1"/>
    </row>
    <row r="772" spans="3:8" ht="14" x14ac:dyDescent="0.2">
      <c r="C772" s="1"/>
      <c r="D772" s="1"/>
      <c r="E772" s="1"/>
      <c r="F772" s="1"/>
      <c r="G772" s="1"/>
      <c r="H772" s="1"/>
    </row>
    <row r="773" spans="3:8" ht="14" x14ac:dyDescent="0.2">
      <c r="C773" s="1"/>
      <c r="D773" s="1"/>
      <c r="E773" s="1"/>
      <c r="F773" s="1"/>
      <c r="G773" s="1"/>
      <c r="H773" s="1"/>
    </row>
    <row r="774" spans="3:8" ht="14" x14ac:dyDescent="0.2">
      <c r="C774" s="1"/>
      <c r="D774" s="1"/>
      <c r="E774" s="1"/>
      <c r="F774" s="1"/>
      <c r="G774" s="1"/>
      <c r="H774" s="1"/>
    </row>
    <row r="775" spans="3:8" ht="14" x14ac:dyDescent="0.2">
      <c r="C775" s="1"/>
      <c r="D775" s="1"/>
      <c r="E775" s="1"/>
      <c r="F775" s="1"/>
      <c r="G775" s="1"/>
      <c r="H775" s="1"/>
    </row>
    <row r="776" spans="3:8" ht="14" x14ac:dyDescent="0.2">
      <c r="C776" s="1"/>
      <c r="D776" s="1"/>
      <c r="E776" s="1"/>
      <c r="F776" s="1"/>
      <c r="G776" s="1"/>
      <c r="H776" s="1"/>
    </row>
    <row r="777" spans="3:8" ht="14" x14ac:dyDescent="0.2">
      <c r="C777" s="1"/>
      <c r="D777" s="1"/>
      <c r="E777" s="1"/>
      <c r="F777" s="1"/>
      <c r="G777" s="1"/>
      <c r="H777" s="1"/>
    </row>
    <row r="778" spans="3:8" ht="14" x14ac:dyDescent="0.2">
      <c r="C778" s="1"/>
      <c r="D778" s="1"/>
      <c r="E778" s="1"/>
      <c r="F778" s="1"/>
      <c r="G778" s="1"/>
      <c r="H778" s="1"/>
    </row>
    <row r="779" spans="3:8" ht="14" x14ac:dyDescent="0.2">
      <c r="C779" s="1"/>
      <c r="D779" s="1"/>
      <c r="E779" s="1"/>
      <c r="F779" s="1"/>
      <c r="G779" s="1"/>
      <c r="H779" s="1"/>
    </row>
    <row r="780" spans="3:8" ht="14" x14ac:dyDescent="0.2">
      <c r="C780" s="1"/>
      <c r="D780" s="1"/>
      <c r="E780" s="1"/>
      <c r="F780" s="1"/>
      <c r="G780" s="1"/>
      <c r="H780" s="1"/>
    </row>
    <row r="781" spans="3:8" ht="14" x14ac:dyDescent="0.2">
      <c r="C781" s="1"/>
      <c r="D781" s="1"/>
      <c r="E781" s="1"/>
      <c r="F781" s="1"/>
      <c r="G781" s="1"/>
      <c r="H781" s="1"/>
    </row>
    <row r="782" spans="3:8" ht="14" x14ac:dyDescent="0.2">
      <c r="C782" s="1"/>
      <c r="D782" s="1"/>
      <c r="E782" s="1"/>
      <c r="F782" s="1"/>
      <c r="G782" s="1"/>
      <c r="H782" s="1"/>
    </row>
    <row r="783" spans="3:8" ht="14" x14ac:dyDescent="0.2">
      <c r="C783" s="1"/>
      <c r="D783" s="1"/>
      <c r="E783" s="1"/>
      <c r="F783" s="1"/>
      <c r="G783" s="1"/>
      <c r="H783" s="1"/>
    </row>
    <row r="784" spans="3:8" ht="14" x14ac:dyDescent="0.2">
      <c r="C784" s="1"/>
      <c r="D784" s="1"/>
      <c r="E784" s="1"/>
      <c r="F784" s="1"/>
      <c r="G784" s="1"/>
      <c r="H784" s="1"/>
    </row>
    <row r="785" spans="3:8" ht="14" x14ac:dyDescent="0.2">
      <c r="C785" s="1"/>
      <c r="D785" s="1"/>
      <c r="E785" s="1"/>
      <c r="F785" s="1"/>
      <c r="G785" s="1"/>
      <c r="H785" s="1"/>
    </row>
    <row r="786" spans="3:8" ht="14" x14ac:dyDescent="0.2">
      <c r="C786" s="1"/>
      <c r="D786" s="1"/>
      <c r="E786" s="1"/>
      <c r="F786" s="1"/>
      <c r="G786" s="1"/>
      <c r="H786" s="1"/>
    </row>
    <row r="787" spans="3:8" ht="14" x14ac:dyDescent="0.2">
      <c r="C787" s="1"/>
      <c r="D787" s="1"/>
      <c r="E787" s="1"/>
      <c r="F787" s="1"/>
      <c r="G787" s="1"/>
      <c r="H787" s="1"/>
    </row>
    <row r="788" spans="3:8" ht="14" x14ac:dyDescent="0.2">
      <c r="C788" s="1"/>
      <c r="D788" s="1"/>
      <c r="E788" s="1"/>
      <c r="F788" s="1"/>
      <c r="G788" s="1"/>
      <c r="H788" s="1"/>
    </row>
    <row r="789" spans="3:8" ht="14" x14ac:dyDescent="0.2">
      <c r="C789" s="1"/>
      <c r="D789" s="1"/>
      <c r="E789" s="1"/>
      <c r="F789" s="1"/>
      <c r="G789" s="1"/>
      <c r="H789" s="1"/>
    </row>
    <row r="790" spans="3:8" ht="14" x14ac:dyDescent="0.2">
      <c r="C790" s="1"/>
      <c r="D790" s="1"/>
      <c r="E790" s="1"/>
      <c r="F790" s="1"/>
      <c r="G790" s="1"/>
      <c r="H790" s="1"/>
    </row>
    <row r="791" spans="3:8" ht="14" x14ac:dyDescent="0.2">
      <c r="C791" s="1"/>
      <c r="D791" s="1"/>
      <c r="E791" s="1"/>
      <c r="F791" s="1"/>
      <c r="G791" s="1"/>
      <c r="H791" s="1"/>
    </row>
    <row r="792" spans="3:8" ht="14" x14ac:dyDescent="0.2">
      <c r="C792" s="1"/>
      <c r="D792" s="1"/>
      <c r="E792" s="1"/>
      <c r="F792" s="1"/>
      <c r="G792" s="1"/>
      <c r="H792" s="1"/>
    </row>
    <row r="793" spans="3:8" ht="14" x14ac:dyDescent="0.2">
      <c r="C793" s="1"/>
      <c r="D793" s="1"/>
      <c r="E793" s="1"/>
      <c r="F793" s="1"/>
      <c r="G793" s="1"/>
      <c r="H793" s="1"/>
    </row>
    <row r="794" spans="3:8" ht="14" x14ac:dyDescent="0.2">
      <c r="C794" s="1"/>
      <c r="D794" s="1"/>
      <c r="E794" s="1"/>
      <c r="F794" s="1"/>
      <c r="G794" s="1"/>
      <c r="H794" s="1"/>
    </row>
    <row r="795" spans="3:8" ht="14" x14ac:dyDescent="0.2">
      <c r="C795" s="1"/>
      <c r="D795" s="1"/>
      <c r="E795" s="1"/>
      <c r="F795" s="1"/>
      <c r="G795" s="1"/>
      <c r="H795" s="1"/>
    </row>
    <row r="796" spans="3:8" ht="14" x14ac:dyDescent="0.2">
      <c r="C796" s="1"/>
      <c r="D796" s="1"/>
      <c r="E796" s="1"/>
      <c r="F796" s="1"/>
      <c r="G796" s="1"/>
      <c r="H796" s="1"/>
    </row>
    <row r="797" spans="3:8" ht="14" x14ac:dyDescent="0.2">
      <c r="C797" s="1"/>
      <c r="D797" s="1"/>
      <c r="E797" s="1"/>
      <c r="F797" s="1"/>
      <c r="G797" s="1"/>
      <c r="H797" s="1"/>
    </row>
    <row r="798" spans="3:8" ht="14" x14ac:dyDescent="0.2">
      <c r="C798" s="1"/>
      <c r="D798" s="1"/>
      <c r="E798" s="1"/>
      <c r="F798" s="1"/>
      <c r="G798" s="1"/>
      <c r="H798" s="1"/>
    </row>
    <row r="799" spans="3:8" ht="14" x14ac:dyDescent="0.2">
      <c r="C799" s="1"/>
      <c r="D799" s="1"/>
      <c r="E799" s="1"/>
      <c r="F799" s="1"/>
      <c r="G799" s="1"/>
      <c r="H799" s="1"/>
    </row>
    <row r="800" spans="3:8" ht="14" x14ac:dyDescent="0.2">
      <c r="C800" s="1"/>
      <c r="D800" s="1"/>
      <c r="E800" s="1"/>
      <c r="F800" s="1"/>
      <c r="G800" s="1"/>
      <c r="H800" s="1"/>
    </row>
    <row r="801" spans="3:8" ht="14" x14ac:dyDescent="0.2">
      <c r="C801" s="1"/>
      <c r="D801" s="1"/>
      <c r="E801" s="1"/>
      <c r="F801" s="1"/>
      <c r="G801" s="1"/>
      <c r="H801" s="1"/>
    </row>
    <row r="802" spans="3:8" ht="14" x14ac:dyDescent="0.2">
      <c r="C802" s="1"/>
      <c r="D802" s="1"/>
      <c r="E802" s="1"/>
      <c r="F802" s="1"/>
      <c r="G802" s="1"/>
      <c r="H802" s="1"/>
    </row>
    <row r="803" spans="3:8" ht="14" x14ac:dyDescent="0.2">
      <c r="C803" s="1"/>
      <c r="D803" s="1"/>
      <c r="E803" s="1"/>
      <c r="F803" s="1"/>
      <c r="G803" s="1"/>
      <c r="H803" s="1"/>
    </row>
    <row r="804" spans="3:8" ht="14" x14ac:dyDescent="0.2">
      <c r="C804" s="1"/>
      <c r="D804" s="1"/>
      <c r="E804" s="1"/>
      <c r="F804" s="1"/>
      <c r="G804" s="1"/>
      <c r="H804" s="1"/>
    </row>
    <row r="805" spans="3:8" ht="14" x14ac:dyDescent="0.2">
      <c r="C805" s="1"/>
      <c r="D805" s="1"/>
      <c r="E805" s="1"/>
      <c r="F805" s="1"/>
      <c r="G805" s="1"/>
      <c r="H805" s="1"/>
    </row>
    <row r="806" spans="3:8" ht="14" x14ac:dyDescent="0.2">
      <c r="C806" s="1"/>
      <c r="D806" s="1"/>
      <c r="E806" s="1"/>
      <c r="F806" s="1"/>
      <c r="G806" s="1"/>
      <c r="H806" s="1"/>
    </row>
    <row r="807" spans="3:8" ht="14" x14ac:dyDescent="0.2">
      <c r="C807" s="1"/>
      <c r="D807" s="1"/>
      <c r="E807" s="1"/>
      <c r="F807" s="1"/>
      <c r="G807" s="1"/>
      <c r="H807" s="1"/>
    </row>
    <row r="808" spans="3:8" ht="14" x14ac:dyDescent="0.2">
      <c r="C808" s="1"/>
      <c r="D808" s="1"/>
      <c r="E808" s="1"/>
      <c r="F808" s="1"/>
      <c r="G808" s="1"/>
      <c r="H808" s="1"/>
    </row>
    <row r="809" spans="3:8" ht="14" x14ac:dyDescent="0.2">
      <c r="C809" s="1"/>
      <c r="D809" s="1"/>
      <c r="E809" s="1"/>
      <c r="F809" s="1"/>
      <c r="G809" s="1"/>
      <c r="H809" s="1"/>
    </row>
    <row r="810" spans="3:8" ht="14" x14ac:dyDescent="0.2">
      <c r="C810" s="1"/>
      <c r="D810" s="1"/>
      <c r="E810" s="1"/>
      <c r="F810" s="1"/>
      <c r="G810" s="1"/>
      <c r="H810" s="1"/>
    </row>
    <row r="811" spans="3:8" ht="14" x14ac:dyDescent="0.2">
      <c r="C811" s="1"/>
      <c r="D811" s="1"/>
      <c r="E811" s="1"/>
      <c r="F811" s="1"/>
      <c r="G811" s="1"/>
      <c r="H811" s="1"/>
    </row>
    <row r="812" spans="3:8" ht="14" x14ac:dyDescent="0.2">
      <c r="C812" s="1"/>
      <c r="D812" s="1"/>
      <c r="E812" s="1"/>
      <c r="F812" s="1"/>
      <c r="G812" s="1"/>
      <c r="H812" s="1"/>
    </row>
    <row r="813" spans="3:8" ht="14" x14ac:dyDescent="0.2">
      <c r="C813" s="1"/>
      <c r="D813" s="1"/>
      <c r="E813" s="1"/>
      <c r="F813" s="1"/>
      <c r="G813" s="1"/>
      <c r="H813" s="1"/>
    </row>
    <row r="814" spans="3:8" ht="14" x14ac:dyDescent="0.2">
      <c r="C814" s="1"/>
      <c r="D814" s="1"/>
      <c r="E814" s="1"/>
      <c r="F814" s="1"/>
      <c r="G814" s="1"/>
      <c r="H814" s="1"/>
    </row>
    <row r="815" spans="3:8" ht="14" x14ac:dyDescent="0.2">
      <c r="C815" s="1"/>
      <c r="D815" s="1"/>
      <c r="E815" s="1"/>
      <c r="F815" s="1"/>
      <c r="G815" s="1"/>
      <c r="H815" s="1"/>
    </row>
    <row r="816" spans="3:8" ht="14" x14ac:dyDescent="0.2">
      <c r="C816" s="1"/>
      <c r="D816" s="1"/>
      <c r="E816" s="1"/>
      <c r="F816" s="1"/>
      <c r="G816" s="1"/>
      <c r="H816" s="1"/>
    </row>
    <row r="817" spans="3:8" ht="14" x14ac:dyDescent="0.2">
      <c r="C817" s="1"/>
      <c r="D817" s="1"/>
      <c r="E817" s="1"/>
      <c r="F817" s="1"/>
      <c r="G817" s="1"/>
      <c r="H817" s="1"/>
    </row>
    <row r="818" spans="3:8" ht="14" x14ac:dyDescent="0.2">
      <c r="C818" s="1"/>
      <c r="D818" s="1"/>
      <c r="E818" s="1"/>
      <c r="F818" s="1"/>
      <c r="G818" s="1"/>
      <c r="H818" s="1"/>
    </row>
    <row r="819" spans="3:8" ht="14" x14ac:dyDescent="0.2">
      <c r="C819" s="1"/>
      <c r="D819" s="1"/>
      <c r="E819" s="1"/>
      <c r="F819" s="1"/>
      <c r="G819" s="1"/>
      <c r="H819" s="1"/>
    </row>
    <row r="820" spans="3:8" ht="14" x14ac:dyDescent="0.2">
      <c r="C820" s="1"/>
      <c r="D820" s="1"/>
      <c r="E820" s="1"/>
      <c r="F820" s="1"/>
      <c r="G820" s="1"/>
      <c r="H820" s="1"/>
    </row>
    <row r="821" spans="3:8" ht="14" x14ac:dyDescent="0.2">
      <c r="C821" s="1"/>
      <c r="D821" s="1"/>
      <c r="E821" s="1"/>
      <c r="F821" s="1"/>
      <c r="G821" s="1"/>
      <c r="H821" s="1"/>
    </row>
    <row r="822" spans="3:8" ht="14" x14ac:dyDescent="0.2">
      <c r="C822" s="1"/>
      <c r="D822" s="1"/>
      <c r="E822" s="1"/>
      <c r="F822" s="1"/>
      <c r="G822" s="1"/>
      <c r="H822" s="1"/>
    </row>
    <row r="823" spans="3:8" ht="14" x14ac:dyDescent="0.2">
      <c r="C823" s="1"/>
      <c r="D823" s="1"/>
      <c r="E823" s="1"/>
      <c r="F823" s="1"/>
      <c r="G823" s="1"/>
      <c r="H823" s="1"/>
    </row>
    <row r="824" spans="3:8" ht="14" x14ac:dyDescent="0.2">
      <c r="C824" s="1"/>
      <c r="D824" s="1"/>
      <c r="E824" s="1"/>
      <c r="F824" s="1"/>
      <c r="G824" s="1"/>
      <c r="H824" s="1"/>
    </row>
    <row r="825" spans="3:8" ht="14" x14ac:dyDescent="0.2">
      <c r="C825" s="1"/>
      <c r="D825" s="1"/>
      <c r="E825" s="1"/>
      <c r="F825" s="1"/>
      <c r="G825" s="1"/>
      <c r="H825" s="1"/>
    </row>
    <row r="826" spans="3:8" ht="14" x14ac:dyDescent="0.2">
      <c r="C826" s="1"/>
      <c r="D826" s="1"/>
      <c r="E826" s="1"/>
      <c r="F826" s="1"/>
      <c r="G826" s="1"/>
      <c r="H826" s="1"/>
    </row>
    <row r="827" spans="3:8" ht="14" x14ac:dyDescent="0.2">
      <c r="C827" s="1"/>
      <c r="D827" s="1"/>
      <c r="E827" s="1"/>
      <c r="F827" s="1"/>
      <c r="G827" s="1"/>
      <c r="H827" s="1"/>
    </row>
    <row r="828" spans="3:8" ht="14" x14ac:dyDescent="0.2">
      <c r="C828" s="1"/>
      <c r="D828" s="1"/>
      <c r="E828" s="1"/>
      <c r="F828" s="1"/>
      <c r="G828" s="1"/>
      <c r="H828" s="1"/>
    </row>
    <row r="829" spans="3:8" ht="14" x14ac:dyDescent="0.2">
      <c r="C829" s="1"/>
      <c r="D829" s="1"/>
      <c r="E829" s="1"/>
      <c r="F829" s="1"/>
      <c r="G829" s="1"/>
      <c r="H829" s="1"/>
    </row>
    <row r="830" spans="3:8" ht="14" x14ac:dyDescent="0.2">
      <c r="C830" s="1"/>
      <c r="D830" s="1"/>
      <c r="E830" s="1"/>
      <c r="F830" s="1"/>
      <c r="G830" s="1"/>
      <c r="H830" s="1"/>
    </row>
    <row r="831" spans="3:8" ht="14" x14ac:dyDescent="0.2">
      <c r="C831" s="1"/>
      <c r="D831" s="1"/>
      <c r="E831" s="1"/>
      <c r="F831" s="1"/>
      <c r="G831" s="1"/>
      <c r="H831" s="1"/>
    </row>
    <row r="832" spans="3:8" ht="14" x14ac:dyDescent="0.2">
      <c r="C832" s="1"/>
      <c r="D832" s="1"/>
      <c r="E832" s="1"/>
      <c r="F832" s="1"/>
      <c r="G832" s="1"/>
      <c r="H832" s="1"/>
    </row>
    <row r="833" spans="3:8" ht="14" x14ac:dyDescent="0.2">
      <c r="C833" s="1"/>
      <c r="D833" s="1"/>
      <c r="E833" s="1"/>
      <c r="F833" s="1"/>
      <c r="G833" s="1"/>
      <c r="H833" s="1"/>
    </row>
    <row r="834" spans="3:8" ht="14" x14ac:dyDescent="0.2">
      <c r="C834" s="1"/>
      <c r="D834" s="1"/>
      <c r="E834" s="1"/>
      <c r="F834" s="1"/>
      <c r="G834" s="1"/>
      <c r="H834" s="1"/>
    </row>
    <row r="835" spans="3:8" ht="14" x14ac:dyDescent="0.2">
      <c r="C835" s="1"/>
      <c r="D835" s="1"/>
      <c r="E835" s="1"/>
      <c r="F835" s="1"/>
      <c r="G835" s="1"/>
      <c r="H835" s="1"/>
    </row>
    <row r="836" spans="3:8" ht="14" x14ac:dyDescent="0.2">
      <c r="C836" s="1"/>
      <c r="D836" s="1"/>
      <c r="E836" s="1"/>
      <c r="F836" s="1"/>
      <c r="G836" s="1"/>
      <c r="H836" s="1"/>
    </row>
    <row r="837" spans="3:8" ht="14" x14ac:dyDescent="0.2">
      <c r="C837" s="1"/>
      <c r="D837" s="1"/>
      <c r="E837" s="1"/>
      <c r="F837" s="1"/>
      <c r="G837" s="1"/>
      <c r="H837" s="1"/>
    </row>
    <row r="838" spans="3:8" ht="14" x14ac:dyDescent="0.2">
      <c r="C838" s="1"/>
      <c r="D838" s="1"/>
      <c r="E838" s="1"/>
      <c r="F838" s="1"/>
      <c r="G838" s="1"/>
      <c r="H838" s="1"/>
    </row>
    <row r="839" spans="3:8" ht="14" x14ac:dyDescent="0.2">
      <c r="C839" s="1"/>
      <c r="D839" s="1"/>
      <c r="E839" s="1"/>
      <c r="F839" s="1"/>
      <c r="G839" s="1"/>
      <c r="H839" s="1"/>
    </row>
    <row r="840" spans="3:8" ht="14" x14ac:dyDescent="0.2">
      <c r="C840" s="1"/>
      <c r="D840" s="1"/>
      <c r="E840" s="1"/>
      <c r="F840" s="1"/>
      <c r="G840" s="1"/>
      <c r="H840" s="1"/>
    </row>
    <row r="841" spans="3:8" ht="14" x14ac:dyDescent="0.2">
      <c r="C841" s="1"/>
      <c r="D841" s="1"/>
      <c r="E841" s="1"/>
      <c r="F841" s="1"/>
      <c r="G841" s="1"/>
      <c r="H841" s="1"/>
    </row>
    <row r="842" spans="3:8" ht="14" x14ac:dyDescent="0.2">
      <c r="C842" s="1"/>
      <c r="D842" s="1"/>
      <c r="E842" s="1"/>
      <c r="F842" s="1"/>
      <c r="G842" s="1"/>
      <c r="H842" s="1"/>
    </row>
    <row r="843" spans="3:8" ht="14" x14ac:dyDescent="0.2">
      <c r="C843" s="1"/>
      <c r="D843" s="1"/>
      <c r="E843" s="1"/>
      <c r="F843" s="1"/>
      <c r="G843" s="1"/>
      <c r="H843" s="1"/>
    </row>
    <row r="844" spans="3:8" ht="14" x14ac:dyDescent="0.2">
      <c r="C844" s="1"/>
      <c r="D844" s="1"/>
      <c r="E844" s="1"/>
      <c r="F844" s="1"/>
      <c r="G844" s="1"/>
      <c r="H844" s="1"/>
    </row>
    <row r="845" spans="3:8" ht="14" x14ac:dyDescent="0.2">
      <c r="C845" s="1"/>
      <c r="D845" s="1"/>
      <c r="E845" s="1"/>
      <c r="F845" s="1"/>
      <c r="G845" s="1"/>
      <c r="H845" s="1"/>
    </row>
    <row r="846" spans="3:8" ht="14" x14ac:dyDescent="0.2">
      <c r="C846" s="1"/>
      <c r="D846" s="1"/>
      <c r="E846" s="1"/>
      <c r="F846" s="1"/>
      <c r="G846" s="1"/>
      <c r="H846" s="1"/>
    </row>
    <row r="847" spans="3:8" ht="14" x14ac:dyDescent="0.2">
      <c r="C847" s="1"/>
      <c r="D847" s="1"/>
      <c r="E847" s="1"/>
      <c r="F847" s="1"/>
      <c r="G847" s="1"/>
      <c r="H847" s="1"/>
    </row>
    <row r="848" spans="3:8" ht="14" x14ac:dyDescent="0.2">
      <c r="C848" s="1"/>
      <c r="D848" s="1"/>
      <c r="E848" s="1"/>
      <c r="F848" s="1"/>
      <c r="G848" s="1"/>
      <c r="H848" s="1"/>
    </row>
    <row r="849" spans="3:8" ht="14" x14ac:dyDescent="0.2">
      <c r="C849" s="1"/>
      <c r="D849" s="1"/>
      <c r="E849" s="1"/>
      <c r="F849" s="1"/>
      <c r="G849" s="1"/>
      <c r="H849" s="1"/>
    </row>
    <row r="850" spans="3:8" ht="14" x14ac:dyDescent="0.2">
      <c r="C850" s="1"/>
      <c r="D850" s="1"/>
      <c r="E850" s="1"/>
      <c r="F850" s="1"/>
      <c r="G850" s="1"/>
      <c r="H850" s="1"/>
    </row>
    <row r="851" spans="3:8" ht="14" x14ac:dyDescent="0.2">
      <c r="C851" s="1"/>
      <c r="D851" s="1"/>
      <c r="E851" s="1"/>
      <c r="F851" s="1"/>
      <c r="G851" s="1"/>
      <c r="H851" s="1"/>
    </row>
    <row r="852" spans="3:8" ht="14" x14ac:dyDescent="0.2">
      <c r="C852" s="1"/>
      <c r="D852" s="1"/>
      <c r="E852" s="1"/>
      <c r="F852" s="1"/>
      <c r="G852" s="1"/>
      <c r="H852" s="1"/>
    </row>
    <row r="853" spans="3:8" ht="14" x14ac:dyDescent="0.2">
      <c r="C853" s="1"/>
      <c r="D853" s="1"/>
      <c r="E853" s="1"/>
      <c r="F853" s="1"/>
      <c r="G853" s="1"/>
      <c r="H853" s="1"/>
    </row>
    <row r="854" spans="3:8" ht="14" x14ac:dyDescent="0.2">
      <c r="C854" s="1"/>
      <c r="D854" s="1"/>
      <c r="E854" s="1"/>
      <c r="F854" s="1"/>
      <c r="G854" s="1"/>
      <c r="H854" s="1"/>
    </row>
    <row r="855" spans="3:8" ht="14" x14ac:dyDescent="0.2">
      <c r="C855" s="1"/>
      <c r="D855" s="1"/>
      <c r="E855" s="1"/>
      <c r="F855" s="1"/>
      <c r="G855" s="1"/>
      <c r="H855" s="1"/>
    </row>
    <row r="856" spans="3:8" ht="14" x14ac:dyDescent="0.2">
      <c r="C856" s="1"/>
      <c r="D856" s="1"/>
      <c r="E856" s="1"/>
      <c r="F856" s="1"/>
      <c r="G856" s="1"/>
      <c r="H856" s="1"/>
    </row>
    <row r="857" spans="3:8" ht="14" x14ac:dyDescent="0.2">
      <c r="C857" s="1"/>
      <c r="D857" s="1"/>
      <c r="E857" s="1"/>
      <c r="F857" s="1"/>
      <c r="G857" s="1"/>
      <c r="H857" s="1"/>
    </row>
    <row r="858" spans="3:8" ht="14" x14ac:dyDescent="0.2">
      <c r="C858" s="1"/>
      <c r="D858" s="1"/>
      <c r="E858" s="1"/>
      <c r="F858" s="1"/>
      <c r="G858" s="1"/>
      <c r="H858" s="1"/>
    </row>
    <row r="859" spans="3:8" ht="14" x14ac:dyDescent="0.2">
      <c r="C859" s="1"/>
      <c r="D859" s="1"/>
      <c r="E859" s="1"/>
      <c r="F859" s="1"/>
      <c r="G859" s="1"/>
      <c r="H859" s="1"/>
    </row>
    <row r="860" spans="3:8" ht="14" x14ac:dyDescent="0.2">
      <c r="C860" s="1"/>
      <c r="D860" s="1"/>
      <c r="E860" s="1"/>
      <c r="F860" s="1"/>
      <c r="G860" s="1"/>
      <c r="H860" s="1"/>
    </row>
    <row r="861" spans="3:8" ht="14" x14ac:dyDescent="0.2">
      <c r="C861" s="1"/>
      <c r="D861" s="1"/>
      <c r="E861" s="1"/>
      <c r="F861" s="1"/>
      <c r="G861" s="1"/>
      <c r="H861" s="1"/>
    </row>
    <row r="862" spans="3:8" ht="14" x14ac:dyDescent="0.2">
      <c r="C862" s="1"/>
      <c r="D862" s="1"/>
      <c r="E862" s="1"/>
      <c r="F862" s="1"/>
      <c r="G862" s="1"/>
      <c r="H862" s="1"/>
    </row>
    <row r="863" spans="3:8" ht="14" x14ac:dyDescent="0.2">
      <c r="C863" s="1"/>
      <c r="D863" s="1"/>
      <c r="E863" s="1"/>
      <c r="F863" s="1"/>
      <c r="G863" s="1"/>
      <c r="H863" s="1"/>
    </row>
    <row r="864" spans="3:8" ht="14" x14ac:dyDescent="0.2">
      <c r="C864" s="1"/>
      <c r="D864" s="1"/>
      <c r="E864" s="1"/>
      <c r="F864" s="1"/>
      <c r="G864" s="1"/>
      <c r="H864" s="1"/>
    </row>
    <row r="865" spans="3:8" ht="14" x14ac:dyDescent="0.2">
      <c r="C865" s="1"/>
      <c r="D865" s="1"/>
      <c r="E865" s="1"/>
      <c r="F865" s="1"/>
      <c r="G865" s="1"/>
      <c r="H865" s="1"/>
    </row>
    <row r="866" spans="3:8" ht="14" x14ac:dyDescent="0.2">
      <c r="C866" s="1"/>
      <c r="D866" s="1"/>
      <c r="E866" s="1"/>
      <c r="F866" s="1"/>
      <c r="G866" s="1"/>
      <c r="H866" s="1"/>
    </row>
    <row r="867" spans="3:8" ht="14" x14ac:dyDescent="0.2">
      <c r="C867" s="1"/>
      <c r="D867" s="1"/>
      <c r="E867" s="1"/>
      <c r="F867" s="1"/>
      <c r="G867" s="1"/>
      <c r="H867" s="1"/>
    </row>
    <row r="868" spans="3:8" ht="14" x14ac:dyDescent="0.2">
      <c r="C868" s="1"/>
      <c r="D868" s="1"/>
      <c r="E868" s="1"/>
      <c r="F868" s="1"/>
      <c r="G868" s="1"/>
      <c r="H868" s="1"/>
    </row>
    <row r="869" spans="3:8" ht="14" x14ac:dyDescent="0.2">
      <c r="C869" s="1"/>
      <c r="D869" s="1"/>
      <c r="E869" s="1"/>
      <c r="F869" s="1"/>
      <c r="G869" s="1"/>
      <c r="H869" s="1"/>
    </row>
    <row r="870" spans="3:8" ht="14" x14ac:dyDescent="0.2">
      <c r="C870" s="1"/>
      <c r="D870" s="1"/>
      <c r="E870" s="1"/>
      <c r="F870" s="1"/>
      <c r="G870" s="1"/>
      <c r="H870" s="1"/>
    </row>
    <row r="871" spans="3:8" ht="14" x14ac:dyDescent="0.2">
      <c r="C871" s="1"/>
      <c r="D871" s="1"/>
      <c r="E871" s="1"/>
      <c r="F871" s="1"/>
      <c r="G871" s="1"/>
      <c r="H871" s="1"/>
    </row>
    <row r="872" spans="3:8" ht="14" x14ac:dyDescent="0.2">
      <c r="C872" s="1"/>
      <c r="D872" s="1"/>
      <c r="E872" s="1"/>
      <c r="F872" s="1"/>
      <c r="G872" s="1"/>
      <c r="H872" s="1"/>
    </row>
    <row r="873" spans="3:8" ht="14" x14ac:dyDescent="0.2">
      <c r="C873" s="1"/>
      <c r="D873" s="1"/>
      <c r="E873" s="1"/>
      <c r="F873" s="1"/>
      <c r="G873" s="1"/>
      <c r="H873" s="1"/>
    </row>
    <row r="874" spans="3:8" ht="14" x14ac:dyDescent="0.2">
      <c r="C874" s="1"/>
      <c r="D874" s="1"/>
      <c r="E874" s="1"/>
      <c r="F874" s="1"/>
      <c r="G874" s="1"/>
      <c r="H874" s="1"/>
    </row>
    <row r="875" spans="3:8" ht="14" x14ac:dyDescent="0.2">
      <c r="C875" s="1"/>
      <c r="D875" s="1"/>
      <c r="E875" s="1"/>
      <c r="F875" s="1"/>
      <c r="G875" s="1"/>
      <c r="H875" s="1"/>
    </row>
    <row r="876" spans="3:8" ht="14" x14ac:dyDescent="0.2">
      <c r="C876" s="1"/>
      <c r="D876" s="1"/>
      <c r="E876" s="1"/>
      <c r="F876" s="1"/>
      <c r="G876" s="1"/>
      <c r="H876" s="1"/>
    </row>
    <row r="877" spans="3:8" ht="14" x14ac:dyDescent="0.2">
      <c r="C877" s="1"/>
      <c r="D877" s="1"/>
      <c r="E877" s="1"/>
      <c r="F877" s="1"/>
      <c r="G877" s="1"/>
      <c r="H877" s="1"/>
    </row>
    <row r="878" spans="3:8" ht="14" x14ac:dyDescent="0.2">
      <c r="C878" s="1"/>
      <c r="D878" s="1"/>
      <c r="E878" s="1"/>
      <c r="F878" s="1"/>
      <c r="G878" s="1"/>
      <c r="H878" s="1"/>
    </row>
    <row r="879" spans="3:8" ht="14" x14ac:dyDescent="0.2">
      <c r="C879" s="1"/>
      <c r="D879" s="1"/>
      <c r="E879" s="1"/>
      <c r="F879" s="1"/>
      <c r="G879" s="1"/>
      <c r="H879" s="1"/>
    </row>
    <row r="880" spans="3:8" ht="14" x14ac:dyDescent="0.2">
      <c r="C880" s="1"/>
      <c r="D880" s="1"/>
      <c r="E880" s="1"/>
      <c r="F880" s="1"/>
      <c r="G880" s="1"/>
      <c r="H880" s="1"/>
    </row>
    <row r="881" spans="3:8" ht="14" x14ac:dyDescent="0.2">
      <c r="C881" s="1"/>
      <c r="D881" s="1"/>
      <c r="E881" s="1"/>
      <c r="F881" s="1"/>
      <c r="G881" s="1"/>
      <c r="H881" s="1"/>
    </row>
    <row r="882" spans="3:8" ht="14" x14ac:dyDescent="0.2">
      <c r="C882" s="1"/>
      <c r="D882" s="1"/>
      <c r="E882" s="1"/>
      <c r="F882" s="1"/>
      <c r="G882" s="1"/>
      <c r="H882" s="1"/>
    </row>
    <row r="883" spans="3:8" ht="14" x14ac:dyDescent="0.2">
      <c r="C883" s="1"/>
      <c r="D883" s="1"/>
      <c r="E883" s="1"/>
      <c r="F883" s="1"/>
      <c r="G883" s="1"/>
      <c r="H883" s="1"/>
    </row>
    <row r="884" spans="3:8" ht="14" x14ac:dyDescent="0.2">
      <c r="C884" s="1"/>
      <c r="D884" s="1"/>
      <c r="E884" s="1"/>
      <c r="F884" s="1"/>
      <c r="G884" s="1"/>
      <c r="H884" s="1"/>
    </row>
    <row r="885" spans="3:8" ht="14" x14ac:dyDescent="0.2">
      <c r="C885" s="1"/>
      <c r="D885" s="1"/>
      <c r="E885" s="1"/>
      <c r="F885" s="1"/>
      <c r="G885" s="1"/>
      <c r="H885" s="1"/>
    </row>
    <row r="886" spans="3:8" ht="14" x14ac:dyDescent="0.2">
      <c r="C886" s="1"/>
      <c r="D886" s="1"/>
      <c r="E886" s="1"/>
      <c r="F886" s="1"/>
      <c r="G886" s="1"/>
      <c r="H886" s="1"/>
    </row>
    <row r="887" spans="3:8" ht="14" x14ac:dyDescent="0.2">
      <c r="C887" s="1"/>
      <c r="D887" s="1"/>
      <c r="E887" s="1"/>
      <c r="F887" s="1"/>
      <c r="G887" s="1"/>
      <c r="H887" s="1"/>
    </row>
    <row r="888" spans="3:8" ht="14" x14ac:dyDescent="0.2">
      <c r="C888" s="1"/>
      <c r="D888" s="1"/>
      <c r="E888" s="1"/>
      <c r="F888" s="1"/>
      <c r="G888" s="1"/>
      <c r="H888" s="1"/>
    </row>
    <row r="889" spans="3:8" ht="14" x14ac:dyDescent="0.2">
      <c r="C889" s="1"/>
      <c r="D889" s="1"/>
      <c r="E889" s="1"/>
      <c r="F889" s="1"/>
      <c r="G889" s="1"/>
      <c r="H889" s="1"/>
    </row>
    <row r="890" spans="3:8" ht="14" x14ac:dyDescent="0.2">
      <c r="C890" s="1"/>
      <c r="D890" s="1"/>
      <c r="E890" s="1"/>
      <c r="F890" s="1"/>
      <c r="G890" s="1"/>
      <c r="H890" s="1"/>
    </row>
    <row r="891" spans="3:8" ht="14" x14ac:dyDescent="0.2">
      <c r="C891" s="1"/>
      <c r="D891" s="1"/>
      <c r="E891" s="1"/>
      <c r="F891" s="1"/>
      <c r="G891" s="1"/>
      <c r="H891" s="1"/>
    </row>
    <row r="892" spans="3:8" ht="14" x14ac:dyDescent="0.2">
      <c r="C892" s="1"/>
      <c r="D892" s="1"/>
      <c r="E892" s="1"/>
      <c r="F892" s="1"/>
      <c r="G892" s="1"/>
      <c r="H892" s="1"/>
    </row>
    <row r="893" spans="3:8" ht="14" x14ac:dyDescent="0.2">
      <c r="C893" s="1"/>
      <c r="D893" s="1"/>
      <c r="E893" s="1"/>
      <c r="F893" s="1"/>
      <c r="G893" s="1"/>
      <c r="H893" s="1"/>
    </row>
    <row r="894" spans="3:8" ht="14" x14ac:dyDescent="0.2">
      <c r="C894" s="1"/>
      <c r="D894" s="1"/>
      <c r="E894" s="1"/>
      <c r="F894" s="1"/>
      <c r="G894" s="1"/>
      <c r="H894" s="1"/>
    </row>
    <row r="895" spans="3:8" ht="14" x14ac:dyDescent="0.2">
      <c r="C895" s="1"/>
      <c r="D895" s="1"/>
      <c r="E895" s="1"/>
      <c r="F895" s="1"/>
      <c r="G895" s="1"/>
      <c r="H895" s="1"/>
    </row>
    <row r="896" spans="3:8" ht="14" x14ac:dyDescent="0.2">
      <c r="C896" s="1"/>
      <c r="D896" s="1"/>
      <c r="E896" s="1"/>
      <c r="F896" s="1"/>
      <c r="G896" s="1"/>
      <c r="H896" s="1"/>
    </row>
    <row r="897" spans="3:8" ht="14" x14ac:dyDescent="0.2">
      <c r="C897" s="1"/>
      <c r="D897" s="1"/>
      <c r="E897" s="1"/>
      <c r="F897" s="1"/>
      <c r="G897" s="1"/>
      <c r="H897" s="1"/>
    </row>
    <row r="898" spans="3:8" ht="14" x14ac:dyDescent="0.2">
      <c r="C898" s="1"/>
      <c r="D898" s="1"/>
      <c r="E898" s="1"/>
      <c r="F898" s="1"/>
      <c r="G898" s="1"/>
      <c r="H898" s="1"/>
    </row>
    <row r="899" spans="3:8" ht="14" x14ac:dyDescent="0.2">
      <c r="C899" s="1"/>
      <c r="D899" s="1"/>
      <c r="E899" s="1"/>
      <c r="F899" s="1"/>
      <c r="G899" s="1"/>
      <c r="H899" s="1"/>
    </row>
    <row r="900" spans="3:8" ht="14" x14ac:dyDescent="0.2">
      <c r="C900" s="1"/>
      <c r="D900" s="1"/>
      <c r="E900" s="1"/>
      <c r="F900" s="1"/>
      <c r="G900" s="1"/>
      <c r="H900" s="1"/>
    </row>
    <row r="901" spans="3:8" ht="14" x14ac:dyDescent="0.2">
      <c r="C901" s="1"/>
      <c r="D901" s="1"/>
      <c r="E901" s="1"/>
      <c r="F901" s="1"/>
      <c r="G901" s="1"/>
      <c r="H901" s="1"/>
    </row>
    <row r="902" spans="3:8" ht="14" x14ac:dyDescent="0.2">
      <c r="C902" s="1"/>
      <c r="D902" s="1"/>
      <c r="E902" s="1"/>
      <c r="F902" s="1"/>
      <c r="G902" s="1"/>
      <c r="H902" s="1"/>
    </row>
    <row r="903" spans="3:8" ht="14" x14ac:dyDescent="0.2">
      <c r="C903" s="1"/>
      <c r="D903" s="1"/>
      <c r="E903" s="1"/>
      <c r="F903" s="1"/>
      <c r="G903" s="1"/>
      <c r="H903" s="1"/>
    </row>
    <row r="904" spans="3:8" ht="14" x14ac:dyDescent="0.2">
      <c r="C904" s="1"/>
      <c r="D904" s="1"/>
      <c r="E904" s="1"/>
      <c r="F904" s="1"/>
      <c r="G904" s="1"/>
      <c r="H904" s="1"/>
    </row>
    <row r="905" spans="3:8" ht="14" x14ac:dyDescent="0.2">
      <c r="C905" s="1"/>
      <c r="D905" s="1"/>
      <c r="E905" s="1"/>
      <c r="F905" s="1"/>
      <c r="G905" s="1"/>
      <c r="H905" s="1"/>
    </row>
    <row r="906" spans="3:8" ht="14" x14ac:dyDescent="0.2">
      <c r="C906" s="1"/>
      <c r="D906" s="1"/>
      <c r="E906" s="1"/>
      <c r="F906" s="1"/>
      <c r="G906" s="1"/>
      <c r="H906" s="1"/>
    </row>
    <row r="907" spans="3:8" ht="14" x14ac:dyDescent="0.2">
      <c r="C907" s="1"/>
      <c r="D907" s="1"/>
      <c r="E907" s="1"/>
      <c r="F907" s="1"/>
      <c r="G907" s="1"/>
      <c r="H907" s="1"/>
    </row>
    <row r="908" spans="3:8" ht="14" x14ac:dyDescent="0.2">
      <c r="C908" s="1"/>
      <c r="D908" s="1"/>
      <c r="E908" s="1"/>
      <c r="F908" s="1"/>
      <c r="G908" s="1"/>
      <c r="H908" s="1"/>
    </row>
    <row r="909" spans="3:8" ht="14" x14ac:dyDescent="0.2">
      <c r="C909" s="1"/>
      <c r="D909" s="1"/>
      <c r="E909" s="1"/>
      <c r="F909" s="1"/>
      <c r="G909" s="1"/>
      <c r="H909" s="1"/>
    </row>
    <row r="910" spans="3:8" ht="14" x14ac:dyDescent="0.2">
      <c r="C910" s="1"/>
      <c r="D910" s="1"/>
      <c r="E910" s="1"/>
      <c r="F910" s="1"/>
      <c r="G910" s="1"/>
      <c r="H910" s="1"/>
    </row>
    <row r="911" spans="3:8" ht="14" x14ac:dyDescent="0.2">
      <c r="C911" s="1"/>
      <c r="D911" s="1"/>
      <c r="E911" s="1"/>
      <c r="F911" s="1"/>
      <c r="G911" s="1"/>
      <c r="H911" s="1"/>
    </row>
    <row r="912" spans="3:8" ht="14" x14ac:dyDescent="0.2">
      <c r="C912" s="1"/>
      <c r="D912" s="1"/>
      <c r="E912" s="1"/>
      <c r="F912" s="1"/>
      <c r="G912" s="1"/>
      <c r="H912" s="1"/>
    </row>
    <row r="913" spans="3:8" ht="14" x14ac:dyDescent="0.2">
      <c r="C913" s="1"/>
      <c r="D913" s="1"/>
      <c r="E913" s="1"/>
      <c r="F913" s="1"/>
      <c r="G913" s="1"/>
      <c r="H913" s="1"/>
    </row>
    <row r="914" spans="3:8" ht="14" x14ac:dyDescent="0.2">
      <c r="C914" s="1"/>
      <c r="D914" s="1"/>
      <c r="E914" s="1"/>
      <c r="F914" s="1"/>
      <c r="G914" s="1"/>
      <c r="H914" s="1"/>
    </row>
    <row r="915" spans="3:8" ht="14" x14ac:dyDescent="0.2">
      <c r="C915" s="1"/>
      <c r="D915" s="1"/>
      <c r="E915" s="1"/>
      <c r="F915" s="1"/>
      <c r="G915" s="1"/>
      <c r="H915" s="1"/>
    </row>
    <row r="916" spans="3:8" ht="14" x14ac:dyDescent="0.2">
      <c r="C916" s="1"/>
      <c r="D916" s="1"/>
      <c r="E916" s="1"/>
      <c r="F916" s="1"/>
      <c r="G916" s="1"/>
      <c r="H916" s="1"/>
    </row>
    <row r="917" spans="3:8" ht="14" x14ac:dyDescent="0.2">
      <c r="C917" s="1"/>
      <c r="D917" s="1"/>
      <c r="E917" s="1"/>
      <c r="F917" s="1"/>
      <c r="G917" s="1"/>
      <c r="H917" s="1"/>
    </row>
    <row r="918" spans="3:8" ht="14" x14ac:dyDescent="0.2">
      <c r="C918" s="1"/>
      <c r="D918" s="1"/>
      <c r="E918" s="1"/>
      <c r="F918" s="1"/>
      <c r="G918" s="1"/>
      <c r="H918" s="1"/>
    </row>
    <row r="919" spans="3:8" ht="14" x14ac:dyDescent="0.2">
      <c r="C919" s="1"/>
      <c r="D919" s="1"/>
      <c r="E919" s="1"/>
      <c r="F919" s="1"/>
      <c r="G919" s="1"/>
      <c r="H919" s="1"/>
    </row>
    <row r="920" spans="3:8" ht="14" x14ac:dyDescent="0.2">
      <c r="C920" s="1"/>
      <c r="D920" s="1"/>
      <c r="E920" s="1"/>
      <c r="F920" s="1"/>
      <c r="G920" s="1"/>
      <c r="H920" s="1"/>
    </row>
    <row r="921" spans="3:8" ht="14" x14ac:dyDescent="0.2">
      <c r="C921" s="1"/>
      <c r="D921" s="1"/>
      <c r="E921" s="1"/>
      <c r="F921" s="1"/>
      <c r="G921" s="1"/>
      <c r="H921" s="1"/>
    </row>
    <row r="922" spans="3:8" ht="14" x14ac:dyDescent="0.2">
      <c r="C922" s="1"/>
      <c r="D922" s="1"/>
      <c r="E922" s="1"/>
      <c r="F922" s="1"/>
      <c r="G922" s="1"/>
      <c r="H922" s="1"/>
    </row>
    <row r="923" spans="3:8" ht="14" x14ac:dyDescent="0.2">
      <c r="C923" s="1"/>
      <c r="D923" s="1"/>
      <c r="E923" s="1"/>
      <c r="F923" s="1"/>
      <c r="G923" s="1"/>
      <c r="H923" s="1"/>
    </row>
    <row r="924" spans="3:8" ht="14" x14ac:dyDescent="0.2">
      <c r="C924" s="1"/>
      <c r="D924" s="1"/>
      <c r="E924" s="1"/>
      <c r="F924" s="1"/>
      <c r="G924" s="1"/>
      <c r="H924" s="1"/>
    </row>
    <row r="925" spans="3:8" ht="14" x14ac:dyDescent="0.2">
      <c r="C925" s="1"/>
      <c r="D925" s="1"/>
      <c r="E925" s="1"/>
      <c r="F925" s="1"/>
      <c r="G925" s="1"/>
      <c r="H925" s="1"/>
    </row>
    <row r="926" spans="3:8" ht="14" x14ac:dyDescent="0.2">
      <c r="C926" s="1"/>
      <c r="D926" s="1"/>
      <c r="E926" s="1"/>
      <c r="F926" s="1"/>
      <c r="G926" s="1"/>
      <c r="H926" s="1"/>
    </row>
    <row r="927" spans="3:8" ht="14" x14ac:dyDescent="0.2">
      <c r="C927" s="1"/>
      <c r="D927" s="1"/>
      <c r="E927" s="1"/>
      <c r="F927" s="1"/>
      <c r="G927" s="1"/>
      <c r="H927" s="1"/>
    </row>
    <row r="928" spans="3:8" ht="14" x14ac:dyDescent="0.2">
      <c r="C928" s="1"/>
      <c r="D928" s="1"/>
      <c r="E928" s="1"/>
      <c r="F928" s="1"/>
      <c r="G928" s="1"/>
      <c r="H928" s="1"/>
    </row>
    <row r="929" spans="3:8" ht="14" x14ac:dyDescent="0.2">
      <c r="C929" s="1"/>
      <c r="D929" s="1"/>
      <c r="E929" s="1"/>
      <c r="F929" s="1"/>
      <c r="G929" s="1"/>
      <c r="H929" s="1"/>
    </row>
    <row r="930" spans="3:8" ht="14" x14ac:dyDescent="0.2">
      <c r="C930" s="1"/>
      <c r="D930" s="1"/>
      <c r="E930" s="1"/>
      <c r="F930" s="1"/>
      <c r="G930" s="1"/>
      <c r="H930" s="1"/>
    </row>
    <row r="931" spans="3:8" ht="14" x14ac:dyDescent="0.2">
      <c r="C931" s="1"/>
      <c r="D931" s="1"/>
      <c r="E931" s="1"/>
      <c r="F931" s="1"/>
      <c r="G931" s="1"/>
      <c r="H931" s="1"/>
    </row>
    <row r="932" spans="3:8" ht="14" x14ac:dyDescent="0.2">
      <c r="C932" s="1"/>
      <c r="D932" s="1"/>
      <c r="E932" s="1"/>
      <c r="F932" s="1"/>
      <c r="G932" s="1"/>
      <c r="H932" s="1"/>
    </row>
    <row r="933" spans="3:8" ht="14" x14ac:dyDescent="0.2">
      <c r="C933" s="1"/>
      <c r="D933" s="1"/>
      <c r="E933" s="1"/>
      <c r="F933" s="1"/>
      <c r="G933" s="1"/>
      <c r="H933" s="1"/>
    </row>
    <row r="934" spans="3:8" ht="14" x14ac:dyDescent="0.2">
      <c r="C934" s="1"/>
      <c r="D934" s="1"/>
      <c r="E934" s="1"/>
      <c r="F934" s="1"/>
      <c r="G934" s="1"/>
      <c r="H934" s="1"/>
    </row>
    <row r="935" spans="3:8" ht="14" x14ac:dyDescent="0.2">
      <c r="C935" s="1"/>
      <c r="D935" s="1"/>
      <c r="E935" s="1"/>
      <c r="F935" s="1"/>
      <c r="G935" s="1"/>
      <c r="H935" s="1"/>
    </row>
    <row r="936" spans="3:8" ht="14" x14ac:dyDescent="0.2">
      <c r="C936" s="1"/>
      <c r="D936" s="1"/>
      <c r="E936" s="1"/>
      <c r="F936" s="1"/>
      <c r="G936" s="1"/>
      <c r="H936" s="1"/>
    </row>
    <row r="937" spans="3:8" ht="14" x14ac:dyDescent="0.2">
      <c r="C937" s="1"/>
      <c r="D937" s="1"/>
      <c r="E937" s="1"/>
      <c r="F937" s="1"/>
      <c r="G937" s="1"/>
      <c r="H937" s="1"/>
    </row>
    <row r="938" spans="3:8" ht="14" x14ac:dyDescent="0.2">
      <c r="C938" s="1"/>
      <c r="D938" s="1"/>
      <c r="E938" s="1"/>
      <c r="F938" s="1"/>
      <c r="G938" s="1"/>
      <c r="H938" s="1"/>
    </row>
    <row r="939" spans="3:8" ht="14" x14ac:dyDescent="0.2">
      <c r="C939" s="1"/>
      <c r="D939" s="1"/>
      <c r="E939" s="1"/>
      <c r="F939" s="1"/>
      <c r="G939" s="1"/>
      <c r="H939" s="1"/>
    </row>
    <row r="940" spans="3:8" ht="14" x14ac:dyDescent="0.2">
      <c r="C940" s="1"/>
      <c r="D940" s="1"/>
      <c r="E940" s="1"/>
      <c r="F940" s="1"/>
      <c r="G940" s="1"/>
      <c r="H940" s="1"/>
    </row>
    <row r="941" spans="3:8" ht="14" x14ac:dyDescent="0.2">
      <c r="C941" s="1"/>
      <c r="D941" s="1"/>
      <c r="E941" s="1"/>
      <c r="F941" s="1"/>
      <c r="G941" s="1"/>
      <c r="H941" s="1"/>
    </row>
    <row r="942" spans="3:8" ht="14" x14ac:dyDescent="0.2">
      <c r="C942" s="1"/>
      <c r="D942" s="1"/>
      <c r="E942" s="1"/>
      <c r="F942" s="1"/>
      <c r="G942" s="1"/>
      <c r="H942" s="1"/>
    </row>
    <row r="943" spans="3:8" ht="14" x14ac:dyDescent="0.2">
      <c r="C943" s="1"/>
      <c r="D943" s="1"/>
      <c r="E943" s="1"/>
      <c r="F943" s="1"/>
      <c r="G943" s="1"/>
      <c r="H943" s="1"/>
    </row>
    <row r="944" spans="3:8" ht="14" x14ac:dyDescent="0.2">
      <c r="C944" s="1"/>
      <c r="D944" s="1"/>
      <c r="E944" s="1"/>
      <c r="F944" s="1"/>
      <c r="G944" s="1"/>
      <c r="H944" s="1"/>
    </row>
    <row r="945" spans="3:8" ht="14" x14ac:dyDescent="0.2">
      <c r="C945" s="1"/>
      <c r="D945" s="1"/>
      <c r="E945" s="1"/>
      <c r="F945" s="1"/>
      <c r="G945" s="1"/>
      <c r="H945" s="1"/>
    </row>
    <row r="946" spans="3:8" ht="14" x14ac:dyDescent="0.2">
      <c r="C946" s="1"/>
      <c r="D946" s="1"/>
      <c r="E946" s="1"/>
      <c r="F946" s="1"/>
      <c r="G946" s="1"/>
      <c r="H946" s="1"/>
    </row>
    <row r="947" spans="3:8" ht="14" x14ac:dyDescent="0.2">
      <c r="C947" s="1"/>
      <c r="D947" s="1"/>
      <c r="E947" s="1"/>
      <c r="F947" s="1"/>
      <c r="G947" s="1"/>
      <c r="H947" s="1"/>
    </row>
    <row r="948" spans="3:8" ht="14" x14ac:dyDescent="0.2">
      <c r="C948" s="1"/>
      <c r="D948" s="1"/>
      <c r="E948" s="1"/>
      <c r="F948" s="1"/>
      <c r="G948" s="1"/>
      <c r="H948" s="1"/>
    </row>
    <row r="949" spans="3:8" ht="14" x14ac:dyDescent="0.2">
      <c r="C949" s="1"/>
      <c r="D949" s="1"/>
      <c r="E949" s="1"/>
      <c r="F949" s="1"/>
      <c r="G949" s="1"/>
      <c r="H949" s="1"/>
    </row>
    <row r="950" spans="3:8" ht="14" x14ac:dyDescent="0.2">
      <c r="C950" s="1"/>
      <c r="D950" s="1"/>
      <c r="E950" s="1"/>
      <c r="F950" s="1"/>
      <c r="G950" s="1"/>
      <c r="H950" s="1"/>
    </row>
    <row r="951" spans="3:8" ht="14" x14ac:dyDescent="0.2">
      <c r="C951" s="1"/>
      <c r="D951" s="1"/>
      <c r="E951" s="1"/>
      <c r="F951" s="1"/>
      <c r="G951" s="1"/>
      <c r="H951" s="1"/>
    </row>
    <row r="952" spans="3:8" ht="14" x14ac:dyDescent="0.2">
      <c r="C952" s="1"/>
      <c r="D952" s="1"/>
      <c r="E952" s="1"/>
      <c r="F952" s="1"/>
      <c r="G952" s="1"/>
      <c r="H952" s="1"/>
    </row>
    <row r="953" spans="3:8" ht="14" x14ac:dyDescent="0.2">
      <c r="C953" s="1"/>
      <c r="D953" s="1"/>
      <c r="E953" s="1"/>
      <c r="F953" s="1"/>
      <c r="G953" s="1"/>
      <c r="H953" s="1"/>
    </row>
    <row r="954" spans="3:8" ht="14" x14ac:dyDescent="0.2">
      <c r="C954" s="1"/>
      <c r="D954" s="1"/>
      <c r="E954" s="1"/>
      <c r="F954" s="1"/>
      <c r="G954" s="1"/>
      <c r="H954" s="1"/>
    </row>
    <row r="955" spans="3:8" ht="14" x14ac:dyDescent="0.2">
      <c r="C955" s="1"/>
      <c r="D955" s="1"/>
      <c r="E955" s="1"/>
      <c r="F955" s="1"/>
      <c r="G955" s="1"/>
      <c r="H955" s="1"/>
    </row>
    <row r="956" spans="3:8" ht="14" x14ac:dyDescent="0.2">
      <c r="C956" s="1"/>
      <c r="D956" s="1"/>
      <c r="E956" s="1"/>
      <c r="F956" s="1"/>
      <c r="G956" s="1"/>
      <c r="H956" s="1"/>
    </row>
    <row r="957" spans="3:8" ht="14" x14ac:dyDescent="0.2">
      <c r="C957" s="1"/>
      <c r="D957" s="1"/>
      <c r="E957" s="1"/>
      <c r="F957" s="1"/>
      <c r="G957" s="1"/>
      <c r="H957" s="1"/>
    </row>
    <row r="958" spans="3:8" ht="14" x14ac:dyDescent="0.2">
      <c r="C958" s="1"/>
      <c r="D958" s="1"/>
      <c r="E958" s="1"/>
      <c r="F958" s="1"/>
      <c r="G958" s="1"/>
      <c r="H958" s="1"/>
    </row>
    <row r="959" spans="3:8" ht="14" x14ac:dyDescent="0.2">
      <c r="C959" s="1"/>
      <c r="D959" s="1"/>
      <c r="E959" s="1"/>
      <c r="F959" s="1"/>
      <c r="G959" s="1"/>
      <c r="H959" s="1"/>
    </row>
    <row r="960" spans="3:8" ht="14" x14ac:dyDescent="0.2">
      <c r="C960" s="1"/>
      <c r="D960" s="1"/>
      <c r="E960" s="1"/>
      <c r="F960" s="1"/>
      <c r="G960" s="1"/>
      <c r="H960" s="1"/>
    </row>
    <row r="961" spans="3:8" ht="14" x14ac:dyDescent="0.2">
      <c r="C961" s="1"/>
      <c r="D961" s="1"/>
      <c r="E961" s="1"/>
      <c r="F961" s="1"/>
      <c r="G961" s="1"/>
      <c r="H961" s="1"/>
    </row>
    <row r="962" spans="3:8" ht="14" x14ac:dyDescent="0.2">
      <c r="C962" s="1"/>
      <c r="D962" s="1"/>
      <c r="E962" s="1"/>
      <c r="F962" s="1"/>
      <c r="G962" s="1"/>
      <c r="H962" s="1"/>
    </row>
    <row r="963" spans="3:8" ht="14" x14ac:dyDescent="0.2">
      <c r="C963" s="1"/>
      <c r="D963" s="1"/>
      <c r="E963" s="1"/>
      <c r="F963" s="1"/>
      <c r="G963" s="1"/>
      <c r="H963" s="1"/>
    </row>
    <row r="964" spans="3:8" ht="14" x14ac:dyDescent="0.2">
      <c r="C964" s="1"/>
      <c r="D964" s="1"/>
      <c r="E964" s="1"/>
      <c r="F964" s="1"/>
      <c r="G964" s="1"/>
      <c r="H964" s="1"/>
    </row>
    <row r="965" spans="3:8" ht="14" x14ac:dyDescent="0.2">
      <c r="C965" s="1"/>
      <c r="D965" s="1"/>
      <c r="E965" s="1"/>
      <c r="F965" s="1"/>
      <c r="G965" s="1"/>
      <c r="H965" s="1"/>
    </row>
    <row r="966" spans="3:8" ht="14" x14ac:dyDescent="0.2">
      <c r="C966" s="1"/>
      <c r="D966" s="1"/>
      <c r="E966" s="1"/>
      <c r="F966" s="1"/>
      <c r="G966" s="1"/>
      <c r="H966" s="1"/>
    </row>
    <row r="967" spans="3:8" ht="14" x14ac:dyDescent="0.2">
      <c r="C967" s="1"/>
      <c r="D967" s="1"/>
      <c r="E967" s="1"/>
      <c r="F967" s="1"/>
      <c r="G967" s="1"/>
      <c r="H967" s="1"/>
    </row>
    <row r="968" spans="3:8" ht="14" x14ac:dyDescent="0.2">
      <c r="C968" s="1"/>
      <c r="D968" s="1"/>
      <c r="E968" s="1"/>
      <c r="F968" s="1"/>
      <c r="G968" s="1"/>
      <c r="H968" s="1"/>
    </row>
    <row r="969" spans="3:8" ht="14" x14ac:dyDescent="0.2">
      <c r="C969" s="1"/>
      <c r="D969" s="1"/>
      <c r="E969" s="1"/>
      <c r="F969" s="1"/>
      <c r="G969" s="1"/>
      <c r="H969" s="1"/>
    </row>
    <row r="970" spans="3:8" ht="14" x14ac:dyDescent="0.2">
      <c r="C970" s="1"/>
      <c r="D970" s="1"/>
      <c r="E970" s="1"/>
      <c r="F970" s="1"/>
      <c r="G970" s="1"/>
      <c r="H970" s="1"/>
    </row>
    <row r="971" spans="3:8" ht="14" x14ac:dyDescent="0.2">
      <c r="C971" s="1"/>
      <c r="D971" s="1"/>
      <c r="E971" s="1"/>
      <c r="F971" s="1"/>
      <c r="G971" s="1"/>
      <c r="H971" s="1"/>
    </row>
    <row r="972" spans="3:8" ht="14" x14ac:dyDescent="0.2">
      <c r="C972" s="1"/>
      <c r="D972" s="1"/>
      <c r="E972" s="1"/>
      <c r="F972" s="1"/>
      <c r="G972" s="1"/>
      <c r="H972" s="1"/>
    </row>
    <row r="973" spans="3:8" ht="14" x14ac:dyDescent="0.2">
      <c r="C973" s="1"/>
      <c r="D973" s="1"/>
      <c r="E973" s="1"/>
      <c r="F973" s="1"/>
      <c r="G973" s="1"/>
      <c r="H973" s="1"/>
    </row>
    <row r="974" spans="3:8" ht="14" x14ac:dyDescent="0.2">
      <c r="C974" s="1"/>
      <c r="D974" s="1"/>
      <c r="E974" s="1"/>
      <c r="F974" s="1"/>
      <c r="G974" s="1"/>
      <c r="H974" s="1"/>
    </row>
    <row r="975" spans="3:8" ht="14" x14ac:dyDescent="0.2">
      <c r="C975" s="1"/>
      <c r="D975" s="1"/>
      <c r="E975" s="1"/>
      <c r="F975" s="1"/>
      <c r="G975" s="1"/>
      <c r="H975" s="1"/>
    </row>
    <row r="976" spans="3:8" ht="14" x14ac:dyDescent="0.2">
      <c r="C976" s="1"/>
      <c r="D976" s="1"/>
      <c r="E976" s="1"/>
      <c r="F976" s="1"/>
      <c r="G976" s="1"/>
      <c r="H976" s="1"/>
    </row>
    <row r="977" spans="3:8" ht="14" x14ac:dyDescent="0.2">
      <c r="C977" s="1"/>
      <c r="D977" s="1"/>
      <c r="E977" s="1"/>
      <c r="F977" s="1"/>
      <c r="G977" s="1"/>
      <c r="H977" s="1"/>
    </row>
    <row r="978" spans="3:8" ht="14" x14ac:dyDescent="0.2">
      <c r="C978" s="1"/>
      <c r="D978" s="1"/>
      <c r="E978" s="1"/>
      <c r="F978" s="1"/>
      <c r="G978" s="1"/>
      <c r="H978" s="1"/>
    </row>
    <row r="979" spans="3:8" ht="14" x14ac:dyDescent="0.2">
      <c r="C979" s="1"/>
      <c r="D979" s="1"/>
      <c r="E979" s="1"/>
      <c r="F979" s="1"/>
      <c r="G979" s="1"/>
      <c r="H979" s="1"/>
    </row>
    <row r="980" spans="3:8" ht="14" x14ac:dyDescent="0.2">
      <c r="C980" s="1"/>
      <c r="D980" s="1"/>
      <c r="E980" s="1"/>
      <c r="F980" s="1"/>
      <c r="G980" s="1"/>
      <c r="H980" s="1"/>
    </row>
    <row r="981" spans="3:8" ht="14" x14ac:dyDescent="0.2">
      <c r="C981" s="1"/>
      <c r="D981" s="1"/>
      <c r="E981" s="1"/>
      <c r="F981" s="1"/>
      <c r="G981" s="1"/>
      <c r="H981" s="1"/>
    </row>
    <row r="982" spans="3:8" ht="14" x14ac:dyDescent="0.2">
      <c r="C982" s="1"/>
      <c r="D982" s="1"/>
      <c r="E982" s="1"/>
      <c r="F982" s="1"/>
      <c r="G982" s="1"/>
      <c r="H982" s="1"/>
    </row>
    <row r="983" spans="3:8" ht="14" x14ac:dyDescent="0.2">
      <c r="C983" s="1"/>
      <c r="D983" s="1"/>
      <c r="E983" s="1"/>
      <c r="F983" s="1"/>
      <c r="G983" s="1"/>
      <c r="H983" s="1"/>
    </row>
    <row r="984" spans="3:8" ht="14" x14ac:dyDescent="0.2">
      <c r="C984" s="1"/>
      <c r="D984" s="1"/>
      <c r="E984" s="1"/>
      <c r="F984" s="1"/>
      <c r="G984" s="1"/>
      <c r="H984" s="1"/>
    </row>
    <row r="985" spans="3:8" ht="14" x14ac:dyDescent="0.2">
      <c r="C985" s="1"/>
      <c r="D985" s="1"/>
      <c r="E985" s="1"/>
      <c r="F985" s="1"/>
      <c r="G985" s="1"/>
      <c r="H985" s="1"/>
    </row>
    <row r="986" spans="3:8" ht="14" x14ac:dyDescent="0.2">
      <c r="C986" s="1"/>
      <c r="D986" s="1"/>
      <c r="E986" s="1"/>
      <c r="F986" s="1"/>
      <c r="G986" s="1"/>
      <c r="H986" s="1"/>
    </row>
    <row r="987" spans="3:8" ht="14" x14ac:dyDescent="0.2">
      <c r="C987" s="1"/>
      <c r="D987" s="1"/>
      <c r="E987" s="1"/>
      <c r="F987" s="1"/>
      <c r="G987" s="1"/>
      <c r="H987" s="1"/>
    </row>
    <row r="988" spans="3:8" ht="14" x14ac:dyDescent="0.2">
      <c r="C988" s="1"/>
      <c r="D988" s="1"/>
      <c r="E988" s="1"/>
      <c r="F988" s="1"/>
      <c r="G988" s="1"/>
      <c r="H988" s="1"/>
    </row>
    <row r="989" spans="3:8" ht="14" x14ac:dyDescent="0.2">
      <c r="C989" s="1"/>
      <c r="D989" s="1"/>
      <c r="E989" s="1"/>
      <c r="F989" s="1"/>
      <c r="G989" s="1"/>
      <c r="H989" s="1"/>
    </row>
    <row r="990" spans="3:8" ht="14" x14ac:dyDescent="0.2">
      <c r="C990" s="1"/>
      <c r="D990" s="1"/>
      <c r="E990" s="1"/>
      <c r="F990" s="1"/>
      <c r="G990" s="1"/>
      <c r="H990" s="1"/>
    </row>
  </sheetData>
  <mergeCells count="18">
    <mergeCell ref="M154:Q154"/>
    <mergeCell ref="D168:H168"/>
    <mergeCell ref="D183:H183"/>
    <mergeCell ref="J238:K238"/>
    <mergeCell ref="D108:H108"/>
    <mergeCell ref="D124:H124"/>
    <mergeCell ref="D140:H140"/>
    <mergeCell ref="D153:H153"/>
    <mergeCell ref="D76:H76"/>
    <mergeCell ref="D92:H92"/>
    <mergeCell ref="D196:H196"/>
    <mergeCell ref="D209:H209"/>
    <mergeCell ref="D223:H223"/>
    <mergeCell ref="D1:H1"/>
    <mergeCell ref="D16:H16"/>
    <mergeCell ref="D31:H31"/>
    <mergeCell ref="D46:H46"/>
    <mergeCell ref="D61:H6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A5E21C-C67B-E74B-9C3A-E25E0A2540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Total Sales IN&amp;OUT</vt:lpstr>
      <vt:lpstr>Summary</vt:lpstr>
      <vt:lpstr>Expenses</vt:lpstr>
      <vt:lpstr>Stock</vt:lpstr>
      <vt:lpstr>Clean_Data</vt:lpstr>
      <vt:lpstr>Stock Analysis</vt:lpstr>
      <vt:lpstr>Inventory</vt:lpstr>
      <vt:lpstr>Analytics</vt:lpstr>
      <vt:lpstr>January</vt:lpstr>
      <vt:lpstr>Febraury</vt:lpstr>
      <vt:lpstr>March</vt:lpstr>
      <vt:lpstr>April</vt:lpstr>
      <vt:lpstr>May</vt:lpstr>
      <vt:lpstr>June</vt:lpstr>
      <vt:lpstr>July</vt:lpstr>
      <vt:lpstr>August</vt:lpstr>
      <vt:lpstr>September</vt:lpstr>
      <vt:lpstr>October</vt:lpstr>
      <vt:lpstr>November</vt:lpstr>
      <vt:lpstr>December</vt:lpstr>
      <vt:lpstr>Water bottles and Soft Drinks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Arif Hussain</cp:lastModifiedBy>
  <dcterms:modified xsi:type="dcterms:W3CDTF">2026-06-16T17:54:35Z</dcterms:modified>
</cp:coreProperties>
</file>